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50"/>
  </bookViews>
  <sheets>
    <sheet name="Sheet1" sheetId="1" r:id="rId1"/>
    <sheet name="Missing Values" sheetId="3" r:id="rId2"/>
    <sheet name="Proper Values" sheetId="5" r:id="rId3"/>
    <sheet name="Calculation" sheetId="4" r:id="rId4"/>
    <sheet name="Filtering and sorting" sheetId="8" r:id="rId5"/>
    <sheet name="Cleaned Data" sheetId="7" r:id="rId6"/>
    <sheet name="Sheet9" sheetId="11" r:id="rId7"/>
    <sheet name="Sheet13" sheetId="15" r:id="rId8"/>
  </sheets>
  <definedNames>
    <definedName name="_xlnm._FilterDatabase" localSheetId="5" hidden="1">'Cleaned Data'!$A$1:$S$1000</definedName>
    <definedName name="_xlnm._FilterDatabase" localSheetId="4" hidden="1">'Filtering and sorting'!$A$1:$S$1000</definedName>
    <definedName name="_xlnm._FilterDatabase" localSheetId="1" hidden="1">'Missing Values'!$N$1:$O$1000</definedName>
    <definedName name="_xlnm._FilterDatabase" localSheetId="2" hidden="1">'Proper Values'!$I$4:$J$1003</definedName>
    <definedName name="_xlnm._FilterDatabase" localSheetId="0" hidden="1">Sheet1!$A$1:$P$1000</definedName>
  </definedNames>
  <calcPr calcId="162913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2" i="4"/>
  <c r="O1003" i="5" l="1"/>
  <c r="J1003" i="5"/>
  <c r="D1003" i="5"/>
  <c r="O1002" i="5"/>
  <c r="J1002" i="5"/>
  <c r="D1002" i="5"/>
  <c r="O1001" i="5"/>
  <c r="J1001" i="5"/>
  <c r="D1001" i="5"/>
  <c r="O1000" i="5"/>
  <c r="J1000" i="5"/>
  <c r="D1000" i="5"/>
  <c r="O999" i="5"/>
  <c r="J999" i="5"/>
  <c r="D999" i="5"/>
  <c r="O998" i="5"/>
  <c r="J998" i="5"/>
  <c r="D998" i="5"/>
  <c r="O997" i="5"/>
  <c r="J997" i="5"/>
  <c r="D997" i="5"/>
  <c r="O996" i="5"/>
  <c r="J996" i="5"/>
  <c r="D996" i="5"/>
  <c r="O995" i="5"/>
  <c r="J995" i="5"/>
  <c r="D995" i="5"/>
  <c r="O994" i="5"/>
  <c r="J994" i="5"/>
  <c r="D994" i="5"/>
  <c r="O993" i="5"/>
  <c r="J993" i="5"/>
  <c r="D993" i="5"/>
  <c r="O992" i="5"/>
  <c r="J992" i="5"/>
  <c r="D992" i="5"/>
  <c r="O991" i="5"/>
  <c r="J991" i="5"/>
  <c r="D991" i="5"/>
  <c r="O990" i="5"/>
  <c r="J990" i="5"/>
  <c r="D990" i="5"/>
  <c r="O989" i="5"/>
  <c r="J989" i="5"/>
  <c r="D989" i="5"/>
  <c r="O988" i="5"/>
  <c r="J988" i="5"/>
  <c r="D988" i="5"/>
  <c r="O987" i="5"/>
  <c r="J987" i="5"/>
  <c r="D987" i="5"/>
  <c r="O986" i="5"/>
  <c r="J986" i="5"/>
  <c r="D986" i="5"/>
  <c r="O985" i="5"/>
  <c r="J985" i="5"/>
  <c r="D985" i="5"/>
  <c r="O984" i="5"/>
  <c r="J984" i="5"/>
  <c r="D984" i="5"/>
  <c r="O983" i="5"/>
  <c r="J983" i="5"/>
  <c r="D983" i="5"/>
  <c r="O982" i="5"/>
  <c r="J982" i="5"/>
  <c r="D982" i="5"/>
  <c r="O981" i="5"/>
  <c r="J981" i="5"/>
  <c r="D981" i="5"/>
  <c r="O980" i="5"/>
  <c r="J980" i="5"/>
  <c r="D980" i="5"/>
  <c r="O979" i="5"/>
  <c r="J979" i="5"/>
  <c r="D979" i="5"/>
  <c r="O978" i="5"/>
  <c r="J978" i="5"/>
  <c r="D978" i="5"/>
  <c r="O977" i="5"/>
  <c r="J977" i="5"/>
  <c r="D977" i="5"/>
  <c r="O976" i="5"/>
  <c r="J976" i="5"/>
  <c r="D976" i="5"/>
  <c r="O975" i="5"/>
  <c r="J975" i="5"/>
  <c r="D975" i="5"/>
  <c r="O974" i="5"/>
  <c r="J974" i="5"/>
  <c r="D974" i="5"/>
  <c r="O973" i="5"/>
  <c r="J973" i="5"/>
  <c r="D973" i="5"/>
  <c r="O972" i="5"/>
  <c r="J972" i="5"/>
  <c r="D972" i="5"/>
  <c r="O971" i="5"/>
  <c r="J971" i="5"/>
  <c r="D971" i="5"/>
  <c r="O970" i="5"/>
  <c r="J970" i="5"/>
  <c r="D970" i="5"/>
  <c r="O969" i="5"/>
  <c r="J969" i="5"/>
  <c r="D969" i="5"/>
  <c r="O968" i="5"/>
  <c r="J968" i="5"/>
  <c r="D968" i="5"/>
  <c r="O967" i="5"/>
  <c r="J967" i="5"/>
  <c r="D967" i="5"/>
  <c r="O966" i="5"/>
  <c r="J966" i="5"/>
  <c r="D966" i="5"/>
  <c r="O965" i="5"/>
  <c r="J965" i="5"/>
  <c r="D965" i="5"/>
  <c r="O964" i="5"/>
  <c r="J964" i="5"/>
  <c r="D964" i="5"/>
  <c r="O963" i="5"/>
  <c r="J963" i="5"/>
  <c r="D963" i="5"/>
  <c r="O962" i="5"/>
  <c r="J962" i="5"/>
  <c r="D962" i="5"/>
  <c r="O961" i="5"/>
  <c r="J961" i="5"/>
  <c r="D961" i="5"/>
  <c r="O960" i="5"/>
  <c r="J960" i="5"/>
  <c r="D960" i="5"/>
  <c r="O959" i="5"/>
  <c r="J959" i="5"/>
  <c r="D959" i="5"/>
  <c r="O958" i="5"/>
  <c r="J958" i="5"/>
  <c r="D958" i="5"/>
  <c r="O957" i="5"/>
  <c r="J957" i="5"/>
  <c r="D957" i="5"/>
  <c r="O956" i="5"/>
  <c r="J956" i="5"/>
  <c r="D956" i="5"/>
  <c r="O955" i="5"/>
  <c r="J955" i="5"/>
  <c r="D955" i="5"/>
  <c r="O954" i="5"/>
  <c r="J954" i="5"/>
  <c r="D954" i="5"/>
  <c r="O953" i="5"/>
  <c r="J953" i="5"/>
  <c r="D953" i="5"/>
  <c r="O952" i="5"/>
  <c r="J952" i="5"/>
  <c r="D952" i="5"/>
  <c r="O951" i="5"/>
  <c r="J951" i="5"/>
  <c r="D951" i="5"/>
  <c r="O950" i="5"/>
  <c r="J950" i="5"/>
  <c r="D950" i="5"/>
  <c r="O949" i="5"/>
  <c r="J949" i="5"/>
  <c r="D949" i="5"/>
  <c r="O948" i="5"/>
  <c r="J948" i="5"/>
  <c r="D948" i="5"/>
  <c r="O947" i="5"/>
  <c r="J947" i="5"/>
  <c r="D947" i="5"/>
  <c r="O946" i="5"/>
  <c r="J946" i="5"/>
  <c r="D946" i="5"/>
  <c r="O945" i="5"/>
  <c r="J945" i="5"/>
  <c r="D945" i="5"/>
  <c r="O944" i="5"/>
  <c r="J944" i="5"/>
  <c r="D944" i="5"/>
  <c r="O943" i="5"/>
  <c r="J943" i="5"/>
  <c r="D943" i="5"/>
  <c r="O942" i="5"/>
  <c r="J942" i="5"/>
  <c r="D942" i="5"/>
  <c r="O941" i="5"/>
  <c r="J941" i="5"/>
  <c r="D941" i="5"/>
  <c r="O940" i="5"/>
  <c r="J940" i="5"/>
  <c r="D940" i="5"/>
  <c r="O939" i="5"/>
  <c r="J939" i="5"/>
  <c r="D939" i="5"/>
  <c r="O938" i="5"/>
  <c r="J938" i="5"/>
  <c r="D938" i="5"/>
  <c r="O937" i="5"/>
  <c r="J937" i="5"/>
  <c r="D937" i="5"/>
  <c r="O936" i="5"/>
  <c r="J936" i="5"/>
  <c r="D936" i="5"/>
  <c r="O935" i="5"/>
  <c r="J935" i="5"/>
  <c r="D935" i="5"/>
  <c r="O934" i="5"/>
  <c r="J934" i="5"/>
  <c r="D934" i="5"/>
  <c r="O933" i="5"/>
  <c r="J933" i="5"/>
  <c r="D933" i="5"/>
  <c r="O932" i="5"/>
  <c r="J932" i="5"/>
  <c r="D932" i="5"/>
  <c r="O931" i="5"/>
  <c r="J931" i="5"/>
  <c r="D931" i="5"/>
  <c r="O930" i="5"/>
  <c r="J930" i="5"/>
  <c r="D930" i="5"/>
  <c r="O929" i="5"/>
  <c r="J929" i="5"/>
  <c r="D929" i="5"/>
  <c r="O928" i="5"/>
  <c r="J928" i="5"/>
  <c r="D928" i="5"/>
  <c r="O927" i="5"/>
  <c r="J927" i="5"/>
  <c r="D927" i="5"/>
  <c r="O926" i="5"/>
  <c r="J926" i="5"/>
  <c r="D926" i="5"/>
  <c r="O925" i="5"/>
  <c r="J925" i="5"/>
  <c r="D925" i="5"/>
  <c r="O924" i="5"/>
  <c r="J924" i="5"/>
  <c r="D924" i="5"/>
  <c r="O923" i="5"/>
  <c r="J923" i="5"/>
  <c r="D923" i="5"/>
  <c r="O922" i="5"/>
  <c r="J922" i="5"/>
  <c r="D922" i="5"/>
  <c r="O921" i="5"/>
  <c r="J921" i="5"/>
  <c r="D921" i="5"/>
  <c r="O920" i="5"/>
  <c r="J920" i="5"/>
  <c r="D920" i="5"/>
  <c r="O919" i="5"/>
  <c r="J919" i="5"/>
  <c r="D919" i="5"/>
  <c r="O918" i="5"/>
  <c r="J918" i="5"/>
  <c r="D918" i="5"/>
  <c r="O917" i="5"/>
  <c r="J917" i="5"/>
  <c r="D917" i="5"/>
  <c r="O916" i="5"/>
  <c r="J916" i="5"/>
  <c r="D916" i="5"/>
  <c r="O915" i="5"/>
  <c r="J915" i="5"/>
  <c r="D915" i="5"/>
  <c r="O914" i="5"/>
  <c r="J914" i="5"/>
  <c r="D914" i="5"/>
  <c r="O913" i="5"/>
  <c r="J913" i="5"/>
  <c r="D913" i="5"/>
  <c r="O912" i="5"/>
  <c r="J912" i="5"/>
  <c r="D912" i="5"/>
  <c r="O911" i="5"/>
  <c r="J911" i="5"/>
  <c r="D911" i="5"/>
  <c r="O910" i="5"/>
  <c r="J910" i="5"/>
  <c r="D910" i="5"/>
  <c r="O909" i="5"/>
  <c r="J909" i="5"/>
  <c r="D909" i="5"/>
  <c r="O908" i="5"/>
  <c r="J908" i="5"/>
  <c r="D908" i="5"/>
  <c r="O907" i="5"/>
  <c r="J907" i="5"/>
  <c r="D907" i="5"/>
  <c r="O906" i="5"/>
  <c r="J906" i="5"/>
  <c r="D906" i="5"/>
  <c r="O905" i="5"/>
  <c r="J905" i="5"/>
  <c r="D905" i="5"/>
  <c r="O904" i="5"/>
  <c r="J904" i="5"/>
  <c r="D904" i="5"/>
  <c r="O903" i="5"/>
  <c r="J903" i="5"/>
  <c r="D903" i="5"/>
  <c r="O902" i="5"/>
  <c r="J902" i="5"/>
  <c r="D902" i="5"/>
  <c r="O901" i="5"/>
  <c r="J901" i="5"/>
  <c r="D901" i="5"/>
  <c r="O900" i="5"/>
  <c r="J900" i="5"/>
  <c r="D900" i="5"/>
  <c r="O899" i="5"/>
  <c r="J899" i="5"/>
  <c r="D899" i="5"/>
  <c r="O898" i="5"/>
  <c r="J898" i="5"/>
  <c r="D898" i="5"/>
  <c r="O897" i="5"/>
  <c r="J897" i="5"/>
  <c r="D897" i="5"/>
  <c r="O896" i="5"/>
  <c r="J896" i="5"/>
  <c r="D896" i="5"/>
  <c r="O895" i="5"/>
  <c r="J895" i="5"/>
  <c r="D895" i="5"/>
  <c r="O894" i="5"/>
  <c r="J894" i="5"/>
  <c r="D894" i="5"/>
  <c r="O893" i="5"/>
  <c r="J893" i="5"/>
  <c r="D893" i="5"/>
  <c r="O892" i="5"/>
  <c r="J892" i="5"/>
  <c r="D892" i="5"/>
  <c r="O891" i="5"/>
  <c r="J891" i="5"/>
  <c r="D891" i="5"/>
  <c r="O890" i="5"/>
  <c r="J890" i="5"/>
  <c r="D890" i="5"/>
  <c r="O889" i="5"/>
  <c r="J889" i="5"/>
  <c r="D889" i="5"/>
  <c r="O888" i="5"/>
  <c r="J888" i="5"/>
  <c r="D888" i="5"/>
  <c r="O887" i="5"/>
  <c r="J887" i="5"/>
  <c r="D887" i="5"/>
  <c r="O886" i="5"/>
  <c r="J886" i="5"/>
  <c r="D886" i="5"/>
  <c r="O885" i="5"/>
  <c r="J885" i="5"/>
  <c r="D885" i="5"/>
  <c r="O884" i="5"/>
  <c r="J884" i="5"/>
  <c r="D884" i="5"/>
  <c r="O883" i="5"/>
  <c r="J883" i="5"/>
  <c r="D883" i="5"/>
  <c r="O882" i="5"/>
  <c r="J882" i="5"/>
  <c r="D882" i="5"/>
  <c r="O881" i="5"/>
  <c r="J881" i="5"/>
  <c r="D881" i="5"/>
  <c r="O880" i="5"/>
  <c r="J880" i="5"/>
  <c r="D880" i="5"/>
  <c r="O879" i="5"/>
  <c r="J879" i="5"/>
  <c r="D879" i="5"/>
  <c r="O878" i="5"/>
  <c r="J878" i="5"/>
  <c r="D878" i="5"/>
  <c r="O877" i="5"/>
  <c r="J877" i="5"/>
  <c r="D877" i="5"/>
  <c r="O876" i="5"/>
  <c r="J876" i="5"/>
  <c r="D876" i="5"/>
  <c r="O875" i="5"/>
  <c r="J875" i="5"/>
  <c r="D875" i="5"/>
  <c r="O874" i="5"/>
  <c r="J874" i="5"/>
  <c r="D874" i="5"/>
  <c r="O873" i="5"/>
  <c r="J873" i="5"/>
  <c r="D873" i="5"/>
  <c r="O872" i="5"/>
  <c r="J872" i="5"/>
  <c r="D872" i="5"/>
  <c r="O871" i="5"/>
  <c r="J871" i="5"/>
  <c r="D871" i="5"/>
  <c r="O870" i="5"/>
  <c r="J870" i="5"/>
  <c r="D870" i="5"/>
  <c r="O869" i="5"/>
  <c r="J869" i="5"/>
  <c r="D869" i="5"/>
  <c r="O868" i="5"/>
  <c r="J868" i="5"/>
  <c r="D868" i="5"/>
  <c r="O867" i="5"/>
  <c r="J867" i="5"/>
  <c r="D867" i="5"/>
  <c r="O866" i="5"/>
  <c r="J866" i="5"/>
  <c r="D866" i="5"/>
  <c r="O865" i="5"/>
  <c r="J865" i="5"/>
  <c r="D865" i="5"/>
  <c r="O864" i="5"/>
  <c r="J864" i="5"/>
  <c r="D864" i="5"/>
  <c r="O863" i="5"/>
  <c r="J863" i="5"/>
  <c r="D863" i="5"/>
  <c r="O862" i="5"/>
  <c r="J862" i="5"/>
  <c r="D862" i="5"/>
  <c r="O861" i="5"/>
  <c r="J861" i="5"/>
  <c r="D861" i="5"/>
  <c r="O860" i="5"/>
  <c r="J860" i="5"/>
  <c r="D860" i="5"/>
  <c r="O859" i="5"/>
  <c r="J859" i="5"/>
  <c r="D859" i="5"/>
  <c r="O858" i="5"/>
  <c r="J858" i="5"/>
  <c r="D858" i="5"/>
  <c r="O857" i="5"/>
  <c r="J857" i="5"/>
  <c r="D857" i="5"/>
  <c r="O856" i="5"/>
  <c r="J856" i="5"/>
  <c r="D856" i="5"/>
  <c r="O855" i="5"/>
  <c r="J855" i="5"/>
  <c r="D855" i="5"/>
  <c r="O854" i="5"/>
  <c r="J854" i="5"/>
  <c r="D854" i="5"/>
  <c r="O853" i="5"/>
  <c r="J853" i="5"/>
  <c r="D853" i="5"/>
  <c r="O852" i="5"/>
  <c r="J852" i="5"/>
  <c r="D852" i="5"/>
  <c r="O851" i="5"/>
  <c r="J851" i="5"/>
  <c r="D851" i="5"/>
  <c r="O850" i="5"/>
  <c r="J850" i="5"/>
  <c r="D850" i="5"/>
  <c r="O849" i="5"/>
  <c r="J849" i="5"/>
  <c r="D849" i="5"/>
  <c r="O848" i="5"/>
  <c r="J848" i="5"/>
  <c r="D848" i="5"/>
  <c r="O847" i="5"/>
  <c r="J847" i="5"/>
  <c r="D847" i="5"/>
  <c r="O846" i="5"/>
  <c r="J846" i="5"/>
  <c r="D846" i="5"/>
  <c r="O845" i="5"/>
  <c r="J845" i="5"/>
  <c r="D845" i="5"/>
  <c r="O844" i="5"/>
  <c r="J844" i="5"/>
  <c r="D844" i="5"/>
  <c r="O843" i="5"/>
  <c r="J843" i="5"/>
  <c r="D843" i="5"/>
  <c r="O842" i="5"/>
  <c r="J842" i="5"/>
  <c r="D842" i="5"/>
  <c r="O841" i="5"/>
  <c r="J841" i="5"/>
  <c r="D841" i="5"/>
  <c r="O840" i="5"/>
  <c r="J840" i="5"/>
  <c r="D840" i="5"/>
  <c r="O839" i="5"/>
  <c r="J839" i="5"/>
  <c r="D839" i="5"/>
  <c r="O838" i="5"/>
  <c r="J838" i="5"/>
  <c r="D838" i="5"/>
  <c r="O837" i="5"/>
  <c r="J837" i="5"/>
  <c r="D837" i="5"/>
  <c r="O836" i="5"/>
  <c r="J836" i="5"/>
  <c r="D836" i="5"/>
  <c r="O835" i="5"/>
  <c r="J835" i="5"/>
  <c r="D835" i="5"/>
  <c r="O834" i="5"/>
  <c r="J834" i="5"/>
  <c r="D834" i="5"/>
  <c r="O833" i="5"/>
  <c r="J833" i="5"/>
  <c r="D833" i="5"/>
  <c r="O832" i="5"/>
  <c r="J832" i="5"/>
  <c r="D832" i="5"/>
  <c r="O831" i="5"/>
  <c r="J831" i="5"/>
  <c r="D831" i="5"/>
  <c r="O830" i="5"/>
  <c r="J830" i="5"/>
  <c r="D830" i="5"/>
  <c r="O829" i="5"/>
  <c r="J829" i="5"/>
  <c r="D829" i="5"/>
  <c r="O828" i="5"/>
  <c r="J828" i="5"/>
  <c r="D828" i="5"/>
  <c r="O827" i="5"/>
  <c r="J827" i="5"/>
  <c r="D827" i="5"/>
  <c r="O826" i="5"/>
  <c r="J826" i="5"/>
  <c r="D826" i="5"/>
  <c r="O825" i="5"/>
  <c r="J825" i="5"/>
  <c r="D825" i="5"/>
  <c r="O824" i="5"/>
  <c r="J824" i="5"/>
  <c r="D824" i="5"/>
  <c r="O823" i="5"/>
  <c r="J823" i="5"/>
  <c r="D823" i="5"/>
  <c r="O822" i="5"/>
  <c r="J822" i="5"/>
  <c r="D822" i="5"/>
  <c r="O821" i="5"/>
  <c r="J821" i="5"/>
  <c r="D821" i="5"/>
  <c r="O820" i="5"/>
  <c r="J820" i="5"/>
  <c r="D820" i="5"/>
  <c r="O819" i="5"/>
  <c r="J819" i="5"/>
  <c r="D819" i="5"/>
  <c r="O818" i="5"/>
  <c r="J818" i="5"/>
  <c r="D818" i="5"/>
  <c r="O817" i="5"/>
  <c r="J817" i="5"/>
  <c r="D817" i="5"/>
  <c r="O816" i="5"/>
  <c r="J816" i="5"/>
  <c r="D816" i="5"/>
  <c r="O815" i="5"/>
  <c r="J815" i="5"/>
  <c r="D815" i="5"/>
  <c r="O814" i="5"/>
  <c r="J814" i="5"/>
  <c r="D814" i="5"/>
  <c r="O813" i="5"/>
  <c r="J813" i="5"/>
  <c r="D813" i="5"/>
  <c r="O812" i="5"/>
  <c r="J812" i="5"/>
  <c r="D812" i="5"/>
  <c r="O811" i="5"/>
  <c r="J811" i="5"/>
  <c r="D811" i="5"/>
  <c r="O810" i="5"/>
  <c r="J810" i="5"/>
  <c r="D810" i="5"/>
  <c r="O809" i="5"/>
  <c r="J809" i="5"/>
  <c r="D809" i="5"/>
  <c r="O808" i="5"/>
  <c r="J808" i="5"/>
  <c r="D808" i="5"/>
  <c r="O807" i="5"/>
  <c r="J807" i="5"/>
  <c r="D807" i="5"/>
  <c r="O806" i="5"/>
  <c r="J806" i="5"/>
  <c r="D806" i="5"/>
  <c r="O805" i="5"/>
  <c r="J805" i="5"/>
  <c r="D805" i="5"/>
  <c r="O804" i="5"/>
  <c r="J804" i="5"/>
  <c r="D804" i="5"/>
  <c r="O803" i="5"/>
  <c r="J803" i="5"/>
  <c r="D803" i="5"/>
  <c r="O802" i="5"/>
  <c r="J802" i="5"/>
  <c r="D802" i="5"/>
  <c r="O801" i="5"/>
  <c r="J801" i="5"/>
  <c r="D801" i="5"/>
  <c r="O800" i="5"/>
  <c r="J800" i="5"/>
  <c r="D800" i="5"/>
  <c r="O799" i="5"/>
  <c r="J799" i="5"/>
  <c r="D799" i="5"/>
  <c r="O798" i="5"/>
  <c r="J798" i="5"/>
  <c r="D798" i="5"/>
  <c r="O797" i="5"/>
  <c r="J797" i="5"/>
  <c r="D797" i="5"/>
  <c r="O796" i="5"/>
  <c r="J796" i="5"/>
  <c r="D796" i="5"/>
  <c r="O795" i="5"/>
  <c r="J795" i="5"/>
  <c r="D795" i="5"/>
  <c r="O794" i="5"/>
  <c r="J794" i="5"/>
  <c r="D794" i="5"/>
  <c r="O793" i="5"/>
  <c r="J793" i="5"/>
  <c r="D793" i="5"/>
  <c r="O792" i="5"/>
  <c r="J792" i="5"/>
  <c r="D792" i="5"/>
  <c r="O791" i="5"/>
  <c r="J791" i="5"/>
  <c r="D791" i="5"/>
  <c r="O790" i="5"/>
  <c r="J790" i="5"/>
  <c r="D790" i="5"/>
  <c r="O789" i="5"/>
  <c r="J789" i="5"/>
  <c r="D789" i="5"/>
  <c r="O788" i="5"/>
  <c r="J788" i="5"/>
  <c r="D788" i="5"/>
  <c r="O787" i="5"/>
  <c r="J787" i="5"/>
  <c r="D787" i="5"/>
  <c r="O786" i="5"/>
  <c r="J786" i="5"/>
  <c r="D786" i="5"/>
  <c r="O785" i="5"/>
  <c r="J785" i="5"/>
  <c r="D785" i="5"/>
  <c r="O784" i="5"/>
  <c r="J784" i="5"/>
  <c r="D784" i="5"/>
  <c r="O783" i="5"/>
  <c r="J783" i="5"/>
  <c r="D783" i="5"/>
  <c r="O782" i="5"/>
  <c r="J782" i="5"/>
  <c r="D782" i="5"/>
  <c r="O781" i="5"/>
  <c r="J781" i="5"/>
  <c r="D781" i="5"/>
  <c r="O780" i="5"/>
  <c r="J780" i="5"/>
  <c r="D780" i="5"/>
  <c r="O779" i="5"/>
  <c r="J779" i="5"/>
  <c r="D779" i="5"/>
  <c r="O778" i="5"/>
  <c r="J778" i="5"/>
  <c r="D778" i="5"/>
  <c r="O777" i="5"/>
  <c r="J777" i="5"/>
  <c r="D777" i="5"/>
  <c r="O776" i="5"/>
  <c r="J776" i="5"/>
  <c r="D776" i="5"/>
  <c r="O775" i="5"/>
  <c r="J775" i="5"/>
  <c r="D775" i="5"/>
  <c r="O774" i="5"/>
  <c r="J774" i="5"/>
  <c r="D774" i="5"/>
  <c r="O773" i="5"/>
  <c r="J773" i="5"/>
  <c r="D773" i="5"/>
  <c r="O772" i="5"/>
  <c r="J772" i="5"/>
  <c r="D772" i="5"/>
  <c r="O771" i="5"/>
  <c r="J771" i="5"/>
  <c r="D771" i="5"/>
  <c r="O770" i="5"/>
  <c r="J770" i="5"/>
  <c r="D770" i="5"/>
  <c r="O769" i="5"/>
  <c r="J769" i="5"/>
  <c r="D769" i="5"/>
  <c r="O768" i="5"/>
  <c r="J768" i="5"/>
  <c r="D768" i="5"/>
  <c r="O767" i="5"/>
  <c r="J767" i="5"/>
  <c r="D767" i="5"/>
  <c r="O766" i="5"/>
  <c r="J766" i="5"/>
  <c r="D766" i="5"/>
  <c r="O765" i="5"/>
  <c r="J765" i="5"/>
  <c r="D765" i="5"/>
  <c r="O764" i="5"/>
  <c r="J764" i="5"/>
  <c r="D764" i="5"/>
  <c r="O763" i="5"/>
  <c r="J763" i="5"/>
  <c r="D763" i="5"/>
  <c r="O762" i="5"/>
  <c r="J762" i="5"/>
  <c r="D762" i="5"/>
  <c r="O761" i="5"/>
  <c r="J761" i="5"/>
  <c r="D761" i="5"/>
  <c r="O760" i="5"/>
  <c r="J760" i="5"/>
  <c r="D760" i="5"/>
  <c r="O759" i="5"/>
  <c r="J759" i="5"/>
  <c r="D759" i="5"/>
  <c r="O758" i="5"/>
  <c r="J758" i="5"/>
  <c r="D758" i="5"/>
  <c r="O757" i="5"/>
  <c r="J757" i="5"/>
  <c r="D757" i="5"/>
  <c r="O756" i="5"/>
  <c r="J756" i="5"/>
  <c r="D756" i="5"/>
  <c r="O755" i="5"/>
  <c r="J755" i="5"/>
  <c r="D755" i="5"/>
  <c r="O754" i="5"/>
  <c r="J754" i="5"/>
  <c r="D754" i="5"/>
  <c r="O753" i="5"/>
  <c r="J753" i="5"/>
  <c r="D753" i="5"/>
  <c r="O752" i="5"/>
  <c r="J752" i="5"/>
  <c r="D752" i="5"/>
  <c r="O751" i="5"/>
  <c r="J751" i="5"/>
  <c r="D751" i="5"/>
  <c r="O750" i="5"/>
  <c r="J750" i="5"/>
  <c r="D750" i="5"/>
  <c r="O749" i="5"/>
  <c r="J749" i="5"/>
  <c r="D749" i="5"/>
  <c r="O748" i="5"/>
  <c r="J748" i="5"/>
  <c r="D748" i="5"/>
  <c r="O747" i="5"/>
  <c r="J747" i="5"/>
  <c r="D747" i="5"/>
  <c r="O746" i="5"/>
  <c r="J746" i="5"/>
  <c r="D746" i="5"/>
  <c r="O745" i="5"/>
  <c r="J745" i="5"/>
  <c r="D745" i="5"/>
  <c r="O744" i="5"/>
  <c r="J744" i="5"/>
  <c r="D744" i="5"/>
  <c r="O743" i="5"/>
  <c r="J743" i="5"/>
  <c r="D743" i="5"/>
  <c r="O742" i="5"/>
  <c r="J742" i="5"/>
  <c r="D742" i="5"/>
  <c r="O741" i="5"/>
  <c r="J741" i="5"/>
  <c r="D741" i="5"/>
  <c r="O740" i="5"/>
  <c r="J740" i="5"/>
  <c r="D740" i="5"/>
  <c r="O739" i="5"/>
  <c r="J739" i="5"/>
  <c r="D739" i="5"/>
  <c r="O738" i="5"/>
  <c r="J738" i="5"/>
  <c r="D738" i="5"/>
  <c r="O737" i="5"/>
  <c r="J737" i="5"/>
  <c r="D737" i="5"/>
  <c r="O736" i="5"/>
  <c r="J736" i="5"/>
  <c r="D736" i="5"/>
  <c r="O735" i="5"/>
  <c r="J735" i="5"/>
  <c r="D735" i="5"/>
  <c r="O734" i="5"/>
  <c r="J734" i="5"/>
  <c r="D734" i="5"/>
  <c r="O733" i="5"/>
  <c r="J733" i="5"/>
  <c r="D733" i="5"/>
  <c r="O732" i="5"/>
  <c r="J732" i="5"/>
  <c r="D732" i="5"/>
  <c r="O731" i="5"/>
  <c r="J731" i="5"/>
  <c r="D731" i="5"/>
  <c r="O730" i="5"/>
  <c r="J730" i="5"/>
  <c r="D730" i="5"/>
  <c r="O729" i="5"/>
  <c r="J729" i="5"/>
  <c r="D729" i="5"/>
  <c r="O728" i="5"/>
  <c r="J728" i="5"/>
  <c r="D728" i="5"/>
  <c r="O727" i="5"/>
  <c r="J727" i="5"/>
  <c r="D727" i="5"/>
  <c r="O726" i="5"/>
  <c r="J726" i="5"/>
  <c r="D726" i="5"/>
  <c r="O725" i="5"/>
  <c r="J725" i="5"/>
  <c r="D725" i="5"/>
  <c r="O724" i="5"/>
  <c r="J724" i="5"/>
  <c r="D724" i="5"/>
  <c r="O723" i="5"/>
  <c r="J723" i="5"/>
  <c r="D723" i="5"/>
  <c r="O722" i="5"/>
  <c r="J722" i="5"/>
  <c r="D722" i="5"/>
  <c r="O721" i="5"/>
  <c r="J721" i="5"/>
  <c r="D721" i="5"/>
  <c r="O720" i="5"/>
  <c r="J720" i="5"/>
  <c r="D720" i="5"/>
  <c r="O719" i="5"/>
  <c r="J719" i="5"/>
  <c r="D719" i="5"/>
  <c r="O718" i="5"/>
  <c r="J718" i="5"/>
  <c r="D718" i="5"/>
  <c r="O717" i="5"/>
  <c r="J717" i="5"/>
  <c r="D717" i="5"/>
  <c r="O716" i="5"/>
  <c r="J716" i="5"/>
  <c r="D716" i="5"/>
  <c r="O715" i="5"/>
  <c r="J715" i="5"/>
  <c r="D715" i="5"/>
  <c r="O714" i="5"/>
  <c r="J714" i="5"/>
  <c r="D714" i="5"/>
  <c r="O713" i="5"/>
  <c r="J713" i="5"/>
  <c r="D713" i="5"/>
  <c r="O712" i="5"/>
  <c r="J712" i="5"/>
  <c r="D712" i="5"/>
  <c r="O711" i="5"/>
  <c r="J711" i="5"/>
  <c r="D711" i="5"/>
  <c r="O710" i="5"/>
  <c r="J710" i="5"/>
  <c r="D710" i="5"/>
  <c r="O709" i="5"/>
  <c r="J709" i="5"/>
  <c r="D709" i="5"/>
  <c r="O708" i="5"/>
  <c r="J708" i="5"/>
  <c r="D708" i="5"/>
  <c r="O707" i="5"/>
  <c r="J707" i="5"/>
  <c r="D707" i="5"/>
  <c r="O706" i="5"/>
  <c r="J706" i="5"/>
  <c r="D706" i="5"/>
  <c r="O705" i="5"/>
  <c r="J705" i="5"/>
  <c r="D705" i="5"/>
  <c r="O704" i="5"/>
  <c r="J704" i="5"/>
  <c r="D704" i="5"/>
  <c r="O703" i="5"/>
  <c r="J703" i="5"/>
  <c r="D703" i="5"/>
  <c r="O702" i="5"/>
  <c r="J702" i="5"/>
  <c r="D702" i="5"/>
  <c r="O701" i="5"/>
  <c r="J701" i="5"/>
  <c r="D701" i="5"/>
  <c r="O700" i="5"/>
  <c r="J700" i="5"/>
  <c r="D700" i="5"/>
  <c r="O699" i="5"/>
  <c r="J699" i="5"/>
  <c r="D699" i="5"/>
  <c r="O698" i="5"/>
  <c r="J698" i="5"/>
  <c r="D698" i="5"/>
  <c r="O697" i="5"/>
  <c r="J697" i="5"/>
  <c r="D697" i="5"/>
  <c r="O696" i="5"/>
  <c r="J696" i="5"/>
  <c r="D696" i="5"/>
  <c r="O695" i="5"/>
  <c r="J695" i="5"/>
  <c r="D695" i="5"/>
  <c r="O694" i="5"/>
  <c r="J694" i="5"/>
  <c r="D694" i="5"/>
  <c r="O693" i="5"/>
  <c r="J693" i="5"/>
  <c r="D693" i="5"/>
  <c r="O692" i="5"/>
  <c r="J692" i="5"/>
  <c r="D692" i="5"/>
  <c r="O691" i="5"/>
  <c r="J691" i="5"/>
  <c r="D691" i="5"/>
  <c r="O690" i="5"/>
  <c r="J690" i="5"/>
  <c r="D690" i="5"/>
  <c r="O689" i="5"/>
  <c r="J689" i="5"/>
  <c r="D689" i="5"/>
  <c r="O688" i="5"/>
  <c r="J688" i="5"/>
  <c r="D688" i="5"/>
  <c r="O687" i="5"/>
  <c r="J687" i="5"/>
  <c r="D687" i="5"/>
  <c r="O686" i="5"/>
  <c r="J686" i="5"/>
  <c r="D686" i="5"/>
  <c r="O685" i="5"/>
  <c r="J685" i="5"/>
  <c r="D685" i="5"/>
  <c r="O684" i="5"/>
  <c r="J684" i="5"/>
  <c r="D684" i="5"/>
  <c r="O683" i="5"/>
  <c r="J683" i="5"/>
  <c r="D683" i="5"/>
  <c r="O682" i="5"/>
  <c r="J682" i="5"/>
  <c r="D682" i="5"/>
  <c r="O681" i="5"/>
  <c r="J681" i="5"/>
  <c r="D681" i="5"/>
  <c r="O680" i="5"/>
  <c r="J680" i="5"/>
  <c r="D680" i="5"/>
  <c r="O679" i="5"/>
  <c r="J679" i="5"/>
  <c r="D679" i="5"/>
  <c r="O678" i="5"/>
  <c r="J678" i="5"/>
  <c r="D678" i="5"/>
  <c r="O677" i="5"/>
  <c r="J677" i="5"/>
  <c r="D677" i="5"/>
  <c r="O676" i="5"/>
  <c r="J676" i="5"/>
  <c r="D676" i="5"/>
  <c r="O675" i="5"/>
  <c r="J675" i="5"/>
  <c r="D675" i="5"/>
  <c r="O674" i="5"/>
  <c r="J674" i="5"/>
  <c r="D674" i="5"/>
  <c r="O673" i="5"/>
  <c r="J673" i="5"/>
  <c r="D673" i="5"/>
  <c r="O672" i="5"/>
  <c r="J672" i="5"/>
  <c r="D672" i="5"/>
  <c r="O671" i="5"/>
  <c r="J671" i="5"/>
  <c r="D671" i="5"/>
  <c r="O670" i="5"/>
  <c r="J670" i="5"/>
  <c r="D670" i="5"/>
  <c r="O669" i="5"/>
  <c r="J669" i="5"/>
  <c r="D669" i="5"/>
  <c r="O668" i="5"/>
  <c r="J668" i="5"/>
  <c r="D668" i="5"/>
  <c r="O667" i="5"/>
  <c r="J667" i="5"/>
  <c r="D667" i="5"/>
  <c r="O666" i="5"/>
  <c r="J666" i="5"/>
  <c r="D666" i="5"/>
  <c r="O665" i="5"/>
  <c r="J665" i="5"/>
  <c r="D665" i="5"/>
  <c r="O664" i="5"/>
  <c r="J664" i="5"/>
  <c r="D664" i="5"/>
  <c r="O663" i="5"/>
  <c r="J663" i="5"/>
  <c r="D663" i="5"/>
  <c r="O662" i="5"/>
  <c r="J662" i="5"/>
  <c r="D662" i="5"/>
  <c r="O661" i="5"/>
  <c r="J661" i="5"/>
  <c r="D661" i="5"/>
  <c r="O660" i="5"/>
  <c r="J660" i="5"/>
  <c r="D660" i="5"/>
  <c r="O659" i="5"/>
  <c r="J659" i="5"/>
  <c r="D659" i="5"/>
  <c r="O658" i="5"/>
  <c r="J658" i="5"/>
  <c r="D658" i="5"/>
  <c r="O657" i="5"/>
  <c r="J657" i="5"/>
  <c r="D657" i="5"/>
  <c r="O656" i="5"/>
  <c r="J656" i="5"/>
  <c r="D656" i="5"/>
  <c r="O655" i="5"/>
  <c r="J655" i="5"/>
  <c r="D655" i="5"/>
  <c r="O654" i="5"/>
  <c r="J654" i="5"/>
  <c r="D654" i="5"/>
  <c r="O653" i="5"/>
  <c r="J653" i="5"/>
  <c r="D653" i="5"/>
  <c r="O652" i="5"/>
  <c r="J652" i="5"/>
  <c r="D652" i="5"/>
  <c r="O651" i="5"/>
  <c r="J651" i="5"/>
  <c r="D651" i="5"/>
  <c r="O650" i="5"/>
  <c r="J650" i="5"/>
  <c r="D650" i="5"/>
  <c r="O649" i="5"/>
  <c r="J649" i="5"/>
  <c r="D649" i="5"/>
  <c r="O648" i="5"/>
  <c r="J648" i="5"/>
  <c r="D648" i="5"/>
  <c r="O647" i="5"/>
  <c r="J647" i="5"/>
  <c r="D647" i="5"/>
  <c r="O646" i="5"/>
  <c r="J646" i="5"/>
  <c r="D646" i="5"/>
  <c r="O645" i="5"/>
  <c r="J645" i="5"/>
  <c r="D645" i="5"/>
  <c r="O644" i="5"/>
  <c r="J644" i="5"/>
  <c r="D644" i="5"/>
  <c r="O643" i="5"/>
  <c r="J643" i="5"/>
  <c r="D643" i="5"/>
  <c r="O642" i="5"/>
  <c r="J642" i="5"/>
  <c r="D642" i="5"/>
  <c r="O641" i="5"/>
  <c r="J641" i="5"/>
  <c r="D641" i="5"/>
  <c r="O640" i="5"/>
  <c r="J640" i="5"/>
  <c r="D640" i="5"/>
  <c r="O639" i="5"/>
  <c r="J639" i="5"/>
  <c r="D639" i="5"/>
  <c r="O638" i="5"/>
  <c r="J638" i="5"/>
  <c r="D638" i="5"/>
  <c r="O637" i="5"/>
  <c r="J637" i="5"/>
  <c r="D637" i="5"/>
  <c r="O636" i="5"/>
  <c r="J636" i="5"/>
  <c r="D636" i="5"/>
  <c r="O635" i="5"/>
  <c r="J635" i="5"/>
  <c r="D635" i="5"/>
  <c r="O634" i="5"/>
  <c r="J634" i="5"/>
  <c r="D634" i="5"/>
  <c r="O633" i="5"/>
  <c r="J633" i="5"/>
  <c r="D633" i="5"/>
  <c r="O632" i="5"/>
  <c r="J632" i="5"/>
  <c r="D632" i="5"/>
  <c r="O631" i="5"/>
  <c r="J631" i="5"/>
  <c r="D631" i="5"/>
  <c r="O630" i="5"/>
  <c r="J630" i="5"/>
  <c r="D630" i="5"/>
  <c r="O629" i="5"/>
  <c r="J629" i="5"/>
  <c r="D629" i="5"/>
  <c r="O628" i="5"/>
  <c r="J628" i="5"/>
  <c r="D628" i="5"/>
  <c r="O627" i="5"/>
  <c r="J627" i="5"/>
  <c r="D627" i="5"/>
  <c r="O626" i="5"/>
  <c r="J626" i="5"/>
  <c r="D626" i="5"/>
  <c r="O625" i="5"/>
  <c r="J625" i="5"/>
  <c r="D625" i="5"/>
  <c r="O624" i="5"/>
  <c r="J624" i="5"/>
  <c r="D624" i="5"/>
  <c r="O623" i="5"/>
  <c r="J623" i="5"/>
  <c r="D623" i="5"/>
  <c r="O622" i="5"/>
  <c r="J622" i="5"/>
  <c r="D622" i="5"/>
  <c r="O621" i="5"/>
  <c r="J621" i="5"/>
  <c r="D621" i="5"/>
  <c r="O620" i="5"/>
  <c r="J620" i="5"/>
  <c r="D620" i="5"/>
  <c r="O619" i="5"/>
  <c r="J619" i="5"/>
  <c r="D619" i="5"/>
  <c r="O618" i="5"/>
  <c r="J618" i="5"/>
  <c r="D618" i="5"/>
  <c r="O617" i="5"/>
  <c r="J617" i="5"/>
  <c r="D617" i="5"/>
  <c r="O616" i="5"/>
  <c r="J616" i="5"/>
  <c r="D616" i="5"/>
  <c r="O615" i="5"/>
  <c r="J615" i="5"/>
  <c r="D615" i="5"/>
  <c r="O614" i="5"/>
  <c r="J614" i="5"/>
  <c r="D614" i="5"/>
  <c r="O613" i="5"/>
  <c r="J613" i="5"/>
  <c r="D613" i="5"/>
  <c r="O612" i="5"/>
  <c r="J612" i="5"/>
  <c r="D612" i="5"/>
  <c r="O611" i="5"/>
  <c r="J611" i="5"/>
  <c r="D611" i="5"/>
  <c r="O610" i="5"/>
  <c r="J610" i="5"/>
  <c r="D610" i="5"/>
  <c r="O609" i="5"/>
  <c r="J609" i="5"/>
  <c r="D609" i="5"/>
  <c r="O608" i="5"/>
  <c r="J608" i="5"/>
  <c r="D608" i="5"/>
  <c r="O607" i="5"/>
  <c r="J607" i="5"/>
  <c r="D607" i="5"/>
  <c r="O606" i="5"/>
  <c r="J606" i="5"/>
  <c r="D606" i="5"/>
  <c r="O605" i="5"/>
  <c r="J605" i="5"/>
  <c r="D605" i="5"/>
  <c r="O604" i="5"/>
  <c r="J604" i="5"/>
  <c r="D604" i="5"/>
  <c r="O603" i="5"/>
  <c r="J603" i="5"/>
  <c r="D603" i="5"/>
  <c r="O602" i="5"/>
  <c r="J602" i="5"/>
  <c r="D602" i="5"/>
  <c r="O601" i="5"/>
  <c r="J601" i="5"/>
  <c r="D601" i="5"/>
  <c r="O600" i="5"/>
  <c r="J600" i="5"/>
  <c r="D600" i="5"/>
  <c r="O599" i="5"/>
  <c r="J599" i="5"/>
  <c r="D599" i="5"/>
  <c r="O598" i="5"/>
  <c r="J598" i="5"/>
  <c r="D598" i="5"/>
  <c r="O597" i="5"/>
  <c r="J597" i="5"/>
  <c r="D597" i="5"/>
  <c r="O596" i="5"/>
  <c r="J596" i="5"/>
  <c r="D596" i="5"/>
  <c r="O595" i="5"/>
  <c r="J595" i="5"/>
  <c r="D595" i="5"/>
  <c r="O594" i="5"/>
  <c r="J594" i="5"/>
  <c r="D594" i="5"/>
  <c r="O593" i="5"/>
  <c r="J593" i="5"/>
  <c r="D593" i="5"/>
  <c r="O592" i="5"/>
  <c r="J592" i="5"/>
  <c r="D592" i="5"/>
  <c r="O591" i="5"/>
  <c r="J591" i="5"/>
  <c r="D591" i="5"/>
  <c r="O590" i="5"/>
  <c r="J590" i="5"/>
  <c r="D590" i="5"/>
  <c r="O589" i="5"/>
  <c r="J589" i="5"/>
  <c r="D589" i="5"/>
  <c r="O588" i="5"/>
  <c r="J588" i="5"/>
  <c r="D588" i="5"/>
  <c r="O587" i="5"/>
  <c r="J587" i="5"/>
  <c r="D587" i="5"/>
  <c r="O586" i="5"/>
  <c r="J586" i="5"/>
  <c r="D586" i="5"/>
  <c r="O585" i="5"/>
  <c r="J585" i="5"/>
  <c r="D585" i="5"/>
  <c r="O584" i="5"/>
  <c r="J584" i="5"/>
  <c r="D584" i="5"/>
  <c r="O583" i="5"/>
  <c r="J583" i="5"/>
  <c r="D583" i="5"/>
  <c r="O582" i="5"/>
  <c r="J582" i="5"/>
  <c r="D582" i="5"/>
  <c r="O581" i="5"/>
  <c r="J581" i="5"/>
  <c r="D581" i="5"/>
  <c r="O580" i="5"/>
  <c r="J580" i="5"/>
  <c r="D580" i="5"/>
  <c r="O579" i="5"/>
  <c r="J579" i="5"/>
  <c r="D579" i="5"/>
  <c r="O578" i="5"/>
  <c r="J578" i="5"/>
  <c r="D578" i="5"/>
  <c r="O577" i="5"/>
  <c r="J577" i="5"/>
  <c r="D577" i="5"/>
  <c r="O576" i="5"/>
  <c r="J576" i="5"/>
  <c r="D576" i="5"/>
  <c r="O575" i="5"/>
  <c r="J575" i="5"/>
  <c r="D575" i="5"/>
  <c r="O574" i="5"/>
  <c r="J574" i="5"/>
  <c r="D574" i="5"/>
  <c r="O573" i="5"/>
  <c r="J573" i="5"/>
  <c r="D573" i="5"/>
  <c r="O572" i="5"/>
  <c r="J572" i="5"/>
  <c r="D572" i="5"/>
  <c r="O571" i="5"/>
  <c r="J571" i="5"/>
  <c r="D571" i="5"/>
  <c r="O570" i="5"/>
  <c r="J570" i="5"/>
  <c r="D570" i="5"/>
  <c r="O569" i="5"/>
  <c r="J569" i="5"/>
  <c r="D569" i="5"/>
  <c r="O568" i="5"/>
  <c r="J568" i="5"/>
  <c r="D568" i="5"/>
  <c r="O567" i="5"/>
  <c r="J567" i="5"/>
  <c r="D567" i="5"/>
  <c r="O566" i="5"/>
  <c r="J566" i="5"/>
  <c r="D566" i="5"/>
  <c r="O565" i="5"/>
  <c r="J565" i="5"/>
  <c r="D565" i="5"/>
  <c r="O564" i="5"/>
  <c r="J564" i="5"/>
  <c r="D564" i="5"/>
  <c r="O563" i="5"/>
  <c r="J563" i="5"/>
  <c r="D563" i="5"/>
  <c r="O562" i="5"/>
  <c r="J562" i="5"/>
  <c r="D562" i="5"/>
  <c r="O561" i="5"/>
  <c r="J561" i="5"/>
  <c r="D561" i="5"/>
  <c r="O560" i="5"/>
  <c r="J560" i="5"/>
  <c r="D560" i="5"/>
  <c r="O559" i="5"/>
  <c r="J559" i="5"/>
  <c r="D559" i="5"/>
  <c r="O558" i="5"/>
  <c r="J558" i="5"/>
  <c r="D558" i="5"/>
  <c r="O557" i="5"/>
  <c r="J557" i="5"/>
  <c r="D557" i="5"/>
  <c r="O556" i="5"/>
  <c r="J556" i="5"/>
  <c r="D556" i="5"/>
  <c r="O555" i="5"/>
  <c r="J555" i="5"/>
  <c r="D555" i="5"/>
  <c r="O554" i="5"/>
  <c r="J554" i="5"/>
  <c r="D554" i="5"/>
  <c r="O553" i="5"/>
  <c r="J553" i="5"/>
  <c r="D553" i="5"/>
  <c r="O552" i="5"/>
  <c r="J552" i="5"/>
  <c r="D552" i="5"/>
  <c r="O551" i="5"/>
  <c r="J551" i="5"/>
  <c r="D551" i="5"/>
  <c r="O550" i="5"/>
  <c r="J550" i="5"/>
  <c r="D550" i="5"/>
  <c r="O549" i="5"/>
  <c r="J549" i="5"/>
  <c r="D549" i="5"/>
  <c r="O548" i="5"/>
  <c r="J548" i="5"/>
  <c r="D548" i="5"/>
  <c r="O547" i="5"/>
  <c r="J547" i="5"/>
  <c r="D547" i="5"/>
  <c r="O546" i="5"/>
  <c r="J546" i="5"/>
  <c r="D546" i="5"/>
  <c r="O545" i="5"/>
  <c r="J545" i="5"/>
  <c r="D545" i="5"/>
  <c r="O544" i="5"/>
  <c r="J544" i="5"/>
  <c r="D544" i="5"/>
  <c r="O543" i="5"/>
  <c r="J543" i="5"/>
  <c r="D543" i="5"/>
  <c r="O542" i="5"/>
  <c r="J542" i="5"/>
  <c r="D542" i="5"/>
  <c r="O541" i="5"/>
  <c r="J541" i="5"/>
  <c r="D541" i="5"/>
  <c r="O540" i="5"/>
  <c r="J540" i="5"/>
  <c r="D540" i="5"/>
  <c r="O539" i="5"/>
  <c r="J539" i="5"/>
  <c r="D539" i="5"/>
  <c r="O538" i="5"/>
  <c r="J538" i="5"/>
  <c r="D538" i="5"/>
  <c r="O537" i="5"/>
  <c r="J537" i="5"/>
  <c r="D537" i="5"/>
  <c r="O536" i="5"/>
  <c r="J536" i="5"/>
  <c r="D536" i="5"/>
  <c r="O535" i="5"/>
  <c r="J535" i="5"/>
  <c r="D535" i="5"/>
  <c r="O534" i="5"/>
  <c r="J534" i="5"/>
  <c r="D534" i="5"/>
  <c r="O533" i="5"/>
  <c r="J533" i="5"/>
  <c r="D533" i="5"/>
  <c r="O532" i="5"/>
  <c r="J532" i="5"/>
  <c r="D532" i="5"/>
  <c r="O531" i="5"/>
  <c r="J531" i="5"/>
  <c r="D531" i="5"/>
  <c r="O530" i="5"/>
  <c r="J530" i="5"/>
  <c r="D530" i="5"/>
  <c r="O529" i="5"/>
  <c r="J529" i="5"/>
  <c r="D529" i="5"/>
  <c r="O528" i="5"/>
  <c r="J528" i="5"/>
  <c r="D528" i="5"/>
  <c r="O527" i="5"/>
  <c r="J527" i="5"/>
  <c r="D527" i="5"/>
  <c r="O526" i="5"/>
  <c r="J526" i="5"/>
  <c r="D526" i="5"/>
  <c r="O525" i="5"/>
  <c r="J525" i="5"/>
  <c r="D525" i="5"/>
  <c r="O524" i="5"/>
  <c r="J524" i="5"/>
  <c r="D524" i="5"/>
  <c r="O523" i="5"/>
  <c r="J523" i="5"/>
  <c r="D523" i="5"/>
  <c r="O522" i="5"/>
  <c r="J522" i="5"/>
  <c r="D522" i="5"/>
  <c r="O521" i="5"/>
  <c r="J521" i="5"/>
  <c r="D521" i="5"/>
  <c r="O520" i="5"/>
  <c r="J520" i="5"/>
  <c r="D520" i="5"/>
  <c r="O519" i="5"/>
  <c r="J519" i="5"/>
  <c r="D519" i="5"/>
  <c r="O518" i="5"/>
  <c r="J518" i="5"/>
  <c r="D518" i="5"/>
  <c r="O517" i="5"/>
  <c r="J517" i="5"/>
  <c r="D517" i="5"/>
  <c r="O516" i="5"/>
  <c r="J516" i="5"/>
  <c r="D516" i="5"/>
  <c r="O515" i="5"/>
  <c r="J515" i="5"/>
  <c r="D515" i="5"/>
  <c r="O514" i="5"/>
  <c r="J514" i="5"/>
  <c r="D514" i="5"/>
  <c r="O513" i="5"/>
  <c r="J513" i="5"/>
  <c r="D513" i="5"/>
  <c r="O512" i="5"/>
  <c r="J512" i="5"/>
  <c r="D512" i="5"/>
  <c r="O511" i="5"/>
  <c r="J511" i="5"/>
  <c r="D511" i="5"/>
  <c r="O510" i="5"/>
  <c r="J510" i="5"/>
  <c r="D510" i="5"/>
  <c r="O509" i="5"/>
  <c r="J509" i="5"/>
  <c r="D509" i="5"/>
  <c r="O508" i="5"/>
  <c r="J508" i="5"/>
  <c r="D508" i="5"/>
  <c r="O507" i="5"/>
  <c r="J507" i="5"/>
  <c r="D507" i="5"/>
  <c r="O506" i="5"/>
  <c r="J506" i="5"/>
  <c r="D506" i="5"/>
  <c r="O505" i="5"/>
  <c r="J505" i="5"/>
  <c r="D505" i="5"/>
  <c r="O504" i="5"/>
  <c r="J504" i="5"/>
  <c r="D504" i="5"/>
  <c r="O503" i="5"/>
  <c r="J503" i="5"/>
  <c r="D503" i="5"/>
  <c r="O502" i="5"/>
  <c r="J502" i="5"/>
  <c r="D502" i="5"/>
  <c r="O501" i="5"/>
  <c r="J501" i="5"/>
  <c r="D501" i="5"/>
  <c r="O500" i="5"/>
  <c r="J500" i="5"/>
  <c r="D500" i="5"/>
  <c r="O499" i="5"/>
  <c r="J499" i="5"/>
  <c r="D499" i="5"/>
  <c r="O498" i="5"/>
  <c r="J498" i="5"/>
  <c r="D498" i="5"/>
  <c r="O497" i="5"/>
  <c r="J497" i="5"/>
  <c r="D497" i="5"/>
  <c r="O496" i="5"/>
  <c r="J496" i="5"/>
  <c r="D496" i="5"/>
  <c r="O495" i="5"/>
  <c r="J495" i="5"/>
  <c r="D495" i="5"/>
  <c r="O494" i="5"/>
  <c r="J494" i="5"/>
  <c r="D494" i="5"/>
  <c r="O493" i="5"/>
  <c r="J493" i="5"/>
  <c r="D493" i="5"/>
  <c r="O492" i="5"/>
  <c r="J492" i="5"/>
  <c r="D492" i="5"/>
  <c r="O491" i="5"/>
  <c r="J491" i="5"/>
  <c r="D491" i="5"/>
  <c r="O490" i="5"/>
  <c r="J490" i="5"/>
  <c r="D490" i="5"/>
  <c r="O489" i="5"/>
  <c r="J489" i="5"/>
  <c r="D489" i="5"/>
  <c r="O488" i="5"/>
  <c r="J488" i="5"/>
  <c r="D488" i="5"/>
  <c r="O487" i="5"/>
  <c r="J487" i="5"/>
  <c r="D487" i="5"/>
  <c r="O486" i="5"/>
  <c r="J486" i="5"/>
  <c r="D486" i="5"/>
  <c r="O485" i="5"/>
  <c r="J485" i="5"/>
  <c r="D485" i="5"/>
  <c r="O484" i="5"/>
  <c r="J484" i="5"/>
  <c r="D484" i="5"/>
  <c r="O483" i="5"/>
  <c r="J483" i="5"/>
  <c r="D483" i="5"/>
  <c r="O482" i="5"/>
  <c r="J482" i="5"/>
  <c r="D482" i="5"/>
  <c r="O481" i="5"/>
  <c r="J481" i="5"/>
  <c r="D481" i="5"/>
  <c r="O480" i="5"/>
  <c r="J480" i="5"/>
  <c r="D480" i="5"/>
  <c r="O479" i="5"/>
  <c r="J479" i="5"/>
  <c r="D479" i="5"/>
  <c r="O478" i="5"/>
  <c r="J478" i="5"/>
  <c r="D478" i="5"/>
  <c r="O477" i="5"/>
  <c r="J477" i="5"/>
  <c r="D477" i="5"/>
  <c r="O476" i="5"/>
  <c r="J476" i="5"/>
  <c r="D476" i="5"/>
  <c r="O475" i="5"/>
  <c r="J475" i="5"/>
  <c r="D475" i="5"/>
  <c r="O474" i="5"/>
  <c r="J474" i="5"/>
  <c r="D474" i="5"/>
  <c r="O473" i="5"/>
  <c r="J473" i="5"/>
  <c r="D473" i="5"/>
  <c r="O472" i="5"/>
  <c r="J472" i="5"/>
  <c r="D472" i="5"/>
  <c r="O471" i="5"/>
  <c r="J471" i="5"/>
  <c r="D471" i="5"/>
  <c r="O470" i="5"/>
  <c r="J470" i="5"/>
  <c r="D470" i="5"/>
  <c r="O469" i="5"/>
  <c r="J469" i="5"/>
  <c r="D469" i="5"/>
  <c r="O468" i="5"/>
  <c r="J468" i="5"/>
  <c r="D468" i="5"/>
  <c r="O467" i="5"/>
  <c r="J467" i="5"/>
  <c r="D467" i="5"/>
  <c r="O466" i="5"/>
  <c r="J466" i="5"/>
  <c r="D466" i="5"/>
  <c r="O465" i="5"/>
  <c r="J465" i="5"/>
  <c r="D465" i="5"/>
  <c r="O464" i="5"/>
  <c r="J464" i="5"/>
  <c r="D464" i="5"/>
  <c r="O463" i="5"/>
  <c r="J463" i="5"/>
  <c r="D463" i="5"/>
  <c r="O462" i="5"/>
  <c r="J462" i="5"/>
  <c r="D462" i="5"/>
  <c r="O461" i="5"/>
  <c r="J461" i="5"/>
  <c r="D461" i="5"/>
  <c r="O460" i="5"/>
  <c r="J460" i="5"/>
  <c r="D460" i="5"/>
  <c r="O459" i="5"/>
  <c r="J459" i="5"/>
  <c r="D459" i="5"/>
  <c r="O458" i="5"/>
  <c r="J458" i="5"/>
  <c r="D458" i="5"/>
  <c r="O457" i="5"/>
  <c r="J457" i="5"/>
  <c r="D457" i="5"/>
  <c r="O456" i="5"/>
  <c r="J456" i="5"/>
  <c r="D456" i="5"/>
  <c r="O455" i="5"/>
  <c r="J455" i="5"/>
  <c r="D455" i="5"/>
  <c r="O454" i="5"/>
  <c r="J454" i="5"/>
  <c r="D454" i="5"/>
  <c r="O453" i="5"/>
  <c r="J453" i="5"/>
  <c r="D453" i="5"/>
  <c r="O452" i="5"/>
  <c r="J452" i="5"/>
  <c r="D452" i="5"/>
  <c r="O451" i="5"/>
  <c r="J451" i="5"/>
  <c r="D451" i="5"/>
  <c r="O450" i="5"/>
  <c r="J450" i="5"/>
  <c r="D450" i="5"/>
  <c r="O449" i="5"/>
  <c r="J449" i="5"/>
  <c r="D449" i="5"/>
  <c r="O448" i="5"/>
  <c r="J448" i="5"/>
  <c r="D448" i="5"/>
  <c r="O447" i="5"/>
  <c r="J447" i="5"/>
  <c r="D447" i="5"/>
  <c r="O446" i="5"/>
  <c r="J446" i="5"/>
  <c r="D446" i="5"/>
  <c r="O445" i="5"/>
  <c r="J445" i="5"/>
  <c r="D445" i="5"/>
  <c r="O444" i="5"/>
  <c r="J444" i="5"/>
  <c r="D444" i="5"/>
  <c r="O443" i="5"/>
  <c r="J443" i="5"/>
  <c r="D443" i="5"/>
  <c r="O442" i="5"/>
  <c r="J442" i="5"/>
  <c r="D442" i="5"/>
  <c r="O441" i="5"/>
  <c r="J441" i="5"/>
  <c r="D441" i="5"/>
  <c r="O440" i="5"/>
  <c r="J440" i="5"/>
  <c r="D440" i="5"/>
  <c r="O439" i="5"/>
  <c r="J439" i="5"/>
  <c r="D439" i="5"/>
  <c r="O438" i="5"/>
  <c r="J438" i="5"/>
  <c r="D438" i="5"/>
  <c r="O437" i="5"/>
  <c r="J437" i="5"/>
  <c r="D437" i="5"/>
  <c r="O436" i="5"/>
  <c r="J436" i="5"/>
  <c r="D436" i="5"/>
  <c r="O435" i="5"/>
  <c r="J435" i="5"/>
  <c r="D435" i="5"/>
  <c r="O434" i="5"/>
  <c r="J434" i="5"/>
  <c r="D434" i="5"/>
  <c r="O433" i="5"/>
  <c r="J433" i="5"/>
  <c r="D433" i="5"/>
  <c r="O432" i="5"/>
  <c r="J432" i="5"/>
  <c r="D432" i="5"/>
  <c r="O431" i="5"/>
  <c r="J431" i="5"/>
  <c r="D431" i="5"/>
  <c r="O430" i="5"/>
  <c r="J430" i="5"/>
  <c r="D430" i="5"/>
  <c r="O429" i="5"/>
  <c r="J429" i="5"/>
  <c r="D429" i="5"/>
  <c r="O428" i="5"/>
  <c r="J428" i="5"/>
  <c r="D428" i="5"/>
  <c r="O427" i="5"/>
  <c r="J427" i="5"/>
  <c r="D427" i="5"/>
  <c r="O426" i="5"/>
  <c r="J426" i="5"/>
  <c r="D426" i="5"/>
  <c r="O425" i="5"/>
  <c r="J425" i="5"/>
  <c r="D425" i="5"/>
  <c r="O424" i="5"/>
  <c r="J424" i="5"/>
  <c r="D424" i="5"/>
  <c r="O423" i="5"/>
  <c r="J423" i="5"/>
  <c r="D423" i="5"/>
  <c r="O422" i="5"/>
  <c r="J422" i="5"/>
  <c r="D422" i="5"/>
  <c r="O421" i="5"/>
  <c r="J421" i="5"/>
  <c r="D421" i="5"/>
  <c r="O420" i="5"/>
  <c r="J420" i="5"/>
  <c r="D420" i="5"/>
  <c r="O419" i="5"/>
  <c r="J419" i="5"/>
  <c r="D419" i="5"/>
  <c r="O418" i="5"/>
  <c r="J418" i="5"/>
  <c r="D418" i="5"/>
  <c r="O417" i="5"/>
  <c r="J417" i="5"/>
  <c r="D417" i="5"/>
  <c r="O416" i="5"/>
  <c r="J416" i="5"/>
  <c r="D416" i="5"/>
  <c r="O415" i="5"/>
  <c r="J415" i="5"/>
  <c r="D415" i="5"/>
  <c r="O414" i="5"/>
  <c r="J414" i="5"/>
  <c r="D414" i="5"/>
  <c r="O413" i="5"/>
  <c r="J413" i="5"/>
  <c r="D413" i="5"/>
  <c r="O412" i="5"/>
  <c r="J412" i="5"/>
  <c r="D412" i="5"/>
  <c r="O411" i="5"/>
  <c r="J411" i="5"/>
  <c r="D411" i="5"/>
  <c r="O410" i="5"/>
  <c r="J410" i="5"/>
  <c r="D410" i="5"/>
  <c r="O409" i="5"/>
  <c r="J409" i="5"/>
  <c r="D409" i="5"/>
  <c r="O408" i="5"/>
  <c r="J408" i="5"/>
  <c r="D408" i="5"/>
  <c r="O407" i="5"/>
  <c r="J407" i="5"/>
  <c r="D407" i="5"/>
  <c r="O406" i="5"/>
  <c r="J406" i="5"/>
  <c r="D406" i="5"/>
  <c r="O405" i="5"/>
  <c r="J405" i="5"/>
  <c r="D405" i="5"/>
  <c r="O404" i="5"/>
  <c r="J404" i="5"/>
  <c r="D404" i="5"/>
  <c r="O403" i="5"/>
  <c r="J403" i="5"/>
  <c r="D403" i="5"/>
  <c r="O402" i="5"/>
  <c r="J402" i="5"/>
  <c r="D402" i="5"/>
  <c r="O401" i="5"/>
  <c r="J401" i="5"/>
  <c r="D401" i="5"/>
  <c r="O400" i="5"/>
  <c r="J400" i="5"/>
  <c r="D400" i="5"/>
  <c r="O399" i="5"/>
  <c r="J399" i="5"/>
  <c r="D399" i="5"/>
  <c r="O398" i="5"/>
  <c r="J398" i="5"/>
  <c r="D398" i="5"/>
  <c r="O397" i="5"/>
  <c r="J397" i="5"/>
  <c r="D397" i="5"/>
  <c r="O396" i="5"/>
  <c r="J396" i="5"/>
  <c r="D396" i="5"/>
  <c r="O395" i="5"/>
  <c r="J395" i="5"/>
  <c r="D395" i="5"/>
  <c r="O394" i="5"/>
  <c r="J394" i="5"/>
  <c r="D394" i="5"/>
  <c r="O393" i="5"/>
  <c r="J393" i="5"/>
  <c r="D393" i="5"/>
  <c r="O392" i="5"/>
  <c r="J392" i="5"/>
  <c r="D392" i="5"/>
  <c r="O391" i="5"/>
  <c r="J391" i="5"/>
  <c r="D391" i="5"/>
  <c r="O390" i="5"/>
  <c r="J390" i="5"/>
  <c r="D390" i="5"/>
  <c r="O389" i="5"/>
  <c r="J389" i="5"/>
  <c r="D389" i="5"/>
  <c r="O388" i="5"/>
  <c r="J388" i="5"/>
  <c r="D388" i="5"/>
  <c r="O387" i="5"/>
  <c r="J387" i="5"/>
  <c r="D387" i="5"/>
  <c r="O386" i="5"/>
  <c r="J386" i="5"/>
  <c r="D386" i="5"/>
  <c r="O385" i="5"/>
  <c r="J385" i="5"/>
  <c r="D385" i="5"/>
  <c r="O384" i="5"/>
  <c r="J384" i="5"/>
  <c r="D384" i="5"/>
  <c r="O383" i="5"/>
  <c r="J383" i="5"/>
  <c r="D383" i="5"/>
  <c r="O382" i="5"/>
  <c r="J382" i="5"/>
  <c r="D382" i="5"/>
  <c r="O381" i="5"/>
  <c r="J381" i="5"/>
  <c r="D381" i="5"/>
  <c r="O380" i="5"/>
  <c r="J380" i="5"/>
  <c r="D380" i="5"/>
  <c r="O379" i="5"/>
  <c r="J379" i="5"/>
  <c r="D379" i="5"/>
  <c r="O378" i="5"/>
  <c r="J378" i="5"/>
  <c r="D378" i="5"/>
  <c r="O377" i="5"/>
  <c r="J377" i="5"/>
  <c r="D377" i="5"/>
  <c r="O376" i="5"/>
  <c r="J376" i="5"/>
  <c r="D376" i="5"/>
  <c r="O375" i="5"/>
  <c r="J375" i="5"/>
  <c r="D375" i="5"/>
  <c r="O374" i="5"/>
  <c r="J374" i="5"/>
  <c r="D374" i="5"/>
  <c r="O373" i="5"/>
  <c r="J373" i="5"/>
  <c r="D373" i="5"/>
  <c r="O372" i="5"/>
  <c r="J372" i="5"/>
  <c r="D372" i="5"/>
  <c r="O371" i="5"/>
  <c r="J371" i="5"/>
  <c r="D371" i="5"/>
  <c r="O370" i="5"/>
  <c r="J370" i="5"/>
  <c r="D370" i="5"/>
  <c r="O369" i="5"/>
  <c r="J369" i="5"/>
  <c r="D369" i="5"/>
  <c r="O368" i="5"/>
  <c r="J368" i="5"/>
  <c r="D368" i="5"/>
  <c r="O367" i="5"/>
  <c r="J367" i="5"/>
  <c r="D367" i="5"/>
  <c r="O366" i="5"/>
  <c r="J366" i="5"/>
  <c r="D366" i="5"/>
  <c r="O365" i="5"/>
  <c r="J365" i="5"/>
  <c r="D365" i="5"/>
  <c r="O364" i="5"/>
  <c r="J364" i="5"/>
  <c r="D364" i="5"/>
  <c r="O363" i="5"/>
  <c r="J363" i="5"/>
  <c r="D363" i="5"/>
  <c r="O362" i="5"/>
  <c r="J362" i="5"/>
  <c r="D362" i="5"/>
  <c r="O361" i="5"/>
  <c r="J361" i="5"/>
  <c r="D361" i="5"/>
  <c r="O360" i="5"/>
  <c r="J360" i="5"/>
  <c r="D360" i="5"/>
  <c r="O359" i="5"/>
  <c r="J359" i="5"/>
  <c r="D359" i="5"/>
  <c r="O358" i="5"/>
  <c r="J358" i="5"/>
  <c r="D358" i="5"/>
  <c r="O357" i="5"/>
  <c r="J357" i="5"/>
  <c r="D357" i="5"/>
  <c r="O356" i="5"/>
  <c r="J356" i="5"/>
  <c r="D356" i="5"/>
  <c r="O355" i="5"/>
  <c r="J355" i="5"/>
  <c r="D355" i="5"/>
  <c r="O354" i="5"/>
  <c r="J354" i="5"/>
  <c r="D354" i="5"/>
  <c r="O353" i="5"/>
  <c r="J353" i="5"/>
  <c r="D353" i="5"/>
  <c r="O352" i="5"/>
  <c r="J352" i="5"/>
  <c r="D352" i="5"/>
  <c r="O351" i="5"/>
  <c r="J351" i="5"/>
  <c r="D351" i="5"/>
  <c r="O350" i="5"/>
  <c r="J350" i="5"/>
  <c r="D350" i="5"/>
  <c r="O349" i="5"/>
  <c r="J349" i="5"/>
  <c r="D349" i="5"/>
  <c r="O348" i="5"/>
  <c r="J348" i="5"/>
  <c r="D348" i="5"/>
  <c r="O347" i="5"/>
  <c r="J347" i="5"/>
  <c r="D347" i="5"/>
  <c r="O346" i="5"/>
  <c r="J346" i="5"/>
  <c r="D346" i="5"/>
  <c r="O345" i="5"/>
  <c r="J345" i="5"/>
  <c r="D345" i="5"/>
  <c r="O344" i="5"/>
  <c r="J344" i="5"/>
  <c r="D344" i="5"/>
  <c r="O343" i="5"/>
  <c r="J343" i="5"/>
  <c r="D343" i="5"/>
  <c r="O342" i="5"/>
  <c r="J342" i="5"/>
  <c r="D342" i="5"/>
  <c r="O341" i="5"/>
  <c r="J341" i="5"/>
  <c r="D341" i="5"/>
  <c r="O340" i="5"/>
  <c r="J340" i="5"/>
  <c r="D340" i="5"/>
  <c r="O339" i="5"/>
  <c r="J339" i="5"/>
  <c r="D339" i="5"/>
  <c r="O338" i="5"/>
  <c r="J338" i="5"/>
  <c r="D338" i="5"/>
  <c r="O337" i="5"/>
  <c r="J337" i="5"/>
  <c r="D337" i="5"/>
  <c r="O336" i="5"/>
  <c r="J336" i="5"/>
  <c r="D336" i="5"/>
  <c r="O335" i="5"/>
  <c r="J335" i="5"/>
  <c r="D335" i="5"/>
  <c r="O334" i="5"/>
  <c r="J334" i="5"/>
  <c r="D334" i="5"/>
  <c r="O333" i="5"/>
  <c r="J333" i="5"/>
  <c r="D333" i="5"/>
  <c r="O332" i="5"/>
  <c r="J332" i="5"/>
  <c r="D332" i="5"/>
  <c r="O331" i="5"/>
  <c r="J331" i="5"/>
  <c r="D331" i="5"/>
  <c r="O330" i="5"/>
  <c r="J330" i="5"/>
  <c r="D330" i="5"/>
  <c r="O329" i="5"/>
  <c r="J329" i="5"/>
  <c r="D329" i="5"/>
  <c r="O328" i="5"/>
  <c r="J328" i="5"/>
  <c r="D328" i="5"/>
  <c r="O327" i="5"/>
  <c r="J327" i="5"/>
  <c r="D327" i="5"/>
  <c r="O326" i="5"/>
  <c r="J326" i="5"/>
  <c r="D326" i="5"/>
  <c r="O325" i="5"/>
  <c r="J325" i="5"/>
  <c r="D325" i="5"/>
  <c r="O324" i="5"/>
  <c r="J324" i="5"/>
  <c r="D324" i="5"/>
  <c r="O323" i="5"/>
  <c r="J323" i="5"/>
  <c r="D323" i="5"/>
  <c r="O322" i="5"/>
  <c r="J322" i="5"/>
  <c r="D322" i="5"/>
  <c r="O321" i="5"/>
  <c r="J321" i="5"/>
  <c r="D321" i="5"/>
  <c r="O320" i="5"/>
  <c r="J320" i="5"/>
  <c r="D320" i="5"/>
  <c r="O319" i="5"/>
  <c r="J319" i="5"/>
  <c r="D319" i="5"/>
  <c r="O318" i="5"/>
  <c r="J318" i="5"/>
  <c r="D318" i="5"/>
  <c r="O317" i="5"/>
  <c r="J317" i="5"/>
  <c r="D317" i="5"/>
  <c r="O316" i="5"/>
  <c r="J316" i="5"/>
  <c r="D316" i="5"/>
  <c r="O315" i="5"/>
  <c r="J315" i="5"/>
  <c r="D315" i="5"/>
  <c r="O314" i="5"/>
  <c r="J314" i="5"/>
  <c r="D314" i="5"/>
  <c r="O313" i="5"/>
  <c r="J313" i="5"/>
  <c r="D313" i="5"/>
  <c r="O312" i="5"/>
  <c r="J312" i="5"/>
  <c r="D312" i="5"/>
  <c r="O311" i="5"/>
  <c r="J311" i="5"/>
  <c r="D311" i="5"/>
  <c r="O310" i="5"/>
  <c r="J310" i="5"/>
  <c r="D310" i="5"/>
  <c r="O309" i="5"/>
  <c r="J309" i="5"/>
  <c r="D309" i="5"/>
  <c r="O308" i="5"/>
  <c r="J308" i="5"/>
  <c r="D308" i="5"/>
  <c r="O307" i="5"/>
  <c r="J307" i="5"/>
  <c r="D307" i="5"/>
  <c r="O306" i="5"/>
  <c r="J306" i="5"/>
  <c r="D306" i="5"/>
  <c r="O305" i="5"/>
  <c r="J305" i="5"/>
  <c r="D305" i="5"/>
  <c r="O304" i="5"/>
  <c r="J304" i="5"/>
  <c r="D304" i="5"/>
  <c r="O303" i="5"/>
  <c r="J303" i="5"/>
  <c r="D303" i="5"/>
  <c r="O302" i="5"/>
  <c r="J302" i="5"/>
  <c r="D302" i="5"/>
  <c r="O301" i="5"/>
  <c r="J301" i="5"/>
  <c r="D301" i="5"/>
  <c r="O300" i="5"/>
  <c r="J300" i="5"/>
  <c r="D300" i="5"/>
  <c r="O299" i="5"/>
  <c r="J299" i="5"/>
  <c r="D299" i="5"/>
  <c r="O298" i="5"/>
  <c r="J298" i="5"/>
  <c r="D298" i="5"/>
  <c r="O297" i="5"/>
  <c r="J297" i="5"/>
  <c r="D297" i="5"/>
  <c r="O296" i="5"/>
  <c r="J296" i="5"/>
  <c r="D296" i="5"/>
  <c r="O295" i="5"/>
  <c r="J295" i="5"/>
  <c r="D295" i="5"/>
  <c r="O294" i="5"/>
  <c r="J294" i="5"/>
  <c r="D294" i="5"/>
  <c r="O293" i="5"/>
  <c r="J293" i="5"/>
  <c r="D293" i="5"/>
  <c r="O292" i="5"/>
  <c r="J292" i="5"/>
  <c r="D292" i="5"/>
  <c r="O291" i="5"/>
  <c r="J291" i="5"/>
  <c r="D291" i="5"/>
  <c r="O290" i="5"/>
  <c r="J290" i="5"/>
  <c r="D290" i="5"/>
  <c r="O289" i="5"/>
  <c r="J289" i="5"/>
  <c r="D289" i="5"/>
  <c r="O288" i="5"/>
  <c r="J288" i="5"/>
  <c r="D288" i="5"/>
  <c r="O287" i="5"/>
  <c r="J287" i="5"/>
  <c r="D287" i="5"/>
  <c r="O286" i="5"/>
  <c r="J286" i="5"/>
  <c r="D286" i="5"/>
  <c r="O285" i="5"/>
  <c r="J285" i="5"/>
  <c r="D285" i="5"/>
  <c r="O284" i="5"/>
  <c r="J284" i="5"/>
  <c r="D284" i="5"/>
  <c r="O283" i="5"/>
  <c r="J283" i="5"/>
  <c r="D283" i="5"/>
  <c r="O282" i="5"/>
  <c r="J282" i="5"/>
  <c r="D282" i="5"/>
  <c r="O281" i="5"/>
  <c r="J281" i="5"/>
  <c r="D281" i="5"/>
  <c r="O280" i="5"/>
  <c r="J280" i="5"/>
  <c r="D280" i="5"/>
  <c r="O279" i="5"/>
  <c r="J279" i="5"/>
  <c r="D279" i="5"/>
  <c r="O278" i="5"/>
  <c r="J278" i="5"/>
  <c r="D278" i="5"/>
  <c r="O277" i="5"/>
  <c r="J277" i="5"/>
  <c r="D277" i="5"/>
  <c r="O276" i="5"/>
  <c r="J276" i="5"/>
  <c r="D276" i="5"/>
  <c r="O275" i="5"/>
  <c r="J275" i="5"/>
  <c r="D275" i="5"/>
  <c r="O274" i="5"/>
  <c r="J274" i="5"/>
  <c r="D274" i="5"/>
  <c r="O273" i="5"/>
  <c r="J273" i="5"/>
  <c r="D273" i="5"/>
  <c r="O272" i="5"/>
  <c r="J272" i="5"/>
  <c r="D272" i="5"/>
  <c r="O271" i="5"/>
  <c r="J271" i="5"/>
  <c r="D271" i="5"/>
  <c r="O270" i="5"/>
  <c r="J270" i="5"/>
  <c r="D270" i="5"/>
  <c r="O269" i="5"/>
  <c r="J269" i="5"/>
  <c r="D269" i="5"/>
  <c r="O268" i="5"/>
  <c r="J268" i="5"/>
  <c r="D268" i="5"/>
  <c r="O267" i="5"/>
  <c r="J267" i="5"/>
  <c r="D267" i="5"/>
  <c r="O266" i="5"/>
  <c r="J266" i="5"/>
  <c r="D266" i="5"/>
  <c r="O265" i="5"/>
  <c r="J265" i="5"/>
  <c r="D265" i="5"/>
  <c r="O264" i="5"/>
  <c r="J264" i="5"/>
  <c r="D264" i="5"/>
  <c r="O263" i="5"/>
  <c r="J263" i="5"/>
  <c r="D263" i="5"/>
  <c r="O262" i="5"/>
  <c r="J262" i="5"/>
  <c r="D262" i="5"/>
  <c r="O261" i="5"/>
  <c r="J261" i="5"/>
  <c r="D261" i="5"/>
  <c r="O260" i="5"/>
  <c r="J260" i="5"/>
  <c r="D260" i="5"/>
  <c r="O259" i="5"/>
  <c r="J259" i="5"/>
  <c r="D259" i="5"/>
  <c r="O258" i="5"/>
  <c r="J258" i="5"/>
  <c r="D258" i="5"/>
  <c r="O257" i="5"/>
  <c r="J257" i="5"/>
  <c r="D257" i="5"/>
  <c r="O256" i="5"/>
  <c r="J256" i="5"/>
  <c r="D256" i="5"/>
  <c r="O255" i="5"/>
  <c r="J255" i="5"/>
  <c r="D255" i="5"/>
  <c r="O254" i="5"/>
  <c r="J254" i="5"/>
  <c r="D254" i="5"/>
  <c r="O253" i="5"/>
  <c r="J253" i="5"/>
  <c r="D253" i="5"/>
  <c r="O252" i="5"/>
  <c r="J252" i="5"/>
  <c r="D252" i="5"/>
  <c r="O251" i="5"/>
  <c r="J251" i="5"/>
  <c r="D251" i="5"/>
  <c r="O250" i="5"/>
  <c r="J250" i="5"/>
  <c r="D250" i="5"/>
  <c r="O249" i="5"/>
  <c r="J249" i="5"/>
  <c r="D249" i="5"/>
  <c r="O248" i="5"/>
  <c r="J248" i="5"/>
  <c r="D248" i="5"/>
  <c r="O247" i="5"/>
  <c r="J247" i="5"/>
  <c r="D247" i="5"/>
  <c r="O246" i="5"/>
  <c r="J246" i="5"/>
  <c r="D246" i="5"/>
  <c r="O245" i="5"/>
  <c r="J245" i="5"/>
  <c r="D245" i="5"/>
  <c r="O244" i="5"/>
  <c r="J244" i="5"/>
  <c r="D244" i="5"/>
  <c r="O243" i="5"/>
  <c r="J243" i="5"/>
  <c r="D243" i="5"/>
  <c r="O242" i="5"/>
  <c r="J242" i="5"/>
  <c r="D242" i="5"/>
  <c r="O241" i="5"/>
  <c r="J241" i="5"/>
  <c r="D241" i="5"/>
  <c r="O240" i="5"/>
  <c r="J240" i="5"/>
  <c r="D240" i="5"/>
  <c r="O239" i="5"/>
  <c r="J239" i="5"/>
  <c r="D239" i="5"/>
  <c r="O238" i="5"/>
  <c r="J238" i="5"/>
  <c r="D238" i="5"/>
  <c r="O237" i="5"/>
  <c r="J237" i="5"/>
  <c r="D237" i="5"/>
  <c r="O236" i="5"/>
  <c r="J236" i="5"/>
  <c r="D236" i="5"/>
  <c r="O235" i="5"/>
  <c r="J235" i="5"/>
  <c r="D235" i="5"/>
  <c r="O234" i="5"/>
  <c r="J234" i="5"/>
  <c r="D234" i="5"/>
  <c r="O233" i="5"/>
  <c r="J233" i="5"/>
  <c r="D233" i="5"/>
  <c r="O232" i="5"/>
  <c r="J232" i="5"/>
  <c r="D232" i="5"/>
  <c r="O231" i="5"/>
  <c r="J231" i="5"/>
  <c r="D231" i="5"/>
  <c r="O230" i="5"/>
  <c r="J230" i="5"/>
  <c r="D230" i="5"/>
  <c r="O229" i="5"/>
  <c r="J229" i="5"/>
  <c r="D229" i="5"/>
  <c r="O228" i="5"/>
  <c r="J228" i="5"/>
  <c r="D228" i="5"/>
  <c r="O227" i="5"/>
  <c r="J227" i="5"/>
  <c r="D227" i="5"/>
  <c r="O226" i="5"/>
  <c r="J226" i="5"/>
  <c r="D226" i="5"/>
  <c r="O225" i="5"/>
  <c r="J225" i="5"/>
  <c r="D225" i="5"/>
  <c r="O224" i="5"/>
  <c r="J224" i="5"/>
  <c r="D224" i="5"/>
  <c r="O223" i="5"/>
  <c r="J223" i="5"/>
  <c r="D223" i="5"/>
  <c r="O222" i="5"/>
  <c r="J222" i="5"/>
  <c r="D222" i="5"/>
  <c r="O221" i="5"/>
  <c r="J221" i="5"/>
  <c r="D221" i="5"/>
  <c r="O220" i="5"/>
  <c r="J220" i="5"/>
  <c r="D220" i="5"/>
  <c r="O219" i="5"/>
  <c r="J219" i="5"/>
  <c r="D219" i="5"/>
  <c r="O218" i="5"/>
  <c r="J218" i="5"/>
  <c r="D218" i="5"/>
  <c r="O217" i="5"/>
  <c r="J217" i="5"/>
  <c r="D217" i="5"/>
  <c r="O216" i="5"/>
  <c r="J216" i="5"/>
  <c r="D216" i="5"/>
  <c r="O215" i="5"/>
  <c r="J215" i="5"/>
  <c r="D215" i="5"/>
  <c r="O214" i="5"/>
  <c r="J214" i="5"/>
  <c r="D214" i="5"/>
  <c r="O213" i="5"/>
  <c r="J213" i="5"/>
  <c r="D213" i="5"/>
  <c r="O212" i="5"/>
  <c r="J212" i="5"/>
  <c r="D212" i="5"/>
  <c r="O211" i="5"/>
  <c r="J211" i="5"/>
  <c r="D211" i="5"/>
  <c r="O210" i="5"/>
  <c r="J210" i="5"/>
  <c r="D210" i="5"/>
  <c r="O209" i="5"/>
  <c r="J209" i="5"/>
  <c r="D209" i="5"/>
  <c r="O208" i="5"/>
  <c r="J208" i="5"/>
  <c r="D208" i="5"/>
  <c r="O207" i="5"/>
  <c r="J207" i="5"/>
  <c r="D207" i="5"/>
  <c r="O206" i="5"/>
  <c r="J206" i="5"/>
  <c r="D206" i="5"/>
  <c r="O205" i="5"/>
  <c r="J205" i="5"/>
  <c r="D205" i="5"/>
  <c r="O204" i="5"/>
  <c r="J204" i="5"/>
  <c r="D204" i="5"/>
  <c r="O203" i="5"/>
  <c r="J203" i="5"/>
  <c r="D203" i="5"/>
  <c r="O202" i="5"/>
  <c r="J202" i="5"/>
  <c r="D202" i="5"/>
  <c r="O201" i="5"/>
  <c r="J201" i="5"/>
  <c r="D201" i="5"/>
  <c r="O200" i="5"/>
  <c r="J200" i="5"/>
  <c r="D200" i="5"/>
  <c r="O199" i="5"/>
  <c r="J199" i="5"/>
  <c r="D199" i="5"/>
  <c r="O198" i="5"/>
  <c r="J198" i="5"/>
  <c r="D198" i="5"/>
  <c r="O197" i="5"/>
  <c r="J197" i="5"/>
  <c r="D197" i="5"/>
  <c r="O196" i="5"/>
  <c r="J196" i="5"/>
  <c r="D196" i="5"/>
  <c r="O195" i="5"/>
  <c r="J195" i="5"/>
  <c r="D195" i="5"/>
  <c r="O194" i="5"/>
  <c r="J194" i="5"/>
  <c r="D194" i="5"/>
  <c r="O193" i="5"/>
  <c r="J193" i="5"/>
  <c r="D193" i="5"/>
  <c r="O192" i="5"/>
  <c r="J192" i="5"/>
  <c r="D192" i="5"/>
  <c r="O191" i="5"/>
  <c r="J191" i="5"/>
  <c r="D191" i="5"/>
  <c r="O190" i="5"/>
  <c r="J190" i="5"/>
  <c r="D190" i="5"/>
  <c r="O189" i="5"/>
  <c r="J189" i="5"/>
  <c r="D189" i="5"/>
  <c r="O188" i="5"/>
  <c r="J188" i="5"/>
  <c r="D188" i="5"/>
  <c r="O187" i="5"/>
  <c r="J187" i="5"/>
  <c r="D187" i="5"/>
  <c r="O186" i="5"/>
  <c r="J186" i="5"/>
  <c r="D186" i="5"/>
  <c r="O185" i="5"/>
  <c r="J185" i="5"/>
  <c r="D185" i="5"/>
  <c r="O184" i="5"/>
  <c r="J184" i="5"/>
  <c r="D184" i="5"/>
  <c r="O183" i="5"/>
  <c r="J183" i="5"/>
  <c r="D183" i="5"/>
  <c r="O182" i="5"/>
  <c r="J182" i="5"/>
  <c r="D182" i="5"/>
  <c r="O181" i="5"/>
  <c r="J181" i="5"/>
  <c r="D181" i="5"/>
  <c r="O180" i="5"/>
  <c r="J180" i="5"/>
  <c r="D180" i="5"/>
  <c r="O179" i="5"/>
  <c r="J179" i="5"/>
  <c r="D179" i="5"/>
  <c r="O178" i="5"/>
  <c r="J178" i="5"/>
  <c r="D178" i="5"/>
  <c r="O177" i="5"/>
  <c r="J177" i="5"/>
  <c r="D177" i="5"/>
  <c r="O176" i="5"/>
  <c r="J176" i="5"/>
  <c r="D176" i="5"/>
  <c r="O175" i="5"/>
  <c r="J175" i="5"/>
  <c r="D175" i="5"/>
  <c r="O174" i="5"/>
  <c r="J174" i="5"/>
  <c r="D174" i="5"/>
  <c r="O173" i="5"/>
  <c r="J173" i="5"/>
  <c r="D173" i="5"/>
  <c r="O172" i="5"/>
  <c r="J172" i="5"/>
  <c r="D172" i="5"/>
  <c r="O171" i="5"/>
  <c r="J171" i="5"/>
  <c r="D171" i="5"/>
  <c r="O170" i="5"/>
  <c r="J170" i="5"/>
  <c r="D170" i="5"/>
  <c r="O169" i="5"/>
  <c r="J169" i="5"/>
  <c r="D169" i="5"/>
  <c r="O168" i="5"/>
  <c r="J168" i="5"/>
  <c r="D168" i="5"/>
  <c r="O167" i="5"/>
  <c r="J167" i="5"/>
  <c r="D167" i="5"/>
  <c r="O166" i="5"/>
  <c r="J166" i="5"/>
  <c r="D166" i="5"/>
  <c r="O165" i="5"/>
  <c r="J165" i="5"/>
  <c r="D165" i="5"/>
  <c r="O164" i="5"/>
  <c r="J164" i="5"/>
  <c r="D164" i="5"/>
  <c r="O163" i="5"/>
  <c r="J163" i="5"/>
  <c r="D163" i="5"/>
  <c r="O162" i="5"/>
  <c r="J162" i="5"/>
  <c r="D162" i="5"/>
  <c r="O161" i="5"/>
  <c r="J161" i="5"/>
  <c r="D161" i="5"/>
  <c r="O160" i="5"/>
  <c r="J160" i="5"/>
  <c r="D160" i="5"/>
  <c r="O159" i="5"/>
  <c r="J159" i="5"/>
  <c r="D159" i="5"/>
  <c r="O158" i="5"/>
  <c r="J158" i="5"/>
  <c r="D158" i="5"/>
  <c r="O157" i="5"/>
  <c r="J157" i="5"/>
  <c r="D157" i="5"/>
  <c r="O156" i="5"/>
  <c r="J156" i="5"/>
  <c r="D156" i="5"/>
  <c r="O155" i="5"/>
  <c r="J155" i="5"/>
  <c r="D155" i="5"/>
  <c r="O154" i="5"/>
  <c r="J154" i="5"/>
  <c r="D154" i="5"/>
  <c r="O153" i="5"/>
  <c r="J153" i="5"/>
  <c r="D153" i="5"/>
  <c r="O152" i="5"/>
  <c r="J152" i="5"/>
  <c r="D152" i="5"/>
  <c r="O151" i="5"/>
  <c r="J151" i="5"/>
  <c r="D151" i="5"/>
  <c r="O150" i="5"/>
  <c r="J150" i="5"/>
  <c r="D150" i="5"/>
  <c r="O149" i="5"/>
  <c r="J149" i="5"/>
  <c r="D149" i="5"/>
  <c r="O148" i="5"/>
  <c r="J148" i="5"/>
  <c r="D148" i="5"/>
  <c r="O147" i="5"/>
  <c r="J147" i="5"/>
  <c r="D147" i="5"/>
  <c r="O146" i="5"/>
  <c r="J146" i="5"/>
  <c r="D146" i="5"/>
  <c r="O145" i="5"/>
  <c r="J145" i="5"/>
  <c r="D145" i="5"/>
  <c r="O144" i="5"/>
  <c r="J144" i="5"/>
  <c r="D144" i="5"/>
  <c r="O143" i="5"/>
  <c r="J143" i="5"/>
  <c r="D143" i="5"/>
  <c r="O142" i="5"/>
  <c r="J142" i="5"/>
  <c r="D142" i="5"/>
  <c r="O141" i="5"/>
  <c r="J141" i="5"/>
  <c r="D141" i="5"/>
  <c r="O140" i="5"/>
  <c r="J140" i="5"/>
  <c r="D140" i="5"/>
  <c r="O139" i="5"/>
  <c r="J139" i="5"/>
  <c r="D139" i="5"/>
  <c r="O138" i="5"/>
  <c r="J138" i="5"/>
  <c r="D138" i="5"/>
  <c r="O137" i="5"/>
  <c r="J137" i="5"/>
  <c r="D137" i="5"/>
  <c r="O136" i="5"/>
  <c r="J136" i="5"/>
  <c r="D136" i="5"/>
  <c r="O135" i="5"/>
  <c r="J135" i="5"/>
  <c r="D135" i="5"/>
  <c r="O134" i="5"/>
  <c r="J134" i="5"/>
  <c r="D134" i="5"/>
  <c r="O133" i="5"/>
  <c r="J133" i="5"/>
  <c r="D133" i="5"/>
  <c r="O132" i="5"/>
  <c r="J132" i="5"/>
  <c r="D132" i="5"/>
  <c r="O131" i="5"/>
  <c r="J131" i="5"/>
  <c r="D131" i="5"/>
  <c r="O130" i="5"/>
  <c r="J130" i="5"/>
  <c r="D130" i="5"/>
  <c r="O129" i="5"/>
  <c r="J129" i="5"/>
  <c r="D129" i="5"/>
  <c r="O128" i="5"/>
  <c r="J128" i="5"/>
  <c r="D128" i="5"/>
  <c r="O127" i="5"/>
  <c r="J127" i="5"/>
  <c r="D127" i="5"/>
  <c r="O126" i="5"/>
  <c r="J126" i="5"/>
  <c r="D126" i="5"/>
  <c r="O125" i="5"/>
  <c r="J125" i="5"/>
  <c r="D125" i="5"/>
  <c r="O124" i="5"/>
  <c r="J124" i="5"/>
  <c r="D124" i="5"/>
  <c r="O123" i="5"/>
  <c r="J123" i="5"/>
  <c r="D123" i="5"/>
  <c r="O122" i="5"/>
  <c r="J122" i="5"/>
  <c r="D122" i="5"/>
  <c r="O121" i="5"/>
  <c r="J121" i="5"/>
  <c r="D121" i="5"/>
  <c r="O120" i="5"/>
  <c r="J120" i="5"/>
  <c r="D120" i="5"/>
  <c r="O119" i="5"/>
  <c r="J119" i="5"/>
  <c r="D119" i="5"/>
  <c r="O118" i="5"/>
  <c r="J118" i="5"/>
  <c r="D118" i="5"/>
  <c r="O117" i="5"/>
  <c r="J117" i="5"/>
  <c r="D117" i="5"/>
  <c r="O116" i="5"/>
  <c r="J116" i="5"/>
  <c r="D116" i="5"/>
  <c r="O115" i="5"/>
  <c r="J115" i="5"/>
  <c r="D115" i="5"/>
  <c r="O114" i="5"/>
  <c r="J114" i="5"/>
  <c r="D114" i="5"/>
  <c r="O113" i="5"/>
  <c r="J113" i="5"/>
  <c r="D113" i="5"/>
  <c r="O112" i="5"/>
  <c r="J112" i="5"/>
  <c r="D112" i="5"/>
  <c r="O111" i="5"/>
  <c r="J111" i="5"/>
  <c r="D111" i="5"/>
  <c r="O110" i="5"/>
  <c r="J110" i="5"/>
  <c r="D110" i="5"/>
  <c r="O109" i="5"/>
  <c r="J109" i="5"/>
  <c r="D109" i="5"/>
  <c r="O108" i="5"/>
  <c r="J108" i="5"/>
  <c r="D108" i="5"/>
  <c r="O107" i="5"/>
  <c r="J107" i="5"/>
  <c r="D107" i="5"/>
  <c r="O106" i="5"/>
  <c r="J106" i="5"/>
  <c r="D106" i="5"/>
  <c r="O105" i="5"/>
  <c r="J105" i="5"/>
  <c r="D105" i="5"/>
  <c r="O104" i="5"/>
  <c r="J104" i="5"/>
  <c r="D104" i="5"/>
  <c r="O103" i="5"/>
  <c r="J103" i="5"/>
  <c r="D103" i="5"/>
  <c r="O102" i="5"/>
  <c r="J102" i="5"/>
  <c r="D102" i="5"/>
  <c r="O101" i="5"/>
  <c r="J101" i="5"/>
  <c r="D101" i="5"/>
  <c r="O100" i="5"/>
  <c r="J100" i="5"/>
  <c r="D100" i="5"/>
  <c r="O99" i="5"/>
  <c r="J99" i="5"/>
  <c r="D99" i="5"/>
  <c r="O98" i="5"/>
  <c r="J98" i="5"/>
  <c r="D98" i="5"/>
  <c r="O97" i="5"/>
  <c r="J97" i="5"/>
  <c r="D97" i="5"/>
  <c r="O96" i="5"/>
  <c r="J96" i="5"/>
  <c r="D96" i="5"/>
  <c r="O95" i="5"/>
  <c r="J95" i="5"/>
  <c r="D95" i="5"/>
  <c r="O94" i="5"/>
  <c r="J94" i="5"/>
  <c r="D94" i="5"/>
  <c r="O93" i="5"/>
  <c r="J93" i="5"/>
  <c r="D93" i="5"/>
  <c r="O92" i="5"/>
  <c r="J92" i="5"/>
  <c r="D92" i="5"/>
  <c r="O91" i="5"/>
  <c r="J91" i="5"/>
  <c r="D91" i="5"/>
  <c r="O90" i="5"/>
  <c r="J90" i="5"/>
  <c r="D90" i="5"/>
  <c r="O89" i="5"/>
  <c r="J89" i="5"/>
  <c r="D89" i="5"/>
  <c r="O88" i="5"/>
  <c r="J88" i="5"/>
  <c r="D88" i="5"/>
  <c r="O87" i="5"/>
  <c r="J87" i="5"/>
  <c r="D87" i="5"/>
  <c r="O86" i="5"/>
  <c r="J86" i="5"/>
  <c r="D86" i="5"/>
  <c r="O85" i="5"/>
  <c r="J85" i="5"/>
  <c r="D85" i="5"/>
  <c r="O84" i="5"/>
  <c r="J84" i="5"/>
  <c r="D84" i="5"/>
  <c r="O83" i="5"/>
  <c r="J83" i="5"/>
  <c r="D83" i="5"/>
  <c r="O82" i="5"/>
  <c r="J82" i="5"/>
  <c r="D82" i="5"/>
  <c r="O81" i="5"/>
  <c r="J81" i="5"/>
  <c r="D81" i="5"/>
  <c r="O80" i="5"/>
  <c r="J80" i="5"/>
  <c r="D80" i="5"/>
  <c r="O79" i="5"/>
  <c r="J79" i="5"/>
  <c r="D79" i="5"/>
  <c r="O78" i="5"/>
  <c r="J78" i="5"/>
  <c r="D78" i="5"/>
  <c r="O77" i="5"/>
  <c r="J77" i="5"/>
  <c r="D77" i="5"/>
  <c r="O76" i="5"/>
  <c r="J76" i="5"/>
  <c r="D76" i="5"/>
  <c r="O75" i="5"/>
  <c r="J75" i="5"/>
  <c r="D75" i="5"/>
  <c r="O74" i="5"/>
  <c r="J74" i="5"/>
  <c r="D74" i="5"/>
  <c r="O73" i="5"/>
  <c r="J73" i="5"/>
  <c r="D73" i="5"/>
  <c r="O72" i="5"/>
  <c r="J72" i="5"/>
  <c r="D72" i="5"/>
  <c r="O71" i="5"/>
  <c r="J71" i="5"/>
  <c r="D71" i="5"/>
  <c r="O70" i="5"/>
  <c r="J70" i="5"/>
  <c r="D70" i="5"/>
  <c r="O69" i="5"/>
  <c r="J69" i="5"/>
  <c r="D69" i="5"/>
  <c r="O68" i="5"/>
  <c r="J68" i="5"/>
  <c r="D68" i="5"/>
  <c r="O67" i="5"/>
  <c r="J67" i="5"/>
  <c r="D67" i="5"/>
  <c r="O66" i="5"/>
  <c r="J66" i="5"/>
  <c r="D66" i="5"/>
  <c r="O65" i="5"/>
  <c r="J65" i="5"/>
  <c r="D65" i="5"/>
  <c r="O64" i="5"/>
  <c r="J64" i="5"/>
  <c r="D64" i="5"/>
  <c r="O63" i="5"/>
  <c r="J63" i="5"/>
  <c r="D63" i="5"/>
  <c r="O62" i="5"/>
  <c r="J62" i="5"/>
  <c r="D62" i="5"/>
  <c r="O61" i="5"/>
  <c r="J61" i="5"/>
  <c r="D61" i="5"/>
  <c r="O60" i="5"/>
  <c r="J60" i="5"/>
  <c r="D60" i="5"/>
  <c r="O59" i="5"/>
  <c r="J59" i="5"/>
  <c r="D59" i="5"/>
  <c r="O58" i="5"/>
  <c r="J58" i="5"/>
  <c r="D58" i="5"/>
  <c r="O57" i="5"/>
  <c r="J57" i="5"/>
  <c r="D57" i="5"/>
  <c r="O56" i="5"/>
  <c r="J56" i="5"/>
  <c r="D56" i="5"/>
  <c r="O55" i="5"/>
  <c r="J55" i="5"/>
  <c r="D55" i="5"/>
  <c r="O54" i="5"/>
  <c r="J54" i="5"/>
  <c r="D54" i="5"/>
  <c r="O53" i="5"/>
  <c r="J53" i="5"/>
  <c r="D53" i="5"/>
  <c r="O52" i="5"/>
  <c r="J52" i="5"/>
  <c r="D52" i="5"/>
  <c r="O51" i="5"/>
  <c r="J51" i="5"/>
  <c r="D51" i="5"/>
  <c r="O50" i="5"/>
  <c r="J50" i="5"/>
  <c r="D50" i="5"/>
  <c r="O49" i="5"/>
  <c r="J49" i="5"/>
  <c r="D49" i="5"/>
  <c r="O48" i="5"/>
  <c r="J48" i="5"/>
  <c r="D48" i="5"/>
  <c r="O47" i="5"/>
  <c r="J47" i="5"/>
  <c r="D47" i="5"/>
  <c r="O46" i="5"/>
  <c r="J46" i="5"/>
  <c r="D46" i="5"/>
  <c r="O45" i="5"/>
  <c r="J45" i="5"/>
  <c r="D45" i="5"/>
  <c r="O44" i="5"/>
  <c r="J44" i="5"/>
  <c r="D44" i="5"/>
  <c r="O43" i="5"/>
  <c r="J43" i="5"/>
  <c r="D43" i="5"/>
  <c r="O42" i="5"/>
  <c r="J42" i="5"/>
  <c r="D42" i="5"/>
  <c r="O41" i="5"/>
  <c r="J41" i="5"/>
  <c r="D41" i="5"/>
  <c r="O40" i="5"/>
  <c r="J40" i="5"/>
  <c r="D40" i="5"/>
  <c r="O39" i="5"/>
  <c r="J39" i="5"/>
  <c r="D39" i="5"/>
  <c r="O38" i="5"/>
  <c r="J38" i="5"/>
  <c r="D38" i="5"/>
  <c r="O37" i="5"/>
  <c r="J37" i="5"/>
  <c r="D37" i="5"/>
  <c r="O36" i="5"/>
  <c r="J36" i="5"/>
  <c r="D36" i="5"/>
  <c r="O35" i="5"/>
  <c r="J35" i="5"/>
  <c r="D35" i="5"/>
  <c r="O34" i="5"/>
  <c r="J34" i="5"/>
  <c r="D34" i="5"/>
  <c r="O33" i="5"/>
  <c r="J33" i="5"/>
  <c r="D33" i="5"/>
  <c r="O32" i="5"/>
  <c r="J32" i="5"/>
  <c r="D32" i="5"/>
  <c r="O31" i="5"/>
  <c r="J31" i="5"/>
  <c r="D31" i="5"/>
  <c r="O30" i="5"/>
  <c r="J30" i="5"/>
  <c r="D30" i="5"/>
  <c r="O29" i="5"/>
  <c r="J29" i="5"/>
  <c r="D29" i="5"/>
  <c r="O28" i="5"/>
  <c r="J28" i="5"/>
  <c r="D28" i="5"/>
  <c r="O27" i="5"/>
  <c r="J27" i="5"/>
  <c r="D27" i="5"/>
  <c r="O26" i="5"/>
  <c r="J26" i="5"/>
  <c r="D26" i="5"/>
  <c r="O25" i="5"/>
  <c r="J25" i="5"/>
  <c r="D25" i="5"/>
  <c r="O24" i="5"/>
  <c r="J24" i="5"/>
  <c r="D24" i="5"/>
  <c r="O23" i="5"/>
  <c r="J23" i="5"/>
  <c r="D23" i="5"/>
  <c r="O22" i="5"/>
  <c r="J22" i="5"/>
  <c r="D22" i="5"/>
  <c r="O21" i="5"/>
  <c r="J21" i="5"/>
  <c r="D21" i="5"/>
  <c r="O20" i="5"/>
  <c r="J20" i="5"/>
  <c r="D20" i="5"/>
  <c r="O19" i="5"/>
  <c r="J19" i="5"/>
  <c r="D19" i="5"/>
  <c r="O18" i="5"/>
  <c r="J18" i="5"/>
  <c r="D18" i="5"/>
  <c r="O17" i="5"/>
  <c r="J17" i="5"/>
  <c r="D17" i="5"/>
  <c r="O16" i="5"/>
  <c r="J16" i="5"/>
  <c r="D16" i="5"/>
  <c r="O15" i="5"/>
  <c r="J15" i="5"/>
  <c r="D15" i="5"/>
  <c r="O14" i="5"/>
  <c r="J14" i="5"/>
  <c r="D14" i="5"/>
  <c r="O13" i="5"/>
  <c r="J13" i="5"/>
  <c r="D13" i="5"/>
  <c r="O12" i="5"/>
  <c r="J12" i="5"/>
  <c r="D12" i="5"/>
  <c r="O11" i="5"/>
  <c r="J11" i="5"/>
  <c r="D11" i="5"/>
  <c r="O10" i="5"/>
  <c r="J10" i="5"/>
  <c r="D10" i="5"/>
  <c r="O9" i="5"/>
  <c r="J9" i="5"/>
  <c r="D9" i="5"/>
  <c r="O8" i="5"/>
  <c r="J8" i="5"/>
  <c r="D8" i="5"/>
  <c r="O7" i="5"/>
  <c r="J7" i="5"/>
  <c r="D7" i="5"/>
  <c r="O6" i="5"/>
  <c r="J6" i="5"/>
  <c r="D6" i="5"/>
  <c r="O5" i="5"/>
  <c r="J5" i="5"/>
  <c r="D5" i="5"/>
  <c r="O1000" i="3"/>
  <c r="K1000" i="3"/>
  <c r="G1000" i="3"/>
  <c r="B1000" i="3"/>
  <c r="O999" i="3"/>
  <c r="K999" i="3"/>
  <c r="G999" i="3"/>
  <c r="B999" i="3"/>
  <c r="O998" i="3"/>
  <c r="K998" i="3"/>
  <c r="G998" i="3"/>
  <c r="B998" i="3"/>
  <c r="O997" i="3"/>
  <c r="K997" i="3"/>
  <c r="G997" i="3"/>
  <c r="B997" i="3"/>
  <c r="O996" i="3"/>
  <c r="K996" i="3"/>
  <c r="G996" i="3"/>
  <c r="B996" i="3"/>
  <c r="O995" i="3"/>
  <c r="K995" i="3"/>
  <c r="G995" i="3"/>
  <c r="B995" i="3"/>
  <c r="O994" i="3"/>
  <c r="K994" i="3"/>
  <c r="G994" i="3"/>
  <c r="B994" i="3"/>
  <c r="O993" i="3"/>
  <c r="K993" i="3"/>
  <c r="G993" i="3"/>
  <c r="B993" i="3"/>
  <c r="O992" i="3"/>
  <c r="K992" i="3"/>
  <c r="G992" i="3"/>
  <c r="B992" i="3"/>
  <c r="O991" i="3"/>
  <c r="K991" i="3"/>
  <c r="G991" i="3"/>
  <c r="B991" i="3"/>
  <c r="O990" i="3"/>
  <c r="K990" i="3"/>
  <c r="G990" i="3"/>
  <c r="B990" i="3"/>
  <c r="O989" i="3"/>
  <c r="K989" i="3"/>
  <c r="G989" i="3"/>
  <c r="B989" i="3"/>
  <c r="O988" i="3"/>
  <c r="K988" i="3"/>
  <c r="G988" i="3"/>
  <c r="B988" i="3"/>
  <c r="O987" i="3"/>
  <c r="K987" i="3"/>
  <c r="G987" i="3"/>
  <c r="B987" i="3"/>
  <c r="O986" i="3"/>
  <c r="K986" i="3"/>
  <c r="G986" i="3"/>
  <c r="B986" i="3"/>
  <c r="O985" i="3"/>
  <c r="K985" i="3"/>
  <c r="G985" i="3"/>
  <c r="B985" i="3"/>
  <c r="O984" i="3"/>
  <c r="K984" i="3"/>
  <c r="G984" i="3"/>
  <c r="B984" i="3"/>
  <c r="O983" i="3"/>
  <c r="K983" i="3"/>
  <c r="G983" i="3"/>
  <c r="B983" i="3"/>
  <c r="O982" i="3"/>
  <c r="K982" i="3"/>
  <c r="G982" i="3"/>
  <c r="B982" i="3"/>
  <c r="O981" i="3"/>
  <c r="K981" i="3"/>
  <c r="G981" i="3"/>
  <c r="B981" i="3"/>
  <c r="O980" i="3"/>
  <c r="K980" i="3"/>
  <c r="G980" i="3"/>
  <c r="B980" i="3"/>
  <c r="O979" i="3"/>
  <c r="K979" i="3"/>
  <c r="G979" i="3"/>
  <c r="B979" i="3"/>
  <c r="O978" i="3"/>
  <c r="K978" i="3"/>
  <c r="G978" i="3"/>
  <c r="B978" i="3"/>
  <c r="O977" i="3"/>
  <c r="K977" i="3"/>
  <c r="G977" i="3"/>
  <c r="B977" i="3"/>
  <c r="O976" i="3"/>
  <c r="K976" i="3"/>
  <c r="G976" i="3"/>
  <c r="B976" i="3"/>
  <c r="O975" i="3"/>
  <c r="K975" i="3"/>
  <c r="G975" i="3"/>
  <c r="B975" i="3"/>
  <c r="O974" i="3"/>
  <c r="K974" i="3"/>
  <c r="G974" i="3"/>
  <c r="B974" i="3"/>
  <c r="O973" i="3"/>
  <c r="K973" i="3"/>
  <c r="G973" i="3"/>
  <c r="B973" i="3"/>
  <c r="O972" i="3"/>
  <c r="K972" i="3"/>
  <c r="G972" i="3"/>
  <c r="B972" i="3"/>
  <c r="O971" i="3"/>
  <c r="K971" i="3"/>
  <c r="G971" i="3"/>
  <c r="B971" i="3"/>
  <c r="O970" i="3"/>
  <c r="K970" i="3"/>
  <c r="G970" i="3"/>
  <c r="B970" i="3"/>
  <c r="O969" i="3"/>
  <c r="K969" i="3"/>
  <c r="G969" i="3"/>
  <c r="B969" i="3"/>
  <c r="O968" i="3"/>
  <c r="K968" i="3"/>
  <c r="G968" i="3"/>
  <c r="B968" i="3"/>
  <c r="O967" i="3"/>
  <c r="K967" i="3"/>
  <c r="G967" i="3"/>
  <c r="B967" i="3"/>
  <c r="O966" i="3"/>
  <c r="K966" i="3"/>
  <c r="G966" i="3"/>
  <c r="B966" i="3"/>
  <c r="O965" i="3"/>
  <c r="K965" i="3"/>
  <c r="G965" i="3"/>
  <c r="B965" i="3"/>
  <c r="O964" i="3"/>
  <c r="K964" i="3"/>
  <c r="G964" i="3"/>
  <c r="B964" i="3"/>
  <c r="O963" i="3"/>
  <c r="K963" i="3"/>
  <c r="G963" i="3"/>
  <c r="B963" i="3"/>
  <c r="O962" i="3"/>
  <c r="K962" i="3"/>
  <c r="G962" i="3"/>
  <c r="B962" i="3"/>
  <c r="O961" i="3"/>
  <c r="K961" i="3"/>
  <c r="G961" i="3"/>
  <c r="B961" i="3"/>
  <c r="O960" i="3"/>
  <c r="K960" i="3"/>
  <c r="G960" i="3"/>
  <c r="B960" i="3"/>
  <c r="O959" i="3"/>
  <c r="K959" i="3"/>
  <c r="G959" i="3"/>
  <c r="B959" i="3"/>
  <c r="O958" i="3"/>
  <c r="K958" i="3"/>
  <c r="G958" i="3"/>
  <c r="B958" i="3"/>
  <c r="O957" i="3"/>
  <c r="K957" i="3"/>
  <c r="G957" i="3"/>
  <c r="B957" i="3"/>
  <c r="O956" i="3"/>
  <c r="K956" i="3"/>
  <c r="G956" i="3"/>
  <c r="B956" i="3"/>
  <c r="O955" i="3"/>
  <c r="K955" i="3"/>
  <c r="G955" i="3"/>
  <c r="B955" i="3"/>
  <c r="O954" i="3"/>
  <c r="K954" i="3"/>
  <c r="G954" i="3"/>
  <c r="B954" i="3"/>
  <c r="O953" i="3"/>
  <c r="K953" i="3"/>
  <c r="G953" i="3"/>
  <c r="B953" i="3"/>
  <c r="O952" i="3"/>
  <c r="K952" i="3"/>
  <c r="G952" i="3"/>
  <c r="B952" i="3"/>
  <c r="O951" i="3"/>
  <c r="K951" i="3"/>
  <c r="G951" i="3"/>
  <c r="B951" i="3"/>
  <c r="O950" i="3"/>
  <c r="K950" i="3"/>
  <c r="G950" i="3"/>
  <c r="B950" i="3"/>
  <c r="O949" i="3"/>
  <c r="K949" i="3"/>
  <c r="G949" i="3"/>
  <c r="B949" i="3"/>
  <c r="O948" i="3"/>
  <c r="K948" i="3"/>
  <c r="G948" i="3"/>
  <c r="B948" i="3"/>
  <c r="O947" i="3"/>
  <c r="K947" i="3"/>
  <c r="G947" i="3"/>
  <c r="B947" i="3"/>
  <c r="O946" i="3"/>
  <c r="K946" i="3"/>
  <c r="G946" i="3"/>
  <c r="B946" i="3"/>
  <c r="O945" i="3"/>
  <c r="K945" i="3"/>
  <c r="G945" i="3"/>
  <c r="B945" i="3"/>
  <c r="O944" i="3"/>
  <c r="K944" i="3"/>
  <c r="G944" i="3"/>
  <c r="B944" i="3"/>
  <c r="O943" i="3"/>
  <c r="K943" i="3"/>
  <c r="G943" i="3"/>
  <c r="B943" i="3"/>
  <c r="O942" i="3"/>
  <c r="K942" i="3"/>
  <c r="G942" i="3"/>
  <c r="B942" i="3"/>
  <c r="O941" i="3"/>
  <c r="K941" i="3"/>
  <c r="G941" i="3"/>
  <c r="B941" i="3"/>
  <c r="O940" i="3"/>
  <c r="K940" i="3"/>
  <c r="G940" i="3"/>
  <c r="B940" i="3"/>
  <c r="O939" i="3"/>
  <c r="K939" i="3"/>
  <c r="G939" i="3"/>
  <c r="B939" i="3"/>
  <c r="O938" i="3"/>
  <c r="K938" i="3"/>
  <c r="G938" i="3"/>
  <c r="B938" i="3"/>
  <c r="O937" i="3"/>
  <c r="K937" i="3"/>
  <c r="G937" i="3"/>
  <c r="B937" i="3"/>
  <c r="O936" i="3"/>
  <c r="K936" i="3"/>
  <c r="G936" i="3"/>
  <c r="B936" i="3"/>
  <c r="O935" i="3"/>
  <c r="K935" i="3"/>
  <c r="G935" i="3"/>
  <c r="B935" i="3"/>
  <c r="O934" i="3"/>
  <c r="K934" i="3"/>
  <c r="G934" i="3"/>
  <c r="B934" i="3"/>
  <c r="O933" i="3"/>
  <c r="K933" i="3"/>
  <c r="G933" i="3"/>
  <c r="B933" i="3"/>
  <c r="O932" i="3"/>
  <c r="K932" i="3"/>
  <c r="G932" i="3"/>
  <c r="B932" i="3"/>
  <c r="O931" i="3"/>
  <c r="K931" i="3"/>
  <c r="G931" i="3"/>
  <c r="B931" i="3"/>
  <c r="O930" i="3"/>
  <c r="K930" i="3"/>
  <c r="G930" i="3"/>
  <c r="B930" i="3"/>
  <c r="O929" i="3"/>
  <c r="K929" i="3"/>
  <c r="G929" i="3"/>
  <c r="B929" i="3"/>
  <c r="O928" i="3"/>
  <c r="K928" i="3"/>
  <c r="G928" i="3"/>
  <c r="B928" i="3"/>
  <c r="O927" i="3"/>
  <c r="K927" i="3"/>
  <c r="G927" i="3"/>
  <c r="B927" i="3"/>
  <c r="O926" i="3"/>
  <c r="K926" i="3"/>
  <c r="G926" i="3"/>
  <c r="B926" i="3"/>
  <c r="O925" i="3"/>
  <c r="K925" i="3"/>
  <c r="G925" i="3"/>
  <c r="B925" i="3"/>
  <c r="O924" i="3"/>
  <c r="K924" i="3"/>
  <c r="G924" i="3"/>
  <c r="B924" i="3"/>
  <c r="O923" i="3"/>
  <c r="K923" i="3"/>
  <c r="G923" i="3"/>
  <c r="B923" i="3"/>
  <c r="O922" i="3"/>
  <c r="K922" i="3"/>
  <c r="G922" i="3"/>
  <c r="B922" i="3"/>
  <c r="O921" i="3"/>
  <c r="K921" i="3"/>
  <c r="G921" i="3"/>
  <c r="B921" i="3"/>
  <c r="O920" i="3"/>
  <c r="K920" i="3"/>
  <c r="G920" i="3"/>
  <c r="B920" i="3"/>
  <c r="O919" i="3"/>
  <c r="K919" i="3"/>
  <c r="G919" i="3"/>
  <c r="B919" i="3"/>
  <c r="O918" i="3"/>
  <c r="K918" i="3"/>
  <c r="G918" i="3"/>
  <c r="B918" i="3"/>
  <c r="O917" i="3"/>
  <c r="K917" i="3"/>
  <c r="G917" i="3"/>
  <c r="B917" i="3"/>
  <c r="O916" i="3"/>
  <c r="K916" i="3"/>
  <c r="G916" i="3"/>
  <c r="B916" i="3"/>
  <c r="O915" i="3"/>
  <c r="K915" i="3"/>
  <c r="G915" i="3"/>
  <c r="B915" i="3"/>
  <c r="O914" i="3"/>
  <c r="K914" i="3"/>
  <c r="G914" i="3"/>
  <c r="B914" i="3"/>
  <c r="O913" i="3"/>
  <c r="K913" i="3"/>
  <c r="G913" i="3"/>
  <c r="B913" i="3"/>
  <c r="O912" i="3"/>
  <c r="K912" i="3"/>
  <c r="G912" i="3"/>
  <c r="B912" i="3"/>
  <c r="O911" i="3"/>
  <c r="K911" i="3"/>
  <c r="G911" i="3"/>
  <c r="B911" i="3"/>
  <c r="O910" i="3"/>
  <c r="K910" i="3"/>
  <c r="G910" i="3"/>
  <c r="B910" i="3"/>
  <c r="O909" i="3"/>
  <c r="K909" i="3"/>
  <c r="G909" i="3"/>
  <c r="B909" i="3"/>
  <c r="O908" i="3"/>
  <c r="K908" i="3"/>
  <c r="G908" i="3"/>
  <c r="B908" i="3"/>
  <c r="O907" i="3"/>
  <c r="K907" i="3"/>
  <c r="G907" i="3"/>
  <c r="B907" i="3"/>
  <c r="O906" i="3"/>
  <c r="K906" i="3"/>
  <c r="G906" i="3"/>
  <c r="B906" i="3"/>
  <c r="O905" i="3"/>
  <c r="K905" i="3"/>
  <c r="G905" i="3"/>
  <c r="B905" i="3"/>
  <c r="O904" i="3"/>
  <c r="K904" i="3"/>
  <c r="G904" i="3"/>
  <c r="B904" i="3"/>
  <c r="O903" i="3"/>
  <c r="K903" i="3"/>
  <c r="G903" i="3"/>
  <c r="B903" i="3"/>
  <c r="O902" i="3"/>
  <c r="K902" i="3"/>
  <c r="G902" i="3"/>
  <c r="B902" i="3"/>
  <c r="O901" i="3"/>
  <c r="K901" i="3"/>
  <c r="G901" i="3"/>
  <c r="B901" i="3"/>
  <c r="O900" i="3"/>
  <c r="K900" i="3"/>
  <c r="G900" i="3"/>
  <c r="B900" i="3"/>
  <c r="O899" i="3"/>
  <c r="K899" i="3"/>
  <c r="G899" i="3"/>
  <c r="B899" i="3"/>
  <c r="O898" i="3"/>
  <c r="K898" i="3"/>
  <c r="G898" i="3"/>
  <c r="B898" i="3"/>
  <c r="O897" i="3"/>
  <c r="K897" i="3"/>
  <c r="G897" i="3"/>
  <c r="B897" i="3"/>
  <c r="O896" i="3"/>
  <c r="K896" i="3"/>
  <c r="G896" i="3"/>
  <c r="B896" i="3"/>
  <c r="O895" i="3"/>
  <c r="K895" i="3"/>
  <c r="G895" i="3"/>
  <c r="B895" i="3"/>
  <c r="O894" i="3"/>
  <c r="K894" i="3"/>
  <c r="G894" i="3"/>
  <c r="B894" i="3"/>
  <c r="O893" i="3"/>
  <c r="K893" i="3"/>
  <c r="G893" i="3"/>
  <c r="B893" i="3"/>
  <c r="O892" i="3"/>
  <c r="K892" i="3"/>
  <c r="G892" i="3"/>
  <c r="B892" i="3"/>
  <c r="O891" i="3"/>
  <c r="K891" i="3"/>
  <c r="G891" i="3"/>
  <c r="B891" i="3"/>
  <c r="O890" i="3"/>
  <c r="K890" i="3"/>
  <c r="G890" i="3"/>
  <c r="B890" i="3"/>
  <c r="O889" i="3"/>
  <c r="K889" i="3"/>
  <c r="G889" i="3"/>
  <c r="B889" i="3"/>
  <c r="O888" i="3"/>
  <c r="K888" i="3"/>
  <c r="G888" i="3"/>
  <c r="B888" i="3"/>
  <c r="O887" i="3"/>
  <c r="K887" i="3"/>
  <c r="G887" i="3"/>
  <c r="B887" i="3"/>
  <c r="O886" i="3"/>
  <c r="K886" i="3"/>
  <c r="G886" i="3"/>
  <c r="B886" i="3"/>
  <c r="O885" i="3"/>
  <c r="K885" i="3"/>
  <c r="G885" i="3"/>
  <c r="B885" i="3"/>
  <c r="O884" i="3"/>
  <c r="K884" i="3"/>
  <c r="G884" i="3"/>
  <c r="B884" i="3"/>
  <c r="O883" i="3"/>
  <c r="K883" i="3"/>
  <c r="G883" i="3"/>
  <c r="B883" i="3"/>
  <c r="O882" i="3"/>
  <c r="K882" i="3"/>
  <c r="G882" i="3"/>
  <c r="B882" i="3"/>
  <c r="O881" i="3"/>
  <c r="K881" i="3"/>
  <c r="G881" i="3"/>
  <c r="B881" i="3"/>
  <c r="O880" i="3"/>
  <c r="K880" i="3"/>
  <c r="G880" i="3"/>
  <c r="B880" i="3"/>
  <c r="O879" i="3"/>
  <c r="K879" i="3"/>
  <c r="G879" i="3"/>
  <c r="B879" i="3"/>
  <c r="O878" i="3"/>
  <c r="K878" i="3"/>
  <c r="G878" i="3"/>
  <c r="B878" i="3"/>
  <c r="O877" i="3"/>
  <c r="K877" i="3"/>
  <c r="G877" i="3"/>
  <c r="B877" i="3"/>
  <c r="O876" i="3"/>
  <c r="K876" i="3"/>
  <c r="G876" i="3"/>
  <c r="B876" i="3"/>
  <c r="O875" i="3"/>
  <c r="K875" i="3"/>
  <c r="G875" i="3"/>
  <c r="B875" i="3"/>
  <c r="O874" i="3"/>
  <c r="K874" i="3"/>
  <c r="G874" i="3"/>
  <c r="B874" i="3"/>
  <c r="O873" i="3"/>
  <c r="K873" i="3"/>
  <c r="G873" i="3"/>
  <c r="B873" i="3"/>
  <c r="O872" i="3"/>
  <c r="K872" i="3"/>
  <c r="G872" i="3"/>
  <c r="B872" i="3"/>
  <c r="O871" i="3"/>
  <c r="K871" i="3"/>
  <c r="G871" i="3"/>
  <c r="B871" i="3"/>
  <c r="O870" i="3"/>
  <c r="K870" i="3"/>
  <c r="G870" i="3"/>
  <c r="B870" i="3"/>
  <c r="O869" i="3"/>
  <c r="K869" i="3"/>
  <c r="G869" i="3"/>
  <c r="B869" i="3"/>
  <c r="O868" i="3"/>
  <c r="K868" i="3"/>
  <c r="G868" i="3"/>
  <c r="B868" i="3"/>
  <c r="O867" i="3"/>
  <c r="K867" i="3"/>
  <c r="G867" i="3"/>
  <c r="B867" i="3"/>
  <c r="O866" i="3"/>
  <c r="K866" i="3"/>
  <c r="G866" i="3"/>
  <c r="B866" i="3"/>
  <c r="O865" i="3"/>
  <c r="K865" i="3"/>
  <c r="G865" i="3"/>
  <c r="B865" i="3"/>
  <c r="O864" i="3"/>
  <c r="K864" i="3"/>
  <c r="G864" i="3"/>
  <c r="B864" i="3"/>
  <c r="O863" i="3"/>
  <c r="K863" i="3"/>
  <c r="G863" i="3"/>
  <c r="B863" i="3"/>
  <c r="O862" i="3"/>
  <c r="K862" i="3"/>
  <c r="G862" i="3"/>
  <c r="B862" i="3"/>
  <c r="O861" i="3"/>
  <c r="K861" i="3"/>
  <c r="G861" i="3"/>
  <c r="B861" i="3"/>
  <c r="O860" i="3"/>
  <c r="K860" i="3"/>
  <c r="G860" i="3"/>
  <c r="B860" i="3"/>
  <c r="O859" i="3"/>
  <c r="K859" i="3"/>
  <c r="G859" i="3"/>
  <c r="B859" i="3"/>
  <c r="O858" i="3"/>
  <c r="K858" i="3"/>
  <c r="G858" i="3"/>
  <c r="B858" i="3"/>
  <c r="O857" i="3"/>
  <c r="K857" i="3"/>
  <c r="G857" i="3"/>
  <c r="B857" i="3"/>
  <c r="O856" i="3"/>
  <c r="K856" i="3"/>
  <c r="G856" i="3"/>
  <c r="B856" i="3"/>
  <c r="O855" i="3"/>
  <c r="K855" i="3"/>
  <c r="G855" i="3"/>
  <c r="B855" i="3"/>
  <c r="O854" i="3"/>
  <c r="K854" i="3"/>
  <c r="G854" i="3"/>
  <c r="B854" i="3"/>
  <c r="O853" i="3"/>
  <c r="K853" i="3"/>
  <c r="G853" i="3"/>
  <c r="B853" i="3"/>
  <c r="O852" i="3"/>
  <c r="K852" i="3"/>
  <c r="G852" i="3"/>
  <c r="B852" i="3"/>
  <c r="O851" i="3"/>
  <c r="K851" i="3"/>
  <c r="G851" i="3"/>
  <c r="B851" i="3"/>
  <c r="O850" i="3"/>
  <c r="K850" i="3"/>
  <c r="G850" i="3"/>
  <c r="B850" i="3"/>
  <c r="O849" i="3"/>
  <c r="K849" i="3"/>
  <c r="G849" i="3"/>
  <c r="B849" i="3"/>
  <c r="O848" i="3"/>
  <c r="K848" i="3"/>
  <c r="G848" i="3"/>
  <c r="B848" i="3"/>
  <c r="O847" i="3"/>
  <c r="K847" i="3"/>
  <c r="G847" i="3"/>
  <c r="B847" i="3"/>
  <c r="O846" i="3"/>
  <c r="K846" i="3"/>
  <c r="G846" i="3"/>
  <c r="B846" i="3"/>
  <c r="O845" i="3"/>
  <c r="K845" i="3"/>
  <c r="G845" i="3"/>
  <c r="B845" i="3"/>
  <c r="O844" i="3"/>
  <c r="K844" i="3"/>
  <c r="G844" i="3"/>
  <c r="B844" i="3"/>
  <c r="O843" i="3"/>
  <c r="K843" i="3"/>
  <c r="G843" i="3"/>
  <c r="B843" i="3"/>
  <c r="O842" i="3"/>
  <c r="K842" i="3"/>
  <c r="G842" i="3"/>
  <c r="B842" i="3"/>
  <c r="O841" i="3"/>
  <c r="K841" i="3"/>
  <c r="G841" i="3"/>
  <c r="B841" i="3"/>
  <c r="O840" i="3"/>
  <c r="K840" i="3"/>
  <c r="G840" i="3"/>
  <c r="B840" i="3"/>
  <c r="O839" i="3"/>
  <c r="K839" i="3"/>
  <c r="G839" i="3"/>
  <c r="B839" i="3"/>
  <c r="O838" i="3"/>
  <c r="K838" i="3"/>
  <c r="G838" i="3"/>
  <c r="B838" i="3"/>
  <c r="O837" i="3"/>
  <c r="K837" i="3"/>
  <c r="G837" i="3"/>
  <c r="B837" i="3"/>
  <c r="O836" i="3"/>
  <c r="K836" i="3"/>
  <c r="G836" i="3"/>
  <c r="B836" i="3"/>
  <c r="O835" i="3"/>
  <c r="K835" i="3"/>
  <c r="G835" i="3"/>
  <c r="B835" i="3"/>
  <c r="O834" i="3"/>
  <c r="K834" i="3"/>
  <c r="G834" i="3"/>
  <c r="B834" i="3"/>
  <c r="O833" i="3"/>
  <c r="K833" i="3"/>
  <c r="G833" i="3"/>
  <c r="B833" i="3"/>
  <c r="O832" i="3"/>
  <c r="K832" i="3"/>
  <c r="G832" i="3"/>
  <c r="B832" i="3"/>
  <c r="O831" i="3"/>
  <c r="K831" i="3"/>
  <c r="G831" i="3"/>
  <c r="B831" i="3"/>
  <c r="O830" i="3"/>
  <c r="K830" i="3"/>
  <c r="G830" i="3"/>
  <c r="B830" i="3"/>
  <c r="O829" i="3"/>
  <c r="K829" i="3"/>
  <c r="G829" i="3"/>
  <c r="B829" i="3"/>
  <c r="O828" i="3"/>
  <c r="K828" i="3"/>
  <c r="G828" i="3"/>
  <c r="B828" i="3"/>
  <c r="O827" i="3"/>
  <c r="K827" i="3"/>
  <c r="G827" i="3"/>
  <c r="B827" i="3"/>
  <c r="O826" i="3"/>
  <c r="K826" i="3"/>
  <c r="G826" i="3"/>
  <c r="B826" i="3"/>
  <c r="O825" i="3"/>
  <c r="K825" i="3"/>
  <c r="G825" i="3"/>
  <c r="B825" i="3"/>
  <c r="O824" i="3"/>
  <c r="K824" i="3"/>
  <c r="G824" i="3"/>
  <c r="B824" i="3"/>
  <c r="O823" i="3"/>
  <c r="K823" i="3"/>
  <c r="G823" i="3"/>
  <c r="B823" i="3"/>
  <c r="O822" i="3"/>
  <c r="K822" i="3"/>
  <c r="G822" i="3"/>
  <c r="B822" i="3"/>
  <c r="O821" i="3"/>
  <c r="K821" i="3"/>
  <c r="G821" i="3"/>
  <c r="B821" i="3"/>
  <c r="O820" i="3"/>
  <c r="K820" i="3"/>
  <c r="G820" i="3"/>
  <c r="B820" i="3"/>
  <c r="O819" i="3"/>
  <c r="K819" i="3"/>
  <c r="G819" i="3"/>
  <c r="B819" i="3"/>
  <c r="O818" i="3"/>
  <c r="K818" i="3"/>
  <c r="G818" i="3"/>
  <c r="B818" i="3"/>
  <c r="O817" i="3"/>
  <c r="K817" i="3"/>
  <c r="G817" i="3"/>
  <c r="B817" i="3"/>
  <c r="O816" i="3"/>
  <c r="K816" i="3"/>
  <c r="G816" i="3"/>
  <c r="B816" i="3"/>
  <c r="O815" i="3"/>
  <c r="K815" i="3"/>
  <c r="G815" i="3"/>
  <c r="B815" i="3"/>
  <c r="O814" i="3"/>
  <c r="K814" i="3"/>
  <c r="G814" i="3"/>
  <c r="B814" i="3"/>
  <c r="O813" i="3"/>
  <c r="K813" i="3"/>
  <c r="G813" i="3"/>
  <c r="B813" i="3"/>
  <c r="O812" i="3"/>
  <c r="K812" i="3"/>
  <c r="G812" i="3"/>
  <c r="B812" i="3"/>
  <c r="O811" i="3"/>
  <c r="K811" i="3"/>
  <c r="G811" i="3"/>
  <c r="B811" i="3"/>
  <c r="O810" i="3"/>
  <c r="K810" i="3"/>
  <c r="G810" i="3"/>
  <c r="B810" i="3"/>
  <c r="O809" i="3"/>
  <c r="K809" i="3"/>
  <c r="G809" i="3"/>
  <c r="B809" i="3"/>
  <c r="O808" i="3"/>
  <c r="K808" i="3"/>
  <c r="G808" i="3"/>
  <c r="B808" i="3"/>
  <c r="O807" i="3"/>
  <c r="K807" i="3"/>
  <c r="G807" i="3"/>
  <c r="B807" i="3"/>
  <c r="O806" i="3"/>
  <c r="K806" i="3"/>
  <c r="G806" i="3"/>
  <c r="B806" i="3"/>
  <c r="O805" i="3"/>
  <c r="K805" i="3"/>
  <c r="G805" i="3"/>
  <c r="B805" i="3"/>
  <c r="O804" i="3"/>
  <c r="K804" i="3"/>
  <c r="G804" i="3"/>
  <c r="B804" i="3"/>
  <c r="O803" i="3"/>
  <c r="K803" i="3"/>
  <c r="G803" i="3"/>
  <c r="B803" i="3"/>
  <c r="O802" i="3"/>
  <c r="K802" i="3"/>
  <c r="G802" i="3"/>
  <c r="B802" i="3"/>
  <c r="O801" i="3"/>
  <c r="K801" i="3"/>
  <c r="G801" i="3"/>
  <c r="B801" i="3"/>
  <c r="O800" i="3"/>
  <c r="K800" i="3"/>
  <c r="G800" i="3"/>
  <c r="B800" i="3"/>
  <c r="O799" i="3"/>
  <c r="K799" i="3"/>
  <c r="G799" i="3"/>
  <c r="B799" i="3"/>
  <c r="O798" i="3"/>
  <c r="K798" i="3"/>
  <c r="G798" i="3"/>
  <c r="B798" i="3"/>
  <c r="O797" i="3"/>
  <c r="K797" i="3"/>
  <c r="G797" i="3"/>
  <c r="B797" i="3"/>
  <c r="O796" i="3"/>
  <c r="K796" i="3"/>
  <c r="G796" i="3"/>
  <c r="B796" i="3"/>
  <c r="O795" i="3"/>
  <c r="K795" i="3"/>
  <c r="G795" i="3"/>
  <c r="B795" i="3"/>
  <c r="O794" i="3"/>
  <c r="K794" i="3"/>
  <c r="G794" i="3"/>
  <c r="B794" i="3"/>
  <c r="O793" i="3"/>
  <c r="K793" i="3"/>
  <c r="G793" i="3"/>
  <c r="B793" i="3"/>
  <c r="O792" i="3"/>
  <c r="K792" i="3"/>
  <c r="G792" i="3"/>
  <c r="B792" i="3"/>
  <c r="O791" i="3"/>
  <c r="K791" i="3"/>
  <c r="G791" i="3"/>
  <c r="B791" i="3"/>
  <c r="O790" i="3"/>
  <c r="K790" i="3"/>
  <c r="G790" i="3"/>
  <c r="B790" i="3"/>
  <c r="O789" i="3"/>
  <c r="K789" i="3"/>
  <c r="G789" i="3"/>
  <c r="B789" i="3"/>
  <c r="O788" i="3"/>
  <c r="K788" i="3"/>
  <c r="G788" i="3"/>
  <c r="B788" i="3"/>
  <c r="O787" i="3"/>
  <c r="K787" i="3"/>
  <c r="G787" i="3"/>
  <c r="B787" i="3"/>
  <c r="O786" i="3"/>
  <c r="K786" i="3"/>
  <c r="G786" i="3"/>
  <c r="B786" i="3"/>
  <c r="O785" i="3"/>
  <c r="K785" i="3"/>
  <c r="G785" i="3"/>
  <c r="B785" i="3"/>
  <c r="O784" i="3"/>
  <c r="K784" i="3"/>
  <c r="G784" i="3"/>
  <c r="B784" i="3"/>
  <c r="O783" i="3"/>
  <c r="K783" i="3"/>
  <c r="G783" i="3"/>
  <c r="B783" i="3"/>
  <c r="O782" i="3"/>
  <c r="K782" i="3"/>
  <c r="G782" i="3"/>
  <c r="B782" i="3"/>
  <c r="O781" i="3"/>
  <c r="K781" i="3"/>
  <c r="G781" i="3"/>
  <c r="B781" i="3"/>
  <c r="O780" i="3"/>
  <c r="K780" i="3"/>
  <c r="G780" i="3"/>
  <c r="B780" i="3"/>
  <c r="O779" i="3"/>
  <c r="K779" i="3"/>
  <c r="G779" i="3"/>
  <c r="B779" i="3"/>
  <c r="O778" i="3"/>
  <c r="K778" i="3"/>
  <c r="G778" i="3"/>
  <c r="B778" i="3"/>
  <c r="O777" i="3"/>
  <c r="K777" i="3"/>
  <c r="G777" i="3"/>
  <c r="B777" i="3"/>
  <c r="O776" i="3"/>
  <c r="K776" i="3"/>
  <c r="G776" i="3"/>
  <c r="B776" i="3"/>
  <c r="O775" i="3"/>
  <c r="K775" i="3"/>
  <c r="G775" i="3"/>
  <c r="B775" i="3"/>
  <c r="O774" i="3"/>
  <c r="K774" i="3"/>
  <c r="G774" i="3"/>
  <c r="B774" i="3"/>
  <c r="O773" i="3"/>
  <c r="K773" i="3"/>
  <c r="G773" i="3"/>
  <c r="B773" i="3"/>
  <c r="O772" i="3"/>
  <c r="K772" i="3"/>
  <c r="G772" i="3"/>
  <c r="B772" i="3"/>
  <c r="O771" i="3"/>
  <c r="K771" i="3"/>
  <c r="G771" i="3"/>
  <c r="B771" i="3"/>
  <c r="O770" i="3"/>
  <c r="K770" i="3"/>
  <c r="G770" i="3"/>
  <c r="B770" i="3"/>
  <c r="O769" i="3"/>
  <c r="K769" i="3"/>
  <c r="G769" i="3"/>
  <c r="B769" i="3"/>
  <c r="O768" i="3"/>
  <c r="K768" i="3"/>
  <c r="G768" i="3"/>
  <c r="B768" i="3"/>
  <c r="O767" i="3"/>
  <c r="K767" i="3"/>
  <c r="G767" i="3"/>
  <c r="B767" i="3"/>
  <c r="O766" i="3"/>
  <c r="K766" i="3"/>
  <c r="G766" i="3"/>
  <c r="B766" i="3"/>
  <c r="O765" i="3"/>
  <c r="K765" i="3"/>
  <c r="G765" i="3"/>
  <c r="B765" i="3"/>
  <c r="O764" i="3"/>
  <c r="K764" i="3"/>
  <c r="G764" i="3"/>
  <c r="B764" i="3"/>
  <c r="O763" i="3"/>
  <c r="K763" i="3"/>
  <c r="G763" i="3"/>
  <c r="B763" i="3"/>
  <c r="O762" i="3"/>
  <c r="K762" i="3"/>
  <c r="G762" i="3"/>
  <c r="B762" i="3"/>
  <c r="O761" i="3"/>
  <c r="K761" i="3"/>
  <c r="G761" i="3"/>
  <c r="B761" i="3"/>
  <c r="O760" i="3"/>
  <c r="K760" i="3"/>
  <c r="G760" i="3"/>
  <c r="B760" i="3"/>
  <c r="O759" i="3"/>
  <c r="K759" i="3"/>
  <c r="G759" i="3"/>
  <c r="B759" i="3"/>
  <c r="O758" i="3"/>
  <c r="K758" i="3"/>
  <c r="G758" i="3"/>
  <c r="B758" i="3"/>
  <c r="O757" i="3"/>
  <c r="K757" i="3"/>
  <c r="G757" i="3"/>
  <c r="B757" i="3"/>
  <c r="O756" i="3"/>
  <c r="K756" i="3"/>
  <c r="G756" i="3"/>
  <c r="B756" i="3"/>
  <c r="O755" i="3"/>
  <c r="K755" i="3"/>
  <c r="G755" i="3"/>
  <c r="B755" i="3"/>
  <c r="O754" i="3"/>
  <c r="K754" i="3"/>
  <c r="G754" i="3"/>
  <c r="B754" i="3"/>
  <c r="O753" i="3"/>
  <c r="K753" i="3"/>
  <c r="G753" i="3"/>
  <c r="B753" i="3"/>
  <c r="O752" i="3"/>
  <c r="K752" i="3"/>
  <c r="G752" i="3"/>
  <c r="B752" i="3"/>
  <c r="O751" i="3"/>
  <c r="K751" i="3"/>
  <c r="G751" i="3"/>
  <c r="B751" i="3"/>
  <c r="O750" i="3"/>
  <c r="K750" i="3"/>
  <c r="G750" i="3"/>
  <c r="B750" i="3"/>
  <c r="O749" i="3"/>
  <c r="K749" i="3"/>
  <c r="G749" i="3"/>
  <c r="B749" i="3"/>
  <c r="O748" i="3"/>
  <c r="K748" i="3"/>
  <c r="G748" i="3"/>
  <c r="B748" i="3"/>
  <c r="O747" i="3"/>
  <c r="K747" i="3"/>
  <c r="G747" i="3"/>
  <c r="B747" i="3"/>
  <c r="O746" i="3"/>
  <c r="K746" i="3"/>
  <c r="G746" i="3"/>
  <c r="B746" i="3"/>
  <c r="O745" i="3"/>
  <c r="K745" i="3"/>
  <c r="G745" i="3"/>
  <c r="B745" i="3"/>
  <c r="O744" i="3"/>
  <c r="K744" i="3"/>
  <c r="G744" i="3"/>
  <c r="B744" i="3"/>
  <c r="O743" i="3"/>
  <c r="K743" i="3"/>
  <c r="G743" i="3"/>
  <c r="B743" i="3"/>
  <c r="O742" i="3"/>
  <c r="K742" i="3"/>
  <c r="G742" i="3"/>
  <c r="B742" i="3"/>
  <c r="O741" i="3"/>
  <c r="K741" i="3"/>
  <c r="G741" i="3"/>
  <c r="B741" i="3"/>
  <c r="O740" i="3"/>
  <c r="K740" i="3"/>
  <c r="G740" i="3"/>
  <c r="B740" i="3"/>
  <c r="O739" i="3"/>
  <c r="K739" i="3"/>
  <c r="G739" i="3"/>
  <c r="B739" i="3"/>
  <c r="O738" i="3"/>
  <c r="K738" i="3"/>
  <c r="G738" i="3"/>
  <c r="B738" i="3"/>
  <c r="O737" i="3"/>
  <c r="K737" i="3"/>
  <c r="G737" i="3"/>
  <c r="B737" i="3"/>
  <c r="O736" i="3"/>
  <c r="K736" i="3"/>
  <c r="G736" i="3"/>
  <c r="B736" i="3"/>
  <c r="O735" i="3"/>
  <c r="K735" i="3"/>
  <c r="G735" i="3"/>
  <c r="B735" i="3"/>
  <c r="O734" i="3"/>
  <c r="K734" i="3"/>
  <c r="G734" i="3"/>
  <c r="B734" i="3"/>
  <c r="O733" i="3"/>
  <c r="K733" i="3"/>
  <c r="G733" i="3"/>
  <c r="B733" i="3"/>
  <c r="O732" i="3"/>
  <c r="K732" i="3"/>
  <c r="G732" i="3"/>
  <c r="B732" i="3"/>
  <c r="O731" i="3"/>
  <c r="K731" i="3"/>
  <c r="G731" i="3"/>
  <c r="B731" i="3"/>
  <c r="O730" i="3"/>
  <c r="K730" i="3"/>
  <c r="G730" i="3"/>
  <c r="B730" i="3"/>
  <c r="O729" i="3"/>
  <c r="K729" i="3"/>
  <c r="G729" i="3"/>
  <c r="B729" i="3"/>
  <c r="O728" i="3"/>
  <c r="K728" i="3"/>
  <c r="G728" i="3"/>
  <c r="B728" i="3"/>
  <c r="O727" i="3"/>
  <c r="K727" i="3"/>
  <c r="G727" i="3"/>
  <c r="B727" i="3"/>
  <c r="O726" i="3"/>
  <c r="K726" i="3"/>
  <c r="G726" i="3"/>
  <c r="B726" i="3"/>
  <c r="O725" i="3"/>
  <c r="K725" i="3"/>
  <c r="G725" i="3"/>
  <c r="B725" i="3"/>
  <c r="O724" i="3"/>
  <c r="K724" i="3"/>
  <c r="G724" i="3"/>
  <c r="B724" i="3"/>
  <c r="O723" i="3"/>
  <c r="K723" i="3"/>
  <c r="G723" i="3"/>
  <c r="B723" i="3"/>
  <c r="O722" i="3"/>
  <c r="K722" i="3"/>
  <c r="G722" i="3"/>
  <c r="B722" i="3"/>
  <c r="O721" i="3"/>
  <c r="K721" i="3"/>
  <c r="G721" i="3"/>
  <c r="B721" i="3"/>
  <c r="O720" i="3"/>
  <c r="K720" i="3"/>
  <c r="G720" i="3"/>
  <c r="B720" i="3"/>
  <c r="O719" i="3"/>
  <c r="K719" i="3"/>
  <c r="G719" i="3"/>
  <c r="B719" i="3"/>
  <c r="O718" i="3"/>
  <c r="K718" i="3"/>
  <c r="G718" i="3"/>
  <c r="B718" i="3"/>
  <c r="O717" i="3"/>
  <c r="K717" i="3"/>
  <c r="G717" i="3"/>
  <c r="B717" i="3"/>
  <c r="O716" i="3"/>
  <c r="K716" i="3"/>
  <c r="G716" i="3"/>
  <c r="B716" i="3"/>
  <c r="O715" i="3"/>
  <c r="K715" i="3"/>
  <c r="G715" i="3"/>
  <c r="B715" i="3"/>
  <c r="O714" i="3"/>
  <c r="K714" i="3"/>
  <c r="G714" i="3"/>
  <c r="B714" i="3"/>
  <c r="O713" i="3"/>
  <c r="K713" i="3"/>
  <c r="G713" i="3"/>
  <c r="B713" i="3"/>
  <c r="O712" i="3"/>
  <c r="K712" i="3"/>
  <c r="G712" i="3"/>
  <c r="B712" i="3"/>
  <c r="O711" i="3"/>
  <c r="K711" i="3"/>
  <c r="G711" i="3"/>
  <c r="B711" i="3"/>
  <c r="O710" i="3"/>
  <c r="K710" i="3"/>
  <c r="G710" i="3"/>
  <c r="B710" i="3"/>
  <c r="O709" i="3"/>
  <c r="K709" i="3"/>
  <c r="G709" i="3"/>
  <c r="B709" i="3"/>
  <c r="O708" i="3"/>
  <c r="K708" i="3"/>
  <c r="G708" i="3"/>
  <c r="B708" i="3"/>
  <c r="O707" i="3"/>
  <c r="K707" i="3"/>
  <c r="G707" i="3"/>
  <c r="B707" i="3"/>
  <c r="O706" i="3"/>
  <c r="K706" i="3"/>
  <c r="G706" i="3"/>
  <c r="B706" i="3"/>
  <c r="O705" i="3"/>
  <c r="K705" i="3"/>
  <c r="G705" i="3"/>
  <c r="B705" i="3"/>
  <c r="O704" i="3"/>
  <c r="K704" i="3"/>
  <c r="G704" i="3"/>
  <c r="B704" i="3"/>
  <c r="O703" i="3"/>
  <c r="K703" i="3"/>
  <c r="G703" i="3"/>
  <c r="B703" i="3"/>
  <c r="O702" i="3"/>
  <c r="K702" i="3"/>
  <c r="G702" i="3"/>
  <c r="B702" i="3"/>
  <c r="O701" i="3"/>
  <c r="K701" i="3"/>
  <c r="G701" i="3"/>
  <c r="B701" i="3"/>
  <c r="O700" i="3"/>
  <c r="K700" i="3"/>
  <c r="G700" i="3"/>
  <c r="B700" i="3"/>
  <c r="O699" i="3"/>
  <c r="K699" i="3"/>
  <c r="G699" i="3"/>
  <c r="B699" i="3"/>
  <c r="O698" i="3"/>
  <c r="K698" i="3"/>
  <c r="G698" i="3"/>
  <c r="B698" i="3"/>
  <c r="O697" i="3"/>
  <c r="K697" i="3"/>
  <c r="G697" i="3"/>
  <c r="B697" i="3"/>
  <c r="O696" i="3"/>
  <c r="K696" i="3"/>
  <c r="G696" i="3"/>
  <c r="B696" i="3"/>
  <c r="O695" i="3"/>
  <c r="K695" i="3"/>
  <c r="G695" i="3"/>
  <c r="B695" i="3"/>
  <c r="O694" i="3"/>
  <c r="K694" i="3"/>
  <c r="G694" i="3"/>
  <c r="B694" i="3"/>
  <c r="O693" i="3"/>
  <c r="K693" i="3"/>
  <c r="G693" i="3"/>
  <c r="B693" i="3"/>
  <c r="O692" i="3"/>
  <c r="K692" i="3"/>
  <c r="G692" i="3"/>
  <c r="B692" i="3"/>
  <c r="O691" i="3"/>
  <c r="K691" i="3"/>
  <c r="G691" i="3"/>
  <c r="B691" i="3"/>
  <c r="O690" i="3"/>
  <c r="K690" i="3"/>
  <c r="G690" i="3"/>
  <c r="B690" i="3"/>
  <c r="O689" i="3"/>
  <c r="K689" i="3"/>
  <c r="G689" i="3"/>
  <c r="B689" i="3"/>
  <c r="O688" i="3"/>
  <c r="K688" i="3"/>
  <c r="G688" i="3"/>
  <c r="B688" i="3"/>
  <c r="O687" i="3"/>
  <c r="K687" i="3"/>
  <c r="G687" i="3"/>
  <c r="B687" i="3"/>
  <c r="O686" i="3"/>
  <c r="K686" i="3"/>
  <c r="G686" i="3"/>
  <c r="B686" i="3"/>
  <c r="O685" i="3"/>
  <c r="K685" i="3"/>
  <c r="G685" i="3"/>
  <c r="B685" i="3"/>
  <c r="O684" i="3"/>
  <c r="K684" i="3"/>
  <c r="G684" i="3"/>
  <c r="B684" i="3"/>
  <c r="O683" i="3"/>
  <c r="K683" i="3"/>
  <c r="G683" i="3"/>
  <c r="B683" i="3"/>
  <c r="O682" i="3"/>
  <c r="K682" i="3"/>
  <c r="G682" i="3"/>
  <c r="B682" i="3"/>
  <c r="O681" i="3"/>
  <c r="K681" i="3"/>
  <c r="G681" i="3"/>
  <c r="B681" i="3"/>
  <c r="O680" i="3"/>
  <c r="K680" i="3"/>
  <c r="G680" i="3"/>
  <c r="B680" i="3"/>
  <c r="O679" i="3"/>
  <c r="K679" i="3"/>
  <c r="G679" i="3"/>
  <c r="B679" i="3"/>
  <c r="O678" i="3"/>
  <c r="K678" i="3"/>
  <c r="G678" i="3"/>
  <c r="B678" i="3"/>
  <c r="O677" i="3"/>
  <c r="K677" i="3"/>
  <c r="G677" i="3"/>
  <c r="B677" i="3"/>
  <c r="O676" i="3"/>
  <c r="K676" i="3"/>
  <c r="G676" i="3"/>
  <c r="B676" i="3"/>
  <c r="O675" i="3"/>
  <c r="K675" i="3"/>
  <c r="G675" i="3"/>
  <c r="B675" i="3"/>
  <c r="O674" i="3"/>
  <c r="K674" i="3"/>
  <c r="G674" i="3"/>
  <c r="B674" i="3"/>
  <c r="O673" i="3"/>
  <c r="K673" i="3"/>
  <c r="G673" i="3"/>
  <c r="B673" i="3"/>
  <c r="O672" i="3"/>
  <c r="K672" i="3"/>
  <c r="G672" i="3"/>
  <c r="B672" i="3"/>
  <c r="O671" i="3"/>
  <c r="K671" i="3"/>
  <c r="G671" i="3"/>
  <c r="B671" i="3"/>
  <c r="O670" i="3"/>
  <c r="K670" i="3"/>
  <c r="G670" i="3"/>
  <c r="B670" i="3"/>
  <c r="O669" i="3"/>
  <c r="K669" i="3"/>
  <c r="G669" i="3"/>
  <c r="B669" i="3"/>
  <c r="O668" i="3"/>
  <c r="K668" i="3"/>
  <c r="G668" i="3"/>
  <c r="B668" i="3"/>
  <c r="O667" i="3"/>
  <c r="K667" i="3"/>
  <c r="G667" i="3"/>
  <c r="B667" i="3"/>
  <c r="O666" i="3"/>
  <c r="K666" i="3"/>
  <c r="G666" i="3"/>
  <c r="B666" i="3"/>
  <c r="O665" i="3"/>
  <c r="K665" i="3"/>
  <c r="G665" i="3"/>
  <c r="B665" i="3"/>
  <c r="O664" i="3"/>
  <c r="K664" i="3"/>
  <c r="G664" i="3"/>
  <c r="B664" i="3"/>
  <c r="O663" i="3"/>
  <c r="K663" i="3"/>
  <c r="G663" i="3"/>
  <c r="B663" i="3"/>
  <c r="O662" i="3"/>
  <c r="K662" i="3"/>
  <c r="G662" i="3"/>
  <c r="B662" i="3"/>
  <c r="O661" i="3"/>
  <c r="K661" i="3"/>
  <c r="G661" i="3"/>
  <c r="B661" i="3"/>
  <c r="O660" i="3"/>
  <c r="K660" i="3"/>
  <c r="G660" i="3"/>
  <c r="B660" i="3"/>
  <c r="O659" i="3"/>
  <c r="K659" i="3"/>
  <c r="G659" i="3"/>
  <c r="B659" i="3"/>
  <c r="O658" i="3"/>
  <c r="K658" i="3"/>
  <c r="G658" i="3"/>
  <c r="B658" i="3"/>
  <c r="O657" i="3"/>
  <c r="K657" i="3"/>
  <c r="G657" i="3"/>
  <c r="B657" i="3"/>
  <c r="O656" i="3"/>
  <c r="K656" i="3"/>
  <c r="G656" i="3"/>
  <c r="B656" i="3"/>
  <c r="O655" i="3"/>
  <c r="K655" i="3"/>
  <c r="G655" i="3"/>
  <c r="B655" i="3"/>
  <c r="O654" i="3"/>
  <c r="K654" i="3"/>
  <c r="G654" i="3"/>
  <c r="B654" i="3"/>
  <c r="O653" i="3"/>
  <c r="K653" i="3"/>
  <c r="G653" i="3"/>
  <c r="B653" i="3"/>
  <c r="O652" i="3"/>
  <c r="K652" i="3"/>
  <c r="G652" i="3"/>
  <c r="B652" i="3"/>
  <c r="O651" i="3"/>
  <c r="K651" i="3"/>
  <c r="G651" i="3"/>
  <c r="B651" i="3"/>
  <c r="O650" i="3"/>
  <c r="K650" i="3"/>
  <c r="G650" i="3"/>
  <c r="B650" i="3"/>
  <c r="O649" i="3"/>
  <c r="K649" i="3"/>
  <c r="G649" i="3"/>
  <c r="B649" i="3"/>
  <c r="O648" i="3"/>
  <c r="K648" i="3"/>
  <c r="G648" i="3"/>
  <c r="B648" i="3"/>
  <c r="O647" i="3"/>
  <c r="K647" i="3"/>
  <c r="G647" i="3"/>
  <c r="B647" i="3"/>
  <c r="O646" i="3"/>
  <c r="K646" i="3"/>
  <c r="G646" i="3"/>
  <c r="B646" i="3"/>
  <c r="O645" i="3"/>
  <c r="K645" i="3"/>
  <c r="G645" i="3"/>
  <c r="B645" i="3"/>
  <c r="O644" i="3"/>
  <c r="K644" i="3"/>
  <c r="G644" i="3"/>
  <c r="B644" i="3"/>
  <c r="O643" i="3"/>
  <c r="K643" i="3"/>
  <c r="G643" i="3"/>
  <c r="B643" i="3"/>
  <c r="O642" i="3"/>
  <c r="K642" i="3"/>
  <c r="G642" i="3"/>
  <c r="B642" i="3"/>
  <c r="O641" i="3"/>
  <c r="K641" i="3"/>
  <c r="G641" i="3"/>
  <c r="B641" i="3"/>
  <c r="O640" i="3"/>
  <c r="K640" i="3"/>
  <c r="G640" i="3"/>
  <c r="B640" i="3"/>
  <c r="O639" i="3"/>
  <c r="K639" i="3"/>
  <c r="G639" i="3"/>
  <c r="B639" i="3"/>
  <c r="O638" i="3"/>
  <c r="K638" i="3"/>
  <c r="G638" i="3"/>
  <c r="B638" i="3"/>
  <c r="O637" i="3"/>
  <c r="K637" i="3"/>
  <c r="G637" i="3"/>
  <c r="B637" i="3"/>
  <c r="O636" i="3"/>
  <c r="K636" i="3"/>
  <c r="G636" i="3"/>
  <c r="B636" i="3"/>
  <c r="O635" i="3"/>
  <c r="K635" i="3"/>
  <c r="G635" i="3"/>
  <c r="B635" i="3"/>
  <c r="O634" i="3"/>
  <c r="K634" i="3"/>
  <c r="G634" i="3"/>
  <c r="B634" i="3"/>
  <c r="O633" i="3"/>
  <c r="K633" i="3"/>
  <c r="G633" i="3"/>
  <c r="B633" i="3"/>
  <c r="O632" i="3"/>
  <c r="K632" i="3"/>
  <c r="G632" i="3"/>
  <c r="B632" i="3"/>
  <c r="O631" i="3"/>
  <c r="K631" i="3"/>
  <c r="G631" i="3"/>
  <c r="B631" i="3"/>
  <c r="O630" i="3"/>
  <c r="K630" i="3"/>
  <c r="G630" i="3"/>
  <c r="B630" i="3"/>
  <c r="O629" i="3"/>
  <c r="K629" i="3"/>
  <c r="G629" i="3"/>
  <c r="B629" i="3"/>
  <c r="O628" i="3"/>
  <c r="K628" i="3"/>
  <c r="G628" i="3"/>
  <c r="B628" i="3"/>
  <c r="O627" i="3"/>
  <c r="K627" i="3"/>
  <c r="G627" i="3"/>
  <c r="B627" i="3"/>
  <c r="O626" i="3"/>
  <c r="K626" i="3"/>
  <c r="G626" i="3"/>
  <c r="B626" i="3"/>
  <c r="O625" i="3"/>
  <c r="K625" i="3"/>
  <c r="G625" i="3"/>
  <c r="B625" i="3"/>
  <c r="O624" i="3"/>
  <c r="K624" i="3"/>
  <c r="G624" i="3"/>
  <c r="B624" i="3"/>
  <c r="O623" i="3"/>
  <c r="K623" i="3"/>
  <c r="G623" i="3"/>
  <c r="B623" i="3"/>
  <c r="O622" i="3"/>
  <c r="K622" i="3"/>
  <c r="G622" i="3"/>
  <c r="B622" i="3"/>
  <c r="O621" i="3"/>
  <c r="K621" i="3"/>
  <c r="G621" i="3"/>
  <c r="B621" i="3"/>
  <c r="O620" i="3"/>
  <c r="K620" i="3"/>
  <c r="G620" i="3"/>
  <c r="B620" i="3"/>
  <c r="O619" i="3"/>
  <c r="K619" i="3"/>
  <c r="G619" i="3"/>
  <c r="B619" i="3"/>
  <c r="O618" i="3"/>
  <c r="K618" i="3"/>
  <c r="G618" i="3"/>
  <c r="B618" i="3"/>
  <c r="O617" i="3"/>
  <c r="K617" i="3"/>
  <c r="G617" i="3"/>
  <c r="B617" i="3"/>
  <c r="O616" i="3"/>
  <c r="K616" i="3"/>
  <c r="G616" i="3"/>
  <c r="B616" i="3"/>
  <c r="O615" i="3"/>
  <c r="K615" i="3"/>
  <c r="G615" i="3"/>
  <c r="B615" i="3"/>
  <c r="O614" i="3"/>
  <c r="K614" i="3"/>
  <c r="G614" i="3"/>
  <c r="B614" i="3"/>
  <c r="O613" i="3"/>
  <c r="K613" i="3"/>
  <c r="G613" i="3"/>
  <c r="B613" i="3"/>
  <c r="O612" i="3"/>
  <c r="K612" i="3"/>
  <c r="G612" i="3"/>
  <c r="B612" i="3"/>
  <c r="O611" i="3"/>
  <c r="K611" i="3"/>
  <c r="G611" i="3"/>
  <c r="B611" i="3"/>
  <c r="O610" i="3"/>
  <c r="K610" i="3"/>
  <c r="G610" i="3"/>
  <c r="B610" i="3"/>
  <c r="O609" i="3"/>
  <c r="K609" i="3"/>
  <c r="G609" i="3"/>
  <c r="B609" i="3"/>
  <c r="O608" i="3"/>
  <c r="K608" i="3"/>
  <c r="G608" i="3"/>
  <c r="B608" i="3"/>
  <c r="O607" i="3"/>
  <c r="K607" i="3"/>
  <c r="G607" i="3"/>
  <c r="B607" i="3"/>
  <c r="O606" i="3"/>
  <c r="K606" i="3"/>
  <c r="G606" i="3"/>
  <c r="B606" i="3"/>
  <c r="O605" i="3"/>
  <c r="K605" i="3"/>
  <c r="G605" i="3"/>
  <c r="B605" i="3"/>
  <c r="O604" i="3"/>
  <c r="K604" i="3"/>
  <c r="G604" i="3"/>
  <c r="B604" i="3"/>
  <c r="O603" i="3"/>
  <c r="K603" i="3"/>
  <c r="G603" i="3"/>
  <c r="B603" i="3"/>
  <c r="O602" i="3"/>
  <c r="K602" i="3"/>
  <c r="G602" i="3"/>
  <c r="B602" i="3"/>
  <c r="O601" i="3"/>
  <c r="K601" i="3"/>
  <c r="G601" i="3"/>
  <c r="B601" i="3"/>
  <c r="O600" i="3"/>
  <c r="K600" i="3"/>
  <c r="G600" i="3"/>
  <c r="B600" i="3"/>
  <c r="O599" i="3"/>
  <c r="K599" i="3"/>
  <c r="G599" i="3"/>
  <c r="B599" i="3"/>
  <c r="O598" i="3"/>
  <c r="K598" i="3"/>
  <c r="G598" i="3"/>
  <c r="B598" i="3"/>
  <c r="O597" i="3"/>
  <c r="K597" i="3"/>
  <c r="G597" i="3"/>
  <c r="B597" i="3"/>
  <c r="O596" i="3"/>
  <c r="K596" i="3"/>
  <c r="G596" i="3"/>
  <c r="B596" i="3"/>
  <c r="O595" i="3"/>
  <c r="K595" i="3"/>
  <c r="G595" i="3"/>
  <c r="B595" i="3"/>
  <c r="O594" i="3"/>
  <c r="K594" i="3"/>
  <c r="G594" i="3"/>
  <c r="B594" i="3"/>
  <c r="O593" i="3"/>
  <c r="K593" i="3"/>
  <c r="G593" i="3"/>
  <c r="B593" i="3"/>
  <c r="O592" i="3"/>
  <c r="K592" i="3"/>
  <c r="G592" i="3"/>
  <c r="B592" i="3"/>
  <c r="O591" i="3"/>
  <c r="K591" i="3"/>
  <c r="G591" i="3"/>
  <c r="B591" i="3"/>
  <c r="O590" i="3"/>
  <c r="K590" i="3"/>
  <c r="G590" i="3"/>
  <c r="B590" i="3"/>
  <c r="O589" i="3"/>
  <c r="K589" i="3"/>
  <c r="G589" i="3"/>
  <c r="B589" i="3"/>
  <c r="O588" i="3"/>
  <c r="K588" i="3"/>
  <c r="G588" i="3"/>
  <c r="B588" i="3"/>
  <c r="O587" i="3"/>
  <c r="K587" i="3"/>
  <c r="G587" i="3"/>
  <c r="B587" i="3"/>
  <c r="O586" i="3"/>
  <c r="K586" i="3"/>
  <c r="G586" i="3"/>
  <c r="B586" i="3"/>
  <c r="O585" i="3"/>
  <c r="K585" i="3"/>
  <c r="G585" i="3"/>
  <c r="B585" i="3"/>
  <c r="O584" i="3"/>
  <c r="K584" i="3"/>
  <c r="G584" i="3"/>
  <c r="B584" i="3"/>
  <c r="O583" i="3"/>
  <c r="K583" i="3"/>
  <c r="G583" i="3"/>
  <c r="B583" i="3"/>
  <c r="O582" i="3"/>
  <c r="K582" i="3"/>
  <c r="G582" i="3"/>
  <c r="B582" i="3"/>
  <c r="O581" i="3"/>
  <c r="K581" i="3"/>
  <c r="G581" i="3"/>
  <c r="B581" i="3"/>
  <c r="O580" i="3"/>
  <c r="K580" i="3"/>
  <c r="G580" i="3"/>
  <c r="B580" i="3"/>
  <c r="O579" i="3"/>
  <c r="K579" i="3"/>
  <c r="G579" i="3"/>
  <c r="B579" i="3"/>
  <c r="O578" i="3"/>
  <c r="K578" i="3"/>
  <c r="G578" i="3"/>
  <c r="B578" i="3"/>
  <c r="O577" i="3"/>
  <c r="K577" i="3"/>
  <c r="G577" i="3"/>
  <c r="B577" i="3"/>
  <c r="O576" i="3"/>
  <c r="K576" i="3"/>
  <c r="G576" i="3"/>
  <c r="B576" i="3"/>
  <c r="O575" i="3"/>
  <c r="K575" i="3"/>
  <c r="G575" i="3"/>
  <c r="B575" i="3"/>
  <c r="O574" i="3"/>
  <c r="K574" i="3"/>
  <c r="G574" i="3"/>
  <c r="B574" i="3"/>
  <c r="O573" i="3"/>
  <c r="K573" i="3"/>
  <c r="G573" i="3"/>
  <c r="B573" i="3"/>
  <c r="O572" i="3"/>
  <c r="K572" i="3"/>
  <c r="G572" i="3"/>
  <c r="B572" i="3"/>
  <c r="O571" i="3"/>
  <c r="K571" i="3"/>
  <c r="G571" i="3"/>
  <c r="B571" i="3"/>
  <c r="O570" i="3"/>
  <c r="K570" i="3"/>
  <c r="G570" i="3"/>
  <c r="B570" i="3"/>
  <c r="O569" i="3"/>
  <c r="K569" i="3"/>
  <c r="G569" i="3"/>
  <c r="B569" i="3"/>
  <c r="O568" i="3"/>
  <c r="K568" i="3"/>
  <c r="G568" i="3"/>
  <c r="B568" i="3"/>
  <c r="O567" i="3"/>
  <c r="K567" i="3"/>
  <c r="G567" i="3"/>
  <c r="B567" i="3"/>
  <c r="O566" i="3"/>
  <c r="K566" i="3"/>
  <c r="G566" i="3"/>
  <c r="B566" i="3"/>
  <c r="O565" i="3"/>
  <c r="K565" i="3"/>
  <c r="G565" i="3"/>
  <c r="B565" i="3"/>
  <c r="O564" i="3"/>
  <c r="K564" i="3"/>
  <c r="G564" i="3"/>
  <c r="B564" i="3"/>
  <c r="O563" i="3"/>
  <c r="K563" i="3"/>
  <c r="G563" i="3"/>
  <c r="B563" i="3"/>
  <c r="O562" i="3"/>
  <c r="K562" i="3"/>
  <c r="G562" i="3"/>
  <c r="B562" i="3"/>
  <c r="O561" i="3"/>
  <c r="K561" i="3"/>
  <c r="G561" i="3"/>
  <c r="B561" i="3"/>
  <c r="O560" i="3"/>
  <c r="K560" i="3"/>
  <c r="G560" i="3"/>
  <c r="B560" i="3"/>
  <c r="O559" i="3"/>
  <c r="K559" i="3"/>
  <c r="G559" i="3"/>
  <c r="B559" i="3"/>
  <c r="O558" i="3"/>
  <c r="K558" i="3"/>
  <c r="G558" i="3"/>
  <c r="B558" i="3"/>
  <c r="O557" i="3"/>
  <c r="K557" i="3"/>
  <c r="G557" i="3"/>
  <c r="B557" i="3"/>
  <c r="O556" i="3"/>
  <c r="K556" i="3"/>
  <c r="G556" i="3"/>
  <c r="B556" i="3"/>
  <c r="O555" i="3"/>
  <c r="K555" i="3"/>
  <c r="G555" i="3"/>
  <c r="B555" i="3"/>
  <c r="O554" i="3"/>
  <c r="K554" i="3"/>
  <c r="G554" i="3"/>
  <c r="B554" i="3"/>
  <c r="O553" i="3"/>
  <c r="K553" i="3"/>
  <c r="G553" i="3"/>
  <c r="B553" i="3"/>
  <c r="O552" i="3"/>
  <c r="K552" i="3"/>
  <c r="G552" i="3"/>
  <c r="B552" i="3"/>
  <c r="O551" i="3"/>
  <c r="K551" i="3"/>
  <c r="G551" i="3"/>
  <c r="B551" i="3"/>
  <c r="O550" i="3"/>
  <c r="K550" i="3"/>
  <c r="G550" i="3"/>
  <c r="B550" i="3"/>
  <c r="O549" i="3"/>
  <c r="K549" i="3"/>
  <c r="G549" i="3"/>
  <c r="B549" i="3"/>
  <c r="O548" i="3"/>
  <c r="K548" i="3"/>
  <c r="G548" i="3"/>
  <c r="B548" i="3"/>
  <c r="O547" i="3"/>
  <c r="K547" i="3"/>
  <c r="G547" i="3"/>
  <c r="B547" i="3"/>
  <c r="O546" i="3"/>
  <c r="K546" i="3"/>
  <c r="G546" i="3"/>
  <c r="B546" i="3"/>
  <c r="O545" i="3"/>
  <c r="K545" i="3"/>
  <c r="G545" i="3"/>
  <c r="B545" i="3"/>
  <c r="O544" i="3"/>
  <c r="K544" i="3"/>
  <c r="G544" i="3"/>
  <c r="B544" i="3"/>
  <c r="O543" i="3"/>
  <c r="K543" i="3"/>
  <c r="G543" i="3"/>
  <c r="B543" i="3"/>
  <c r="O542" i="3"/>
  <c r="K542" i="3"/>
  <c r="G542" i="3"/>
  <c r="B542" i="3"/>
  <c r="O541" i="3"/>
  <c r="K541" i="3"/>
  <c r="G541" i="3"/>
  <c r="B541" i="3"/>
  <c r="O540" i="3"/>
  <c r="K540" i="3"/>
  <c r="G540" i="3"/>
  <c r="B540" i="3"/>
  <c r="O539" i="3"/>
  <c r="K539" i="3"/>
  <c r="G539" i="3"/>
  <c r="B539" i="3"/>
  <c r="O538" i="3"/>
  <c r="K538" i="3"/>
  <c r="G538" i="3"/>
  <c r="B538" i="3"/>
  <c r="O537" i="3"/>
  <c r="K537" i="3"/>
  <c r="G537" i="3"/>
  <c r="B537" i="3"/>
  <c r="O536" i="3"/>
  <c r="K536" i="3"/>
  <c r="G536" i="3"/>
  <c r="B536" i="3"/>
  <c r="O535" i="3"/>
  <c r="K535" i="3"/>
  <c r="G535" i="3"/>
  <c r="B535" i="3"/>
  <c r="O534" i="3"/>
  <c r="K534" i="3"/>
  <c r="G534" i="3"/>
  <c r="B534" i="3"/>
  <c r="O533" i="3"/>
  <c r="K533" i="3"/>
  <c r="G533" i="3"/>
  <c r="B533" i="3"/>
  <c r="O532" i="3"/>
  <c r="K532" i="3"/>
  <c r="G532" i="3"/>
  <c r="B532" i="3"/>
  <c r="O531" i="3"/>
  <c r="K531" i="3"/>
  <c r="G531" i="3"/>
  <c r="B531" i="3"/>
  <c r="O530" i="3"/>
  <c r="K530" i="3"/>
  <c r="G530" i="3"/>
  <c r="B530" i="3"/>
  <c r="O529" i="3"/>
  <c r="K529" i="3"/>
  <c r="G529" i="3"/>
  <c r="B529" i="3"/>
  <c r="O528" i="3"/>
  <c r="K528" i="3"/>
  <c r="G528" i="3"/>
  <c r="B528" i="3"/>
  <c r="O527" i="3"/>
  <c r="K527" i="3"/>
  <c r="G527" i="3"/>
  <c r="B527" i="3"/>
  <c r="O526" i="3"/>
  <c r="K526" i="3"/>
  <c r="G526" i="3"/>
  <c r="B526" i="3"/>
  <c r="O525" i="3"/>
  <c r="K525" i="3"/>
  <c r="G525" i="3"/>
  <c r="B525" i="3"/>
  <c r="O524" i="3"/>
  <c r="K524" i="3"/>
  <c r="G524" i="3"/>
  <c r="B524" i="3"/>
  <c r="O523" i="3"/>
  <c r="K523" i="3"/>
  <c r="G523" i="3"/>
  <c r="B523" i="3"/>
  <c r="O522" i="3"/>
  <c r="K522" i="3"/>
  <c r="G522" i="3"/>
  <c r="B522" i="3"/>
  <c r="O521" i="3"/>
  <c r="K521" i="3"/>
  <c r="G521" i="3"/>
  <c r="B521" i="3"/>
  <c r="O520" i="3"/>
  <c r="K520" i="3"/>
  <c r="G520" i="3"/>
  <c r="B520" i="3"/>
  <c r="O519" i="3"/>
  <c r="K519" i="3"/>
  <c r="G519" i="3"/>
  <c r="B519" i="3"/>
  <c r="O518" i="3"/>
  <c r="K518" i="3"/>
  <c r="G518" i="3"/>
  <c r="B518" i="3"/>
  <c r="O517" i="3"/>
  <c r="K517" i="3"/>
  <c r="G517" i="3"/>
  <c r="B517" i="3"/>
  <c r="O516" i="3"/>
  <c r="K516" i="3"/>
  <c r="G516" i="3"/>
  <c r="B516" i="3"/>
  <c r="O515" i="3"/>
  <c r="K515" i="3"/>
  <c r="G515" i="3"/>
  <c r="B515" i="3"/>
  <c r="O514" i="3"/>
  <c r="K514" i="3"/>
  <c r="G514" i="3"/>
  <c r="B514" i="3"/>
  <c r="O513" i="3"/>
  <c r="K513" i="3"/>
  <c r="G513" i="3"/>
  <c r="B513" i="3"/>
  <c r="O512" i="3"/>
  <c r="K512" i="3"/>
  <c r="G512" i="3"/>
  <c r="B512" i="3"/>
  <c r="O511" i="3"/>
  <c r="K511" i="3"/>
  <c r="G511" i="3"/>
  <c r="B511" i="3"/>
  <c r="O510" i="3"/>
  <c r="K510" i="3"/>
  <c r="G510" i="3"/>
  <c r="B510" i="3"/>
  <c r="O509" i="3"/>
  <c r="K509" i="3"/>
  <c r="G509" i="3"/>
  <c r="B509" i="3"/>
  <c r="O508" i="3"/>
  <c r="K508" i="3"/>
  <c r="G508" i="3"/>
  <c r="B508" i="3"/>
  <c r="O507" i="3"/>
  <c r="K507" i="3"/>
  <c r="G507" i="3"/>
  <c r="B507" i="3"/>
  <c r="O506" i="3"/>
  <c r="K506" i="3"/>
  <c r="G506" i="3"/>
  <c r="B506" i="3"/>
  <c r="O505" i="3"/>
  <c r="K505" i="3"/>
  <c r="G505" i="3"/>
  <c r="B505" i="3"/>
  <c r="O504" i="3"/>
  <c r="K504" i="3"/>
  <c r="G504" i="3"/>
  <c r="B504" i="3"/>
  <c r="O503" i="3"/>
  <c r="K503" i="3"/>
  <c r="G503" i="3"/>
  <c r="B503" i="3"/>
  <c r="O502" i="3"/>
  <c r="K502" i="3"/>
  <c r="G502" i="3"/>
  <c r="B502" i="3"/>
  <c r="O501" i="3"/>
  <c r="K501" i="3"/>
  <c r="G501" i="3"/>
  <c r="B501" i="3"/>
  <c r="O500" i="3"/>
  <c r="K500" i="3"/>
  <c r="G500" i="3"/>
  <c r="B500" i="3"/>
  <c r="O499" i="3"/>
  <c r="K499" i="3"/>
  <c r="G499" i="3"/>
  <c r="B499" i="3"/>
  <c r="O498" i="3"/>
  <c r="K498" i="3"/>
  <c r="G498" i="3"/>
  <c r="B498" i="3"/>
  <c r="O497" i="3"/>
  <c r="K497" i="3"/>
  <c r="G497" i="3"/>
  <c r="B497" i="3"/>
  <c r="O496" i="3"/>
  <c r="K496" i="3"/>
  <c r="G496" i="3"/>
  <c r="B496" i="3"/>
  <c r="O495" i="3"/>
  <c r="K495" i="3"/>
  <c r="G495" i="3"/>
  <c r="B495" i="3"/>
  <c r="O494" i="3"/>
  <c r="K494" i="3"/>
  <c r="G494" i="3"/>
  <c r="B494" i="3"/>
  <c r="O493" i="3"/>
  <c r="K493" i="3"/>
  <c r="G493" i="3"/>
  <c r="B493" i="3"/>
  <c r="O492" i="3"/>
  <c r="K492" i="3"/>
  <c r="G492" i="3"/>
  <c r="B492" i="3"/>
  <c r="O491" i="3"/>
  <c r="K491" i="3"/>
  <c r="G491" i="3"/>
  <c r="B491" i="3"/>
  <c r="O490" i="3"/>
  <c r="K490" i="3"/>
  <c r="G490" i="3"/>
  <c r="B490" i="3"/>
  <c r="O489" i="3"/>
  <c r="K489" i="3"/>
  <c r="G489" i="3"/>
  <c r="B489" i="3"/>
  <c r="O488" i="3"/>
  <c r="K488" i="3"/>
  <c r="G488" i="3"/>
  <c r="B488" i="3"/>
  <c r="O487" i="3"/>
  <c r="K487" i="3"/>
  <c r="G487" i="3"/>
  <c r="B487" i="3"/>
  <c r="O486" i="3"/>
  <c r="K486" i="3"/>
  <c r="G486" i="3"/>
  <c r="B486" i="3"/>
  <c r="O485" i="3"/>
  <c r="K485" i="3"/>
  <c r="G485" i="3"/>
  <c r="B485" i="3"/>
  <c r="O484" i="3"/>
  <c r="K484" i="3"/>
  <c r="G484" i="3"/>
  <c r="B484" i="3"/>
  <c r="O483" i="3"/>
  <c r="K483" i="3"/>
  <c r="G483" i="3"/>
  <c r="B483" i="3"/>
  <c r="O482" i="3"/>
  <c r="K482" i="3"/>
  <c r="G482" i="3"/>
  <c r="B482" i="3"/>
  <c r="O481" i="3"/>
  <c r="K481" i="3"/>
  <c r="G481" i="3"/>
  <c r="B481" i="3"/>
  <c r="O480" i="3"/>
  <c r="K480" i="3"/>
  <c r="G480" i="3"/>
  <c r="B480" i="3"/>
  <c r="O479" i="3"/>
  <c r="K479" i="3"/>
  <c r="G479" i="3"/>
  <c r="B479" i="3"/>
  <c r="O478" i="3"/>
  <c r="K478" i="3"/>
  <c r="G478" i="3"/>
  <c r="B478" i="3"/>
  <c r="O477" i="3"/>
  <c r="K477" i="3"/>
  <c r="G477" i="3"/>
  <c r="B477" i="3"/>
  <c r="O476" i="3"/>
  <c r="K476" i="3"/>
  <c r="G476" i="3"/>
  <c r="B476" i="3"/>
  <c r="O475" i="3"/>
  <c r="K475" i="3"/>
  <c r="G475" i="3"/>
  <c r="B475" i="3"/>
  <c r="O474" i="3"/>
  <c r="K474" i="3"/>
  <c r="G474" i="3"/>
  <c r="B474" i="3"/>
  <c r="O473" i="3"/>
  <c r="K473" i="3"/>
  <c r="G473" i="3"/>
  <c r="B473" i="3"/>
  <c r="O472" i="3"/>
  <c r="K472" i="3"/>
  <c r="G472" i="3"/>
  <c r="B472" i="3"/>
  <c r="O471" i="3"/>
  <c r="K471" i="3"/>
  <c r="G471" i="3"/>
  <c r="B471" i="3"/>
  <c r="O470" i="3"/>
  <c r="K470" i="3"/>
  <c r="G470" i="3"/>
  <c r="B470" i="3"/>
  <c r="O469" i="3"/>
  <c r="K469" i="3"/>
  <c r="G469" i="3"/>
  <c r="B469" i="3"/>
  <c r="O468" i="3"/>
  <c r="K468" i="3"/>
  <c r="G468" i="3"/>
  <c r="B468" i="3"/>
  <c r="O467" i="3"/>
  <c r="K467" i="3"/>
  <c r="G467" i="3"/>
  <c r="B467" i="3"/>
  <c r="O466" i="3"/>
  <c r="K466" i="3"/>
  <c r="G466" i="3"/>
  <c r="B466" i="3"/>
  <c r="O465" i="3"/>
  <c r="K465" i="3"/>
  <c r="G465" i="3"/>
  <c r="B465" i="3"/>
  <c r="O464" i="3"/>
  <c r="K464" i="3"/>
  <c r="G464" i="3"/>
  <c r="B464" i="3"/>
  <c r="O463" i="3"/>
  <c r="K463" i="3"/>
  <c r="G463" i="3"/>
  <c r="B463" i="3"/>
  <c r="O462" i="3"/>
  <c r="K462" i="3"/>
  <c r="G462" i="3"/>
  <c r="B462" i="3"/>
  <c r="O461" i="3"/>
  <c r="K461" i="3"/>
  <c r="G461" i="3"/>
  <c r="B461" i="3"/>
  <c r="O460" i="3"/>
  <c r="K460" i="3"/>
  <c r="G460" i="3"/>
  <c r="B460" i="3"/>
  <c r="O459" i="3"/>
  <c r="K459" i="3"/>
  <c r="G459" i="3"/>
  <c r="B459" i="3"/>
  <c r="O458" i="3"/>
  <c r="K458" i="3"/>
  <c r="G458" i="3"/>
  <c r="B458" i="3"/>
  <c r="O457" i="3"/>
  <c r="K457" i="3"/>
  <c r="G457" i="3"/>
  <c r="B457" i="3"/>
  <c r="O456" i="3"/>
  <c r="K456" i="3"/>
  <c r="G456" i="3"/>
  <c r="B456" i="3"/>
  <c r="O455" i="3"/>
  <c r="K455" i="3"/>
  <c r="G455" i="3"/>
  <c r="B455" i="3"/>
  <c r="O454" i="3"/>
  <c r="K454" i="3"/>
  <c r="G454" i="3"/>
  <c r="B454" i="3"/>
  <c r="O453" i="3"/>
  <c r="K453" i="3"/>
  <c r="G453" i="3"/>
  <c r="B453" i="3"/>
  <c r="O452" i="3"/>
  <c r="K452" i="3"/>
  <c r="G452" i="3"/>
  <c r="B452" i="3"/>
  <c r="O451" i="3"/>
  <c r="K451" i="3"/>
  <c r="G451" i="3"/>
  <c r="B451" i="3"/>
  <c r="O450" i="3"/>
  <c r="K450" i="3"/>
  <c r="G450" i="3"/>
  <c r="B450" i="3"/>
  <c r="O449" i="3"/>
  <c r="K449" i="3"/>
  <c r="G449" i="3"/>
  <c r="B449" i="3"/>
  <c r="O448" i="3"/>
  <c r="K448" i="3"/>
  <c r="G448" i="3"/>
  <c r="B448" i="3"/>
  <c r="O447" i="3"/>
  <c r="K447" i="3"/>
  <c r="G447" i="3"/>
  <c r="B447" i="3"/>
  <c r="O446" i="3"/>
  <c r="K446" i="3"/>
  <c r="G446" i="3"/>
  <c r="B446" i="3"/>
  <c r="O445" i="3"/>
  <c r="K445" i="3"/>
  <c r="G445" i="3"/>
  <c r="B445" i="3"/>
  <c r="O444" i="3"/>
  <c r="K444" i="3"/>
  <c r="G444" i="3"/>
  <c r="B444" i="3"/>
  <c r="O443" i="3"/>
  <c r="K443" i="3"/>
  <c r="G443" i="3"/>
  <c r="B443" i="3"/>
  <c r="O442" i="3"/>
  <c r="K442" i="3"/>
  <c r="G442" i="3"/>
  <c r="B442" i="3"/>
  <c r="O441" i="3"/>
  <c r="K441" i="3"/>
  <c r="G441" i="3"/>
  <c r="B441" i="3"/>
  <c r="O440" i="3"/>
  <c r="K440" i="3"/>
  <c r="G440" i="3"/>
  <c r="B440" i="3"/>
  <c r="O439" i="3"/>
  <c r="K439" i="3"/>
  <c r="G439" i="3"/>
  <c r="B439" i="3"/>
  <c r="O438" i="3"/>
  <c r="K438" i="3"/>
  <c r="G438" i="3"/>
  <c r="B438" i="3"/>
  <c r="O437" i="3"/>
  <c r="K437" i="3"/>
  <c r="G437" i="3"/>
  <c r="B437" i="3"/>
  <c r="O436" i="3"/>
  <c r="K436" i="3"/>
  <c r="G436" i="3"/>
  <c r="B436" i="3"/>
  <c r="O435" i="3"/>
  <c r="K435" i="3"/>
  <c r="G435" i="3"/>
  <c r="B435" i="3"/>
  <c r="O434" i="3"/>
  <c r="K434" i="3"/>
  <c r="G434" i="3"/>
  <c r="B434" i="3"/>
  <c r="O433" i="3"/>
  <c r="K433" i="3"/>
  <c r="G433" i="3"/>
  <c r="B433" i="3"/>
  <c r="O432" i="3"/>
  <c r="K432" i="3"/>
  <c r="G432" i="3"/>
  <c r="B432" i="3"/>
  <c r="O431" i="3"/>
  <c r="K431" i="3"/>
  <c r="G431" i="3"/>
  <c r="B431" i="3"/>
  <c r="O430" i="3"/>
  <c r="K430" i="3"/>
  <c r="G430" i="3"/>
  <c r="B430" i="3"/>
  <c r="O429" i="3"/>
  <c r="K429" i="3"/>
  <c r="G429" i="3"/>
  <c r="B429" i="3"/>
  <c r="O428" i="3"/>
  <c r="K428" i="3"/>
  <c r="G428" i="3"/>
  <c r="B428" i="3"/>
  <c r="O427" i="3"/>
  <c r="K427" i="3"/>
  <c r="G427" i="3"/>
  <c r="B427" i="3"/>
  <c r="O426" i="3"/>
  <c r="K426" i="3"/>
  <c r="G426" i="3"/>
  <c r="B426" i="3"/>
  <c r="O425" i="3"/>
  <c r="K425" i="3"/>
  <c r="G425" i="3"/>
  <c r="B425" i="3"/>
  <c r="O424" i="3"/>
  <c r="K424" i="3"/>
  <c r="G424" i="3"/>
  <c r="B424" i="3"/>
  <c r="O423" i="3"/>
  <c r="K423" i="3"/>
  <c r="G423" i="3"/>
  <c r="B423" i="3"/>
  <c r="O422" i="3"/>
  <c r="K422" i="3"/>
  <c r="G422" i="3"/>
  <c r="B422" i="3"/>
  <c r="O421" i="3"/>
  <c r="K421" i="3"/>
  <c r="G421" i="3"/>
  <c r="B421" i="3"/>
  <c r="O420" i="3"/>
  <c r="K420" i="3"/>
  <c r="G420" i="3"/>
  <c r="B420" i="3"/>
  <c r="O419" i="3"/>
  <c r="K419" i="3"/>
  <c r="G419" i="3"/>
  <c r="B419" i="3"/>
  <c r="O418" i="3"/>
  <c r="K418" i="3"/>
  <c r="G418" i="3"/>
  <c r="B418" i="3"/>
  <c r="O417" i="3"/>
  <c r="K417" i="3"/>
  <c r="G417" i="3"/>
  <c r="B417" i="3"/>
  <c r="O416" i="3"/>
  <c r="K416" i="3"/>
  <c r="G416" i="3"/>
  <c r="B416" i="3"/>
  <c r="O415" i="3"/>
  <c r="K415" i="3"/>
  <c r="G415" i="3"/>
  <c r="B415" i="3"/>
  <c r="O414" i="3"/>
  <c r="K414" i="3"/>
  <c r="G414" i="3"/>
  <c r="B414" i="3"/>
  <c r="O413" i="3"/>
  <c r="K413" i="3"/>
  <c r="G413" i="3"/>
  <c r="B413" i="3"/>
  <c r="O412" i="3"/>
  <c r="K412" i="3"/>
  <c r="G412" i="3"/>
  <c r="B412" i="3"/>
  <c r="O411" i="3"/>
  <c r="K411" i="3"/>
  <c r="G411" i="3"/>
  <c r="B411" i="3"/>
  <c r="O410" i="3"/>
  <c r="K410" i="3"/>
  <c r="G410" i="3"/>
  <c r="B410" i="3"/>
  <c r="O409" i="3"/>
  <c r="K409" i="3"/>
  <c r="G409" i="3"/>
  <c r="B409" i="3"/>
  <c r="O408" i="3"/>
  <c r="K408" i="3"/>
  <c r="G408" i="3"/>
  <c r="B408" i="3"/>
  <c r="O407" i="3"/>
  <c r="K407" i="3"/>
  <c r="G407" i="3"/>
  <c r="B407" i="3"/>
  <c r="O406" i="3"/>
  <c r="K406" i="3"/>
  <c r="G406" i="3"/>
  <c r="B406" i="3"/>
  <c r="O405" i="3"/>
  <c r="K405" i="3"/>
  <c r="G405" i="3"/>
  <c r="B405" i="3"/>
  <c r="O404" i="3"/>
  <c r="K404" i="3"/>
  <c r="G404" i="3"/>
  <c r="B404" i="3"/>
  <c r="O403" i="3"/>
  <c r="K403" i="3"/>
  <c r="G403" i="3"/>
  <c r="B403" i="3"/>
  <c r="O402" i="3"/>
  <c r="K402" i="3"/>
  <c r="G402" i="3"/>
  <c r="B402" i="3"/>
  <c r="O401" i="3"/>
  <c r="K401" i="3"/>
  <c r="G401" i="3"/>
  <c r="B401" i="3"/>
  <c r="O400" i="3"/>
  <c r="K400" i="3"/>
  <c r="G400" i="3"/>
  <c r="B400" i="3"/>
  <c r="O399" i="3"/>
  <c r="K399" i="3"/>
  <c r="G399" i="3"/>
  <c r="B399" i="3"/>
  <c r="O398" i="3"/>
  <c r="K398" i="3"/>
  <c r="G398" i="3"/>
  <c r="B398" i="3"/>
  <c r="O397" i="3"/>
  <c r="K397" i="3"/>
  <c r="G397" i="3"/>
  <c r="B397" i="3"/>
  <c r="O396" i="3"/>
  <c r="K396" i="3"/>
  <c r="G396" i="3"/>
  <c r="B396" i="3"/>
  <c r="O395" i="3"/>
  <c r="K395" i="3"/>
  <c r="G395" i="3"/>
  <c r="B395" i="3"/>
  <c r="O394" i="3"/>
  <c r="K394" i="3"/>
  <c r="G394" i="3"/>
  <c r="B394" i="3"/>
  <c r="O393" i="3"/>
  <c r="K393" i="3"/>
  <c r="G393" i="3"/>
  <c r="B393" i="3"/>
  <c r="O392" i="3"/>
  <c r="K392" i="3"/>
  <c r="G392" i="3"/>
  <c r="B392" i="3"/>
  <c r="O391" i="3"/>
  <c r="K391" i="3"/>
  <c r="G391" i="3"/>
  <c r="B391" i="3"/>
  <c r="O390" i="3"/>
  <c r="K390" i="3"/>
  <c r="G390" i="3"/>
  <c r="B390" i="3"/>
  <c r="O389" i="3"/>
  <c r="K389" i="3"/>
  <c r="G389" i="3"/>
  <c r="B389" i="3"/>
  <c r="O388" i="3"/>
  <c r="K388" i="3"/>
  <c r="G388" i="3"/>
  <c r="B388" i="3"/>
  <c r="O387" i="3"/>
  <c r="K387" i="3"/>
  <c r="G387" i="3"/>
  <c r="B387" i="3"/>
  <c r="O386" i="3"/>
  <c r="K386" i="3"/>
  <c r="G386" i="3"/>
  <c r="B386" i="3"/>
  <c r="O385" i="3"/>
  <c r="K385" i="3"/>
  <c r="G385" i="3"/>
  <c r="B385" i="3"/>
  <c r="O384" i="3"/>
  <c r="K384" i="3"/>
  <c r="G384" i="3"/>
  <c r="B384" i="3"/>
  <c r="O383" i="3"/>
  <c r="K383" i="3"/>
  <c r="G383" i="3"/>
  <c r="B383" i="3"/>
  <c r="O382" i="3"/>
  <c r="K382" i="3"/>
  <c r="G382" i="3"/>
  <c r="B382" i="3"/>
  <c r="O381" i="3"/>
  <c r="K381" i="3"/>
  <c r="G381" i="3"/>
  <c r="B381" i="3"/>
  <c r="O380" i="3"/>
  <c r="K380" i="3"/>
  <c r="G380" i="3"/>
  <c r="B380" i="3"/>
  <c r="O379" i="3"/>
  <c r="K379" i="3"/>
  <c r="G379" i="3"/>
  <c r="B379" i="3"/>
  <c r="O378" i="3"/>
  <c r="K378" i="3"/>
  <c r="G378" i="3"/>
  <c r="B378" i="3"/>
  <c r="O377" i="3"/>
  <c r="K377" i="3"/>
  <c r="G377" i="3"/>
  <c r="B377" i="3"/>
  <c r="O376" i="3"/>
  <c r="K376" i="3"/>
  <c r="G376" i="3"/>
  <c r="B376" i="3"/>
  <c r="O375" i="3"/>
  <c r="K375" i="3"/>
  <c r="G375" i="3"/>
  <c r="B375" i="3"/>
  <c r="O374" i="3"/>
  <c r="K374" i="3"/>
  <c r="G374" i="3"/>
  <c r="B374" i="3"/>
  <c r="O373" i="3"/>
  <c r="K373" i="3"/>
  <c r="G373" i="3"/>
  <c r="B373" i="3"/>
  <c r="O372" i="3"/>
  <c r="K372" i="3"/>
  <c r="G372" i="3"/>
  <c r="B372" i="3"/>
  <c r="O371" i="3"/>
  <c r="K371" i="3"/>
  <c r="G371" i="3"/>
  <c r="B371" i="3"/>
  <c r="O370" i="3"/>
  <c r="K370" i="3"/>
  <c r="G370" i="3"/>
  <c r="B370" i="3"/>
  <c r="O369" i="3"/>
  <c r="K369" i="3"/>
  <c r="G369" i="3"/>
  <c r="B369" i="3"/>
  <c r="O368" i="3"/>
  <c r="K368" i="3"/>
  <c r="G368" i="3"/>
  <c r="B368" i="3"/>
  <c r="O367" i="3"/>
  <c r="K367" i="3"/>
  <c r="G367" i="3"/>
  <c r="B367" i="3"/>
  <c r="O366" i="3"/>
  <c r="K366" i="3"/>
  <c r="G366" i="3"/>
  <c r="B366" i="3"/>
  <c r="O365" i="3"/>
  <c r="K365" i="3"/>
  <c r="G365" i="3"/>
  <c r="B365" i="3"/>
  <c r="O364" i="3"/>
  <c r="K364" i="3"/>
  <c r="G364" i="3"/>
  <c r="B364" i="3"/>
  <c r="O363" i="3"/>
  <c r="K363" i="3"/>
  <c r="G363" i="3"/>
  <c r="B363" i="3"/>
  <c r="O362" i="3"/>
  <c r="K362" i="3"/>
  <c r="G362" i="3"/>
  <c r="B362" i="3"/>
  <c r="O361" i="3"/>
  <c r="K361" i="3"/>
  <c r="G361" i="3"/>
  <c r="B361" i="3"/>
  <c r="O360" i="3"/>
  <c r="K360" i="3"/>
  <c r="G360" i="3"/>
  <c r="B360" i="3"/>
  <c r="O359" i="3"/>
  <c r="K359" i="3"/>
  <c r="G359" i="3"/>
  <c r="B359" i="3"/>
  <c r="O358" i="3"/>
  <c r="K358" i="3"/>
  <c r="G358" i="3"/>
  <c r="B358" i="3"/>
  <c r="O357" i="3"/>
  <c r="K357" i="3"/>
  <c r="G357" i="3"/>
  <c r="B357" i="3"/>
  <c r="O356" i="3"/>
  <c r="K356" i="3"/>
  <c r="G356" i="3"/>
  <c r="B356" i="3"/>
  <c r="O355" i="3"/>
  <c r="K355" i="3"/>
  <c r="G355" i="3"/>
  <c r="B355" i="3"/>
  <c r="O354" i="3"/>
  <c r="K354" i="3"/>
  <c r="G354" i="3"/>
  <c r="B354" i="3"/>
  <c r="O353" i="3"/>
  <c r="K353" i="3"/>
  <c r="G353" i="3"/>
  <c r="B353" i="3"/>
  <c r="O352" i="3"/>
  <c r="K352" i="3"/>
  <c r="G352" i="3"/>
  <c r="B352" i="3"/>
  <c r="O351" i="3"/>
  <c r="K351" i="3"/>
  <c r="G351" i="3"/>
  <c r="B351" i="3"/>
  <c r="O350" i="3"/>
  <c r="K350" i="3"/>
  <c r="G350" i="3"/>
  <c r="B350" i="3"/>
  <c r="O349" i="3"/>
  <c r="K349" i="3"/>
  <c r="G349" i="3"/>
  <c r="B349" i="3"/>
  <c r="O348" i="3"/>
  <c r="K348" i="3"/>
  <c r="G348" i="3"/>
  <c r="B348" i="3"/>
  <c r="O347" i="3"/>
  <c r="K347" i="3"/>
  <c r="G347" i="3"/>
  <c r="B347" i="3"/>
  <c r="O346" i="3"/>
  <c r="K346" i="3"/>
  <c r="G346" i="3"/>
  <c r="B346" i="3"/>
  <c r="O345" i="3"/>
  <c r="K345" i="3"/>
  <c r="G345" i="3"/>
  <c r="B345" i="3"/>
  <c r="O344" i="3"/>
  <c r="K344" i="3"/>
  <c r="G344" i="3"/>
  <c r="B344" i="3"/>
  <c r="O343" i="3"/>
  <c r="K343" i="3"/>
  <c r="G343" i="3"/>
  <c r="B343" i="3"/>
  <c r="O342" i="3"/>
  <c r="K342" i="3"/>
  <c r="G342" i="3"/>
  <c r="B342" i="3"/>
  <c r="O341" i="3"/>
  <c r="K341" i="3"/>
  <c r="G341" i="3"/>
  <c r="B341" i="3"/>
  <c r="O340" i="3"/>
  <c r="K340" i="3"/>
  <c r="G340" i="3"/>
  <c r="B340" i="3"/>
  <c r="O339" i="3"/>
  <c r="K339" i="3"/>
  <c r="G339" i="3"/>
  <c r="B339" i="3"/>
  <c r="O338" i="3"/>
  <c r="K338" i="3"/>
  <c r="G338" i="3"/>
  <c r="B338" i="3"/>
  <c r="O337" i="3"/>
  <c r="K337" i="3"/>
  <c r="G337" i="3"/>
  <c r="B337" i="3"/>
  <c r="O336" i="3"/>
  <c r="K336" i="3"/>
  <c r="G336" i="3"/>
  <c r="B336" i="3"/>
  <c r="O335" i="3"/>
  <c r="K335" i="3"/>
  <c r="G335" i="3"/>
  <c r="B335" i="3"/>
  <c r="O334" i="3"/>
  <c r="K334" i="3"/>
  <c r="G334" i="3"/>
  <c r="B334" i="3"/>
  <c r="O333" i="3"/>
  <c r="K333" i="3"/>
  <c r="G333" i="3"/>
  <c r="B333" i="3"/>
  <c r="O332" i="3"/>
  <c r="K332" i="3"/>
  <c r="G332" i="3"/>
  <c r="B332" i="3"/>
  <c r="O331" i="3"/>
  <c r="K331" i="3"/>
  <c r="G331" i="3"/>
  <c r="B331" i="3"/>
  <c r="O330" i="3"/>
  <c r="K330" i="3"/>
  <c r="G330" i="3"/>
  <c r="B330" i="3"/>
  <c r="O329" i="3"/>
  <c r="K329" i="3"/>
  <c r="G329" i="3"/>
  <c r="B329" i="3"/>
  <c r="O328" i="3"/>
  <c r="K328" i="3"/>
  <c r="G328" i="3"/>
  <c r="B328" i="3"/>
  <c r="O327" i="3"/>
  <c r="K327" i="3"/>
  <c r="G327" i="3"/>
  <c r="B327" i="3"/>
  <c r="O326" i="3"/>
  <c r="K326" i="3"/>
  <c r="G326" i="3"/>
  <c r="B326" i="3"/>
  <c r="O325" i="3"/>
  <c r="K325" i="3"/>
  <c r="G325" i="3"/>
  <c r="B325" i="3"/>
  <c r="O324" i="3"/>
  <c r="K324" i="3"/>
  <c r="G324" i="3"/>
  <c r="B324" i="3"/>
  <c r="O323" i="3"/>
  <c r="K323" i="3"/>
  <c r="G323" i="3"/>
  <c r="B323" i="3"/>
  <c r="O322" i="3"/>
  <c r="K322" i="3"/>
  <c r="G322" i="3"/>
  <c r="B322" i="3"/>
  <c r="O321" i="3"/>
  <c r="K321" i="3"/>
  <c r="G321" i="3"/>
  <c r="B321" i="3"/>
  <c r="O320" i="3"/>
  <c r="K320" i="3"/>
  <c r="G320" i="3"/>
  <c r="B320" i="3"/>
  <c r="O319" i="3"/>
  <c r="K319" i="3"/>
  <c r="G319" i="3"/>
  <c r="B319" i="3"/>
  <c r="O318" i="3"/>
  <c r="K318" i="3"/>
  <c r="G318" i="3"/>
  <c r="B318" i="3"/>
  <c r="O317" i="3"/>
  <c r="K317" i="3"/>
  <c r="G317" i="3"/>
  <c r="B317" i="3"/>
  <c r="O316" i="3"/>
  <c r="K316" i="3"/>
  <c r="G316" i="3"/>
  <c r="B316" i="3"/>
  <c r="O315" i="3"/>
  <c r="K315" i="3"/>
  <c r="G315" i="3"/>
  <c r="B315" i="3"/>
  <c r="O314" i="3"/>
  <c r="K314" i="3"/>
  <c r="G314" i="3"/>
  <c r="B314" i="3"/>
  <c r="O313" i="3"/>
  <c r="K313" i="3"/>
  <c r="G313" i="3"/>
  <c r="B313" i="3"/>
  <c r="O312" i="3"/>
  <c r="K312" i="3"/>
  <c r="G312" i="3"/>
  <c r="B312" i="3"/>
  <c r="O311" i="3"/>
  <c r="K311" i="3"/>
  <c r="G311" i="3"/>
  <c r="B311" i="3"/>
  <c r="O310" i="3"/>
  <c r="K310" i="3"/>
  <c r="G310" i="3"/>
  <c r="B310" i="3"/>
  <c r="O309" i="3"/>
  <c r="K309" i="3"/>
  <c r="G309" i="3"/>
  <c r="B309" i="3"/>
  <c r="O308" i="3"/>
  <c r="K308" i="3"/>
  <c r="G308" i="3"/>
  <c r="B308" i="3"/>
  <c r="O307" i="3"/>
  <c r="K307" i="3"/>
  <c r="G307" i="3"/>
  <c r="B307" i="3"/>
  <c r="O306" i="3"/>
  <c r="K306" i="3"/>
  <c r="G306" i="3"/>
  <c r="B306" i="3"/>
  <c r="O305" i="3"/>
  <c r="K305" i="3"/>
  <c r="G305" i="3"/>
  <c r="B305" i="3"/>
  <c r="O304" i="3"/>
  <c r="K304" i="3"/>
  <c r="G304" i="3"/>
  <c r="B304" i="3"/>
  <c r="O303" i="3"/>
  <c r="K303" i="3"/>
  <c r="G303" i="3"/>
  <c r="B303" i="3"/>
  <c r="O302" i="3"/>
  <c r="K302" i="3"/>
  <c r="G302" i="3"/>
  <c r="B302" i="3"/>
  <c r="O301" i="3"/>
  <c r="K301" i="3"/>
  <c r="G301" i="3"/>
  <c r="B301" i="3"/>
  <c r="O300" i="3"/>
  <c r="K300" i="3"/>
  <c r="G300" i="3"/>
  <c r="B300" i="3"/>
  <c r="O299" i="3"/>
  <c r="K299" i="3"/>
  <c r="G299" i="3"/>
  <c r="B299" i="3"/>
  <c r="O298" i="3"/>
  <c r="K298" i="3"/>
  <c r="G298" i="3"/>
  <c r="B298" i="3"/>
  <c r="O297" i="3"/>
  <c r="K297" i="3"/>
  <c r="G297" i="3"/>
  <c r="B297" i="3"/>
  <c r="O296" i="3"/>
  <c r="K296" i="3"/>
  <c r="G296" i="3"/>
  <c r="B296" i="3"/>
  <c r="O295" i="3"/>
  <c r="K295" i="3"/>
  <c r="G295" i="3"/>
  <c r="B295" i="3"/>
  <c r="O294" i="3"/>
  <c r="K294" i="3"/>
  <c r="G294" i="3"/>
  <c r="B294" i="3"/>
  <c r="O293" i="3"/>
  <c r="K293" i="3"/>
  <c r="G293" i="3"/>
  <c r="B293" i="3"/>
  <c r="O292" i="3"/>
  <c r="K292" i="3"/>
  <c r="G292" i="3"/>
  <c r="B292" i="3"/>
  <c r="O291" i="3"/>
  <c r="K291" i="3"/>
  <c r="G291" i="3"/>
  <c r="B291" i="3"/>
  <c r="O290" i="3"/>
  <c r="K290" i="3"/>
  <c r="G290" i="3"/>
  <c r="B290" i="3"/>
  <c r="O289" i="3"/>
  <c r="K289" i="3"/>
  <c r="G289" i="3"/>
  <c r="B289" i="3"/>
  <c r="O288" i="3"/>
  <c r="K288" i="3"/>
  <c r="G288" i="3"/>
  <c r="B288" i="3"/>
  <c r="O287" i="3"/>
  <c r="K287" i="3"/>
  <c r="G287" i="3"/>
  <c r="B287" i="3"/>
  <c r="O286" i="3"/>
  <c r="K286" i="3"/>
  <c r="G286" i="3"/>
  <c r="B286" i="3"/>
  <c r="O285" i="3"/>
  <c r="K285" i="3"/>
  <c r="G285" i="3"/>
  <c r="B285" i="3"/>
  <c r="O284" i="3"/>
  <c r="K284" i="3"/>
  <c r="G284" i="3"/>
  <c r="B284" i="3"/>
  <c r="O283" i="3"/>
  <c r="K283" i="3"/>
  <c r="G283" i="3"/>
  <c r="B283" i="3"/>
  <c r="O282" i="3"/>
  <c r="K282" i="3"/>
  <c r="G282" i="3"/>
  <c r="B282" i="3"/>
  <c r="O281" i="3"/>
  <c r="K281" i="3"/>
  <c r="G281" i="3"/>
  <c r="B281" i="3"/>
  <c r="O280" i="3"/>
  <c r="K280" i="3"/>
  <c r="G280" i="3"/>
  <c r="B280" i="3"/>
  <c r="O279" i="3"/>
  <c r="K279" i="3"/>
  <c r="G279" i="3"/>
  <c r="B279" i="3"/>
  <c r="O278" i="3"/>
  <c r="K278" i="3"/>
  <c r="G278" i="3"/>
  <c r="B278" i="3"/>
  <c r="O277" i="3"/>
  <c r="K277" i="3"/>
  <c r="G277" i="3"/>
  <c r="B277" i="3"/>
  <c r="O276" i="3"/>
  <c r="K276" i="3"/>
  <c r="G276" i="3"/>
  <c r="B276" i="3"/>
  <c r="O275" i="3"/>
  <c r="K275" i="3"/>
  <c r="G275" i="3"/>
  <c r="B275" i="3"/>
  <c r="O274" i="3"/>
  <c r="K274" i="3"/>
  <c r="G274" i="3"/>
  <c r="B274" i="3"/>
  <c r="O273" i="3"/>
  <c r="K273" i="3"/>
  <c r="G273" i="3"/>
  <c r="B273" i="3"/>
  <c r="O272" i="3"/>
  <c r="K272" i="3"/>
  <c r="G272" i="3"/>
  <c r="B272" i="3"/>
  <c r="O271" i="3"/>
  <c r="K271" i="3"/>
  <c r="G271" i="3"/>
  <c r="B271" i="3"/>
  <c r="O270" i="3"/>
  <c r="K270" i="3"/>
  <c r="G270" i="3"/>
  <c r="B270" i="3"/>
  <c r="O269" i="3"/>
  <c r="K269" i="3"/>
  <c r="G269" i="3"/>
  <c r="B269" i="3"/>
  <c r="O268" i="3"/>
  <c r="K268" i="3"/>
  <c r="G268" i="3"/>
  <c r="B268" i="3"/>
  <c r="O267" i="3"/>
  <c r="K267" i="3"/>
  <c r="G267" i="3"/>
  <c r="B267" i="3"/>
  <c r="O266" i="3"/>
  <c r="K266" i="3"/>
  <c r="G266" i="3"/>
  <c r="B266" i="3"/>
  <c r="O265" i="3"/>
  <c r="K265" i="3"/>
  <c r="G265" i="3"/>
  <c r="B265" i="3"/>
  <c r="O264" i="3"/>
  <c r="K264" i="3"/>
  <c r="G264" i="3"/>
  <c r="B264" i="3"/>
  <c r="O263" i="3"/>
  <c r="K263" i="3"/>
  <c r="G263" i="3"/>
  <c r="B263" i="3"/>
  <c r="O262" i="3"/>
  <c r="K262" i="3"/>
  <c r="G262" i="3"/>
  <c r="B262" i="3"/>
  <c r="O261" i="3"/>
  <c r="K261" i="3"/>
  <c r="G261" i="3"/>
  <c r="B261" i="3"/>
  <c r="O260" i="3"/>
  <c r="K260" i="3"/>
  <c r="G260" i="3"/>
  <c r="B260" i="3"/>
  <c r="O259" i="3"/>
  <c r="K259" i="3"/>
  <c r="G259" i="3"/>
  <c r="B259" i="3"/>
  <c r="O258" i="3"/>
  <c r="K258" i="3"/>
  <c r="G258" i="3"/>
  <c r="B258" i="3"/>
  <c r="O257" i="3"/>
  <c r="K257" i="3"/>
  <c r="G257" i="3"/>
  <c r="B257" i="3"/>
  <c r="O256" i="3"/>
  <c r="K256" i="3"/>
  <c r="G256" i="3"/>
  <c r="B256" i="3"/>
  <c r="O255" i="3"/>
  <c r="K255" i="3"/>
  <c r="G255" i="3"/>
  <c r="B255" i="3"/>
  <c r="O254" i="3"/>
  <c r="K254" i="3"/>
  <c r="G254" i="3"/>
  <c r="B254" i="3"/>
  <c r="O253" i="3"/>
  <c r="K253" i="3"/>
  <c r="G253" i="3"/>
  <c r="B253" i="3"/>
  <c r="O252" i="3"/>
  <c r="K252" i="3"/>
  <c r="G252" i="3"/>
  <c r="B252" i="3"/>
  <c r="O251" i="3"/>
  <c r="K251" i="3"/>
  <c r="G251" i="3"/>
  <c r="B251" i="3"/>
  <c r="O250" i="3"/>
  <c r="K250" i="3"/>
  <c r="G250" i="3"/>
  <c r="B250" i="3"/>
  <c r="O249" i="3"/>
  <c r="K249" i="3"/>
  <c r="G249" i="3"/>
  <c r="B249" i="3"/>
  <c r="O248" i="3"/>
  <c r="K248" i="3"/>
  <c r="G248" i="3"/>
  <c r="B248" i="3"/>
  <c r="O247" i="3"/>
  <c r="K247" i="3"/>
  <c r="G247" i="3"/>
  <c r="B247" i="3"/>
  <c r="O246" i="3"/>
  <c r="K246" i="3"/>
  <c r="G246" i="3"/>
  <c r="B246" i="3"/>
  <c r="O245" i="3"/>
  <c r="K245" i="3"/>
  <c r="G245" i="3"/>
  <c r="B245" i="3"/>
  <c r="O244" i="3"/>
  <c r="K244" i="3"/>
  <c r="G244" i="3"/>
  <c r="B244" i="3"/>
  <c r="O243" i="3"/>
  <c r="K243" i="3"/>
  <c r="G243" i="3"/>
  <c r="B243" i="3"/>
  <c r="O242" i="3"/>
  <c r="K242" i="3"/>
  <c r="G242" i="3"/>
  <c r="B242" i="3"/>
  <c r="O241" i="3"/>
  <c r="K241" i="3"/>
  <c r="G241" i="3"/>
  <c r="B241" i="3"/>
  <c r="O240" i="3"/>
  <c r="K240" i="3"/>
  <c r="G240" i="3"/>
  <c r="B240" i="3"/>
  <c r="O239" i="3"/>
  <c r="K239" i="3"/>
  <c r="G239" i="3"/>
  <c r="B239" i="3"/>
  <c r="O238" i="3"/>
  <c r="K238" i="3"/>
  <c r="G238" i="3"/>
  <c r="B238" i="3"/>
  <c r="O237" i="3"/>
  <c r="K237" i="3"/>
  <c r="G237" i="3"/>
  <c r="B237" i="3"/>
  <c r="O236" i="3"/>
  <c r="K236" i="3"/>
  <c r="G236" i="3"/>
  <c r="B236" i="3"/>
  <c r="O235" i="3"/>
  <c r="K235" i="3"/>
  <c r="G235" i="3"/>
  <c r="B235" i="3"/>
  <c r="O234" i="3"/>
  <c r="K234" i="3"/>
  <c r="G234" i="3"/>
  <c r="B234" i="3"/>
  <c r="O233" i="3"/>
  <c r="K233" i="3"/>
  <c r="G233" i="3"/>
  <c r="B233" i="3"/>
  <c r="O232" i="3"/>
  <c r="K232" i="3"/>
  <c r="G232" i="3"/>
  <c r="B232" i="3"/>
  <c r="O231" i="3"/>
  <c r="K231" i="3"/>
  <c r="G231" i="3"/>
  <c r="B231" i="3"/>
  <c r="O230" i="3"/>
  <c r="K230" i="3"/>
  <c r="G230" i="3"/>
  <c r="B230" i="3"/>
  <c r="O229" i="3"/>
  <c r="K229" i="3"/>
  <c r="G229" i="3"/>
  <c r="B229" i="3"/>
  <c r="O228" i="3"/>
  <c r="K228" i="3"/>
  <c r="G228" i="3"/>
  <c r="B228" i="3"/>
  <c r="O227" i="3"/>
  <c r="K227" i="3"/>
  <c r="G227" i="3"/>
  <c r="B227" i="3"/>
  <c r="O226" i="3"/>
  <c r="K226" i="3"/>
  <c r="G226" i="3"/>
  <c r="B226" i="3"/>
  <c r="O225" i="3"/>
  <c r="K225" i="3"/>
  <c r="G225" i="3"/>
  <c r="B225" i="3"/>
  <c r="O224" i="3"/>
  <c r="K224" i="3"/>
  <c r="G224" i="3"/>
  <c r="B224" i="3"/>
  <c r="O223" i="3"/>
  <c r="K223" i="3"/>
  <c r="G223" i="3"/>
  <c r="B223" i="3"/>
  <c r="O222" i="3"/>
  <c r="K222" i="3"/>
  <c r="G222" i="3"/>
  <c r="B222" i="3"/>
  <c r="O221" i="3"/>
  <c r="K221" i="3"/>
  <c r="G221" i="3"/>
  <c r="B221" i="3"/>
  <c r="O220" i="3"/>
  <c r="K220" i="3"/>
  <c r="G220" i="3"/>
  <c r="B220" i="3"/>
  <c r="O219" i="3"/>
  <c r="K219" i="3"/>
  <c r="G219" i="3"/>
  <c r="B219" i="3"/>
  <c r="O218" i="3"/>
  <c r="K218" i="3"/>
  <c r="G218" i="3"/>
  <c r="B218" i="3"/>
  <c r="O217" i="3"/>
  <c r="K217" i="3"/>
  <c r="G217" i="3"/>
  <c r="B217" i="3"/>
  <c r="O216" i="3"/>
  <c r="K216" i="3"/>
  <c r="G216" i="3"/>
  <c r="B216" i="3"/>
  <c r="O215" i="3"/>
  <c r="K215" i="3"/>
  <c r="G215" i="3"/>
  <c r="B215" i="3"/>
  <c r="O214" i="3"/>
  <c r="K214" i="3"/>
  <c r="G214" i="3"/>
  <c r="B214" i="3"/>
  <c r="O213" i="3"/>
  <c r="K213" i="3"/>
  <c r="G213" i="3"/>
  <c r="B213" i="3"/>
  <c r="O212" i="3"/>
  <c r="K212" i="3"/>
  <c r="G212" i="3"/>
  <c r="B212" i="3"/>
  <c r="O211" i="3"/>
  <c r="K211" i="3"/>
  <c r="G211" i="3"/>
  <c r="B211" i="3"/>
  <c r="O210" i="3"/>
  <c r="K210" i="3"/>
  <c r="G210" i="3"/>
  <c r="B210" i="3"/>
  <c r="O209" i="3"/>
  <c r="K209" i="3"/>
  <c r="G209" i="3"/>
  <c r="B209" i="3"/>
  <c r="O208" i="3"/>
  <c r="K208" i="3"/>
  <c r="G208" i="3"/>
  <c r="B208" i="3"/>
  <c r="O207" i="3"/>
  <c r="K207" i="3"/>
  <c r="G207" i="3"/>
  <c r="B207" i="3"/>
  <c r="O206" i="3"/>
  <c r="K206" i="3"/>
  <c r="G206" i="3"/>
  <c r="B206" i="3"/>
  <c r="O205" i="3"/>
  <c r="K205" i="3"/>
  <c r="G205" i="3"/>
  <c r="B205" i="3"/>
  <c r="O204" i="3"/>
  <c r="K204" i="3"/>
  <c r="G204" i="3"/>
  <c r="B204" i="3"/>
  <c r="O203" i="3"/>
  <c r="K203" i="3"/>
  <c r="G203" i="3"/>
  <c r="B203" i="3"/>
  <c r="O202" i="3"/>
  <c r="K202" i="3"/>
  <c r="G202" i="3"/>
  <c r="B202" i="3"/>
  <c r="O201" i="3"/>
  <c r="K201" i="3"/>
  <c r="G201" i="3"/>
  <c r="B201" i="3"/>
  <c r="O200" i="3"/>
  <c r="K200" i="3"/>
  <c r="G200" i="3"/>
  <c r="B200" i="3"/>
  <c r="O199" i="3"/>
  <c r="K199" i="3"/>
  <c r="G199" i="3"/>
  <c r="B199" i="3"/>
  <c r="O198" i="3"/>
  <c r="K198" i="3"/>
  <c r="G198" i="3"/>
  <c r="B198" i="3"/>
  <c r="O197" i="3"/>
  <c r="K197" i="3"/>
  <c r="G197" i="3"/>
  <c r="B197" i="3"/>
  <c r="O196" i="3"/>
  <c r="K196" i="3"/>
  <c r="G196" i="3"/>
  <c r="B196" i="3"/>
  <c r="O195" i="3"/>
  <c r="K195" i="3"/>
  <c r="G195" i="3"/>
  <c r="B195" i="3"/>
  <c r="O194" i="3"/>
  <c r="K194" i="3"/>
  <c r="G194" i="3"/>
  <c r="B194" i="3"/>
  <c r="O193" i="3"/>
  <c r="K193" i="3"/>
  <c r="G193" i="3"/>
  <c r="B193" i="3"/>
  <c r="O192" i="3"/>
  <c r="K192" i="3"/>
  <c r="G192" i="3"/>
  <c r="B192" i="3"/>
  <c r="O191" i="3"/>
  <c r="K191" i="3"/>
  <c r="G191" i="3"/>
  <c r="B191" i="3"/>
  <c r="O190" i="3"/>
  <c r="K190" i="3"/>
  <c r="G190" i="3"/>
  <c r="B190" i="3"/>
  <c r="O189" i="3"/>
  <c r="K189" i="3"/>
  <c r="G189" i="3"/>
  <c r="B189" i="3"/>
  <c r="O188" i="3"/>
  <c r="K188" i="3"/>
  <c r="G188" i="3"/>
  <c r="B188" i="3"/>
  <c r="O187" i="3"/>
  <c r="K187" i="3"/>
  <c r="G187" i="3"/>
  <c r="B187" i="3"/>
  <c r="O186" i="3"/>
  <c r="K186" i="3"/>
  <c r="G186" i="3"/>
  <c r="B186" i="3"/>
  <c r="O185" i="3"/>
  <c r="K185" i="3"/>
  <c r="G185" i="3"/>
  <c r="B185" i="3"/>
  <c r="O184" i="3"/>
  <c r="K184" i="3"/>
  <c r="G184" i="3"/>
  <c r="B184" i="3"/>
  <c r="O183" i="3"/>
  <c r="K183" i="3"/>
  <c r="G183" i="3"/>
  <c r="B183" i="3"/>
  <c r="O182" i="3"/>
  <c r="K182" i="3"/>
  <c r="G182" i="3"/>
  <c r="B182" i="3"/>
  <c r="O181" i="3"/>
  <c r="K181" i="3"/>
  <c r="G181" i="3"/>
  <c r="B181" i="3"/>
  <c r="O180" i="3"/>
  <c r="K180" i="3"/>
  <c r="G180" i="3"/>
  <c r="B180" i="3"/>
  <c r="O179" i="3"/>
  <c r="K179" i="3"/>
  <c r="G179" i="3"/>
  <c r="B179" i="3"/>
  <c r="O178" i="3"/>
  <c r="K178" i="3"/>
  <c r="G178" i="3"/>
  <c r="B178" i="3"/>
  <c r="O177" i="3"/>
  <c r="K177" i="3"/>
  <c r="G177" i="3"/>
  <c r="B177" i="3"/>
  <c r="O176" i="3"/>
  <c r="K176" i="3"/>
  <c r="G176" i="3"/>
  <c r="B176" i="3"/>
  <c r="O175" i="3"/>
  <c r="K175" i="3"/>
  <c r="G175" i="3"/>
  <c r="B175" i="3"/>
  <c r="O174" i="3"/>
  <c r="K174" i="3"/>
  <c r="G174" i="3"/>
  <c r="B174" i="3"/>
  <c r="O173" i="3"/>
  <c r="K173" i="3"/>
  <c r="G173" i="3"/>
  <c r="B173" i="3"/>
  <c r="O172" i="3"/>
  <c r="K172" i="3"/>
  <c r="G172" i="3"/>
  <c r="B172" i="3"/>
  <c r="O171" i="3"/>
  <c r="K171" i="3"/>
  <c r="G171" i="3"/>
  <c r="B171" i="3"/>
  <c r="O170" i="3"/>
  <c r="K170" i="3"/>
  <c r="G170" i="3"/>
  <c r="B170" i="3"/>
  <c r="O169" i="3"/>
  <c r="K169" i="3"/>
  <c r="G169" i="3"/>
  <c r="B169" i="3"/>
  <c r="O168" i="3"/>
  <c r="K168" i="3"/>
  <c r="G168" i="3"/>
  <c r="B168" i="3"/>
  <c r="O167" i="3"/>
  <c r="K167" i="3"/>
  <c r="G167" i="3"/>
  <c r="B167" i="3"/>
  <c r="O166" i="3"/>
  <c r="K166" i="3"/>
  <c r="G166" i="3"/>
  <c r="B166" i="3"/>
  <c r="O165" i="3"/>
  <c r="K165" i="3"/>
  <c r="G165" i="3"/>
  <c r="B165" i="3"/>
  <c r="O164" i="3"/>
  <c r="K164" i="3"/>
  <c r="G164" i="3"/>
  <c r="B164" i="3"/>
  <c r="O163" i="3"/>
  <c r="K163" i="3"/>
  <c r="G163" i="3"/>
  <c r="B163" i="3"/>
  <c r="O162" i="3"/>
  <c r="K162" i="3"/>
  <c r="G162" i="3"/>
  <c r="B162" i="3"/>
  <c r="O161" i="3"/>
  <c r="K161" i="3"/>
  <c r="G161" i="3"/>
  <c r="B161" i="3"/>
  <c r="O160" i="3"/>
  <c r="K160" i="3"/>
  <c r="G160" i="3"/>
  <c r="B160" i="3"/>
  <c r="O159" i="3"/>
  <c r="K159" i="3"/>
  <c r="G159" i="3"/>
  <c r="B159" i="3"/>
  <c r="O158" i="3"/>
  <c r="K158" i="3"/>
  <c r="G158" i="3"/>
  <c r="B158" i="3"/>
  <c r="O157" i="3"/>
  <c r="K157" i="3"/>
  <c r="G157" i="3"/>
  <c r="B157" i="3"/>
  <c r="O156" i="3"/>
  <c r="K156" i="3"/>
  <c r="G156" i="3"/>
  <c r="B156" i="3"/>
  <c r="O155" i="3"/>
  <c r="K155" i="3"/>
  <c r="G155" i="3"/>
  <c r="B155" i="3"/>
  <c r="O154" i="3"/>
  <c r="K154" i="3"/>
  <c r="G154" i="3"/>
  <c r="B154" i="3"/>
  <c r="O153" i="3"/>
  <c r="K153" i="3"/>
  <c r="G153" i="3"/>
  <c r="B153" i="3"/>
  <c r="O152" i="3"/>
  <c r="K152" i="3"/>
  <c r="G152" i="3"/>
  <c r="B152" i="3"/>
  <c r="O151" i="3"/>
  <c r="K151" i="3"/>
  <c r="G151" i="3"/>
  <c r="B151" i="3"/>
  <c r="O150" i="3"/>
  <c r="K150" i="3"/>
  <c r="G150" i="3"/>
  <c r="B150" i="3"/>
  <c r="O149" i="3"/>
  <c r="K149" i="3"/>
  <c r="G149" i="3"/>
  <c r="B149" i="3"/>
  <c r="O148" i="3"/>
  <c r="K148" i="3"/>
  <c r="G148" i="3"/>
  <c r="B148" i="3"/>
  <c r="O147" i="3"/>
  <c r="K147" i="3"/>
  <c r="G147" i="3"/>
  <c r="B147" i="3"/>
  <c r="O146" i="3"/>
  <c r="K146" i="3"/>
  <c r="G146" i="3"/>
  <c r="B146" i="3"/>
  <c r="O145" i="3"/>
  <c r="K145" i="3"/>
  <c r="G145" i="3"/>
  <c r="B145" i="3"/>
  <c r="O144" i="3"/>
  <c r="K144" i="3"/>
  <c r="G144" i="3"/>
  <c r="B144" i="3"/>
  <c r="O143" i="3"/>
  <c r="K143" i="3"/>
  <c r="G143" i="3"/>
  <c r="B143" i="3"/>
  <c r="O142" i="3"/>
  <c r="K142" i="3"/>
  <c r="G142" i="3"/>
  <c r="B142" i="3"/>
  <c r="O141" i="3"/>
  <c r="K141" i="3"/>
  <c r="G141" i="3"/>
  <c r="B141" i="3"/>
  <c r="O140" i="3"/>
  <c r="K140" i="3"/>
  <c r="G140" i="3"/>
  <c r="B140" i="3"/>
  <c r="O139" i="3"/>
  <c r="K139" i="3"/>
  <c r="G139" i="3"/>
  <c r="B139" i="3"/>
  <c r="O138" i="3"/>
  <c r="K138" i="3"/>
  <c r="G138" i="3"/>
  <c r="B138" i="3"/>
  <c r="O137" i="3"/>
  <c r="K137" i="3"/>
  <c r="G137" i="3"/>
  <c r="B137" i="3"/>
  <c r="O136" i="3"/>
  <c r="K136" i="3"/>
  <c r="G136" i="3"/>
  <c r="B136" i="3"/>
  <c r="O135" i="3"/>
  <c r="K135" i="3"/>
  <c r="G135" i="3"/>
  <c r="B135" i="3"/>
  <c r="O134" i="3"/>
  <c r="K134" i="3"/>
  <c r="G134" i="3"/>
  <c r="B134" i="3"/>
  <c r="O133" i="3"/>
  <c r="K133" i="3"/>
  <c r="G133" i="3"/>
  <c r="B133" i="3"/>
  <c r="O132" i="3"/>
  <c r="K132" i="3"/>
  <c r="G132" i="3"/>
  <c r="B132" i="3"/>
  <c r="O131" i="3"/>
  <c r="K131" i="3"/>
  <c r="G131" i="3"/>
  <c r="B131" i="3"/>
  <c r="O130" i="3"/>
  <c r="K130" i="3"/>
  <c r="G130" i="3"/>
  <c r="B130" i="3"/>
  <c r="O129" i="3"/>
  <c r="K129" i="3"/>
  <c r="G129" i="3"/>
  <c r="B129" i="3"/>
  <c r="O128" i="3"/>
  <c r="K128" i="3"/>
  <c r="G128" i="3"/>
  <c r="B128" i="3"/>
  <c r="O127" i="3"/>
  <c r="K127" i="3"/>
  <c r="G127" i="3"/>
  <c r="B127" i="3"/>
  <c r="O126" i="3"/>
  <c r="K126" i="3"/>
  <c r="G126" i="3"/>
  <c r="B126" i="3"/>
  <c r="O125" i="3"/>
  <c r="K125" i="3"/>
  <c r="G125" i="3"/>
  <c r="B125" i="3"/>
  <c r="O124" i="3"/>
  <c r="K124" i="3"/>
  <c r="G124" i="3"/>
  <c r="B124" i="3"/>
  <c r="O123" i="3"/>
  <c r="K123" i="3"/>
  <c r="G123" i="3"/>
  <c r="B123" i="3"/>
  <c r="O122" i="3"/>
  <c r="K122" i="3"/>
  <c r="G122" i="3"/>
  <c r="B122" i="3"/>
  <c r="O121" i="3"/>
  <c r="K121" i="3"/>
  <c r="G121" i="3"/>
  <c r="B121" i="3"/>
  <c r="O120" i="3"/>
  <c r="K120" i="3"/>
  <c r="G120" i="3"/>
  <c r="B120" i="3"/>
  <c r="O119" i="3"/>
  <c r="K119" i="3"/>
  <c r="G119" i="3"/>
  <c r="B119" i="3"/>
  <c r="O118" i="3"/>
  <c r="K118" i="3"/>
  <c r="G118" i="3"/>
  <c r="B118" i="3"/>
  <c r="O117" i="3"/>
  <c r="K117" i="3"/>
  <c r="G117" i="3"/>
  <c r="B117" i="3"/>
  <c r="O116" i="3"/>
  <c r="K116" i="3"/>
  <c r="G116" i="3"/>
  <c r="B116" i="3"/>
  <c r="O115" i="3"/>
  <c r="K115" i="3"/>
  <c r="G115" i="3"/>
  <c r="B115" i="3"/>
  <c r="O114" i="3"/>
  <c r="K114" i="3"/>
  <c r="G114" i="3"/>
  <c r="B114" i="3"/>
  <c r="O113" i="3"/>
  <c r="K113" i="3"/>
  <c r="G113" i="3"/>
  <c r="B113" i="3"/>
  <c r="O112" i="3"/>
  <c r="K112" i="3"/>
  <c r="G112" i="3"/>
  <c r="B112" i="3"/>
  <c r="O111" i="3"/>
  <c r="K111" i="3"/>
  <c r="G111" i="3"/>
  <c r="B111" i="3"/>
  <c r="O110" i="3"/>
  <c r="K110" i="3"/>
  <c r="G110" i="3"/>
  <c r="B110" i="3"/>
  <c r="O109" i="3"/>
  <c r="K109" i="3"/>
  <c r="G109" i="3"/>
  <c r="B109" i="3"/>
  <c r="O108" i="3"/>
  <c r="K108" i="3"/>
  <c r="G108" i="3"/>
  <c r="B108" i="3"/>
  <c r="O107" i="3"/>
  <c r="K107" i="3"/>
  <c r="G107" i="3"/>
  <c r="B107" i="3"/>
  <c r="O106" i="3"/>
  <c r="K106" i="3"/>
  <c r="G106" i="3"/>
  <c r="B106" i="3"/>
  <c r="O105" i="3"/>
  <c r="K105" i="3"/>
  <c r="G105" i="3"/>
  <c r="B105" i="3"/>
  <c r="O104" i="3"/>
  <c r="K104" i="3"/>
  <c r="G104" i="3"/>
  <c r="B104" i="3"/>
  <c r="O103" i="3"/>
  <c r="K103" i="3"/>
  <c r="G103" i="3"/>
  <c r="B103" i="3"/>
  <c r="O102" i="3"/>
  <c r="K102" i="3"/>
  <c r="G102" i="3"/>
  <c r="B102" i="3"/>
  <c r="O101" i="3"/>
  <c r="K101" i="3"/>
  <c r="G101" i="3"/>
  <c r="B101" i="3"/>
  <c r="O100" i="3"/>
  <c r="K100" i="3"/>
  <c r="G100" i="3"/>
  <c r="B100" i="3"/>
  <c r="O99" i="3"/>
  <c r="K99" i="3"/>
  <c r="G99" i="3"/>
  <c r="B99" i="3"/>
  <c r="O98" i="3"/>
  <c r="K98" i="3"/>
  <c r="G98" i="3"/>
  <c r="B98" i="3"/>
  <c r="O97" i="3"/>
  <c r="K97" i="3"/>
  <c r="G97" i="3"/>
  <c r="B97" i="3"/>
  <c r="O96" i="3"/>
  <c r="K96" i="3"/>
  <c r="G96" i="3"/>
  <c r="B96" i="3"/>
  <c r="O95" i="3"/>
  <c r="K95" i="3"/>
  <c r="G95" i="3"/>
  <c r="B95" i="3"/>
  <c r="O94" i="3"/>
  <c r="K94" i="3"/>
  <c r="G94" i="3"/>
  <c r="B94" i="3"/>
  <c r="O93" i="3"/>
  <c r="K93" i="3"/>
  <c r="G93" i="3"/>
  <c r="B93" i="3"/>
  <c r="O92" i="3"/>
  <c r="K92" i="3"/>
  <c r="G92" i="3"/>
  <c r="B92" i="3"/>
  <c r="O91" i="3"/>
  <c r="K91" i="3"/>
  <c r="G91" i="3"/>
  <c r="B91" i="3"/>
  <c r="O90" i="3"/>
  <c r="K90" i="3"/>
  <c r="G90" i="3"/>
  <c r="B90" i="3"/>
  <c r="O89" i="3"/>
  <c r="K89" i="3"/>
  <c r="G89" i="3"/>
  <c r="B89" i="3"/>
  <c r="O88" i="3"/>
  <c r="K88" i="3"/>
  <c r="G88" i="3"/>
  <c r="B88" i="3"/>
  <c r="O87" i="3"/>
  <c r="K87" i="3"/>
  <c r="G87" i="3"/>
  <c r="B87" i="3"/>
  <c r="O86" i="3"/>
  <c r="K86" i="3"/>
  <c r="G86" i="3"/>
  <c r="B86" i="3"/>
  <c r="O85" i="3"/>
  <c r="K85" i="3"/>
  <c r="G85" i="3"/>
  <c r="B85" i="3"/>
  <c r="O84" i="3"/>
  <c r="K84" i="3"/>
  <c r="G84" i="3"/>
  <c r="B84" i="3"/>
  <c r="O83" i="3"/>
  <c r="K83" i="3"/>
  <c r="G83" i="3"/>
  <c r="B83" i="3"/>
  <c r="O82" i="3"/>
  <c r="K82" i="3"/>
  <c r="G82" i="3"/>
  <c r="B82" i="3"/>
  <c r="O81" i="3"/>
  <c r="K81" i="3"/>
  <c r="G81" i="3"/>
  <c r="B81" i="3"/>
  <c r="O80" i="3"/>
  <c r="K80" i="3"/>
  <c r="G80" i="3"/>
  <c r="B80" i="3"/>
  <c r="O79" i="3"/>
  <c r="K79" i="3"/>
  <c r="G79" i="3"/>
  <c r="B79" i="3"/>
  <c r="O78" i="3"/>
  <c r="K78" i="3"/>
  <c r="G78" i="3"/>
  <c r="B78" i="3"/>
  <c r="O77" i="3"/>
  <c r="K77" i="3"/>
  <c r="G77" i="3"/>
  <c r="B77" i="3"/>
  <c r="O76" i="3"/>
  <c r="K76" i="3"/>
  <c r="G76" i="3"/>
  <c r="B76" i="3"/>
  <c r="O75" i="3"/>
  <c r="K75" i="3"/>
  <c r="G75" i="3"/>
  <c r="B75" i="3"/>
  <c r="O74" i="3"/>
  <c r="K74" i="3"/>
  <c r="G74" i="3"/>
  <c r="B74" i="3"/>
  <c r="O73" i="3"/>
  <c r="K73" i="3"/>
  <c r="G73" i="3"/>
  <c r="B73" i="3"/>
  <c r="O72" i="3"/>
  <c r="K72" i="3"/>
  <c r="G72" i="3"/>
  <c r="B72" i="3"/>
  <c r="O71" i="3"/>
  <c r="K71" i="3"/>
  <c r="G71" i="3"/>
  <c r="B71" i="3"/>
  <c r="O70" i="3"/>
  <c r="K70" i="3"/>
  <c r="G70" i="3"/>
  <c r="B70" i="3"/>
  <c r="O69" i="3"/>
  <c r="K69" i="3"/>
  <c r="G69" i="3"/>
  <c r="B69" i="3"/>
  <c r="O68" i="3"/>
  <c r="K68" i="3"/>
  <c r="G68" i="3"/>
  <c r="B68" i="3"/>
  <c r="O67" i="3"/>
  <c r="K67" i="3"/>
  <c r="G67" i="3"/>
  <c r="B67" i="3"/>
  <c r="O66" i="3"/>
  <c r="K66" i="3"/>
  <c r="G66" i="3"/>
  <c r="B66" i="3"/>
  <c r="O65" i="3"/>
  <c r="K65" i="3"/>
  <c r="G65" i="3"/>
  <c r="B65" i="3"/>
  <c r="O64" i="3"/>
  <c r="K64" i="3"/>
  <c r="G64" i="3"/>
  <c r="B64" i="3"/>
  <c r="O63" i="3"/>
  <c r="K63" i="3"/>
  <c r="G63" i="3"/>
  <c r="B63" i="3"/>
  <c r="O62" i="3"/>
  <c r="K62" i="3"/>
  <c r="G62" i="3"/>
  <c r="B62" i="3"/>
  <c r="O61" i="3"/>
  <c r="K61" i="3"/>
  <c r="G61" i="3"/>
  <c r="B61" i="3"/>
  <c r="O60" i="3"/>
  <c r="K60" i="3"/>
  <c r="G60" i="3"/>
  <c r="B60" i="3"/>
  <c r="O59" i="3"/>
  <c r="K59" i="3"/>
  <c r="G59" i="3"/>
  <c r="B59" i="3"/>
  <c r="O58" i="3"/>
  <c r="K58" i="3"/>
  <c r="G58" i="3"/>
  <c r="B58" i="3"/>
  <c r="O57" i="3"/>
  <c r="K57" i="3"/>
  <c r="G57" i="3"/>
  <c r="B57" i="3"/>
  <c r="O56" i="3"/>
  <c r="K56" i="3"/>
  <c r="G56" i="3"/>
  <c r="B56" i="3"/>
  <c r="O55" i="3"/>
  <c r="K55" i="3"/>
  <c r="G55" i="3"/>
  <c r="B55" i="3"/>
  <c r="O54" i="3"/>
  <c r="K54" i="3"/>
  <c r="G54" i="3"/>
  <c r="B54" i="3"/>
  <c r="O53" i="3"/>
  <c r="K53" i="3"/>
  <c r="G53" i="3"/>
  <c r="B53" i="3"/>
  <c r="O52" i="3"/>
  <c r="K52" i="3"/>
  <c r="G52" i="3"/>
  <c r="B52" i="3"/>
  <c r="O51" i="3"/>
  <c r="K51" i="3"/>
  <c r="G51" i="3"/>
  <c r="B51" i="3"/>
  <c r="O50" i="3"/>
  <c r="K50" i="3"/>
  <c r="G50" i="3"/>
  <c r="B50" i="3"/>
  <c r="O49" i="3"/>
  <c r="K49" i="3"/>
  <c r="G49" i="3"/>
  <c r="B49" i="3"/>
  <c r="O48" i="3"/>
  <c r="K48" i="3"/>
  <c r="G48" i="3"/>
  <c r="B48" i="3"/>
  <c r="O47" i="3"/>
  <c r="K47" i="3"/>
  <c r="G47" i="3"/>
  <c r="B47" i="3"/>
  <c r="O46" i="3"/>
  <c r="K46" i="3"/>
  <c r="G46" i="3"/>
  <c r="B46" i="3"/>
  <c r="O45" i="3"/>
  <c r="K45" i="3"/>
  <c r="G45" i="3"/>
  <c r="B45" i="3"/>
  <c r="O44" i="3"/>
  <c r="K44" i="3"/>
  <c r="G44" i="3"/>
  <c r="B44" i="3"/>
  <c r="O43" i="3"/>
  <c r="K43" i="3"/>
  <c r="G43" i="3"/>
  <c r="B43" i="3"/>
  <c r="O42" i="3"/>
  <c r="K42" i="3"/>
  <c r="G42" i="3"/>
  <c r="B42" i="3"/>
  <c r="O41" i="3"/>
  <c r="K41" i="3"/>
  <c r="G41" i="3"/>
  <c r="B41" i="3"/>
  <c r="O40" i="3"/>
  <c r="K40" i="3"/>
  <c r="G40" i="3"/>
  <c r="B40" i="3"/>
  <c r="O39" i="3"/>
  <c r="K39" i="3"/>
  <c r="G39" i="3"/>
  <c r="B39" i="3"/>
  <c r="O38" i="3"/>
  <c r="K38" i="3"/>
  <c r="G38" i="3"/>
  <c r="B38" i="3"/>
  <c r="O37" i="3"/>
  <c r="K37" i="3"/>
  <c r="G37" i="3"/>
  <c r="B37" i="3"/>
  <c r="O36" i="3"/>
  <c r="K36" i="3"/>
  <c r="G36" i="3"/>
  <c r="B36" i="3"/>
  <c r="O35" i="3"/>
  <c r="K35" i="3"/>
  <c r="G35" i="3"/>
  <c r="B35" i="3"/>
  <c r="O34" i="3"/>
  <c r="K34" i="3"/>
  <c r="G34" i="3"/>
  <c r="B34" i="3"/>
  <c r="O33" i="3"/>
  <c r="K33" i="3"/>
  <c r="G33" i="3"/>
  <c r="B33" i="3"/>
  <c r="O32" i="3"/>
  <c r="K32" i="3"/>
  <c r="G32" i="3"/>
  <c r="B32" i="3"/>
  <c r="O31" i="3"/>
  <c r="K31" i="3"/>
  <c r="G31" i="3"/>
  <c r="B31" i="3"/>
  <c r="O30" i="3"/>
  <c r="K30" i="3"/>
  <c r="G30" i="3"/>
  <c r="B30" i="3"/>
  <c r="O29" i="3"/>
  <c r="K29" i="3"/>
  <c r="G29" i="3"/>
  <c r="B29" i="3"/>
  <c r="O28" i="3"/>
  <c r="K28" i="3"/>
  <c r="G28" i="3"/>
  <c r="B28" i="3"/>
  <c r="O27" i="3"/>
  <c r="K27" i="3"/>
  <c r="G27" i="3"/>
  <c r="B27" i="3"/>
  <c r="O26" i="3"/>
  <c r="K26" i="3"/>
  <c r="G26" i="3"/>
  <c r="B26" i="3"/>
  <c r="O25" i="3"/>
  <c r="K25" i="3"/>
  <c r="G25" i="3"/>
  <c r="B25" i="3"/>
  <c r="O24" i="3"/>
  <c r="K24" i="3"/>
  <c r="G24" i="3"/>
  <c r="B24" i="3"/>
  <c r="O23" i="3"/>
  <c r="K23" i="3"/>
  <c r="G23" i="3"/>
  <c r="B23" i="3"/>
  <c r="O22" i="3"/>
  <c r="K22" i="3"/>
  <c r="G22" i="3"/>
  <c r="B22" i="3"/>
  <c r="O21" i="3"/>
  <c r="K21" i="3"/>
  <c r="G21" i="3"/>
  <c r="B21" i="3"/>
  <c r="O20" i="3"/>
  <c r="K20" i="3"/>
  <c r="G20" i="3"/>
  <c r="B20" i="3"/>
  <c r="O19" i="3"/>
  <c r="K19" i="3"/>
  <c r="G19" i="3"/>
  <c r="B19" i="3"/>
  <c r="O18" i="3"/>
  <c r="K18" i="3"/>
  <c r="G18" i="3"/>
  <c r="B18" i="3"/>
  <c r="O17" i="3"/>
  <c r="K17" i="3"/>
  <c r="G17" i="3"/>
  <c r="B17" i="3"/>
  <c r="O16" i="3"/>
  <c r="K16" i="3"/>
  <c r="G16" i="3"/>
  <c r="B16" i="3"/>
  <c r="O15" i="3"/>
  <c r="K15" i="3"/>
  <c r="G15" i="3"/>
  <c r="B15" i="3"/>
  <c r="O14" i="3"/>
  <c r="K14" i="3"/>
  <c r="G14" i="3"/>
  <c r="B14" i="3"/>
  <c r="O13" i="3"/>
  <c r="K13" i="3"/>
  <c r="G13" i="3"/>
  <c r="B13" i="3"/>
  <c r="O12" i="3"/>
  <c r="K12" i="3"/>
  <c r="G12" i="3"/>
  <c r="B12" i="3"/>
  <c r="O11" i="3"/>
  <c r="K11" i="3"/>
  <c r="G11" i="3"/>
  <c r="B11" i="3"/>
  <c r="O10" i="3"/>
  <c r="K10" i="3"/>
  <c r="G10" i="3"/>
  <c r="B10" i="3"/>
  <c r="O9" i="3"/>
  <c r="K9" i="3"/>
  <c r="G9" i="3"/>
  <c r="B9" i="3"/>
  <c r="O8" i="3"/>
  <c r="K8" i="3"/>
  <c r="G8" i="3"/>
  <c r="B8" i="3"/>
  <c r="O7" i="3"/>
  <c r="K7" i="3"/>
  <c r="G7" i="3"/>
  <c r="B7" i="3"/>
  <c r="O6" i="3"/>
  <c r="K6" i="3"/>
  <c r="G6" i="3"/>
  <c r="B6" i="3"/>
  <c r="O5" i="3"/>
  <c r="K5" i="3"/>
  <c r="G5" i="3"/>
  <c r="B5" i="3"/>
  <c r="O4" i="3"/>
  <c r="K4" i="3"/>
  <c r="G4" i="3"/>
  <c r="B4" i="3"/>
  <c r="O3" i="3"/>
  <c r="K3" i="3"/>
  <c r="G3" i="3"/>
  <c r="B3" i="3"/>
  <c r="O2" i="3"/>
  <c r="K2" i="3"/>
  <c r="G2" i="3"/>
  <c r="B2" i="3"/>
</calcChain>
</file>

<file path=xl/sharedStrings.xml><?xml version="1.0" encoding="utf-8"?>
<sst xmlns="http://schemas.openxmlformats.org/spreadsheetml/2006/main" count="34962" uniqueCount="741">
  <si>
    <t>InvoiceDate</t>
  </si>
  <si>
    <t>StockCode</t>
  </si>
  <si>
    <t>CustomerID</t>
  </si>
  <si>
    <t>Description</t>
  </si>
  <si>
    <t>Quantity</t>
  </si>
  <si>
    <t>UnitPrice</t>
  </si>
  <si>
    <t>Country</t>
  </si>
  <si>
    <t>Discount</t>
  </si>
  <si>
    <t>PaymentMethod</t>
  </si>
  <si>
    <t>ShippingCost</t>
  </si>
  <si>
    <t>Category</t>
  </si>
  <si>
    <t>SalesChannel</t>
  </si>
  <si>
    <t>ReturnStatus</t>
  </si>
  <si>
    <t>ShipmentProvider</t>
  </si>
  <si>
    <t>WarehouseLocation</t>
  </si>
  <si>
    <t>OrderPriority</t>
  </si>
  <si>
    <t>SKU_1756</t>
  </si>
  <si>
    <t>Office Chair</t>
  </si>
  <si>
    <t>Netherlands</t>
  </si>
  <si>
    <t>Bank Transfer</t>
  </si>
  <si>
    <t>Accessories</t>
  </si>
  <si>
    <t>Online</t>
  </si>
  <si>
    <t>Not Returned</t>
  </si>
  <si>
    <t>FedEx</t>
  </si>
  <si>
    <t>Paris</t>
  </si>
  <si>
    <t>Low</t>
  </si>
  <si>
    <t>SKU_1982</t>
  </si>
  <si>
    <t>White Mug</t>
  </si>
  <si>
    <t>Portugal</t>
  </si>
  <si>
    <t>Credit Card</t>
  </si>
  <si>
    <t>Apparel</t>
  </si>
  <si>
    <t>In-store</t>
  </si>
  <si>
    <t>UPS</t>
  </si>
  <si>
    <t>Berlin</t>
  </si>
  <si>
    <t>High</t>
  </si>
  <si>
    <t>SKU_1206</t>
  </si>
  <si>
    <t>United States</t>
  </si>
  <si>
    <t>Stationery</t>
  </si>
  <si>
    <t>Royal Mail</t>
  </si>
  <si>
    <t>Amsterdam</t>
  </si>
  <si>
    <t>Medium</t>
  </si>
  <si>
    <t>SKU_1913</t>
  </si>
  <si>
    <t>Blue Pen</t>
  </si>
  <si>
    <t>Spain</t>
  </si>
  <si>
    <t>Furniture</t>
  </si>
  <si>
    <t>SKU_1993</t>
  </si>
  <si>
    <t>Backpack</t>
  </si>
  <si>
    <t>Australia</t>
  </si>
  <si>
    <t>SKU_1077</t>
  </si>
  <si>
    <t>Wall Clock</t>
  </si>
  <si>
    <t>Electronics</t>
  </si>
  <si>
    <t>SKU_1069</t>
  </si>
  <si>
    <t>Sweden</t>
  </si>
  <si>
    <t>DHL</t>
  </si>
  <si>
    <t>SKU_1934</t>
  </si>
  <si>
    <t>Germany</t>
  </si>
  <si>
    <t>SKU_1273</t>
  </si>
  <si>
    <t>USB Cable</t>
  </si>
  <si>
    <t>France</t>
  </si>
  <si>
    <t>Rome</t>
  </si>
  <si>
    <t>SKU_1104</t>
  </si>
  <si>
    <t>paypall</t>
  </si>
  <si>
    <t>SKU_1347</t>
  </si>
  <si>
    <t>SKU_1307</t>
  </si>
  <si>
    <t>SKU_1257</t>
  </si>
  <si>
    <t>SKU_1356</t>
  </si>
  <si>
    <t>Headphones</t>
  </si>
  <si>
    <t>SKU_1232</t>
  </si>
  <si>
    <t>Desk Lamp</t>
  </si>
  <si>
    <t>SKU_1163</t>
  </si>
  <si>
    <t>T-shirt</t>
  </si>
  <si>
    <t>SKU_1303</t>
  </si>
  <si>
    <t>Italy</t>
  </si>
  <si>
    <t>SKU_1884</t>
  </si>
  <si>
    <t>SKU_1855</t>
  </si>
  <si>
    <t>Notebook</t>
  </si>
  <si>
    <t>United Kingdom</t>
  </si>
  <si>
    <t>SKU_1802</t>
  </si>
  <si>
    <t>SKU_1848</t>
  </si>
  <si>
    <t>SKU_1605</t>
  </si>
  <si>
    <t>SKU_1071</t>
  </si>
  <si>
    <t>London</t>
  </si>
  <si>
    <t>SKU_1937</t>
  </si>
  <si>
    <t>SKU_1969</t>
  </si>
  <si>
    <t>Norway</t>
  </si>
  <si>
    <t>SKU_1847</t>
  </si>
  <si>
    <t>SKU_1805</t>
  </si>
  <si>
    <t>SKU_1153</t>
  </si>
  <si>
    <t>SKU_1286</t>
  </si>
  <si>
    <t>Wireless Mouse</t>
  </si>
  <si>
    <t>SKU_1253</t>
  </si>
  <si>
    <t>SKU_1691</t>
  </si>
  <si>
    <t>SKU_1443</t>
  </si>
  <si>
    <t>SKU_1007</t>
  </si>
  <si>
    <t>SKU_1034</t>
  </si>
  <si>
    <t>SKU_1801</t>
  </si>
  <si>
    <t>SKU_1137</t>
  </si>
  <si>
    <t>SKU_1679</t>
  </si>
  <si>
    <t>SKU_1107</t>
  </si>
  <si>
    <t>Belgium</t>
  </si>
  <si>
    <t>SKU_1139</t>
  </si>
  <si>
    <t>SKU_1154</t>
  </si>
  <si>
    <t>SKU_1658</t>
  </si>
  <si>
    <t>SKU_1312</t>
  </si>
  <si>
    <t>SKU_1217</t>
  </si>
  <si>
    <t>SKU_1565</t>
  </si>
  <si>
    <t>SKU_1526</t>
  </si>
  <si>
    <t>SKU_1222</t>
  </si>
  <si>
    <t>SKU_1365</t>
  </si>
  <si>
    <t>SKU_1932</t>
  </si>
  <si>
    <t>SKU_1700</t>
  </si>
  <si>
    <t>Returned</t>
  </si>
  <si>
    <t>SKU_1401</t>
  </si>
  <si>
    <t>SKU_1732</t>
  </si>
  <si>
    <t>SKU_1811</t>
  </si>
  <si>
    <t>SKU_1346</t>
  </si>
  <si>
    <t>SKU_1869</t>
  </si>
  <si>
    <t>SKU_1851</t>
  </si>
  <si>
    <t>SKU_1660</t>
  </si>
  <si>
    <t>SKU_1796</t>
  </si>
  <si>
    <t>SKU_1782</t>
  </si>
  <si>
    <t>SKU_1341</t>
  </si>
  <si>
    <t>SKU_1342</t>
  </si>
  <si>
    <t>SKU_1323</t>
  </si>
  <si>
    <t>SKU_1762</t>
  </si>
  <si>
    <t>SKU_1575</t>
  </si>
  <si>
    <t>SKU_1844</t>
  </si>
  <si>
    <t>SKU_1473</t>
  </si>
  <si>
    <t>SKU_1675</t>
  </si>
  <si>
    <t>SKU_1179</t>
  </si>
  <si>
    <t>SKU_1299</t>
  </si>
  <si>
    <t>SKU_1813</t>
  </si>
  <si>
    <t>SKU_1096</t>
  </si>
  <si>
    <t>SKU_1335</t>
  </si>
  <si>
    <t>SKU_1180</t>
  </si>
  <si>
    <t>SKU_1440</t>
  </si>
  <si>
    <t>SKU_1402</t>
  </si>
  <si>
    <t>SKU_1996</t>
  </si>
  <si>
    <t>SKU_1461</t>
  </si>
  <si>
    <t>SKU_1235</t>
  </si>
  <si>
    <t>SKU_1915</t>
  </si>
  <si>
    <t>SKU_1938</t>
  </si>
  <si>
    <t>SKU_1622</t>
  </si>
  <si>
    <t>SKU_1262</t>
  </si>
  <si>
    <t>SKU_1809</t>
  </si>
  <si>
    <t>SKU_1061</t>
  </si>
  <si>
    <t>SKU_1228</t>
  </si>
  <si>
    <t>SKU_1238</t>
  </si>
  <si>
    <t>SKU_1769</t>
  </si>
  <si>
    <t>SKU_1352</t>
  </si>
  <si>
    <t>SKU_1909</t>
  </si>
  <si>
    <t>SKU_1212</t>
  </si>
  <si>
    <t>SKU_1597</t>
  </si>
  <si>
    <t>SKU_1900</t>
  </si>
  <si>
    <t>SKU_1886</t>
  </si>
  <si>
    <t>SKU_1777</t>
  </si>
  <si>
    <t>SKU_1243</t>
  </si>
  <si>
    <t>SKU_1989</t>
  </si>
  <si>
    <t>SKU_1302</t>
  </si>
  <si>
    <t>SKU_1749</t>
  </si>
  <si>
    <t>SKU_1210</t>
  </si>
  <si>
    <t>SKU_1628</t>
  </si>
  <si>
    <t>SKU_1009</t>
  </si>
  <si>
    <t>SKU_1896</t>
  </si>
  <si>
    <t>SKU_1952</t>
  </si>
  <si>
    <t>SKU_1499</t>
  </si>
  <si>
    <t>SKU_1278</t>
  </si>
  <si>
    <t>SKU_1774</t>
  </si>
  <si>
    <t>SKU_1018</t>
  </si>
  <si>
    <t>SKU_1237</t>
  </si>
  <si>
    <t>SKU_1910</t>
  </si>
  <si>
    <t>SKU_1372</t>
  </si>
  <si>
    <t>SKU_1334</t>
  </si>
  <si>
    <t>SKU_1314</t>
  </si>
  <si>
    <t>SKU_1141</t>
  </si>
  <si>
    <t>SKU_1082</t>
  </si>
  <si>
    <t>SKU_1754</t>
  </si>
  <si>
    <t>SKU_1518</t>
  </si>
  <si>
    <t>SKU_1437</t>
  </si>
  <si>
    <t>SKU_1465</t>
  </si>
  <si>
    <t>SKU_1953</t>
  </si>
  <si>
    <t>SKU_1572</t>
  </si>
  <si>
    <t>SKU_1875</t>
  </si>
  <si>
    <t>SKU_1327</t>
  </si>
  <si>
    <t>SKU_1752</t>
  </si>
  <si>
    <t>SKU_1225</t>
  </si>
  <si>
    <t>SKU_1162</t>
  </si>
  <si>
    <t>SKU_1831</t>
  </si>
  <si>
    <t>SKU_1812</t>
  </si>
  <si>
    <t>SKU_1877</t>
  </si>
  <si>
    <t>SKU_1470</t>
  </si>
  <si>
    <t>SKU_1340</t>
  </si>
  <si>
    <t>SKU_1759</t>
  </si>
  <si>
    <t>SKU_1584</t>
  </si>
  <si>
    <t>SKU_1258</t>
  </si>
  <si>
    <t>SKU_1826</t>
  </si>
  <si>
    <t>SKU_1099</t>
  </si>
  <si>
    <t>SKU_1029</t>
  </si>
  <si>
    <t>SKU_1734</t>
  </si>
  <si>
    <t>SKU_1221</t>
  </si>
  <si>
    <t>SKU_1015</t>
  </si>
  <si>
    <t>SKU_1965</t>
  </si>
  <si>
    <t>SKU_1717</t>
  </si>
  <si>
    <t>SKU_1457</t>
  </si>
  <si>
    <t>SKU_1215</t>
  </si>
  <si>
    <t>SKU_1611</t>
  </si>
  <si>
    <t>SKU_1535</t>
  </si>
  <si>
    <t>SKU_1432</t>
  </si>
  <si>
    <t>SKU_1958</t>
  </si>
  <si>
    <t>SKU_1612</t>
  </si>
  <si>
    <t>SKU_1557</t>
  </si>
  <si>
    <t>SKU_1999</t>
  </si>
  <si>
    <t>SKU_1815</t>
  </si>
  <si>
    <t>SKU_1101</t>
  </si>
  <si>
    <t>SKU_1664</t>
  </si>
  <si>
    <t>SKU_1042</t>
  </si>
  <si>
    <t>SKU_1566</t>
  </si>
  <si>
    <t>SKU_1417</t>
  </si>
  <si>
    <t>SKU_1320</t>
  </si>
  <si>
    <t>SKU_1667</t>
  </si>
  <si>
    <t>SKU_1808</t>
  </si>
  <si>
    <t>SKU_1412</t>
  </si>
  <si>
    <t>SKU_1927</t>
  </si>
  <si>
    <t>SKU_1964</t>
  </si>
  <si>
    <t>SKU_1033</t>
  </si>
  <si>
    <t>SKU_1444</t>
  </si>
  <si>
    <t>SKU_1830</t>
  </si>
  <si>
    <t>SKU_1665</t>
  </si>
  <si>
    <t>SKU_1716</t>
  </si>
  <si>
    <t>SKU_1267</t>
  </si>
  <si>
    <t>SKU_1533</t>
  </si>
  <si>
    <t>SKU_1968</t>
  </si>
  <si>
    <t>SKU_1311</t>
  </si>
  <si>
    <t>SKU_1005</t>
  </si>
  <si>
    <t>SKU_1547</t>
  </si>
  <si>
    <t>SKU_1637</t>
  </si>
  <si>
    <t>SKU_1740</t>
  </si>
  <si>
    <t>SKU_1698</t>
  </si>
  <si>
    <t>SKU_1570</t>
  </si>
  <si>
    <t>SKU_1067</t>
  </si>
  <si>
    <t>SKU_1819</t>
  </si>
  <si>
    <t>SKU_1119</t>
  </si>
  <si>
    <t>SKU_1963</t>
  </si>
  <si>
    <t>SKU_1332</t>
  </si>
  <si>
    <t>SKU_1874</t>
  </si>
  <si>
    <t>SKU_1946</t>
  </si>
  <si>
    <t>SKU_1345</t>
  </si>
  <si>
    <t>SKU_1864</t>
  </si>
  <si>
    <t>SKU_1244</t>
  </si>
  <si>
    <t>SKU_1579</t>
  </si>
  <si>
    <t>SKU_1840</t>
  </si>
  <si>
    <t>SKU_1296</t>
  </si>
  <si>
    <t>SKU_1714</t>
  </si>
  <si>
    <t>SKU_1644</t>
  </si>
  <si>
    <t>SKU_1948</t>
  </si>
  <si>
    <t>SKU_1933</t>
  </si>
  <si>
    <t>SKU_1627</t>
  </si>
  <si>
    <t>SKU_1991</t>
  </si>
  <si>
    <t>SKU_1604</t>
  </si>
  <si>
    <t>SKU_1613</t>
  </si>
  <si>
    <t>SKU_1359</t>
  </si>
  <si>
    <t>SKU_1436</t>
  </si>
  <si>
    <t>SKU_1471</t>
  </si>
  <si>
    <t>SKU_1951</t>
  </si>
  <si>
    <t>SKU_1274</t>
  </si>
  <si>
    <t>SKU_1629</t>
  </si>
  <si>
    <t>SKU_1064</t>
  </si>
  <si>
    <t>SKU_1726</t>
  </si>
  <si>
    <t>SKU_1308</t>
  </si>
  <si>
    <t>SKU_1146</t>
  </si>
  <si>
    <t>SKU_1577</t>
  </si>
  <si>
    <t>SKU_1507</t>
  </si>
  <si>
    <t>SKU_1175</t>
  </si>
  <si>
    <t>SKU_1017</t>
  </si>
  <si>
    <t>SKU_1806</t>
  </si>
  <si>
    <t>SKU_1712</t>
  </si>
  <si>
    <t>SKU_1491</t>
  </si>
  <si>
    <t>SKU_1050</t>
  </si>
  <si>
    <t>SKU_1638</t>
  </si>
  <si>
    <t>SKU_1150</t>
  </si>
  <si>
    <t>SKU_1160</t>
  </si>
  <si>
    <t>SKU_1187</t>
  </si>
  <si>
    <t>SKU_1229</t>
  </si>
  <si>
    <t>SKU_1954</t>
  </si>
  <si>
    <t>SKU_1609</t>
  </si>
  <si>
    <t>SKU_1921</t>
  </si>
  <si>
    <t>SKU_1912</t>
  </si>
  <si>
    <t>SKU_1845</t>
  </si>
  <si>
    <t>SKU_1469</t>
  </si>
  <si>
    <t>SKU_1426</t>
  </si>
  <si>
    <t>SKU_1081</t>
  </si>
  <si>
    <t>SKU_1403</t>
  </si>
  <si>
    <t>SKU_1477</t>
  </si>
  <si>
    <t>SKU_1930</t>
  </si>
  <si>
    <t>SKU_1032</t>
  </si>
  <si>
    <t>SKU_1592</t>
  </si>
  <si>
    <t>SKU_1866</t>
  </si>
  <si>
    <t>SKU_1459</t>
  </si>
  <si>
    <t>SKU_1331</t>
  </si>
  <si>
    <t>SKU_1601</t>
  </si>
  <si>
    <t>SKU_1532</t>
  </si>
  <si>
    <t>SKU_1004</t>
  </si>
  <si>
    <t>SKU_1283</t>
  </si>
  <si>
    <t>SKU_1854</t>
  </si>
  <si>
    <t>SKU_1863</t>
  </si>
  <si>
    <t>SKU_1196</t>
  </si>
  <si>
    <t>SKU_1761</t>
  </si>
  <si>
    <t>SKU_1837</t>
  </si>
  <si>
    <t>SKU_1594</t>
  </si>
  <si>
    <t>SKU_1747</t>
  </si>
  <si>
    <t>SKU_1167</t>
  </si>
  <si>
    <t>SKU_1124</t>
  </si>
  <si>
    <t>SKU_1322</t>
  </si>
  <si>
    <t>SKU_1394</t>
  </si>
  <si>
    <t>SKU_1166</t>
  </si>
  <si>
    <t>SKU_1680</t>
  </si>
  <si>
    <t>SKU_1023</t>
  </si>
  <si>
    <t>SKU_1682</t>
  </si>
  <si>
    <t>SKU_1108</t>
  </si>
  <si>
    <t>SKU_1209</t>
  </si>
  <si>
    <t>SKU_1606</t>
  </si>
  <si>
    <t>SKU_1201</t>
  </si>
  <si>
    <t>SKU_1409</t>
  </si>
  <si>
    <t>SKU_1797</t>
  </si>
  <si>
    <t>SKU_1742</t>
  </si>
  <si>
    <t>SKU_1765</t>
  </si>
  <si>
    <t>SKU_1110</t>
  </si>
  <si>
    <t>SKU_1585</t>
  </si>
  <si>
    <t>SKU_1075</t>
  </si>
  <si>
    <t>SKU_1211</t>
  </si>
  <si>
    <t>SKU_1186</t>
  </si>
  <si>
    <t>SKU_1309</t>
  </si>
  <si>
    <t>SKU_1887</t>
  </si>
  <si>
    <t>SKU_1350</t>
  </si>
  <si>
    <t>SKU_1321</t>
  </si>
  <si>
    <t>SKU_1906</t>
  </si>
  <si>
    <t>SKU_1089</t>
  </si>
  <si>
    <t>SKU_1657</t>
  </si>
  <si>
    <t>SKU_1415</t>
  </si>
  <si>
    <t>SKU_1899</t>
  </si>
  <si>
    <t>SKU_1291</t>
  </si>
  <si>
    <t>SKU_1476</t>
  </si>
  <si>
    <t>SKU_1672</t>
  </si>
  <si>
    <t>SKU_1653</t>
  </si>
  <si>
    <t>SKU_1431</t>
  </si>
  <si>
    <t>SKU_1292</t>
  </si>
  <si>
    <t>SKU_1236</t>
  </si>
  <si>
    <t>SKU_1817</t>
  </si>
  <si>
    <t>SKU_1725</t>
  </si>
  <si>
    <t>SKU_1324</t>
  </si>
  <si>
    <t>SKU_1868</t>
  </si>
  <si>
    <t>SKU_1429</t>
  </si>
  <si>
    <t>SKU_1353</t>
  </si>
  <si>
    <t>SKU_1654</t>
  </si>
  <si>
    <t>SKU_1794</t>
  </si>
  <si>
    <t>SKU_1623</t>
  </si>
  <si>
    <t>SKU_1256</t>
  </si>
  <si>
    <t>SKU_1380</t>
  </si>
  <si>
    <t>SKU_1199</t>
  </si>
  <si>
    <t>SKU_1224</t>
  </si>
  <si>
    <t>SKU_1902</t>
  </si>
  <si>
    <t>SKU_1519</t>
  </si>
  <si>
    <t>SKU_1676</t>
  </si>
  <si>
    <t>SKU_1442</t>
  </si>
  <si>
    <t>SKU_1441</t>
  </si>
  <si>
    <t>SKU_1607</t>
  </si>
  <si>
    <t>SKU_1281</t>
  </si>
  <si>
    <t>SKU_1943</t>
  </si>
  <si>
    <t>SKU_1112</t>
  </si>
  <si>
    <t>SKU_1266</t>
  </si>
  <si>
    <t>SKU_1534</t>
  </si>
  <si>
    <t>SKU_1929</t>
  </si>
  <si>
    <t>SKU_1800</t>
  </si>
  <si>
    <t>SKU_1464</t>
  </si>
  <si>
    <t>SKU_1992</t>
  </si>
  <si>
    <t>SKU_1385</t>
  </si>
  <si>
    <t>SKU_1316</t>
  </si>
  <si>
    <t>SKU_1131</t>
  </si>
  <si>
    <t>SKU_1523</t>
  </si>
  <si>
    <t>SKU_1924</t>
  </si>
  <si>
    <t>SKU_1745</t>
  </si>
  <si>
    <t>SKU_1750</t>
  </si>
  <si>
    <t>SKU_1102</t>
  </si>
  <si>
    <t>SKU_1681</t>
  </si>
  <si>
    <t>SKU_1978</t>
  </si>
  <si>
    <t>SKU_1184</t>
  </si>
  <si>
    <t>SKU_1945</t>
  </si>
  <si>
    <t>SKU_1065</t>
  </si>
  <si>
    <t>SKU_1134</t>
  </si>
  <si>
    <t>SKU_1056</t>
  </si>
  <si>
    <t>SKU_1301</t>
  </si>
  <si>
    <t>SKU_1789</t>
  </si>
  <si>
    <t>SKU_1928</t>
  </si>
  <si>
    <t>SKU_1693</t>
  </si>
  <si>
    <t>SKU_1659</t>
  </si>
  <si>
    <t>SKU_1772</t>
  </si>
  <si>
    <t>SKU_1835</t>
  </si>
  <si>
    <t>SKU_1898</t>
  </si>
  <si>
    <t>SKU_1625</t>
  </si>
  <si>
    <t>SKU_1026</t>
  </si>
  <si>
    <t>SKU_1962</t>
  </si>
  <si>
    <t>SKU_1319</t>
  </si>
  <si>
    <t>SKU_1731</t>
  </si>
  <si>
    <t>SKU_1853</t>
  </si>
  <si>
    <t>SKU_1169</t>
  </si>
  <si>
    <t>SKU_1591</t>
  </si>
  <si>
    <t>SKU_1418</t>
  </si>
  <si>
    <t>SKU_1786</t>
  </si>
  <si>
    <t>SKU_1115</t>
  </si>
  <si>
    <t>SKU_1974</t>
  </si>
  <si>
    <t>SKU_1068</t>
  </si>
  <si>
    <t>SKU_1460</t>
  </si>
  <si>
    <t>SKU_1148</t>
  </si>
  <si>
    <t>SKU_1192</t>
  </si>
  <si>
    <t>SKU_1161</t>
  </si>
  <si>
    <t>SKU_1956</t>
  </si>
  <si>
    <t>SKU_1741</t>
  </si>
  <si>
    <t>SKU_1152</t>
  </si>
  <si>
    <t>SKU_1379</t>
  </si>
  <si>
    <t>SKU_1699</t>
  </si>
  <si>
    <t>SKU_1888</t>
  </si>
  <si>
    <t>SKU_1705</t>
  </si>
  <si>
    <t>SKU_1940</t>
  </si>
  <si>
    <t>SKU_1580</t>
  </si>
  <si>
    <t>SKU_1191</t>
  </si>
  <si>
    <t>SKU_1521</t>
  </si>
  <si>
    <t>SKU_1778</t>
  </si>
  <si>
    <t>SKU_1245</t>
  </si>
  <si>
    <t>SKU_1411</t>
  </si>
  <si>
    <t>SKU_1555</t>
  </si>
  <si>
    <t>SKU_1620</t>
  </si>
  <si>
    <t>SKU_1988</t>
  </si>
  <si>
    <t>SKU_1290</t>
  </si>
  <si>
    <t>SKU_1368</t>
  </si>
  <si>
    <t>SKU_1263</t>
  </si>
  <si>
    <t>SKU_1271</t>
  </si>
  <si>
    <t>SKU_1810</t>
  </si>
  <si>
    <t>SKU_1143</t>
  </si>
  <si>
    <t>SKU_1055</t>
  </si>
  <si>
    <t>SKU_1552</t>
  </si>
  <si>
    <t>SKU_1076</t>
  </si>
  <si>
    <t>SKU_1375</t>
  </si>
  <si>
    <t>SKU_1776</t>
  </si>
  <si>
    <t>SKU_1193</t>
  </si>
  <si>
    <t>SKU_1582</t>
  </si>
  <si>
    <t>SKU_1336</t>
  </si>
  <si>
    <t>SKU_1505</t>
  </si>
  <si>
    <t>SKU_1475</t>
  </si>
  <si>
    <t>SKU_1285</t>
  </si>
  <si>
    <t>SKU_1814</t>
  </si>
  <si>
    <t>SKU_1926</t>
  </si>
  <si>
    <t>SKU_1955</t>
  </si>
  <si>
    <t>SKU_1586</t>
  </si>
  <si>
    <t>SKU_1715</t>
  </si>
  <si>
    <t>SKU_1447</t>
  </si>
  <si>
    <t>SKU_1975</t>
  </si>
  <si>
    <t>SKU_1261</t>
  </si>
  <si>
    <t>SKU_1576</t>
  </si>
  <si>
    <t>SKU_1972</t>
  </si>
  <si>
    <t>SKU_1548</t>
  </si>
  <si>
    <t>SKU_1857</t>
  </si>
  <si>
    <t>SKU_1233</t>
  </si>
  <si>
    <t>SKU_1200</t>
  </si>
  <si>
    <t>SKU_1400</t>
  </si>
  <si>
    <t>SKU_1109</t>
  </si>
  <si>
    <t>SKU_1994</t>
  </si>
  <si>
    <t>SKU_1920</t>
  </si>
  <si>
    <t>SKU_1561</t>
  </si>
  <si>
    <t>SKU_1890</t>
  </si>
  <si>
    <t>SKU_1838</t>
  </si>
  <si>
    <t>SKU_1878</t>
  </si>
  <si>
    <t>SKU_1798</t>
  </si>
  <si>
    <t>SKU_1671</t>
  </si>
  <si>
    <t>SKU_1498</t>
  </si>
  <si>
    <t>SKU_1656</t>
  </si>
  <si>
    <t>SKU_1188</t>
  </si>
  <si>
    <t>SKU_1453</t>
  </si>
  <si>
    <t>SKU_1984</t>
  </si>
  <si>
    <t>SKU_1674</t>
  </si>
  <si>
    <t>SKU_1688</t>
  </si>
  <si>
    <t>SKU_1223</t>
  </si>
  <si>
    <t>SKU_1743</t>
  </si>
  <si>
    <t>SKU_1053</t>
  </si>
  <si>
    <t>SKU_1035</t>
  </si>
  <si>
    <t>SKU_1288</t>
  </si>
  <si>
    <t>SKU_1310</t>
  </si>
  <si>
    <t>SKU_1508</t>
  </si>
  <si>
    <t>SKU_1562</t>
  </si>
  <si>
    <t>SKU_1646</t>
  </si>
  <si>
    <t>SKU_1724</t>
  </si>
  <si>
    <t>SKU_1384</t>
  </si>
  <si>
    <t>SKU_1652</t>
  </si>
  <si>
    <t>SKU_1894</t>
  </si>
  <si>
    <t>SKU_1686</t>
  </si>
  <si>
    <t>SKU_1558</t>
  </si>
  <si>
    <t>SKU_1265</t>
  </si>
  <si>
    <t>SKU_1025</t>
  </si>
  <si>
    <t>SKU_1049</t>
  </si>
  <si>
    <t>SKU_1942</t>
  </si>
  <si>
    <t>SKU_1939</t>
  </si>
  <si>
    <t>SKU_1640</t>
  </si>
  <si>
    <t>SKU_1364</t>
  </si>
  <si>
    <t>SKU_1144</t>
  </si>
  <si>
    <t>SKU_1971</t>
  </si>
  <si>
    <t>SKU_1014</t>
  </si>
  <si>
    <t>SKU_1128</t>
  </si>
  <si>
    <t>SKU_1057</t>
  </si>
  <si>
    <t>SKU_1132</t>
  </si>
  <si>
    <t>SKU_1573</t>
  </si>
  <si>
    <t>SKU_1242</t>
  </si>
  <si>
    <t>SKU_1241</t>
  </si>
  <si>
    <t>SKU_1382</t>
  </si>
  <si>
    <t>SKU_1214</t>
  </si>
  <si>
    <t>SKU_1070</t>
  </si>
  <si>
    <t>SKU_1448</t>
  </si>
  <si>
    <t>SKU_1155</t>
  </si>
  <si>
    <t>SKU_1377</t>
  </si>
  <si>
    <t>SKU_1083</t>
  </si>
  <si>
    <t>SKU_1424</t>
  </si>
  <si>
    <t>SKU_1485</t>
  </si>
  <si>
    <t>SKU_1185</t>
  </si>
  <si>
    <t>SKU_1088</t>
  </si>
  <si>
    <t>SKU_1159</t>
  </si>
  <si>
    <t>SKU_1178</t>
  </si>
  <si>
    <t>SKU_1530</t>
  </si>
  <si>
    <t>SKU_1514</t>
  </si>
  <si>
    <t>SKU_1298</t>
  </si>
  <si>
    <t>SKU_1509</t>
  </si>
  <si>
    <t>SKU_1539</t>
  </si>
  <si>
    <t>SKU_1998</t>
  </si>
  <si>
    <t>SKU_1821</t>
  </si>
  <si>
    <t>SKU_1369</t>
  </si>
  <si>
    <t>SKU_1239</t>
  </si>
  <si>
    <t>SKU_1723</t>
  </si>
  <si>
    <t>SKU_1795</t>
  </si>
  <si>
    <t>SKU_1084</t>
  </si>
  <si>
    <t>SKU_1494</t>
  </si>
  <si>
    <t>SKU_1300</t>
  </si>
  <si>
    <t>SKU_1420</t>
  </si>
  <si>
    <t>SKU_1495</t>
  </si>
  <si>
    <t>SKU_1106</t>
  </si>
  <si>
    <t>SKU_1522</t>
  </si>
  <si>
    <t>SKU_1730</t>
  </si>
  <si>
    <t>SKU_1386</t>
  </si>
  <si>
    <t>SKU_1489</t>
  </si>
  <si>
    <t>SKU_1827</t>
  </si>
  <si>
    <t>SKU_1696</t>
  </si>
  <si>
    <t>SKU_1528</t>
  </si>
  <si>
    <t>SKU_1551</t>
  </si>
  <si>
    <t>SKU_1587</t>
  </si>
  <si>
    <t>SKU_1757</t>
  </si>
  <si>
    <t>SKU_1306</t>
  </si>
  <si>
    <t>SKU_1720</t>
  </si>
  <si>
    <t>SKU_1430</t>
  </si>
  <si>
    <t>SKU_1595</t>
  </si>
  <si>
    <t>SKU_1048</t>
  </si>
  <si>
    <t>SKU_1550</t>
  </si>
  <si>
    <t>SKU_1451</t>
  </si>
  <si>
    <t>SKU_1246</t>
  </si>
  <si>
    <t>SKU_1360</t>
  </si>
  <si>
    <t>SKU_1389</t>
  </si>
  <si>
    <t>SKU_1976</t>
  </si>
  <si>
    <t>SKU_1045</t>
  </si>
  <si>
    <t>SKU_1462</t>
  </si>
  <si>
    <t>SKU_1883</t>
  </si>
  <si>
    <t>SKU_1820</t>
  </si>
  <si>
    <t>SKU_1493</t>
  </si>
  <si>
    <t>SKU_1531</t>
  </si>
  <si>
    <t>SKU_1511</t>
  </si>
  <si>
    <t>SKU_1317</t>
  </si>
  <si>
    <t>SKU_1870</t>
  </si>
  <si>
    <t>SKU_1669</t>
  </si>
  <si>
    <t>SKU_1911</t>
  </si>
  <si>
    <t>SKU_1001</t>
  </si>
  <si>
    <t>SKU_1636</t>
  </si>
  <si>
    <t>SKU_1240</t>
  </si>
  <si>
    <t>SKU_1116</t>
  </si>
  <si>
    <t>SKU_1560</t>
  </si>
  <si>
    <t>SKU_1216</t>
  </si>
  <si>
    <t>SKU_1344</t>
  </si>
  <si>
    <t>SKU_1118</t>
  </si>
  <si>
    <t>SKU_1867</t>
  </si>
  <si>
    <t>SKU_1318</t>
  </si>
  <si>
    <t>SKU_1596</t>
  </si>
  <si>
    <t>SKU_1003</t>
  </si>
  <si>
    <t>SKU_1668</t>
  </si>
  <si>
    <t>SKU_1176</t>
  </si>
  <si>
    <t>SKU_1348</t>
  </si>
  <si>
    <t>SKU_1790</t>
  </si>
  <si>
    <t>SKU_1763</t>
  </si>
  <si>
    <t>SKU_1916</t>
  </si>
  <si>
    <t>SKU_1079</t>
  </si>
  <si>
    <t>SKU_1043</t>
  </si>
  <si>
    <t>SKU_1482</t>
  </si>
  <si>
    <t>SKU_1452</t>
  </si>
  <si>
    <t>SKU_1729</t>
  </si>
  <si>
    <t>SKU_1198</t>
  </si>
  <si>
    <t>SKU_1207</t>
  </si>
  <si>
    <t>SKU_1011</t>
  </si>
  <si>
    <t>SKU_1125</t>
  </si>
  <si>
    <t>SKU_1439</t>
  </si>
  <si>
    <t>SKU_1583</t>
  </si>
  <si>
    <t>SKU_1120</t>
  </si>
  <si>
    <t>SKU_1785</t>
  </si>
  <si>
    <t>SKU_1554</t>
  </si>
  <si>
    <t>SKU_1213</t>
  </si>
  <si>
    <t>SKU_1149</t>
  </si>
  <si>
    <t>SKU_1251</t>
  </si>
  <si>
    <t>SKU_1571</t>
  </si>
  <si>
    <t>SKU_1574</t>
  </si>
  <si>
    <t>SKU_1497</t>
  </si>
  <si>
    <t>SKU_1791</t>
  </si>
  <si>
    <t>SKU_1704</t>
  </si>
  <si>
    <t>SKU_1028</t>
  </si>
  <si>
    <t>SKU_1891</t>
  </si>
  <si>
    <t>SKU_1512</t>
  </si>
  <si>
    <t>SKU_1072</t>
  </si>
  <si>
    <t>SKU_1788</t>
  </si>
  <si>
    <t>SKU_1205</t>
  </si>
  <si>
    <t>SKU_1051</t>
  </si>
  <si>
    <t>SKU_1709</t>
  </si>
  <si>
    <t>SKU_1755</t>
  </si>
  <si>
    <t>SKU_1957</t>
  </si>
  <si>
    <t>SKU_1538</t>
  </si>
  <si>
    <t>SKU_1002</t>
  </si>
  <si>
    <t>SKU_1770</t>
  </si>
  <si>
    <t>SKU_1404</t>
  </si>
  <si>
    <t>SKU_1600</t>
  </si>
  <si>
    <t>SKU_1804</t>
  </si>
  <si>
    <t>SKU_1349</t>
  </si>
  <si>
    <t>SKU_1832</t>
  </si>
  <si>
    <t>SKU_1985</t>
  </si>
  <si>
    <t>SKU_1020</t>
  </si>
  <si>
    <t>SKU_1044</t>
  </si>
  <si>
    <t>SKU_1936</t>
  </si>
  <si>
    <t>SKU_1635</t>
  </si>
  <si>
    <t>SKU_1376</t>
  </si>
  <si>
    <t>SKU_1046</t>
  </si>
  <si>
    <t>SKU_1330</t>
  </si>
  <si>
    <t>SKU_1861</t>
  </si>
  <si>
    <t>SKU_1650</t>
  </si>
  <si>
    <t>SKU_1284</t>
  </si>
  <si>
    <t>SKU_1753</t>
  </si>
  <si>
    <t>SKU_1248</t>
  </si>
  <si>
    <t>SKU_1711</t>
  </si>
  <si>
    <t>SKU_1073</t>
  </si>
  <si>
    <t>SKU_1947</t>
  </si>
  <si>
    <t>SKU_1803</t>
  </si>
  <si>
    <t>SKU_1481</t>
  </si>
  <si>
    <t>SKU_1468</t>
  </si>
  <si>
    <t>SKU_1325</t>
  </si>
  <si>
    <t>SKU_1062</t>
  </si>
  <si>
    <t>SKU_1230</t>
  </si>
  <si>
    <t>SKU_1445</t>
  </si>
  <si>
    <t>SKU_1202</t>
  </si>
  <si>
    <t>SKU_1689</t>
  </si>
  <si>
    <t>SKU_1783</t>
  </si>
  <si>
    <t>SKU_1466</t>
  </si>
  <si>
    <t>SKU_1563</t>
  </si>
  <si>
    <t>SKU_1905</t>
  </si>
  <si>
    <t>SKU_1479</t>
  </si>
  <si>
    <t>SKU_1722</t>
  </si>
  <si>
    <t>SKU_1395</t>
  </si>
  <si>
    <t>SKU_1158</t>
  </si>
  <si>
    <t>SKU_1872</t>
  </si>
  <si>
    <t>SKU_1981</t>
  </si>
  <si>
    <t>SKU_1304</t>
  </si>
  <si>
    <t>SKU_1542</t>
  </si>
  <si>
    <t>SKU_1234</t>
  </si>
  <si>
    <t>SKU_1170</t>
  </si>
  <si>
    <t>SKU_1474</t>
  </si>
  <si>
    <t>SKU_1515</t>
  </si>
  <si>
    <t>SKU_1486</t>
  </si>
  <si>
    <t>SKU_1897</t>
  </si>
  <si>
    <t>SKU_1500</t>
  </si>
  <si>
    <t>SKU_1647</t>
  </si>
  <si>
    <t>SKU_1959</t>
  </si>
  <si>
    <t>SKU_1254</t>
  </si>
  <si>
    <t>SKU_1208</t>
  </si>
  <si>
    <t>SKU_1973</t>
  </si>
  <si>
    <t>SKU_1490</t>
  </si>
  <si>
    <t>SKU_1392</t>
  </si>
  <si>
    <t>SKU_1673</t>
  </si>
  <si>
    <t>SKU_1901</t>
  </si>
  <si>
    <t>SKU_1616</t>
  </si>
  <si>
    <t>SKU_1130</t>
  </si>
  <si>
    <t>SKU_1276</t>
  </si>
  <si>
    <t>SKU_1390</t>
  </si>
  <si>
    <t>SKU_1333</t>
  </si>
  <si>
    <t>SKU_1925</t>
  </si>
  <si>
    <t>SKU_1277</t>
  </si>
  <si>
    <t>SKU_1950</t>
  </si>
  <si>
    <t>SKU_1856</t>
  </si>
  <si>
    <t>SKU_1066</t>
  </si>
  <si>
    <t>SKU_1708</t>
  </si>
  <si>
    <t>SKU_1882</t>
  </si>
  <si>
    <t>SKU_1058</t>
  </si>
  <si>
    <t>SKU_1036</t>
  </si>
  <si>
    <t>SKU_1433</t>
  </si>
  <si>
    <t>SKU_1710</t>
  </si>
  <si>
    <t>SKU_1255</t>
  </si>
  <si>
    <t>SKU_1391</t>
  </si>
  <si>
    <t>SKU_1496</t>
  </si>
  <si>
    <t>SKU_1621</t>
  </si>
  <si>
    <t>SKU_1456</t>
  </si>
  <si>
    <t>SKU_1949</t>
  </si>
  <si>
    <t>SKU_1157</t>
  </si>
  <si>
    <t>SKU_1227</t>
  </si>
  <si>
    <t>SKU_1399</t>
  </si>
  <si>
    <t>SKU_1438</t>
  </si>
  <si>
    <t>SKU_1435</t>
  </si>
  <si>
    <t>SKU_1174</t>
  </si>
  <si>
    <t>SKU_1544</t>
  </si>
  <si>
    <t>SKU_1383</t>
  </si>
  <si>
    <t>SKU_1865</t>
  </si>
  <si>
    <t>SKU_1407</t>
  </si>
  <si>
    <t>Proper Quantity</t>
  </si>
  <si>
    <t>Proper Unit Price</t>
  </si>
  <si>
    <t>Proper Return Status</t>
  </si>
  <si>
    <t>Proper Order Priority</t>
  </si>
  <si>
    <t>Gross Sales</t>
  </si>
  <si>
    <t>DiscountAmount</t>
  </si>
  <si>
    <t>amsterdam</t>
  </si>
  <si>
    <t>berlin</t>
  </si>
  <si>
    <t>london</t>
  </si>
  <si>
    <t>paris</t>
  </si>
  <si>
    <t>rome</t>
  </si>
  <si>
    <t>accessories</t>
  </si>
  <si>
    <t>apparel</t>
  </si>
  <si>
    <t>furniture</t>
  </si>
  <si>
    <t>Proper Category</t>
  </si>
  <si>
    <t>Proper Warehouse Location</t>
  </si>
  <si>
    <t>Payment Method</t>
  </si>
  <si>
    <t>Proper Values</t>
  </si>
  <si>
    <t>Paypal</t>
  </si>
  <si>
    <t>Unknown</t>
  </si>
  <si>
    <t xml:space="preserve">NetSales </t>
  </si>
  <si>
    <t>Row Labels</t>
  </si>
  <si>
    <t>Sum of Gross Sales</t>
  </si>
  <si>
    <t xml:space="preserve">Sum of NetSales </t>
  </si>
  <si>
    <t>Sum of DiscountAmount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</si>
</sst>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2" fontId="0" fillId="0" borderId="0" xfId="1" applyNumberFormat="1" applyFont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4" fillId="0" borderId="10" xfId="0" applyFont="1" applyBorder="1"/>
    <xf numFmtId="14" fontId="0" fillId="0" borderId="12" xfId="0" applyNumberFormat="1" applyBorder="1"/>
    <xf numFmtId="14" fontId="0" fillId="0" borderId="14" xfId="0" applyNumberFormat="1" applyBorder="1"/>
    <xf numFmtId="14" fontId="0" fillId="0" borderId="16" xfId="0" applyNumberFormat="1" applyBorder="1"/>
    <xf numFmtId="0" fontId="0" fillId="0" borderId="17" xfId="0" applyBorder="1"/>
    <xf numFmtId="164" fontId="0" fillId="0" borderId="0" xfId="0" applyNumberFormat="1"/>
    <xf numFmtId="164" fontId="0" fillId="4" borderId="0" xfId="0" applyNumberFormat="1" applyFill="1"/>
    <xf numFmtId="164" fontId="4" fillId="0" borderId="10" xfId="0" applyNumberFormat="1" applyFon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17" xfId="0" applyNumberFormat="1" applyBorder="1"/>
    <xf numFmtId="164" fontId="4" fillId="0" borderId="11" xfId="0" applyNumberFormat="1" applyFont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8" xfId="0" applyNumberFormat="1" applyBorder="1"/>
    <xf numFmtId="9" fontId="4" fillId="0" borderId="10" xfId="1" applyNumberFormat="1" applyFont="1" applyBorder="1"/>
    <xf numFmtId="9" fontId="0" fillId="0" borderId="8" xfId="1" applyNumberFormat="1" applyFont="1" applyBorder="1"/>
    <xf numFmtId="9" fontId="0" fillId="0" borderId="7" xfId="1" applyNumberFormat="1" applyFont="1" applyBorder="1"/>
    <xf numFmtId="9" fontId="0" fillId="0" borderId="17" xfId="1" applyNumberFormat="1" applyFont="1" applyBorder="1"/>
    <xf numFmtId="9" fontId="0" fillId="0" borderId="0" xfId="1" applyNumberFormat="1" applyFont="1"/>
    <xf numFmtId="9" fontId="0" fillId="0" borderId="0" xfId="0" applyNumberForma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Data.xlsx]Sheet9!PivotTable3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Location</a:t>
            </a:r>
            <a:r>
              <a:rPr lang="en-US" baseline="0"/>
              <a:t> Wise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Sheet9!$A$4:$A$8</c:f>
              <c:strCache>
                <c:ptCount val="5"/>
                <c:pt idx="0">
                  <c:v>Amsterdam</c:v>
                </c:pt>
                <c:pt idx="1">
                  <c:v>Berlin</c:v>
                </c:pt>
                <c:pt idx="2">
                  <c:v>London</c:v>
                </c:pt>
                <c:pt idx="3">
                  <c:v>Paris</c:v>
                </c:pt>
                <c:pt idx="4">
                  <c:v>Rome</c:v>
                </c:pt>
              </c:strCache>
            </c:strRef>
          </c:cat>
          <c:val>
            <c:numRef>
              <c:f>Sheet9!$B$4:$B$8</c:f>
              <c:numCache>
                <c:formatCode>General</c:formatCode>
                <c:ptCount val="5"/>
                <c:pt idx="0">
                  <c:v>179184</c:v>
                </c:pt>
                <c:pt idx="1">
                  <c:v>164279</c:v>
                </c:pt>
                <c:pt idx="2">
                  <c:v>233063</c:v>
                </c:pt>
                <c:pt idx="3">
                  <c:v>201162</c:v>
                </c:pt>
                <c:pt idx="4">
                  <c:v>192105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7-438F-A67B-ABB18E0798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486272"/>
        <c:axId val="55488768"/>
      </c:barChart>
      <c:catAx>
        <c:axId val="554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8768"/>
        <c:crosses val="autoZero"/>
        <c:auto val="1"/>
        <c:lblAlgn val="ctr"/>
        <c:lblOffset val="100"/>
        <c:noMultiLvlLbl val="0"/>
      </c:catAx>
      <c:valAx>
        <c:axId val="55488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Data.xlsx]Sheet13!PivotTable6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</a:t>
            </a:r>
            <a:r>
              <a:rPr lang="en-IN"/>
              <a:t> NetSales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9.909277853925344E-2"/>
              <c:y val="-1.6495275590551244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Sum of NetSales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2A-43FE-AF9F-3DAC20222B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2A-43FE-AF9F-3DAC20222B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2A-43FE-AF9F-3DAC20222B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2A-43FE-AF9F-3DAC20222B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2A-43FE-AF9F-3DAC20222B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Sheet13!$A$4:$A$8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Furniture</c:v>
                </c:pt>
                <c:pt idx="4">
                  <c:v>Stationery</c:v>
                </c:pt>
              </c:strCache>
            </c:strRef>
          </c:cat>
          <c:val>
            <c:numRef>
              <c:f>Sheet13!$B$4:$B$8</c:f>
              <c:numCache>
                <c:formatCode>General</c:formatCode>
                <c:ptCount val="5"/>
                <c:pt idx="0">
                  <c:v>8567</c:v>
                </c:pt>
                <c:pt idx="1">
                  <c:v>11536</c:v>
                </c:pt>
                <c:pt idx="2">
                  <c:v>2602</c:v>
                </c:pt>
                <c:pt idx="3">
                  <c:v>7347</c:v>
                </c:pt>
                <c:pt idx="4">
                  <c:v>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4-4381-8982-1066DD2935CC}"/>
            </c:ext>
          </c:extLst>
        </c:ser>
        <c:ser>
          <c:idx val="1"/>
          <c:order val="1"/>
          <c:tx>
            <c:strRef>
              <c:f>Sheet13!$C$3</c:f>
              <c:strCache>
                <c:ptCount val="1"/>
                <c:pt idx="0">
                  <c:v>Sum of Gross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92A-43FE-AF9F-3DAC20222B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92A-43FE-AF9F-3DAC20222B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92A-43FE-AF9F-3DAC20222B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92A-43FE-AF9F-3DAC20222B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92A-43FE-AF9F-3DAC20222B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Sheet13!$A$4:$A$8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Furniture</c:v>
                </c:pt>
                <c:pt idx="4">
                  <c:v>Stationery</c:v>
                </c:pt>
              </c:strCache>
            </c:strRef>
          </c:cat>
          <c:val>
            <c:numRef>
              <c:f>Sheet13!$C$4:$C$8</c:f>
              <c:numCache>
                <c:formatCode>General</c:formatCode>
                <c:ptCount val="5"/>
                <c:pt idx="0">
                  <c:v>10943</c:v>
                </c:pt>
                <c:pt idx="1">
                  <c:v>14810</c:v>
                </c:pt>
                <c:pt idx="2">
                  <c:v>4404</c:v>
                </c:pt>
                <c:pt idx="3">
                  <c:v>9375</c:v>
                </c:pt>
                <c:pt idx="4">
                  <c:v>7270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4-4381-8982-1066DD2935CC}"/>
            </c:ext>
          </c:extLst>
        </c:ser>
        <c:ser>
          <c:idx val="2"/>
          <c:order val="2"/>
          <c:tx>
            <c:strRef>
              <c:f>Sheet13!$D$3</c:f>
              <c:strCache>
                <c:ptCount val="1"/>
                <c:pt idx="0">
                  <c:v>Sum of DiscountAmount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92A-43FE-AF9F-3DAC20222B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92A-43FE-AF9F-3DAC20222B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92A-43FE-AF9F-3DAC20222B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92A-43FE-AF9F-3DAC20222B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92A-43FE-AF9F-3DAC20222B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Sheet13!$A$4:$A$8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Furniture</c:v>
                </c:pt>
                <c:pt idx="4">
                  <c:v>Stationery</c:v>
                </c:pt>
              </c:strCache>
            </c:strRef>
          </c:cat>
          <c:val>
            <c:numRef>
              <c:f>Sheet13!$D$4:$D$8</c:f>
              <c:numCache>
                <c:formatCode>General</c:formatCode>
                <c:ptCount val="5"/>
                <c:pt idx="0">
                  <c:v>2376</c:v>
                </c:pt>
                <c:pt idx="1">
                  <c:v>3274</c:v>
                </c:pt>
                <c:pt idx="2">
                  <c:v>1802</c:v>
                </c:pt>
                <c:pt idx="3">
                  <c:v>2028</c:v>
                </c:pt>
                <c:pt idx="4">
                  <c:v>1664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4-4381-8982-1066DD2935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547686</xdr:colOff>
      <xdr:row>1</xdr:row>
      <xdr:rowOff>123825</xdr:rowOff>
    </xdr:from>
    <xdr:to>
      <xdr:col>14</xdr:col>
      <xdr:colOff>95250</xdr:colOff>
      <xdr:row>22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1</xdr:row>
      <xdr:rowOff>19050</xdr:rowOff>
    </xdr:from>
    <xdr:to>
      <xdr:col>13</xdr:col>
      <xdr:colOff>47625</xdr:colOff>
      <xdr:row>21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OMMI" refreshedDate="46045.970185185186" createdVersion="6" refreshedVersion="6" minRefreshableVersion="3" recordCount="999">
  <cacheSource type="worksheet">
    <worksheetSource ref="A1:S1000" sheet="Cleaned Data"/>
  </cacheSource>
  <cacheFields count="19">
    <cacheField name="InvoiceDate" numFmtId="14">
      <sharedItems containsSemiMixedTypes="0" containsNonDate="0" containsDate="1" containsString="0" minDate="2025-01-01T00:00:00" maxDate="2025-02-25T00:00:00"/>
    </cacheField>
    <cacheField name="StockCode" numFmtId="0">
      <sharedItems/>
    </cacheField>
    <cacheField name="CustomerID" numFmtId="0">
      <sharedItems containsSemiMixedTypes="0" containsString="0" containsNumber="1" containsInteger="1" minValue="10025" maxValue="99998" count="995">
        <n v="91428"/>
        <n v="41508"/>
        <n v="68247"/>
        <n v="92584"/>
        <n v="84531"/>
        <n v="48304"/>
        <n v="67068"/>
        <n v="57761"/>
        <n v="31295"/>
        <n v="69770"/>
        <n v="12422"/>
        <n v="11001"/>
        <n v="57754"/>
        <n v="27463"/>
        <n v="47833"/>
        <n v="98264"/>
        <n v="79379"/>
        <n v="25664"/>
        <n v="54248"/>
        <n v="88442"/>
        <n v="48575"/>
        <n v="95235"/>
        <n v="93319"/>
        <n v="22140"/>
        <n v="64716"/>
        <n v="44880"/>
        <n v="70644"/>
        <n v="96877"/>
        <n v="98824"/>
        <n v="73837"/>
        <n v="59939"/>
        <n v="34512"/>
        <n v="68953"/>
        <n v="53599"/>
        <n v="61362"/>
        <n v="80747"/>
        <n v="29963"/>
        <n v="64425"/>
        <n v="39467"/>
        <n v="34686"/>
        <n v="77001"/>
        <n v="57351"/>
        <n v="50141"/>
        <n v="18733"/>
        <n v="71488"/>
        <n v="79262"/>
        <n v="37588"/>
        <n v="43844"/>
        <n v="29459"/>
        <n v="80061"/>
        <n v="28703"/>
        <n v="48954"/>
        <n v="23270"/>
        <n v="72813"/>
        <n v="23776"/>
        <n v="54591"/>
        <n v="25591"/>
        <n v="13836"/>
        <n v="33206"/>
        <n v="90636"/>
        <n v="72201"/>
        <n v="46223"/>
        <n v="19484"/>
        <n v="80718"/>
        <n v="15751"/>
        <n v="14246"/>
        <n v="99047"/>
        <n v="81766"/>
        <n v="66550"/>
        <n v="88028"/>
        <n v="65380"/>
        <n v="93932"/>
        <n v="99241"/>
        <n v="70895"/>
        <n v="28924"/>
        <n v="62316"/>
        <n v="72044"/>
        <n v="83705"/>
        <n v="65949"/>
        <n v="67424"/>
        <n v="23010"/>
        <n v="89857"/>
        <n v="58016"/>
        <n v="45448"/>
        <n v="34587"/>
        <n v="19986"/>
        <n v="94171"/>
        <n v="82934"/>
        <n v="27289"/>
        <n v="57608"/>
        <n v="64209"/>
        <n v="36008"/>
        <n v="73531"/>
        <n v="95902"/>
        <n v="87182"/>
        <n v="33999"/>
        <n v="19551"/>
        <n v="94953"/>
        <n v="72448"/>
        <n v="26202"/>
        <n v="54223"/>
        <n v="13899"/>
        <n v="25548"/>
        <n v="92754"/>
        <n v="83134"/>
        <n v="55038"/>
        <n v="69554"/>
        <n v="15417"/>
        <n v="95209"/>
        <n v="78378"/>
        <n v="98374"/>
        <n v="84203"/>
        <n v="40346"/>
        <n v="68776"/>
        <n v="57937"/>
        <n v="93067"/>
        <n v="99360"/>
        <n v="32142"/>
        <n v="99365"/>
        <n v="54769"/>
        <n v="86089"/>
        <n v="49156"/>
        <n v="98568"/>
        <n v="15216"/>
        <n v="69068"/>
        <n v="20919"/>
        <n v="29341"/>
        <n v="36709"/>
        <n v="67290"/>
        <n v="28811"/>
        <n v="93451"/>
        <n v="63559"/>
        <n v="91445"/>
        <n v="21660"/>
        <n v="85397"/>
        <n v="35013"/>
        <n v="27166"/>
        <n v="97755"/>
        <n v="45089"/>
        <n v="30463"/>
        <n v="48196"/>
        <n v="49699"/>
        <n v="24430"/>
        <n v="43191"/>
        <n v="95810"/>
        <n v="67823"/>
        <n v="96274"/>
        <n v="92731"/>
        <n v="75366"/>
        <n v="68621"/>
        <n v="26317"/>
        <n v="99417"/>
        <n v="75353"/>
        <n v="48900"/>
        <n v="90369"/>
        <n v="82177"/>
        <n v="88686"/>
        <n v="71918"/>
        <n v="16717"/>
        <n v="88527"/>
        <n v="26888"/>
        <n v="95868"/>
        <n v="47982"/>
        <n v="52418"/>
        <n v="45210"/>
        <n v="11175"/>
        <n v="13520"/>
        <n v="15635"/>
        <n v="52618"/>
        <n v="50849"/>
        <n v="72056"/>
        <n v="75820"/>
        <n v="43388"/>
        <n v="18325"/>
        <n v="67667"/>
        <n v="62103"/>
        <n v="28209"/>
        <n v="95819"/>
        <n v="50769"/>
        <n v="82134"/>
        <n v="16291"/>
        <n v="26526"/>
        <n v="31320"/>
        <n v="56972"/>
        <n v="85664"/>
        <n v="56819"/>
        <n v="40466"/>
        <n v="72868"/>
        <n v="16423"/>
        <n v="71984"/>
        <n v="39231"/>
        <n v="50297"/>
        <n v="47253"/>
        <n v="60266"/>
        <n v="90102"/>
        <n v="47573"/>
        <n v="74829"/>
        <n v="23789"/>
        <n v="28512"/>
        <n v="78677"/>
        <n v="48205"/>
        <n v="55073"/>
        <n v="94433"/>
        <n v="61911"/>
        <n v="90370"/>
        <n v="46660"/>
        <n v="74739"/>
        <n v="11899"/>
        <n v="41737"/>
        <n v="70500"/>
        <n v="58426"/>
        <n v="23928"/>
        <n v="55742"/>
        <n v="31864"/>
        <n v="78738"/>
        <n v="87150"/>
        <n v="97856"/>
        <n v="21796"/>
        <n v="30395"/>
        <n v="25001"/>
        <n v="60083"/>
        <n v="95311"/>
        <n v="22787"/>
        <n v="34445"/>
        <n v="72545"/>
        <n v="27629"/>
        <n v="65792"/>
        <n v="95137"/>
        <n v="19828"/>
        <n v="45078"/>
        <n v="84190"/>
        <n v="52615"/>
        <n v="64301"/>
        <n v="63565"/>
        <n v="59908"/>
        <n v="82206"/>
        <n v="58989"/>
        <n v="46036"/>
        <n v="37350"/>
        <n v="58029"/>
        <n v="13134"/>
        <n v="25737"/>
        <n v="72187"/>
        <n v="76500"/>
        <n v="92672"/>
        <n v="37004"/>
        <n v="73507"/>
        <n v="79512"/>
        <n v="40728"/>
        <n v="88106"/>
        <n v="17270"/>
        <n v="57397"/>
        <n v="86524"/>
        <n v="62050"/>
        <n v="11825"/>
        <n v="52199"/>
        <n v="75447"/>
        <n v="48684"/>
        <n v="77467"/>
        <n v="21293"/>
        <n v="58634"/>
        <n v="65874"/>
        <n v="35295"/>
        <n v="73790"/>
        <n v="31730"/>
        <n v="28651"/>
        <n v="20111"/>
        <n v="92618"/>
        <n v="82313"/>
        <n v="63177"/>
        <n v="58381"/>
        <n v="81334"/>
        <n v="11760"/>
        <n v="30048"/>
        <n v="98958"/>
        <n v="74880"/>
        <n v="44419"/>
        <n v="40974"/>
        <n v="68822"/>
        <n v="77293"/>
        <n v="57059"/>
        <n v="48338"/>
        <n v="63049"/>
        <n v="77303"/>
        <n v="67010"/>
        <n v="57828"/>
        <n v="19463"/>
        <n v="15296"/>
        <n v="63159"/>
        <n v="68988"/>
        <n v="93163"/>
        <n v="34672"/>
        <n v="27247"/>
        <n v="99616"/>
        <n v="29821"/>
        <n v="45875"/>
        <n v="67476"/>
        <n v="79765"/>
        <n v="65833"/>
        <n v="19915"/>
        <n v="50320"/>
        <n v="68632"/>
        <n v="70003"/>
        <n v="62462"/>
        <n v="75840"/>
        <n v="80414"/>
        <n v="54945"/>
        <n v="95713"/>
        <n v="46710"/>
        <n v="19364"/>
        <n v="86253"/>
        <n v="97317"/>
        <n v="36892"/>
        <n v="57277"/>
        <n v="13390"/>
        <n v="47655"/>
        <n v="57746"/>
        <n v="77619"/>
        <n v="75815"/>
        <n v="71554"/>
        <n v="25936"/>
        <n v="14921"/>
        <n v="41650"/>
        <n v="67749"/>
        <n v="62456"/>
        <n v="37615"/>
        <n v="59991"/>
        <n v="72138"/>
        <n v="77423"/>
        <n v="91658"/>
        <n v="19210"/>
        <n v="94635"/>
        <n v="32062"/>
        <n v="34864"/>
        <n v="76934"/>
        <n v="66110"/>
        <n v="48605"/>
        <n v="57620"/>
        <n v="34059"/>
        <n v="15329"/>
        <n v="18886"/>
        <n v="72759"/>
        <n v="77971"/>
        <n v="43120"/>
        <n v="83268"/>
        <n v="18167"/>
        <n v="17667"/>
        <n v="70710"/>
        <n v="53907"/>
        <n v="25987"/>
        <n v="30860"/>
        <n v="87090"/>
        <n v="99998"/>
        <n v="65775"/>
        <n v="93413"/>
        <n v="22456"/>
        <n v="85632"/>
        <n v="75293"/>
        <n v="82797"/>
        <n v="47898"/>
        <n v="69473"/>
        <n v="12567"/>
        <n v="25039"/>
        <n v="22793"/>
        <n v="43678"/>
        <n v="81582"/>
        <n v="19913"/>
        <n v="41738"/>
        <n v="85232"/>
        <n v="50399"/>
        <n v="84113"/>
        <n v="57438"/>
        <n v="99623"/>
        <n v="28824"/>
        <n v="72862"/>
        <n v="66754"/>
        <n v="82279"/>
        <n v="43773"/>
        <n v="26948"/>
        <n v="24216"/>
        <n v="47443"/>
        <n v="11978"/>
        <n v="76202"/>
        <n v="35509"/>
        <n v="19751"/>
        <n v="75941"/>
        <n v="21142"/>
        <n v="18978"/>
        <n v="18394"/>
        <n v="81542"/>
        <n v="19776"/>
        <n v="59733"/>
        <n v="73460"/>
        <n v="96367"/>
        <n v="14477"/>
        <n v="47533"/>
        <n v="94461"/>
        <n v="46581"/>
        <n v="52927"/>
        <n v="60888"/>
        <n v="19196"/>
        <n v="12561"/>
        <n v="67622"/>
        <n v="30840"/>
        <n v="73070"/>
        <n v="52663"/>
        <n v="87202"/>
        <n v="31681"/>
        <n v="13350"/>
        <n v="13470"/>
        <n v="52998"/>
        <n v="39476"/>
        <n v="38309"/>
        <n v="19099"/>
        <n v="30424"/>
        <n v="17347"/>
        <n v="45211"/>
        <n v="85991"/>
        <n v="90517"/>
        <n v="40495"/>
        <n v="86549"/>
        <n v="92648"/>
        <n v="96268"/>
        <n v="23361"/>
        <n v="62339"/>
        <n v="24006"/>
        <n v="36914"/>
        <n v="81604"/>
        <n v="91629"/>
        <n v="92920"/>
        <n v="79524"/>
        <n v="19766"/>
        <n v="52499"/>
        <n v="70987"/>
        <n v="28665"/>
        <n v="89484"/>
        <n v="70273"/>
        <n v="61730"/>
        <n v="71254"/>
        <n v="86877"/>
        <n v="87913"/>
        <n v="74130"/>
        <n v="89061"/>
        <n v="24369"/>
        <n v="36620"/>
        <n v="93742"/>
        <n v="28063"/>
        <n v="87568"/>
        <n v="63650"/>
        <n v="60919"/>
        <n v="30600"/>
        <n v="74485"/>
        <n v="94787"/>
        <n v="79717"/>
        <n v="74734"/>
        <n v="64424"/>
        <n v="39111"/>
        <n v="82168"/>
        <n v="51083"/>
        <n v="26801"/>
        <n v="13903"/>
        <n v="66129"/>
        <n v="47577"/>
        <n v="88842"/>
        <n v="42831"/>
        <n v="99032"/>
        <n v="51623"/>
        <n v="17881"/>
        <n v="39138"/>
        <n v="78003"/>
        <n v="52229"/>
        <n v="58109"/>
        <n v="72136"/>
        <n v="54840"/>
        <n v="12896"/>
        <n v="71015"/>
        <n v="29526"/>
        <n v="15626"/>
        <n v="45031"/>
        <n v="19222"/>
        <n v="12954"/>
        <n v="33183"/>
        <n v="16212"/>
        <n v="41919"/>
        <n v="24020"/>
        <n v="94747"/>
        <n v="73454"/>
        <n v="85667"/>
        <n v="69187"/>
        <n v="51259"/>
        <n v="30694"/>
        <n v="93259"/>
        <n v="49695"/>
        <n v="55708"/>
        <n v="21426"/>
        <n v="48634"/>
        <n v="20255"/>
        <n v="81608"/>
        <n v="35856"/>
        <n v="47083"/>
        <n v="90287"/>
        <n v="72856"/>
        <n v="78662"/>
        <n v="99791"/>
        <n v="66548"/>
        <n v="48871"/>
        <n v="75189"/>
        <n v="39420"/>
        <n v="72684"/>
        <n v="99178"/>
        <n v="75311"/>
        <n v="91026"/>
        <n v="47634"/>
        <n v="44879"/>
        <n v="43382"/>
        <n v="13934"/>
        <n v="95183"/>
        <n v="27348"/>
        <n v="20188"/>
        <n v="49448"/>
        <n v="71256"/>
        <n v="20138"/>
        <n v="18753"/>
        <n v="28433"/>
        <n v="79445"/>
        <n v="10600"/>
        <n v="42695"/>
        <n v="90316"/>
        <n v="53924"/>
        <n v="38356"/>
        <n v="24551"/>
        <n v="57003"/>
        <n v="19012"/>
        <n v="57214"/>
        <n v="73186"/>
        <n v="41312"/>
        <n v="17350"/>
        <n v="84172"/>
        <n v="36463"/>
        <n v="83959"/>
        <n v="43559"/>
        <n v="37686"/>
        <n v="96702"/>
        <n v="92781"/>
        <n v="27312"/>
        <n v="30419"/>
        <n v="93033"/>
        <n v="63148"/>
        <n v="39245"/>
        <n v="85491"/>
        <n v="31179"/>
        <n v="73916"/>
        <n v="73797"/>
        <n v="13255"/>
        <n v="45043"/>
        <n v="42906"/>
        <n v="30788"/>
        <n v="24559"/>
        <n v="94647"/>
        <n v="77015"/>
        <n v="10043"/>
        <n v="31126"/>
        <n v="14961"/>
        <n v="94944"/>
        <n v="80865"/>
        <n v="34336"/>
        <n v="26003"/>
        <n v="57523"/>
        <n v="11103"/>
        <n v="24516"/>
        <n v="29249"/>
        <n v="63133"/>
        <n v="59865"/>
        <n v="20551"/>
        <n v="37049"/>
        <n v="19890"/>
        <n v="55268"/>
        <n v="73676"/>
        <n v="98499"/>
        <n v="22173"/>
        <n v="28355"/>
        <n v="52915"/>
        <n v="50662"/>
        <n v="28363"/>
        <n v="59152"/>
        <n v="55469"/>
        <n v="58882"/>
        <n v="83310"/>
        <n v="85818"/>
        <n v="18541"/>
        <n v="36373"/>
        <n v="36092"/>
        <n v="26380"/>
        <n v="11132"/>
        <n v="16699"/>
        <n v="56585"/>
        <n v="92154"/>
        <n v="70039"/>
        <n v="70716"/>
        <n v="24646"/>
        <n v="99450"/>
        <n v="47492"/>
        <n v="10675"/>
        <n v="21500"/>
        <n v="11200"/>
        <n v="85899"/>
        <n v="18404"/>
        <n v="39619"/>
        <n v="44085"/>
        <n v="17800"/>
        <n v="48793"/>
        <n v="17717"/>
        <n v="24001"/>
        <n v="95187"/>
        <n v="30705"/>
        <n v="90270"/>
        <n v="28572"/>
        <n v="57779"/>
        <n v="72345"/>
        <n v="15847"/>
        <n v="34384"/>
        <n v="90255"/>
        <n v="91738"/>
        <n v="56533"/>
        <n v="99551"/>
        <n v="93520"/>
        <n v="38910"/>
        <n v="67711"/>
        <n v="82747"/>
        <n v="74290"/>
        <n v="70391"/>
        <n v="37849"/>
        <n v="73067"/>
        <n v="72710"/>
        <n v="93429"/>
        <n v="20586"/>
        <n v="55360"/>
        <n v="72921"/>
        <n v="70634"/>
        <n v="90417"/>
        <n v="58240"/>
        <n v="98139"/>
        <n v="78265"/>
        <n v="13451"/>
        <n v="51699"/>
        <n v="89840"/>
        <n v="93763"/>
        <n v="72262"/>
        <n v="32370"/>
        <n v="82083"/>
        <n v="11948"/>
        <n v="43168"/>
        <n v="56075"/>
        <n v="79927"/>
        <n v="92314"/>
        <n v="47535"/>
        <n v="69278"/>
        <n v="64050"/>
        <n v="18779"/>
        <n v="43969"/>
        <n v="46316"/>
        <n v="78364"/>
        <n v="72045"/>
        <n v="59001"/>
        <n v="23418"/>
        <n v="22398"/>
        <n v="86808"/>
        <n v="59319"/>
        <n v="59692"/>
        <n v="31097"/>
        <n v="93894"/>
        <n v="42853"/>
        <n v="32877"/>
        <n v="52670"/>
        <n v="10025"/>
        <n v="72865"/>
        <n v="83302"/>
        <n v="62713"/>
        <n v="70219"/>
        <n v="51110"/>
        <n v="63992"/>
        <n v="49635"/>
        <n v="63885"/>
        <n v="65967"/>
        <n v="78087"/>
        <n v="94212"/>
        <n v="40301"/>
        <n v="99321"/>
        <n v="56835"/>
        <n v="45795"/>
        <n v="30125"/>
        <n v="85535"/>
        <n v="24209"/>
        <n v="48689"/>
        <n v="55946"/>
        <n v="85188"/>
        <n v="56000"/>
        <n v="12591"/>
        <n v="87633"/>
        <n v="10485"/>
        <n v="38601"/>
        <n v="30556"/>
        <n v="72481"/>
        <n v="35255"/>
        <n v="37331"/>
        <n v="94124"/>
        <n v="20530"/>
        <n v="44764"/>
        <n v="90655"/>
        <n v="12938"/>
        <n v="43162"/>
        <n v="88856"/>
        <n v="35474"/>
        <n v="44314"/>
        <n v="36525"/>
        <n v="44089"/>
        <n v="38370"/>
        <n v="39484"/>
        <n v="38443"/>
        <n v="73835"/>
        <n v="14406"/>
        <n v="68635"/>
        <n v="77809"/>
        <n v="74466"/>
        <n v="88295"/>
        <n v="97179"/>
        <n v="25840"/>
        <n v="42199"/>
        <n v="28308"/>
        <n v="20509"/>
        <n v="49597"/>
        <n v="88802"/>
        <n v="24170"/>
        <n v="45661"/>
        <n v="18907"/>
        <n v="66617"/>
        <n v="24364"/>
        <n v="20613"/>
        <n v="23673"/>
        <n v="84574"/>
        <n v="58786"/>
        <n v="63943"/>
        <n v="33149"/>
        <n v="40773"/>
        <n v="92099"/>
        <n v="22213"/>
        <n v="53514"/>
        <n v="59142"/>
        <n v="16455"/>
        <n v="57141"/>
        <n v="75513"/>
        <n v="90392"/>
        <n v="75065"/>
        <n v="39906"/>
        <n v="33789"/>
        <n v="25174"/>
        <n v="86332"/>
        <n v="48221"/>
        <n v="65448"/>
        <n v="27058"/>
        <n v="97050"/>
        <n v="39808"/>
        <n v="39233"/>
        <n v="35544"/>
        <n v="35150"/>
        <n v="16019"/>
        <n v="28197"/>
        <n v="21633"/>
        <n v="68604"/>
        <n v="90393"/>
        <n v="72789"/>
        <n v="59870"/>
        <n v="62995"/>
        <n v="45850"/>
        <n v="24103"/>
        <n v="44835"/>
        <n v="45616"/>
        <n v="52528"/>
        <n v="52012"/>
        <n v="37731"/>
        <n v="99673"/>
        <n v="55205"/>
        <n v="83545"/>
        <n v="87789"/>
        <n v="15458"/>
        <n v="11087"/>
        <n v="56584"/>
        <n v="31417"/>
        <n v="58505"/>
        <n v="76414"/>
        <n v="10462"/>
        <n v="73925"/>
        <n v="14277"/>
        <n v="68333"/>
        <n v="31064"/>
        <n v="13549"/>
        <n v="82564"/>
        <n v="65407"/>
        <n v="86831"/>
        <n v="35791"/>
        <n v="79690"/>
        <n v="66761"/>
        <n v="31936"/>
        <n v="41889"/>
        <n v="99021"/>
        <n v="57119"/>
        <n v="47078"/>
        <n v="74396"/>
        <n v="22055"/>
        <n v="92330"/>
        <n v="31955"/>
        <n v="47046"/>
        <n v="37477"/>
        <n v="38444"/>
        <n v="67095"/>
        <n v="52337"/>
        <n v="64538"/>
        <n v="21877"/>
        <n v="23413"/>
        <n v="83577"/>
        <n v="95071"/>
        <n v="48281"/>
        <n v="80915"/>
        <n v="57661"/>
        <n v="65719"/>
        <n v="46846"/>
        <n v="71988"/>
        <n v="17580"/>
        <n v="18378"/>
        <n v="90144"/>
        <n v="97316"/>
        <n v="98433"/>
        <n v="38176"/>
        <n v="36296"/>
        <n v="18429"/>
        <n v="11344"/>
        <n v="92244"/>
        <n v="83467"/>
        <n v="50071"/>
        <n v="56913"/>
        <n v="57073"/>
        <n v="35808"/>
        <n v="48136"/>
        <n v="66829"/>
        <n v="53173"/>
        <n v="72811"/>
        <n v="14652"/>
        <n v="12909"/>
        <n v="51186"/>
        <n v="71371"/>
        <n v="55435"/>
        <n v="94592"/>
        <n v="69134"/>
        <n v="51656"/>
        <n v="50603"/>
        <n v="47181"/>
        <n v="63876"/>
        <n v="32123"/>
        <n v="95905"/>
        <n v="73537"/>
        <n v="56278"/>
        <n v="62574"/>
        <n v="23955"/>
        <n v="41341"/>
        <n v="16559"/>
        <n v="88209"/>
        <n v="43994"/>
        <n v="75060"/>
        <n v="21483"/>
        <n v="71444"/>
        <n v="18724"/>
        <n v="19711"/>
        <n v="47444"/>
        <n v="69355"/>
        <n v="17413"/>
        <n v="87346"/>
        <n v="53034"/>
        <n v="44976"/>
        <n v="68037"/>
        <n v="54577"/>
        <n v="93820"/>
        <n v="48466"/>
        <n v="41579"/>
        <n v="53699"/>
        <n v="33054"/>
        <n v="20432"/>
        <n v="54134"/>
        <n v="32162"/>
        <n v="24264"/>
        <n v="50318"/>
        <n v="24466"/>
        <n v="42553"/>
        <n v="61744"/>
        <n v="82618"/>
        <n v="98718"/>
        <n v="16392"/>
        <n v="89475"/>
        <n v="18320"/>
        <n v="75040"/>
        <n v="29022"/>
        <n v="55797"/>
        <n v="24779"/>
        <n v="86755"/>
        <n v="21386"/>
        <n v="65815"/>
        <n v="87853"/>
        <n v="91352"/>
        <n v="19390"/>
        <n v="54703"/>
        <n v="74222"/>
        <n v="10401"/>
        <n v="92862"/>
        <n v="78644"/>
        <n v="51915"/>
        <n v="55106"/>
        <n v="24318"/>
        <n v="59040"/>
        <n v="74237"/>
        <n v="70528"/>
        <n v="40067"/>
        <n v="94010"/>
        <n v="15053"/>
        <n v="15923"/>
        <n v="77655"/>
        <n v="65326"/>
        <n v="52858"/>
        <n v="36398"/>
        <n v="82087"/>
        <n v="19333"/>
        <n v="85528"/>
        <n v="77552"/>
        <n v="21189"/>
        <n v="26884"/>
        <n v="11584"/>
        <n v="34518"/>
        <n v="55347"/>
        <n v="66830"/>
        <n v="66038"/>
        <n v="30393"/>
        <n v="19084"/>
        <n v="80488"/>
        <n v="29621"/>
        <n v="63859"/>
        <n v="45443"/>
        <n v="90598"/>
        <n v="41810"/>
        <n v="34468"/>
        <n v="93011"/>
        <n v="51802"/>
        <n v="30256"/>
        <n v="28561"/>
        <n v="14580"/>
        <n v="22403"/>
        <n v="53990"/>
        <n v="69281"/>
        <n v="35321"/>
        <n v="60637"/>
        <n v="76117"/>
        <n v="22970"/>
        <n v="35297"/>
        <n v="71135"/>
        <n v="42559"/>
        <n v="26433"/>
        <n v="34067"/>
        <n v="47566"/>
        <n v="51154"/>
        <n v="28784"/>
        <n v="26297"/>
        <n v="47965"/>
        <n v="58427"/>
        <n v="69489"/>
        <n v="93645"/>
        <n v="82594"/>
        <n v="96209"/>
        <n v="65634"/>
        <n v="80463"/>
        <n v="77880"/>
        <n v="17092"/>
        <n v="36242"/>
        <n v="51550"/>
        <n v="77982"/>
        <n v="82937"/>
        <n v="85853"/>
        <n v="68794"/>
        <n v="44362"/>
        <n v="37646"/>
        <n v="70921"/>
        <n v="50283"/>
        <n v="56646"/>
        <n v="92509"/>
        <n v="37273"/>
        <n v="65501"/>
        <n v="56811"/>
        <n v="82478"/>
        <n v="85541"/>
      </sharedItems>
    </cacheField>
    <cacheField name="Description" numFmtId="0">
      <sharedItems/>
    </cacheField>
    <cacheField name="Quantity" numFmtId="0">
      <sharedItems containsString="0" containsBlank="1" containsNumber="1" containsInteger="1" minValue="1" maxValue="49"/>
    </cacheField>
    <cacheField name="UnitPrice" numFmtId="0">
      <sharedItems containsString="0" containsBlank="1" containsNumber="1" minValue="1.07" maxValue="99.99"/>
    </cacheField>
    <cacheField name="Country" numFmtId="0">
      <sharedItems count="12">
        <s v="Netherlands"/>
        <s v="Portugal"/>
        <s v="United States"/>
        <s v="Spain"/>
        <s v="Australia"/>
        <s v="Sweden"/>
        <s v="Germany"/>
        <s v="France"/>
        <s v="Italy"/>
        <s v="United Kingdom"/>
        <s v="Norway"/>
        <s v="Belgium"/>
      </sharedItems>
    </cacheField>
    <cacheField name="Discount" numFmtId="9">
      <sharedItems containsSemiMixedTypes="0" containsString="0" containsNumber="1" minValue="0" maxValue="0.5"/>
    </cacheField>
    <cacheField name="Payment Method" numFmtId="0">
      <sharedItems/>
    </cacheField>
    <cacheField name="ShippingCost" numFmtId="0">
      <sharedItems containsSemiMixedTypes="0" containsString="0" containsNumber="1" minValue="5.05" maxValue="29.96"/>
    </cacheField>
    <cacheField name="Proper Category" numFmtId="0">
      <sharedItems count="5">
        <s v="Accessories"/>
        <s v="Apparel"/>
        <s v="Stationery"/>
        <s v="Furniture"/>
        <s v="Electronics"/>
      </sharedItems>
    </cacheField>
    <cacheField name="SalesChannel" numFmtId="0">
      <sharedItems count="2">
        <s v="Online"/>
        <s v="In-store"/>
      </sharedItems>
    </cacheField>
    <cacheField name="Proper Return Status" numFmtId="0">
      <sharedItems/>
    </cacheField>
    <cacheField name="ShipmentProvider" numFmtId="0">
      <sharedItems/>
    </cacheField>
    <cacheField name="Proper Warehouse Location" numFmtId="0">
      <sharedItems count="5">
        <s v="Paris"/>
        <s v="Berlin"/>
        <s v="Amsterdam"/>
        <s v="Rome"/>
        <s v="London"/>
      </sharedItems>
    </cacheField>
    <cacheField name="Proper Order Priority" numFmtId="0">
      <sharedItems/>
    </cacheField>
    <cacheField name="Gross Sales" numFmtId="0">
      <sharedItems containsSemiMixedTypes="0" containsString="0" containsNumber="1" containsInteger="1" minValue="3" maxValue="4663"/>
    </cacheField>
    <cacheField name="DiscountAmount" numFmtId="0">
      <sharedItems containsSemiMixedTypes="0" containsString="0" containsNumber="1" containsInteger="1" minValue="0" maxValue="2034"/>
    </cacheField>
    <cacheField name="NetSales " numFmtId="0">
      <sharedItems containsSemiMixedTypes="0" containsString="0" containsNumber="1" containsInteger="1" minValue="3" maxValue="41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OMMI" refreshedDate="46045.973021874997" createdVersion="6" refreshedVersion="6" minRefreshableVersion="3" recordCount="31">
  <cacheSource type="worksheet">
    <worksheetSource ref="A1:S32" sheet="Cleaned Data"/>
  </cacheSource>
  <cacheFields count="19">
    <cacheField name="InvoiceDate" numFmtId="14">
      <sharedItems containsSemiMixedTypes="0" containsNonDate="0" containsDate="1" containsString="0" minDate="2025-01-01T00:00:00" maxDate="2025-01-04T00:00:00" count="3">
        <d v="2025-01-01T00:00:00"/>
        <d v="2025-01-02T00:00:00"/>
        <d v="2025-01-03T00:00:00"/>
      </sharedItems>
    </cacheField>
    <cacheField name="StockCode" numFmtId="0">
      <sharedItems/>
    </cacheField>
    <cacheField name="CustomerID" numFmtId="0">
      <sharedItems containsSemiMixedTypes="0" containsString="0" containsNumber="1" containsInteger="1" minValue="11001" maxValue="98824"/>
    </cacheField>
    <cacheField name="Description" numFmtId="0">
      <sharedItems/>
    </cacheField>
    <cacheField name="Quantity" numFmtId="0">
      <sharedItems containsSemiMixedTypes="0" containsString="0" containsNumber="1" containsInteger="1" minValue="4" maxValue="47"/>
    </cacheField>
    <cacheField name="UnitPrice" numFmtId="0">
      <sharedItems containsString="0" containsBlank="1" containsNumber="1" minValue="3.34" maxValue="98.3"/>
    </cacheField>
    <cacheField name="Country" numFmtId="0">
      <sharedItems count="11">
        <s v="Netherlands"/>
        <s v="Portugal"/>
        <s v="United States"/>
        <s v="Spain"/>
        <s v="Australia"/>
        <s v="Sweden"/>
        <s v="Germany"/>
        <s v="France"/>
        <s v="Italy"/>
        <s v="United Kingdom"/>
        <s v="Norway"/>
      </sharedItems>
    </cacheField>
    <cacheField name="Discount" numFmtId="9">
      <sharedItems containsSemiMixedTypes="0" containsString="0" containsNumber="1" minValue="0" maxValue="0.44"/>
    </cacheField>
    <cacheField name="Payment Method" numFmtId="0">
      <sharedItems/>
    </cacheField>
    <cacheField name="ShippingCost" numFmtId="0">
      <sharedItems containsSemiMixedTypes="0" containsString="0" containsNumber="1" minValue="6.62" maxValue="29.61"/>
    </cacheField>
    <cacheField name="Proper Category" numFmtId="0">
      <sharedItems count="5">
        <s v="Accessories"/>
        <s v="Apparel"/>
        <s v="Stationery"/>
        <s v="Furniture"/>
        <s v="Electronics"/>
      </sharedItems>
    </cacheField>
    <cacheField name="SalesChannel" numFmtId="0">
      <sharedItems/>
    </cacheField>
    <cacheField name="Proper Return Status" numFmtId="0">
      <sharedItems/>
    </cacheField>
    <cacheField name="ShipmentProvider" numFmtId="0">
      <sharedItems/>
    </cacheField>
    <cacheField name="Proper Warehouse Location" numFmtId="0">
      <sharedItems count="5">
        <s v="Paris"/>
        <s v="Berlin"/>
        <s v="Amsterdam"/>
        <s v="Rome"/>
        <s v="London"/>
      </sharedItems>
    </cacheField>
    <cacheField name="Proper Order Priority" numFmtId="0">
      <sharedItems/>
    </cacheField>
    <cacheField name="Gross Sales" numFmtId="0">
      <sharedItems containsSemiMixedTypes="0" containsString="0" containsNumber="1" containsInteger="1" minValue="23" maxValue="4424"/>
    </cacheField>
    <cacheField name="DiscountAmount" numFmtId="0">
      <sharedItems containsSemiMixedTypes="0" containsString="0" containsNumber="1" containsInteger="1" minValue="0" maxValue="1070"/>
    </cacheField>
    <cacheField name="NetSales " numFmtId="0">
      <sharedItems containsSemiMixedTypes="0" containsString="0" containsNumber="1" containsInteger="1" minValue="23" maxValue="41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">
  <r>
    <d v="2025-01-01T00:00:00"/>
    <s v="SKU_1756"/>
    <x v="0"/>
    <s v="Office Chair"/>
    <n v="33"/>
    <n v="85.88"/>
    <x v="0"/>
    <n v="0.05"/>
    <s v="Bank Transfer"/>
    <n v="11"/>
    <x v="0"/>
    <x v="0"/>
    <s v="Not Returned"/>
    <s v="FedEx"/>
    <x v="0"/>
    <s v="Low"/>
    <n v="2834"/>
    <n v="142"/>
    <n v="2692"/>
  </r>
  <r>
    <d v="2025-01-01T00:00:00"/>
    <s v="SKU_1982"/>
    <x v="1"/>
    <s v="White Mug"/>
    <n v="47"/>
    <n v="75.47"/>
    <x v="1"/>
    <n v="0.28000000000000003"/>
    <s v="Credit Card"/>
    <n v="14.92"/>
    <x v="1"/>
    <x v="1"/>
    <s v="Not Returned"/>
    <s v="UPS"/>
    <x v="1"/>
    <s v="High"/>
    <n v="3547"/>
    <n v="993"/>
    <n v="2554"/>
  </r>
  <r>
    <d v="2025-01-01T00:00:00"/>
    <s v="SKU_1206"/>
    <x v="2"/>
    <s v="Office Chair"/>
    <n v="18"/>
    <n v="67.849999999999994"/>
    <x v="2"/>
    <n v="0.36"/>
    <s v="Credit Card"/>
    <n v="16.41"/>
    <x v="2"/>
    <x v="0"/>
    <s v="Not Returned"/>
    <s v="Royal Mail"/>
    <x v="2"/>
    <s v="Low"/>
    <n v="1221"/>
    <n v="440"/>
    <n v="781"/>
  </r>
  <r>
    <d v="2025-01-01T00:00:00"/>
    <s v="SKU_1913"/>
    <x v="3"/>
    <s v="Blue Pen"/>
    <n v="45"/>
    <n v="98.3"/>
    <x v="3"/>
    <n v="0.06"/>
    <s v="Credit Card"/>
    <n v="25.36"/>
    <x v="3"/>
    <x v="1"/>
    <s v="Not Returned"/>
    <s v="UPS"/>
    <x v="0"/>
    <s v="High"/>
    <n v="4424"/>
    <n v="265"/>
    <n v="4159"/>
  </r>
  <r>
    <d v="2025-01-02T00:00:00"/>
    <s v="SKU_1993"/>
    <x v="4"/>
    <s v="Backpack"/>
    <n v="23"/>
    <n v="14.19"/>
    <x v="4"/>
    <n v="0.35"/>
    <s v="Credit Card"/>
    <n v="27.15"/>
    <x v="3"/>
    <x v="1"/>
    <s v="Not Returned"/>
    <s v="UPS"/>
    <x v="0"/>
    <s v="Medium"/>
    <n v="326"/>
    <n v="114"/>
    <n v="212"/>
  </r>
  <r>
    <d v="2025-01-02T00:00:00"/>
    <s v="SKU_1077"/>
    <x v="5"/>
    <s v="Wall Clock"/>
    <n v="47"/>
    <n v="36.71"/>
    <x v="2"/>
    <n v="0.37"/>
    <s v="Credit Card"/>
    <n v="29.11"/>
    <x v="4"/>
    <x v="1"/>
    <s v="Not Returned"/>
    <s v="FedEx"/>
    <x v="2"/>
    <s v="Medium"/>
    <n v="1725"/>
    <n v="638"/>
    <n v="1087"/>
  </r>
  <r>
    <d v="2025-01-02T00:00:00"/>
    <s v="SKU_1069"/>
    <x v="6"/>
    <s v="Blue Pen"/>
    <n v="33"/>
    <n v="70.69"/>
    <x v="5"/>
    <n v="0.41"/>
    <s v="Credit Card"/>
    <n v="29.36"/>
    <x v="0"/>
    <x v="0"/>
    <s v="Not Returned"/>
    <s v="DHL"/>
    <x v="1"/>
    <s v="Low"/>
    <n v="2333"/>
    <n v="956"/>
    <n v="1377"/>
  </r>
  <r>
    <d v="2025-01-02T00:00:00"/>
    <s v="SKU_1934"/>
    <x v="7"/>
    <s v="Blue Pen"/>
    <n v="23"/>
    <n v="28.54"/>
    <x v="6"/>
    <n v="0.02"/>
    <s v="Bank Transfer"/>
    <n v="19.82"/>
    <x v="2"/>
    <x v="0"/>
    <s v="Not Returned"/>
    <s v="Royal Mail"/>
    <x v="0"/>
    <s v="High"/>
    <n v="656"/>
    <n v="13"/>
    <n v="643"/>
  </r>
  <r>
    <d v="2025-01-02T00:00:00"/>
    <s v="SKU_1273"/>
    <x v="8"/>
    <s v="USB Cable"/>
    <n v="21"/>
    <n v="28.96"/>
    <x v="7"/>
    <n v="0.18"/>
    <s v="Bank Transfer"/>
    <n v="13.81"/>
    <x v="2"/>
    <x v="0"/>
    <s v="Not Returned"/>
    <s v="UPS"/>
    <x v="3"/>
    <s v="Medium"/>
    <n v="608"/>
    <n v="109"/>
    <n v="499"/>
  </r>
  <r>
    <d v="2025-01-02T00:00:00"/>
    <s v="SKU_1104"/>
    <x v="9"/>
    <s v="USB Cable"/>
    <n v="10"/>
    <n v="24.81"/>
    <x v="5"/>
    <n v="0.38"/>
    <s v="Paypal"/>
    <n v="11.17"/>
    <x v="4"/>
    <x v="1"/>
    <s v="Not Returned"/>
    <s v="Royal Mail"/>
    <x v="1"/>
    <s v="High"/>
    <n v="248"/>
    <n v="94"/>
    <n v="154"/>
  </r>
  <r>
    <d v="2025-01-02T00:00:00"/>
    <s v="SKU_1347"/>
    <x v="10"/>
    <s v="Office Chair"/>
    <n v="22"/>
    <n v="68.180000000000007"/>
    <x v="4"/>
    <n v="0.33"/>
    <s v="Paypal"/>
    <n v="29.3"/>
    <x v="0"/>
    <x v="0"/>
    <s v="Not Returned"/>
    <s v="UPS"/>
    <x v="1"/>
    <s v="Low"/>
    <n v="1500"/>
    <n v="495"/>
    <n v="1005"/>
  </r>
  <r>
    <d v="2025-01-02T00:00:00"/>
    <s v="SKU_1307"/>
    <x v="11"/>
    <s v="Wall Clock"/>
    <n v="11"/>
    <n v="3.34"/>
    <x v="0"/>
    <n v="0.2"/>
    <s v="Paypal"/>
    <n v="6.62"/>
    <x v="3"/>
    <x v="0"/>
    <s v="Not Returned"/>
    <s v="UPS"/>
    <x v="3"/>
    <s v="Low"/>
    <n v="37"/>
    <n v="7"/>
    <n v="30"/>
  </r>
  <r>
    <d v="2025-01-02T00:00:00"/>
    <s v="SKU_1257"/>
    <x v="12"/>
    <s v="Blue Pen"/>
    <n v="5"/>
    <m/>
    <x v="5"/>
    <n v="0.24"/>
    <s v="Bank Transfer"/>
    <n v="8.1300000000000008"/>
    <x v="0"/>
    <x v="0"/>
    <s v="Not Returned"/>
    <s v="FedEx"/>
    <x v="0"/>
    <s v="High"/>
    <n v="265"/>
    <n v="64"/>
    <n v="201"/>
  </r>
  <r>
    <d v="2025-01-03T00:00:00"/>
    <s v="SKU_1356"/>
    <x v="13"/>
    <s v="Headphones"/>
    <n v="14"/>
    <n v="95.17"/>
    <x v="1"/>
    <n v="0.39"/>
    <s v="Paypal"/>
    <n v="7.75"/>
    <x v="1"/>
    <x v="0"/>
    <s v="Not Returned"/>
    <s v="DHL"/>
    <x v="0"/>
    <s v="Low"/>
    <n v="1332"/>
    <n v="520"/>
    <n v="812"/>
  </r>
  <r>
    <d v="2025-01-03T00:00:00"/>
    <s v="SKU_1232"/>
    <x v="14"/>
    <s v="Desk Lamp"/>
    <n v="4"/>
    <n v="5.66"/>
    <x v="4"/>
    <n v="0"/>
    <s v="Bank Transfer"/>
    <n v="22.14"/>
    <x v="0"/>
    <x v="0"/>
    <s v="Not Returned"/>
    <s v="DHL"/>
    <x v="0"/>
    <s v="High"/>
    <n v="23"/>
    <n v="0"/>
    <n v="23"/>
  </r>
  <r>
    <d v="2025-01-03T00:00:00"/>
    <s v="SKU_1163"/>
    <x v="15"/>
    <s v="T-shirt"/>
    <n v="19"/>
    <n v="32.94"/>
    <x v="2"/>
    <n v="0.19"/>
    <s v="Paypal"/>
    <n v="8.5399999999999991"/>
    <x v="0"/>
    <x v="1"/>
    <s v="Not Returned"/>
    <s v="DHL"/>
    <x v="2"/>
    <s v="High"/>
    <n v="626"/>
    <n v="119"/>
    <n v="507"/>
  </r>
  <r>
    <d v="2025-01-03T00:00:00"/>
    <s v="SKU_1303"/>
    <x v="16"/>
    <s v="Headphones"/>
    <n v="44"/>
    <n v="55.26"/>
    <x v="8"/>
    <n v="0.44"/>
    <s v="Paypal"/>
    <n v="19.690000000000001"/>
    <x v="4"/>
    <x v="1"/>
    <s v="Not Returned"/>
    <s v="UPS"/>
    <x v="0"/>
    <s v="High"/>
    <n v="2431"/>
    <n v="1070"/>
    <n v="1361"/>
  </r>
  <r>
    <d v="2025-01-03T00:00:00"/>
    <s v="SKU_1884"/>
    <x v="17"/>
    <s v="White Mug"/>
    <n v="25"/>
    <n v="75.5"/>
    <x v="7"/>
    <n v="0.42"/>
    <s v="Paypal"/>
    <n v="15.13"/>
    <x v="3"/>
    <x v="1"/>
    <s v="Not Returned"/>
    <s v="Royal Mail"/>
    <x v="1"/>
    <s v="High"/>
    <n v="1888"/>
    <n v="793"/>
    <n v="1095"/>
  </r>
  <r>
    <d v="2025-01-03T00:00:00"/>
    <s v="SKU_1855"/>
    <x v="18"/>
    <s v="Notebook"/>
    <n v="30"/>
    <n v="67.510000000000005"/>
    <x v="9"/>
    <n v="0.06"/>
    <s v="Credit Card"/>
    <n v="9.43"/>
    <x v="1"/>
    <x v="0"/>
    <s v="Not Returned"/>
    <s v="Royal Mail"/>
    <x v="3"/>
    <s v="Low"/>
    <n v="2025"/>
    <n v="122"/>
    <n v="1903"/>
  </r>
  <r>
    <d v="2025-01-03T00:00:00"/>
    <s v="SKU_1802"/>
    <x v="19"/>
    <s v="Blue Pen"/>
    <n v="39"/>
    <n v="88.31"/>
    <x v="8"/>
    <n v="0.11"/>
    <s v="Credit Card"/>
    <n v="29.61"/>
    <x v="1"/>
    <x v="0"/>
    <s v="Not Returned"/>
    <s v="DHL"/>
    <x v="2"/>
    <s v="High"/>
    <n v="3444"/>
    <n v="379"/>
    <n v="3065"/>
  </r>
  <r>
    <d v="2025-01-03T00:00:00"/>
    <s v="SKU_1848"/>
    <x v="20"/>
    <s v="Desk Lamp"/>
    <n v="24"/>
    <m/>
    <x v="5"/>
    <n v="0.26"/>
    <s v="Paypal"/>
    <n v="24.88"/>
    <x v="0"/>
    <x v="1"/>
    <s v="Not Returned"/>
    <s v="FedEx"/>
    <x v="2"/>
    <s v="Medium"/>
    <n v="1272"/>
    <n v="331"/>
    <n v="941"/>
  </r>
  <r>
    <d v="2025-01-03T00:00:00"/>
    <s v="SKU_1605"/>
    <x v="21"/>
    <s v="Wall Clock"/>
    <n v="10"/>
    <n v="23"/>
    <x v="0"/>
    <n v="0.36"/>
    <s v="Credit Card"/>
    <n v="15.01"/>
    <x v="0"/>
    <x v="1"/>
    <s v="Not Returned"/>
    <s v="UPS"/>
    <x v="0"/>
    <s v="High"/>
    <n v="230"/>
    <n v="83"/>
    <n v="147"/>
  </r>
  <r>
    <d v="2025-01-03T00:00:00"/>
    <s v="SKU_1071"/>
    <x v="22"/>
    <s v="Notebook"/>
    <n v="22"/>
    <n v="25.51"/>
    <x v="1"/>
    <n v="0.41"/>
    <s v="Bank Transfer"/>
    <n v="14.61"/>
    <x v="3"/>
    <x v="1"/>
    <s v="Not Returned"/>
    <s v="DHL"/>
    <x v="4"/>
    <s v="Low"/>
    <n v="561"/>
    <n v="230"/>
    <n v="331"/>
  </r>
  <r>
    <d v="2025-01-03T00:00:00"/>
    <s v="SKU_1937"/>
    <x v="23"/>
    <s v="Headphones"/>
    <n v="25"/>
    <n v="69.17"/>
    <x v="0"/>
    <n v="0.28000000000000003"/>
    <s v="Paypal"/>
    <n v="27.77"/>
    <x v="3"/>
    <x v="0"/>
    <s v="Not Returned"/>
    <s v="Royal Mail"/>
    <x v="1"/>
    <s v="Medium"/>
    <n v="1729"/>
    <n v="484"/>
    <n v="1245"/>
  </r>
  <r>
    <d v="2025-01-03T00:00:00"/>
    <s v="SKU_1969"/>
    <x v="24"/>
    <s v="Blue Pen"/>
    <n v="24"/>
    <n v="17.09"/>
    <x v="10"/>
    <n v="0.33"/>
    <s v="Paypal"/>
    <n v="10.14"/>
    <x v="3"/>
    <x v="0"/>
    <s v="Not Returned"/>
    <s v="UPS"/>
    <x v="1"/>
    <s v="Medium"/>
    <n v="410"/>
    <n v="135"/>
    <n v="275"/>
  </r>
  <r>
    <d v="2025-01-03T00:00:00"/>
    <s v="SKU_1847"/>
    <x v="25"/>
    <s v="T-shirt"/>
    <n v="33"/>
    <n v="35.74"/>
    <x v="8"/>
    <n v="0.14000000000000001"/>
    <s v="Paypal"/>
    <n v="8.39"/>
    <x v="1"/>
    <x v="0"/>
    <s v="Not Returned"/>
    <s v="DHL"/>
    <x v="3"/>
    <s v="High"/>
    <n v="1179"/>
    <n v="165"/>
    <n v="1014"/>
  </r>
  <r>
    <d v="2025-01-03T00:00:00"/>
    <s v="SKU_1805"/>
    <x v="26"/>
    <s v="Blue Pen"/>
    <n v="32"/>
    <n v="58.11"/>
    <x v="1"/>
    <n v="0.1"/>
    <s v="Paypal"/>
    <n v="14.91"/>
    <x v="0"/>
    <x v="1"/>
    <s v="Not Returned"/>
    <s v="UPS"/>
    <x v="4"/>
    <s v="Medium"/>
    <n v="1860"/>
    <n v="186"/>
    <n v="1674"/>
  </r>
  <r>
    <d v="2025-01-03T00:00:00"/>
    <s v="SKU_1153"/>
    <x v="27"/>
    <s v="Backpack"/>
    <n v="37"/>
    <n v="20.309999999999999"/>
    <x v="1"/>
    <n v="7.0000000000000007E-2"/>
    <s v="Credit Card"/>
    <n v="29.01"/>
    <x v="2"/>
    <x v="1"/>
    <s v="Not Returned"/>
    <s v="UPS"/>
    <x v="2"/>
    <s v="Medium"/>
    <n v="751"/>
    <n v="53"/>
    <n v="698"/>
  </r>
  <r>
    <d v="2025-01-03T00:00:00"/>
    <s v="SKU_1286"/>
    <x v="28"/>
    <s v="Wireless Mouse"/>
    <n v="45"/>
    <n v="89.64"/>
    <x v="5"/>
    <n v="0.26"/>
    <s v="Paypal"/>
    <n v="20.82"/>
    <x v="2"/>
    <x v="1"/>
    <s v="Not Returned"/>
    <s v="UPS"/>
    <x v="4"/>
    <s v="Low"/>
    <n v="4034"/>
    <n v="1049"/>
    <n v="2985"/>
  </r>
  <r>
    <d v="2025-01-03T00:00:00"/>
    <s v="SKU_1253"/>
    <x v="29"/>
    <s v="Backpack"/>
    <n v="14"/>
    <m/>
    <x v="9"/>
    <n v="0.38"/>
    <s v="Paypal"/>
    <n v="26.49"/>
    <x v="1"/>
    <x v="0"/>
    <s v="Not Returned"/>
    <s v="Royal Mail"/>
    <x v="4"/>
    <s v="Medium"/>
    <n v="742"/>
    <n v="282"/>
    <n v="460"/>
  </r>
  <r>
    <d v="2025-01-03T00:00:00"/>
    <s v="SKU_1691"/>
    <x v="30"/>
    <s v="Wireless Mouse"/>
    <n v="39"/>
    <n v="65.16"/>
    <x v="4"/>
    <n v="0.32"/>
    <s v="Paypal"/>
    <n v="22.18"/>
    <x v="1"/>
    <x v="1"/>
    <s v="Not Returned"/>
    <s v="FedEx"/>
    <x v="1"/>
    <s v="High"/>
    <n v="2541"/>
    <n v="813"/>
    <n v="1728"/>
  </r>
  <r>
    <d v="2025-01-03T00:00:00"/>
    <s v="SKU_1443"/>
    <x v="31"/>
    <s v="USB Cable"/>
    <n v="4"/>
    <n v="14.89"/>
    <x v="0"/>
    <n v="0.37"/>
    <s v="Credit Card"/>
    <n v="24.2"/>
    <x v="2"/>
    <x v="1"/>
    <s v="Not Returned"/>
    <s v="UPS"/>
    <x v="0"/>
    <s v="Low"/>
    <n v="60"/>
    <n v="22"/>
    <n v="38"/>
  </r>
  <r>
    <d v="2025-01-03T00:00:00"/>
    <s v="SKU_1007"/>
    <x v="32"/>
    <s v="White Mug"/>
    <n v="5"/>
    <n v="31.1"/>
    <x v="8"/>
    <n v="7.0000000000000007E-2"/>
    <s v="Credit Card"/>
    <n v="21.93"/>
    <x v="4"/>
    <x v="1"/>
    <s v="Not Returned"/>
    <s v="Royal Mail"/>
    <x v="1"/>
    <s v="Medium"/>
    <n v="156"/>
    <n v="11"/>
    <n v="145"/>
  </r>
  <r>
    <d v="2025-01-03T00:00:00"/>
    <s v="SKU_1034"/>
    <x v="33"/>
    <s v="Office Chair"/>
    <m/>
    <n v="7.66"/>
    <x v="0"/>
    <n v="0.06"/>
    <s v="Paypal"/>
    <n v="25.01"/>
    <x v="1"/>
    <x v="1"/>
    <s v="Not Returned"/>
    <s v="FedEx"/>
    <x v="0"/>
    <s v="Low"/>
    <n v="199"/>
    <n v="12"/>
    <n v="187"/>
  </r>
  <r>
    <d v="2025-01-04T00:00:00"/>
    <s v="SKU_1801"/>
    <x v="34"/>
    <s v="Desk Lamp"/>
    <n v="19"/>
    <n v="88.78"/>
    <x v="3"/>
    <n v="0.18"/>
    <s v="Bank Transfer"/>
    <n v="5.23"/>
    <x v="0"/>
    <x v="0"/>
    <s v="Not Returned"/>
    <s v="UPS"/>
    <x v="3"/>
    <s v="High"/>
    <n v="1687"/>
    <n v="304"/>
    <n v="1383"/>
  </r>
  <r>
    <d v="2025-01-04T00:00:00"/>
    <s v="SKU_1137"/>
    <x v="35"/>
    <s v="Wall Clock"/>
    <n v="40"/>
    <n v="33.42"/>
    <x v="6"/>
    <n v="0.5"/>
    <s v="Bank Transfer"/>
    <n v="12.85"/>
    <x v="1"/>
    <x v="1"/>
    <s v="Not Returned"/>
    <s v="Royal Mail"/>
    <x v="4"/>
    <s v="High"/>
    <n v="1337"/>
    <n v="668"/>
    <n v="669"/>
  </r>
  <r>
    <d v="2025-01-04T00:00:00"/>
    <s v="SKU_1679"/>
    <x v="36"/>
    <s v="USB Cable"/>
    <n v="43"/>
    <n v="80.63"/>
    <x v="9"/>
    <n v="0.15"/>
    <s v="Bank Transfer"/>
    <n v="27.56"/>
    <x v="1"/>
    <x v="0"/>
    <s v="Unknown"/>
    <s v="FedEx"/>
    <x v="1"/>
    <s v="Medium"/>
    <n v="3467"/>
    <n v="520"/>
    <n v="2947"/>
  </r>
  <r>
    <d v="2025-01-04T00:00:00"/>
    <s v="SKU_1107"/>
    <x v="37"/>
    <s v="Headphones"/>
    <n v="15"/>
    <n v="29.56"/>
    <x v="11"/>
    <n v="0.28999999999999998"/>
    <s v="Credit Card"/>
    <n v="20.04"/>
    <x v="2"/>
    <x v="1"/>
    <s v="Not Returned"/>
    <s v="Royal Mail"/>
    <x v="1"/>
    <s v="Low"/>
    <n v="443"/>
    <n v="129"/>
    <n v="314"/>
  </r>
  <r>
    <d v="2025-01-04T00:00:00"/>
    <s v="SKU_1307"/>
    <x v="38"/>
    <s v="Notebook"/>
    <n v="8"/>
    <n v="96.18"/>
    <x v="10"/>
    <n v="0.39"/>
    <s v="Credit Card"/>
    <n v="12.68"/>
    <x v="3"/>
    <x v="1"/>
    <s v="Not Returned"/>
    <s v="FedEx"/>
    <x v="2"/>
    <s v="Low"/>
    <n v="769"/>
    <n v="300"/>
    <n v="469"/>
  </r>
  <r>
    <d v="2025-01-04T00:00:00"/>
    <s v="SKU_1139"/>
    <x v="39"/>
    <s v="Blue Pen"/>
    <n v="21"/>
    <n v="26.41"/>
    <x v="7"/>
    <n v="0.31"/>
    <s v="Credit Card"/>
    <n v="27.71"/>
    <x v="0"/>
    <x v="1"/>
    <s v="Not Returned"/>
    <s v="FedEx"/>
    <x v="2"/>
    <s v="Medium"/>
    <n v="555"/>
    <n v="172"/>
    <n v="383"/>
  </r>
  <r>
    <d v="2025-01-04T00:00:00"/>
    <s v="SKU_1154"/>
    <x v="40"/>
    <s v="Backpack"/>
    <n v="17"/>
    <m/>
    <x v="3"/>
    <n v="0.17"/>
    <s v="Paypal"/>
    <n v="8.09"/>
    <x v="0"/>
    <x v="1"/>
    <s v="Not Returned"/>
    <s v="FedEx"/>
    <x v="4"/>
    <s v="Low"/>
    <n v="901"/>
    <n v="153"/>
    <n v="748"/>
  </r>
  <r>
    <d v="2025-01-04T00:00:00"/>
    <s v="SKU_1658"/>
    <x v="41"/>
    <s v="Notebook"/>
    <n v="5"/>
    <n v="32.6"/>
    <x v="9"/>
    <n v="0.11"/>
    <s v="Bank Transfer"/>
    <n v="21.94"/>
    <x v="4"/>
    <x v="1"/>
    <s v="Not Returned"/>
    <s v="FedEx"/>
    <x v="2"/>
    <s v="Low"/>
    <n v="163"/>
    <n v="18"/>
    <n v="145"/>
  </r>
  <r>
    <d v="2025-01-04T00:00:00"/>
    <s v="SKU_1312"/>
    <x v="42"/>
    <s v="Blue Pen"/>
    <n v="28"/>
    <n v="25.98"/>
    <x v="10"/>
    <n v="0.24"/>
    <s v="Bank Transfer"/>
    <n v="28.13"/>
    <x v="3"/>
    <x v="1"/>
    <s v="Not Returned"/>
    <s v="UPS"/>
    <x v="0"/>
    <s v="Medium"/>
    <n v="727"/>
    <n v="175"/>
    <n v="552"/>
  </r>
  <r>
    <d v="2025-01-04T00:00:00"/>
    <s v="SKU_1217"/>
    <x v="43"/>
    <s v="Headphones"/>
    <n v="31"/>
    <n v="9.4"/>
    <x v="10"/>
    <n v="0.28000000000000003"/>
    <s v="Credit Card"/>
    <n v="23.21"/>
    <x v="0"/>
    <x v="1"/>
    <s v="Not Returned"/>
    <s v="FedEx"/>
    <x v="0"/>
    <s v="Low"/>
    <n v="291"/>
    <n v="82"/>
    <n v="209"/>
  </r>
  <r>
    <d v="2025-01-04T00:00:00"/>
    <s v="SKU_1565"/>
    <x v="44"/>
    <s v="Office Chair"/>
    <n v="10"/>
    <n v="10.83"/>
    <x v="3"/>
    <n v="0.11"/>
    <s v="Bank Transfer"/>
    <n v="7.02"/>
    <x v="2"/>
    <x v="1"/>
    <s v="Unknown"/>
    <s v="Royal Mail"/>
    <x v="3"/>
    <s v="High"/>
    <n v="108"/>
    <n v="12"/>
    <n v="96"/>
  </r>
  <r>
    <d v="2025-01-04T00:00:00"/>
    <s v="SKU_1526"/>
    <x v="45"/>
    <s v="Wireless Mouse"/>
    <n v="49"/>
    <n v="37.18"/>
    <x v="5"/>
    <n v="0.11"/>
    <s v="Paypal"/>
    <n v="12.06"/>
    <x v="2"/>
    <x v="0"/>
    <s v="Not Returned"/>
    <s v="FedEx"/>
    <x v="0"/>
    <s v="Medium"/>
    <n v="1822"/>
    <n v="200"/>
    <n v="1622"/>
  </r>
  <r>
    <d v="2025-01-04T00:00:00"/>
    <s v="SKU_1222"/>
    <x v="46"/>
    <s v="Blue Pen"/>
    <n v="10"/>
    <n v="43.24"/>
    <x v="11"/>
    <n v="0.49"/>
    <s v="Paypal"/>
    <n v="6.86"/>
    <x v="1"/>
    <x v="0"/>
    <s v="Not Returned"/>
    <s v="DHL"/>
    <x v="2"/>
    <s v="High"/>
    <n v="432"/>
    <n v="212"/>
    <n v="220"/>
  </r>
  <r>
    <d v="2025-01-04T00:00:00"/>
    <s v="SKU_1365"/>
    <x v="47"/>
    <s v="Blue Pen"/>
    <n v="2"/>
    <n v="56.8"/>
    <x v="5"/>
    <n v="0.33"/>
    <s v="Bank Transfer"/>
    <n v="12.94"/>
    <x v="1"/>
    <x v="0"/>
    <s v="Not Returned"/>
    <s v="UPS"/>
    <x v="1"/>
    <s v="Low"/>
    <n v="114"/>
    <n v="37"/>
    <n v="77"/>
  </r>
  <r>
    <d v="2025-01-04T00:00:00"/>
    <s v="SKU_1932"/>
    <x v="48"/>
    <s v="White Mug"/>
    <n v="31"/>
    <n v="38.39"/>
    <x v="7"/>
    <n v="0.09"/>
    <s v="Credit Card"/>
    <n v="14.71"/>
    <x v="3"/>
    <x v="0"/>
    <s v="Not Returned"/>
    <s v="DHL"/>
    <x v="4"/>
    <s v="Medium"/>
    <n v="1190"/>
    <n v="107"/>
    <n v="1083"/>
  </r>
  <r>
    <d v="2025-01-04T00:00:00"/>
    <s v="SKU_1700"/>
    <x v="49"/>
    <s v="Office Chair"/>
    <n v="40"/>
    <n v="30.76"/>
    <x v="4"/>
    <n v="0.37"/>
    <s v="Paypal"/>
    <n v="25.96"/>
    <x v="1"/>
    <x v="1"/>
    <s v="Returned"/>
    <s v="FedEx"/>
    <x v="0"/>
    <s v="High"/>
    <n v="1230"/>
    <n v="455"/>
    <n v="775"/>
  </r>
  <r>
    <d v="2025-01-04T00:00:00"/>
    <s v="SKU_1401"/>
    <x v="50"/>
    <s v="T-shirt"/>
    <n v="4"/>
    <n v="83.85"/>
    <x v="10"/>
    <n v="0.28999999999999998"/>
    <s v="Credit Card"/>
    <n v="25.53"/>
    <x v="3"/>
    <x v="0"/>
    <s v="Not Returned"/>
    <s v="FedEx"/>
    <x v="4"/>
    <s v="Low"/>
    <n v="335"/>
    <n v="97"/>
    <n v="238"/>
  </r>
  <r>
    <d v="2025-01-04T00:00:00"/>
    <s v="SKU_1732"/>
    <x v="51"/>
    <s v="T-shirt"/>
    <n v="10"/>
    <n v="80.58"/>
    <x v="2"/>
    <n v="0.37"/>
    <s v="Credit Card"/>
    <n v="5.49"/>
    <x v="3"/>
    <x v="1"/>
    <s v="Not Returned"/>
    <s v="FedEx"/>
    <x v="4"/>
    <s v="Medium"/>
    <n v="806"/>
    <n v="298"/>
    <n v="508"/>
  </r>
  <r>
    <d v="2025-01-04T00:00:00"/>
    <s v="SKU_1811"/>
    <x v="52"/>
    <s v="Wall Clock"/>
    <n v="12"/>
    <n v="96.44"/>
    <x v="9"/>
    <n v="0.04"/>
    <s v="Paypal"/>
    <n v="26.77"/>
    <x v="0"/>
    <x v="0"/>
    <s v="Not Returned"/>
    <s v="Royal Mail"/>
    <x v="0"/>
    <s v="High"/>
    <n v="1157"/>
    <n v="46"/>
    <n v="1111"/>
  </r>
  <r>
    <d v="2025-01-04T00:00:00"/>
    <s v="SKU_1346"/>
    <x v="53"/>
    <s v="T-shirt"/>
    <n v="23"/>
    <n v="35.85"/>
    <x v="8"/>
    <n v="0.26"/>
    <s v="Bank Transfer"/>
    <n v="16.579999999999998"/>
    <x v="0"/>
    <x v="0"/>
    <s v="Not Returned"/>
    <s v="Royal Mail"/>
    <x v="1"/>
    <s v="Low"/>
    <n v="825"/>
    <n v="214"/>
    <n v="611"/>
  </r>
  <r>
    <d v="2025-01-04T00:00:00"/>
    <s v="SKU_1869"/>
    <x v="54"/>
    <s v="White Mug"/>
    <m/>
    <m/>
    <x v="6"/>
    <n v="0.33"/>
    <s v="Paypal"/>
    <n v="24.95"/>
    <x v="3"/>
    <x v="1"/>
    <s v="Not Returned"/>
    <s v="FedEx"/>
    <x v="2"/>
    <s v="Low"/>
    <n v="1378"/>
    <n v="455"/>
    <n v="923"/>
  </r>
  <r>
    <d v="2025-01-04T00:00:00"/>
    <s v="SKU_1851"/>
    <x v="55"/>
    <s v="USB Cable"/>
    <n v="28"/>
    <n v="54.88"/>
    <x v="0"/>
    <n v="0.3"/>
    <s v="Bank Transfer"/>
    <n v="22.48"/>
    <x v="0"/>
    <x v="1"/>
    <s v="Not Returned"/>
    <s v="Royal Mail"/>
    <x v="3"/>
    <s v="Low"/>
    <n v="1537"/>
    <n v="461"/>
    <n v="1076"/>
  </r>
  <r>
    <d v="2025-01-05T00:00:00"/>
    <s v="SKU_1660"/>
    <x v="56"/>
    <s v="Backpack"/>
    <n v="20"/>
    <n v="68.569999999999993"/>
    <x v="10"/>
    <n v="0.26"/>
    <s v="Credit Card"/>
    <n v="16.53"/>
    <x v="2"/>
    <x v="0"/>
    <s v="Not Returned"/>
    <s v="FedEx"/>
    <x v="2"/>
    <s v="High"/>
    <n v="1371"/>
    <n v="357"/>
    <n v="1014"/>
  </r>
  <r>
    <d v="2025-01-05T00:00:00"/>
    <s v="SKU_1796"/>
    <x v="57"/>
    <s v="Office Chair"/>
    <n v="5"/>
    <n v="95.89"/>
    <x v="3"/>
    <n v="0.14000000000000001"/>
    <s v="Credit Card"/>
    <n v="23.54"/>
    <x v="3"/>
    <x v="1"/>
    <s v="Not Returned"/>
    <s v="FedEx"/>
    <x v="0"/>
    <s v="High"/>
    <n v="479"/>
    <n v="67"/>
    <n v="412"/>
  </r>
  <r>
    <d v="2025-01-05T00:00:00"/>
    <s v="SKU_1782"/>
    <x v="58"/>
    <s v="Office Chair"/>
    <n v="10"/>
    <n v="47.35"/>
    <x v="2"/>
    <n v="0.17"/>
    <s v="Credit Card"/>
    <n v="18.95"/>
    <x v="4"/>
    <x v="0"/>
    <s v="Not Returned"/>
    <s v="UPS"/>
    <x v="1"/>
    <s v="Low"/>
    <n v="474"/>
    <n v="80"/>
    <n v="394"/>
  </r>
  <r>
    <d v="2025-01-05T00:00:00"/>
    <s v="SKU_1341"/>
    <x v="59"/>
    <s v="Wireless Mouse"/>
    <n v="9"/>
    <n v="8.2899999999999991"/>
    <x v="9"/>
    <n v="0.08"/>
    <s v="Paypal"/>
    <n v="12.66"/>
    <x v="1"/>
    <x v="1"/>
    <s v="Not Returned"/>
    <s v="Royal Mail"/>
    <x v="4"/>
    <s v="Low"/>
    <n v="75"/>
    <n v="6"/>
    <n v="69"/>
  </r>
  <r>
    <d v="2025-01-05T00:00:00"/>
    <s v="SKU_1342"/>
    <x v="60"/>
    <s v="Headphones"/>
    <n v="1"/>
    <n v="71.87"/>
    <x v="3"/>
    <n v="0.08"/>
    <s v="Paypal"/>
    <n v="12.73"/>
    <x v="0"/>
    <x v="1"/>
    <s v="Returned"/>
    <s v="Royal Mail"/>
    <x v="4"/>
    <s v="Low"/>
    <n v="72"/>
    <n v="6"/>
    <n v="66"/>
  </r>
  <r>
    <d v="2025-01-05T00:00:00"/>
    <s v="SKU_1323"/>
    <x v="61"/>
    <s v="White Mug"/>
    <n v="33"/>
    <n v="70.89"/>
    <x v="7"/>
    <n v="0.09"/>
    <s v="Bank Transfer"/>
    <n v="18.09"/>
    <x v="2"/>
    <x v="0"/>
    <s v="Not Returned"/>
    <s v="Royal Mail"/>
    <x v="3"/>
    <s v="Low"/>
    <n v="2339"/>
    <n v="211"/>
    <n v="2128"/>
  </r>
  <r>
    <d v="2025-01-05T00:00:00"/>
    <s v="SKU_1762"/>
    <x v="62"/>
    <s v="USB Cable"/>
    <n v="16"/>
    <n v="78.33"/>
    <x v="7"/>
    <n v="0.2"/>
    <s v="Paypal"/>
    <n v="10.8"/>
    <x v="2"/>
    <x v="0"/>
    <s v="Not Returned"/>
    <s v="DHL"/>
    <x v="3"/>
    <s v="Low"/>
    <n v="1253"/>
    <n v="251"/>
    <n v="1002"/>
  </r>
  <r>
    <d v="2025-01-05T00:00:00"/>
    <s v="SKU_1855"/>
    <x v="63"/>
    <s v="Desk Lamp"/>
    <n v="2"/>
    <n v="38.07"/>
    <x v="6"/>
    <n v="0.34"/>
    <s v="Credit Card"/>
    <n v="10.15"/>
    <x v="3"/>
    <x v="1"/>
    <s v="Not Returned"/>
    <s v="FedEx"/>
    <x v="0"/>
    <s v="Low"/>
    <n v="76"/>
    <n v="26"/>
    <n v="50"/>
  </r>
  <r>
    <d v="2025-01-05T00:00:00"/>
    <s v="SKU_1575"/>
    <x v="64"/>
    <s v="Wireless Mouse"/>
    <n v="39"/>
    <n v="71.94"/>
    <x v="7"/>
    <n v="0.02"/>
    <s v="Credit Card"/>
    <n v="23"/>
    <x v="3"/>
    <x v="1"/>
    <s v="Not Returned"/>
    <s v="DHL"/>
    <x v="4"/>
    <s v="High"/>
    <n v="2806"/>
    <n v="56"/>
    <n v="2750"/>
  </r>
  <r>
    <d v="2025-01-05T00:00:00"/>
    <s v="SKU_1844"/>
    <x v="65"/>
    <s v="T-shirt"/>
    <n v="47"/>
    <n v="82.94"/>
    <x v="0"/>
    <n v="0.39"/>
    <s v="Paypal"/>
    <n v="7.53"/>
    <x v="1"/>
    <x v="0"/>
    <s v="Not Returned"/>
    <s v="FedEx"/>
    <x v="4"/>
    <s v="High"/>
    <n v="3898"/>
    <n v="1520"/>
    <n v="2378"/>
  </r>
  <r>
    <d v="2025-01-06T00:00:00"/>
    <s v="SKU_1473"/>
    <x v="66"/>
    <s v="Office Chair"/>
    <n v="26"/>
    <n v="37.479999999999997"/>
    <x v="2"/>
    <n v="0.16"/>
    <s v="Paypal"/>
    <n v="22.54"/>
    <x v="0"/>
    <x v="1"/>
    <s v="Not Returned"/>
    <s v="DHL"/>
    <x v="0"/>
    <s v="Low"/>
    <n v="974"/>
    <n v="156"/>
    <n v="818"/>
  </r>
  <r>
    <d v="2025-01-06T00:00:00"/>
    <s v="SKU_1675"/>
    <x v="67"/>
    <s v="White Mug"/>
    <n v="18"/>
    <n v="88.56"/>
    <x v="4"/>
    <n v="0.08"/>
    <s v="Credit Card"/>
    <n v="6.1"/>
    <x v="4"/>
    <x v="0"/>
    <s v="Not Returned"/>
    <s v="FedEx"/>
    <x v="3"/>
    <s v="Medium"/>
    <n v="1594"/>
    <n v="128"/>
    <n v="1466"/>
  </r>
  <r>
    <d v="2025-01-06T00:00:00"/>
    <s v="SKU_1179"/>
    <x v="68"/>
    <s v="Wireless Mouse"/>
    <n v="31"/>
    <n v="74.2"/>
    <x v="10"/>
    <n v="0.14000000000000001"/>
    <s v="Credit Card"/>
    <n v="7.89"/>
    <x v="3"/>
    <x v="0"/>
    <s v="Unknown"/>
    <s v="DHL"/>
    <x v="1"/>
    <s v="High"/>
    <n v="2300"/>
    <n v="322"/>
    <n v="1978"/>
  </r>
  <r>
    <d v="2025-01-06T00:00:00"/>
    <s v="SKU_1299"/>
    <x v="69"/>
    <s v="Headphones"/>
    <n v="32"/>
    <n v="39.68"/>
    <x v="10"/>
    <n v="0.38"/>
    <s v="Paypal"/>
    <n v="27.11"/>
    <x v="1"/>
    <x v="0"/>
    <s v="Not Returned"/>
    <s v="Royal Mail"/>
    <x v="1"/>
    <s v="High"/>
    <n v="1270"/>
    <n v="483"/>
    <n v="787"/>
  </r>
  <r>
    <d v="2025-01-06T00:00:00"/>
    <s v="SKU_1813"/>
    <x v="70"/>
    <s v="Backpack"/>
    <n v="23"/>
    <n v="53.65"/>
    <x v="10"/>
    <n v="0.49"/>
    <s v="Bank Transfer"/>
    <n v="27.75"/>
    <x v="0"/>
    <x v="1"/>
    <s v="Not Returned"/>
    <s v="UPS"/>
    <x v="3"/>
    <s v="Medium"/>
    <n v="1234"/>
    <n v="605"/>
    <n v="629"/>
  </r>
  <r>
    <d v="2025-01-06T00:00:00"/>
    <s v="SKU_1096"/>
    <x v="71"/>
    <s v="T-shirt"/>
    <n v="15"/>
    <m/>
    <x v="0"/>
    <n v="0.36"/>
    <s v="Paypal"/>
    <n v="8.69"/>
    <x v="4"/>
    <x v="1"/>
    <s v="Not Returned"/>
    <s v="Royal Mail"/>
    <x v="4"/>
    <s v="Low"/>
    <n v="795"/>
    <n v="286"/>
    <n v="509"/>
  </r>
  <r>
    <d v="2025-01-06T00:00:00"/>
    <s v="SKU_1679"/>
    <x v="72"/>
    <s v="White Mug"/>
    <n v="24"/>
    <n v="1.34"/>
    <x v="3"/>
    <n v="0.13"/>
    <s v="Bank Transfer"/>
    <n v="29.88"/>
    <x v="0"/>
    <x v="0"/>
    <s v="Not Returned"/>
    <s v="UPS"/>
    <x v="0"/>
    <s v="High"/>
    <n v="32"/>
    <n v="4"/>
    <n v="28"/>
  </r>
  <r>
    <d v="2025-01-06T00:00:00"/>
    <s v="SKU_1335"/>
    <x v="73"/>
    <s v="White Mug"/>
    <n v="21"/>
    <n v="90.37"/>
    <x v="10"/>
    <n v="0.08"/>
    <s v="Paypal"/>
    <n v="18.82"/>
    <x v="4"/>
    <x v="1"/>
    <s v="Not Returned"/>
    <s v="Royal Mail"/>
    <x v="3"/>
    <s v="Medium"/>
    <n v="1898"/>
    <n v="152"/>
    <n v="1746"/>
  </r>
  <r>
    <d v="2025-01-06T00:00:00"/>
    <s v="SKU_1180"/>
    <x v="74"/>
    <s v="White Mug"/>
    <n v="1"/>
    <n v="27.12"/>
    <x v="6"/>
    <n v="0.01"/>
    <s v="Credit Card"/>
    <n v="13.58"/>
    <x v="2"/>
    <x v="1"/>
    <s v="Not Returned"/>
    <s v="DHL"/>
    <x v="2"/>
    <s v="Low"/>
    <n v="27"/>
    <n v="0"/>
    <n v="27"/>
  </r>
  <r>
    <d v="2025-01-06T00:00:00"/>
    <s v="SKU_1440"/>
    <x v="75"/>
    <s v="Notebook"/>
    <n v="21"/>
    <n v="77.22"/>
    <x v="3"/>
    <n v="0.03"/>
    <s v="Credit Card"/>
    <n v="13.56"/>
    <x v="2"/>
    <x v="1"/>
    <s v="Not Returned"/>
    <s v="UPS"/>
    <x v="1"/>
    <s v="Medium"/>
    <n v="1622"/>
    <n v="49"/>
    <n v="1573"/>
  </r>
  <r>
    <d v="2025-01-06T00:00:00"/>
    <s v="SKU_1402"/>
    <x v="76"/>
    <s v="Office Chair"/>
    <n v="14"/>
    <n v="15.36"/>
    <x v="6"/>
    <n v="0.26"/>
    <s v="Bank Transfer"/>
    <n v="7.86"/>
    <x v="3"/>
    <x v="1"/>
    <s v="Not Returned"/>
    <s v="DHL"/>
    <x v="0"/>
    <s v="Low"/>
    <n v="215"/>
    <n v="56"/>
    <n v="159"/>
  </r>
  <r>
    <d v="2025-01-06T00:00:00"/>
    <s v="SKU_1996"/>
    <x v="77"/>
    <s v="Wireless Mouse"/>
    <n v="18"/>
    <n v="81.540000000000006"/>
    <x v="5"/>
    <n v="0.42"/>
    <s v="Credit Card"/>
    <n v="19.64"/>
    <x v="1"/>
    <x v="0"/>
    <s v="Not Returned"/>
    <s v="UPS"/>
    <x v="0"/>
    <s v="Medium"/>
    <n v="1468"/>
    <n v="616"/>
    <n v="852"/>
  </r>
  <r>
    <d v="2025-01-06T00:00:00"/>
    <s v="SKU_1461"/>
    <x v="78"/>
    <s v="Headphones"/>
    <n v="29"/>
    <n v="63.02"/>
    <x v="10"/>
    <n v="0.08"/>
    <s v="Bank Transfer"/>
    <n v="16.03"/>
    <x v="2"/>
    <x v="1"/>
    <s v="Not Returned"/>
    <s v="UPS"/>
    <x v="1"/>
    <s v="Low"/>
    <n v="1828"/>
    <n v="146"/>
    <n v="1682"/>
  </r>
  <r>
    <d v="2025-01-06T00:00:00"/>
    <s v="SKU_1811"/>
    <x v="79"/>
    <s v="Headphones"/>
    <n v="35"/>
    <n v="9.94"/>
    <x v="6"/>
    <n v="0.09"/>
    <s v="Credit Card"/>
    <n v="26.08"/>
    <x v="1"/>
    <x v="0"/>
    <s v="Not Returned"/>
    <s v="DHL"/>
    <x v="4"/>
    <s v="Medium"/>
    <n v="348"/>
    <n v="31"/>
    <n v="317"/>
  </r>
  <r>
    <d v="2025-01-06T00:00:00"/>
    <s v="SKU_1235"/>
    <x v="80"/>
    <s v="Blue Pen"/>
    <n v="25"/>
    <n v="22.54"/>
    <x v="11"/>
    <n v="0.5"/>
    <s v="Paypal"/>
    <n v="23.82"/>
    <x v="2"/>
    <x v="1"/>
    <s v="Not Returned"/>
    <s v="Royal Mail"/>
    <x v="4"/>
    <s v="Low"/>
    <n v="564"/>
    <n v="282"/>
    <n v="282"/>
  </r>
  <r>
    <d v="2025-01-06T00:00:00"/>
    <s v="SKU_1222"/>
    <x v="81"/>
    <s v="Wireless Mouse"/>
    <n v="1"/>
    <n v="73.650000000000006"/>
    <x v="4"/>
    <n v="0.02"/>
    <s v="Credit Card"/>
    <n v="5.0999999999999996"/>
    <x v="0"/>
    <x v="1"/>
    <s v="Not Returned"/>
    <s v="DHL"/>
    <x v="3"/>
    <s v="High"/>
    <n v="74"/>
    <n v="1"/>
    <n v="73"/>
  </r>
  <r>
    <d v="2025-01-06T00:00:00"/>
    <s v="SKU_1915"/>
    <x v="82"/>
    <s v="Office Chair"/>
    <m/>
    <n v="93.04"/>
    <x v="8"/>
    <n v="0.2"/>
    <s v="Paypal"/>
    <n v="18.920000000000002"/>
    <x v="3"/>
    <x v="0"/>
    <s v="Not Returned"/>
    <s v="Royal Mail"/>
    <x v="2"/>
    <s v="Low"/>
    <n v="2419"/>
    <n v="484"/>
    <n v="1935"/>
  </r>
  <r>
    <d v="2025-01-06T00:00:00"/>
    <s v="SKU_1811"/>
    <x v="83"/>
    <s v="T-shirt"/>
    <n v="30"/>
    <n v="9.68"/>
    <x v="6"/>
    <n v="0.41"/>
    <s v="Paypal"/>
    <n v="15.4"/>
    <x v="4"/>
    <x v="0"/>
    <s v="Not Returned"/>
    <s v="UPS"/>
    <x v="0"/>
    <s v="Low"/>
    <n v="290"/>
    <n v="119"/>
    <n v="171"/>
  </r>
  <r>
    <d v="2025-01-06T00:00:00"/>
    <s v="SKU_1938"/>
    <x v="84"/>
    <s v="Backpack"/>
    <n v="7"/>
    <n v="81.52"/>
    <x v="10"/>
    <n v="0.04"/>
    <s v="Credit Card"/>
    <n v="23.06"/>
    <x v="3"/>
    <x v="1"/>
    <s v="Not Returned"/>
    <s v="FedEx"/>
    <x v="0"/>
    <s v="High"/>
    <n v="571"/>
    <n v="23"/>
    <n v="548"/>
  </r>
  <r>
    <d v="2025-01-06T00:00:00"/>
    <s v="SKU_1622"/>
    <x v="85"/>
    <s v="Backpack"/>
    <n v="13"/>
    <n v="85.65"/>
    <x v="8"/>
    <n v="0.24"/>
    <s v="Paypal"/>
    <n v="20.34"/>
    <x v="1"/>
    <x v="1"/>
    <s v="Not Returned"/>
    <s v="FedEx"/>
    <x v="1"/>
    <s v="Medium"/>
    <n v="1113"/>
    <n v="267"/>
    <n v="846"/>
  </r>
  <r>
    <d v="2025-01-06T00:00:00"/>
    <s v="SKU_1262"/>
    <x v="86"/>
    <s v="Notebook"/>
    <n v="40"/>
    <m/>
    <x v="8"/>
    <n v="0.37"/>
    <s v="Bank Transfer"/>
    <n v="26.65"/>
    <x v="1"/>
    <x v="1"/>
    <s v="Unknown"/>
    <s v="DHL"/>
    <x v="4"/>
    <s v="Low"/>
    <n v="2120"/>
    <n v="784"/>
    <n v="1336"/>
  </r>
  <r>
    <d v="2025-01-06T00:00:00"/>
    <s v="SKU_1809"/>
    <x v="87"/>
    <s v="Headphones"/>
    <n v="18"/>
    <n v="98.2"/>
    <x v="4"/>
    <n v="0.17"/>
    <s v="Paypal"/>
    <n v="29.12"/>
    <x v="0"/>
    <x v="1"/>
    <s v="Not Returned"/>
    <s v="UPS"/>
    <x v="2"/>
    <s v="Medium"/>
    <n v="1768"/>
    <n v="300"/>
    <n v="1468"/>
  </r>
  <r>
    <d v="2025-01-07T00:00:00"/>
    <s v="SKU_1061"/>
    <x v="88"/>
    <s v="Backpack"/>
    <n v="47"/>
    <n v="79.33"/>
    <x v="10"/>
    <n v="0.23"/>
    <s v="Bank Transfer"/>
    <n v="12.5"/>
    <x v="4"/>
    <x v="0"/>
    <s v="Not Returned"/>
    <s v="Royal Mail"/>
    <x v="0"/>
    <s v="Medium"/>
    <n v="3729"/>
    <n v="858"/>
    <n v="2871"/>
  </r>
  <r>
    <d v="2025-01-07T00:00:00"/>
    <s v="SKU_1228"/>
    <x v="89"/>
    <s v="Wireless Mouse"/>
    <n v="43"/>
    <n v="88.49"/>
    <x v="7"/>
    <n v="0.33"/>
    <s v="Credit Card"/>
    <n v="27.94"/>
    <x v="0"/>
    <x v="1"/>
    <s v="Not Returned"/>
    <s v="FedEx"/>
    <x v="2"/>
    <s v="High"/>
    <n v="3805"/>
    <n v="1256"/>
    <n v="2549"/>
  </r>
  <r>
    <d v="2025-01-07T00:00:00"/>
    <s v="SKU_1238"/>
    <x v="90"/>
    <s v="T-shirt"/>
    <n v="43"/>
    <n v="48.72"/>
    <x v="2"/>
    <n v="0.05"/>
    <s v="Paypal"/>
    <n v="12.54"/>
    <x v="2"/>
    <x v="0"/>
    <s v="Not Returned"/>
    <s v="FedEx"/>
    <x v="3"/>
    <s v="High"/>
    <n v="2095"/>
    <n v="105"/>
    <n v="1990"/>
  </r>
  <r>
    <d v="2025-01-07T00:00:00"/>
    <s v="SKU_1769"/>
    <x v="91"/>
    <s v="Backpack"/>
    <n v="43"/>
    <n v="61.11"/>
    <x v="1"/>
    <n v="0.25"/>
    <s v="Bank Transfer"/>
    <n v="13.76"/>
    <x v="2"/>
    <x v="1"/>
    <s v="Not Returned"/>
    <s v="DHL"/>
    <x v="4"/>
    <s v="High"/>
    <n v="2628"/>
    <n v="657"/>
    <n v="1971"/>
  </r>
  <r>
    <d v="2025-01-07T00:00:00"/>
    <s v="SKU_1352"/>
    <x v="92"/>
    <s v="Headphones"/>
    <n v="10"/>
    <n v="16.079999999999998"/>
    <x v="9"/>
    <n v="0.37"/>
    <s v="Bank Transfer"/>
    <n v="27.78"/>
    <x v="3"/>
    <x v="0"/>
    <s v="Not Returned"/>
    <s v="FedEx"/>
    <x v="3"/>
    <s v="Low"/>
    <n v="161"/>
    <n v="59"/>
    <n v="102"/>
  </r>
  <r>
    <d v="2025-01-07T00:00:00"/>
    <s v="SKU_1909"/>
    <x v="93"/>
    <s v="USB Cable"/>
    <n v="39"/>
    <n v="28.42"/>
    <x v="11"/>
    <n v="0.28999999999999998"/>
    <s v="Credit Card"/>
    <n v="13.04"/>
    <x v="0"/>
    <x v="1"/>
    <s v="Not Returned"/>
    <s v="FedEx"/>
    <x v="4"/>
    <s v="High"/>
    <n v="1108"/>
    <n v="321"/>
    <n v="787"/>
  </r>
  <r>
    <d v="2025-01-07T00:00:00"/>
    <s v="SKU_1212"/>
    <x v="94"/>
    <s v="Headphones"/>
    <n v="35"/>
    <n v="66.760000000000005"/>
    <x v="10"/>
    <n v="0.04"/>
    <s v="Bank Transfer"/>
    <n v="7.49"/>
    <x v="1"/>
    <x v="1"/>
    <s v="Not Returned"/>
    <s v="DHL"/>
    <x v="4"/>
    <s v="Low"/>
    <n v="2337"/>
    <n v="93"/>
    <n v="2244"/>
  </r>
  <r>
    <d v="2025-01-08T00:00:00"/>
    <s v="SKU_1597"/>
    <x v="95"/>
    <s v="Wireless Mouse"/>
    <n v="14"/>
    <n v="7.33"/>
    <x v="1"/>
    <n v="0.09"/>
    <s v="Paypal"/>
    <n v="23.87"/>
    <x v="1"/>
    <x v="1"/>
    <s v="Returned"/>
    <s v="DHL"/>
    <x v="4"/>
    <s v="Low"/>
    <n v="103"/>
    <n v="9"/>
    <n v="94"/>
  </r>
  <r>
    <d v="2025-01-08T00:00:00"/>
    <s v="SKU_1900"/>
    <x v="96"/>
    <s v="T-shirt"/>
    <n v="19"/>
    <n v="95.06"/>
    <x v="9"/>
    <n v="0.08"/>
    <s v="Paypal"/>
    <n v="25.16"/>
    <x v="2"/>
    <x v="0"/>
    <s v="Not Returned"/>
    <s v="Royal Mail"/>
    <x v="3"/>
    <s v="Medium"/>
    <n v="1806"/>
    <n v="144"/>
    <n v="1662"/>
  </r>
  <r>
    <d v="2025-01-08T00:00:00"/>
    <s v="SKU_1886"/>
    <x v="97"/>
    <s v="Headphones"/>
    <n v="35"/>
    <n v="68.569999999999993"/>
    <x v="11"/>
    <n v="0.37"/>
    <s v="Credit Card"/>
    <n v="5.64"/>
    <x v="4"/>
    <x v="1"/>
    <s v="Not Returned"/>
    <s v="UPS"/>
    <x v="0"/>
    <s v="Low"/>
    <n v="2400"/>
    <n v="888"/>
    <n v="1512"/>
  </r>
  <r>
    <d v="2025-01-08T00:00:00"/>
    <s v="SKU_1401"/>
    <x v="98"/>
    <s v="T-shirt"/>
    <n v="34"/>
    <n v="17.75"/>
    <x v="6"/>
    <n v="0.08"/>
    <s v="Paypal"/>
    <n v="23.51"/>
    <x v="1"/>
    <x v="0"/>
    <s v="Not Returned"/>
    <s v="DHL"/>
    <x v="2"/>
    <s v="Low"/>
    <n v="604"/>
    <n v="48"/>
    <n v="556"/>
  </r>
  <r>
    <d v="2025-01-08T00:00:00"/>
    <s v="SKU_1777"/>
    <x v="99"/>
    <s v="USB Cable"/>
    <n v="8"/>
    <n v="42.98"/>
    <x v="7"/>
    <n v="0.12"/>
    <s v="Paypal"/>
    <n v="26.37"/>
    <x v="0"/>
    <x v="0"/>
    <s v="Not Returned"/>
    <s v="FedEx"/>
    <x v="3"/>
    <s v="Low"/>
    <n v="344"/>
    <n v="41"/>
    <n v="303"/>
  </r>
  <r>
    <d v="2025-01-08T00:00:00"/>
    <s v="SKU_1139"/>
    <x v="100"/>
    <s v="USB Cable"/>
    <n v="13"/>
    <n v="61.05"/>
    <x v="1"/>
    <n v="0.01"/>
    <s v="Bank Transfer"/>
    <n v="10.74"/>
    <x v="1"/>
    <x v="0"/>
    <s v="Not Returned"/>
    <s v="Royal Mail"/>
    <x v="4"/>
    <s v="Low"/>
    <n v="794"/>
    <n v="8"/>
    <n v="786"/>
  </r>
  <r>
    <d v="2025-01-08T00:00:00"/>
    <s v="SKU_1243"/>
    <x v="101"/>
    <s v="Notebook"/>
    <n v="36"/>
    <m/>
    <x v="8"/>
    <n v="0.3"/>
    <s v="Credit Card"/>
    <n v="15.28"/>
    <x v="0"/>
    <x v="1"/>
    <s v="Not Returned"/>
    <s v="UPS"/>
    <x v="4"/>
    <s v="Medium"/>
    <n v="1908"/>
    <n v="572"/>
    <n v="1336"/>
  </r>
  <r>
    <d v="2025-01-09T00:00:00"/>
    <s v="SKU_1989"/>
    <x v="102"/>
    <s v="T-shirt"/>
    <n v="41"/>
    <n v="20.64"/>
    <x v="9"/>
    <n v="0.13"/>
    <s v="Paypal"/>
    <n v="18.07"/>
    <x v="4"/>
    <x v="1"/>
    <s v="Not Returned"/>
    <s v="UPS"/>
    <x v="2"/>
    <s v="Low"/>
    <n v="846"/>
    <n v="110"/>
    <n v="736"/>
  </r>
  <r>
    <d v="2025-01-09T00:00:00"/>
    <s v="SKU_1302"/>
    <x v="103"/>
    <s v="Blue Pen"/>
    <n v="26"/>
    <n v="84.46"/>
    <x v="0"/>
    <n v="0.35"/>
    <s v="Paypal"/>
    <n v="24.12"/>
    <x v="0"/>
    <x v="0"/>
    <s v="Not Returned"/>
    <s v="Royal Mail"/>
    <x v="3"/>
    <s v="Low"/>
    <n v="2196"/>
    <n v="769"/>
    <n v="1427"/>
  </r>
  <r>
    <d v="2025-01-09T00:00:00"/>
    <s v="SKU_1749"/>
    <x v="104"/>
    <s v="Wireless Mouse"/>
    <n v="9"/>
    <n v="68.72"/>
    <x v="2"/>
    <n v="0.21"/>
    <s v="Bank Transfer"/>
    <n v="23.72"/>
    <x v="3"/>
    <x v="0"/>
    <s v="Not Returned"/>
    <s v="UPS"/>
    <x v="2"/>
    <s v="High"/>
    <n v="618"/>
    <n v="130"/>
    <n v="488"/>
  </r>
  <r>
    <d v="2025-01-09T00:00:00"/>
    <s v="SKU_1210"/>
    <x v="105"/>
    <s v="Wireless Mouse"/>
    <n v="23"/>
    <n v="72.98"/>
    <x v="11"/>
    <n v="0.49"/>
    <s v="Credit Card"/>
    <n v="15.19"/>
    <x v="3"/>
    <x v="1"/>
    <s v="Not Returned"/>
    <s v="FedEx"/>
    <x v="0"/>
    <s v="Low"/>
    <n v="1679"/>
    <n v="822"/>
    <n v="857"/>
  </r>
  <r>
    <d v="2025-01-09T00:00:00"/>
    <s v="SKU_1628"/>
    <x v="106"/>
    <s v="Wireless Mouse"/>
    <m/>
    <n v="50.17"/>
    <x v="8"/>
    <n v="0.1"/>
    <s v="Bank Transfer"/>
    <n v="27.5"/>
    <x v="0"/>
    <x v="1"/>
    <s v="Not Returned"/>
    <s v="DHL"/>
    <x v="1"/>
    <s v="High"/>
    <n v="1304"/>
    <n v="130"/>
    <n v="1174"/>
  </r>
  <r>
    <d v="2025-01-09T00:00:00"/>
    <s v="SKU_1009"/>
    <x v="107"/>
    <s v="Backpack"/>
    <n v="1"/>
    <n v="22.97"/>
    <x v="9"/>
    <n v="0.34"/>
    <s v="Paypal"/>
    <n v="21.19"/>
    <x v="4"/>
    <x v="1"/>
    <s v="Not Returned"/>
    <s v="Royal Mail"/>
    <x v="1"/>
    <s v="Low"/>
    <n v="23"/>
    <n v="8"/>
    <n v="15"/>
  </r>
  <r>
    <d v="2025-01-09T00:00:00"/>
    <s v="SKU_1896"/>
    <x v="108"/>
    <s v="T-shirt"/>
    <n v="19"/>
    <n v="62.79"/>
    <x v="7"/>
    <n v="0.2"/>
    <s v="Bank Transfer"/>
    <n v="17"/>
    <x v="4"/>
    <x v="1"/>
    <s v="Not Returned"/>
    <s v="DHL"/>
    <x v="1"/>
    <s v="Medium"/>
    <n v="1193"/>
    <n v="239"/>
    <n v="954"/>
  </r>
  <r>
    <d v="2025-01-09T00:00:00"/>
    <s v="SKU_1952"/>
    <x v="109"/>
    <s v="Blue Pen"/>
    <n v="1"/>
    <n v="3.09"/>
    <x v="10"/>
    <n v="0.06"/>
    <s v="Credit Card"/>
    <n v="11.34"/>
    <x v="3"/>
    <x v="0"/>
    <s v="Not Returned"/>
    <s v="FedEx"/>
    <x v="3"/>
    <s v="Low"/>
    <n v="3"/>
    <n v="0"/>
    <n v="3"/>
  </r>
  <r>
    <d v="2025-01-09T00:00:00"/>
    <s v="SKU_1499"/>
    <x v="110"/>
    <s v="Wall Clock"/>
    <n v="37"/>
    <n v="52.3"/>
    <x v="9"/>
    <n v="0.28999999999999998"/>
    <s v="Bank Transfer"/>
    <n v="11.39"/>
    <x v="0"/>
    <x v="0"/>
    <s v="Not Returned"/>
    <s v="UPS"/>
    <x v="3"/>
    <s v="High"/>
    <n v="1935"/>
    <n v="561"/>
    <n v="1374"/>
  </r>
  <r>
    <d v="2025-01-10T00:00:00"/>
    <s v="SKU_1278"/>
    <x v="111"/>
    <s v="Blue Pen"/>
    <n v="26"/>
    <n v="91.26"/>
    <x v="8"/>
    <n v="0.14000000000000001"/>
    <s v="Credit Card"/>
    <n v="29.19"/>
    <x v="2"/>
    <x v="1"/>
    <s v="Not Returned"/>
    <s v="UPS"/>
    <x v="4"/>
    <s v="Medium"/>
    <n v="2373"/>
    <n v="332"/>
    <n v="2041"/>
  </r>
  <r>
    <d v="2025-01-10T00:00:00"/>
    <s v="SKU_1069"/>
    <x v="112"/>
    <s v="Wall Clock"/>
    <n v="35"/>
    <n v="87.47"/>
    <x v="7"/>
    <n v="0.22"/>
    <s v="Paypal"/>
    <n v="7.79"/>
    <x v="3"/>
    <x v="1"/>
    <s v="Not Returned"/>
    <s v="UPS"/>
    <x v="0"/>
    <s v="High"/>
    <n v="3061"/>
    <n v="674"/>
    <n v="2387"/>
  </r>
  <r>
    <d v="2025-01-10T00:00:00"/>
    <s v="SKU_1774"/>
    <x v="113"/>
    <s v="Office Chair"/>
    <n v="12"/>
    <m/>
    <x v="5"/>
    <n v="0.37"/>
    <s v="Bank Transfer"/>
    <n v="23.07"/>
    <x v="4"/>
    <x v="0"/>
    <s v="Not Returned"/>
    <s v="Royal Mail"/>
    <x v="0"/>
    <s v="High"/>
    <n v="636"/>
    <n v="235"/>
    <n v="401"/>
  </r>
  <r>
    <d v="2025-01-10T00:00:00"/>
    <s v="SKU_1018"/>
    <x v="114"/>
    <s v="Blue Pen"/>
    <n v="2"/>
    <n v="22.94"/>
    <x v="0"/>
    <n v="0.23"/>
    <s v="Paypal"/>
    <n v="28.82"/>
    <x v="4"/>
    <x v="1"/>
    <s v="Not Returned"/>
    <s v="DHL"/>
    <x v="0"/>
    <s v="High"/>
    <n v="46"/>
    <n v="11"/>
    <n v="35"/>
  </r>
  <r>
    <d v="2025-01-10T00:00:00"/>
    <s v="SKU_1237"/>
    <x v="115"/>
    <s v="T-shirt"/>
    <n v="38"/>
    <n v="38.08"/>
    <x v="11"/>
    <n v="0.23"/>
    <s v="Credit Card"/>
    <n v="26.32"/>
    <x v="2"/>
    <x v="0"/>
    <s v="Not Returned"/>
    <s v="DHL"/>
    <x v="3"/>
    <s v="Medium"/>
    <n v="1447"/>
    <n v="333"/>
    <n v="1114"/>
  </r>
  <r>
    <d v="2025-01-10T00:00:00"/>
    <s v="SKU_1910"/>
    <x v="116"/>
    <s v="Notebook"/>
    <n v="4"/>
    <n v="5.75"/>
    <x v="10"/>
    <n v="0.4"/>
    <s v="Credit Card"/>
    <n v="23.42"/>
    <x v="1"/>
    <x v="1"/>
    <s v="Not Returned"/>
    <s v="Royal Mail"/>
    <x v="0"/>
    <s v="Low"/>
    <n v="23"/>
    <n v="9"/>
    <n v="14"/>
  </r>
  <r>
    <d v="2025-01-10T00:00:00"/>
    <s v="SKU_1372"/>
    <x v="117"/>
    <s v="Wall Clock"/>
    <n v="44"/>
    <n v="45.18"/>
    <x v="11"/>
    <n v="0.1"/>
    <s v="Bank Transfer"/>
    <n v="25.98"/>
    <x v="4"/>
    <x v="0"/>
    <s v="Not Returned"/>
    <s v="FedEx"/>
    <x v="4"/>
    <s v="Low"/>
    <n v="1988"/>
    <n v="199"/>
    <n v="1789"/>
  </r>
  <r>
    <d v="2025-01-10T00:00:00"/>
    <s v="SKU_1341"/>
    <x v="118"/>
    <s v="White Mug"/>
    <n v="47"/>
    <n v="45.76"/>
    <x v="3"/>
    <n v="0.47"/>
    <s v="Bank Transfer"/>
    <n v="9.2200000000000006"/>
    <x v="2"/>
    <x v="0"/>
    <s v="Not Returned"/>
    <s v="DHL"/>
    <x v="4"/>
    <s v="High"/>
    <n v="2151"/>
    <n v="1011"/>
    <n v="1140"/>
  </r>
  <r>
    <d v="2025-01-10T00:00:00"/>
    <s v="SKU_1334"/>
    <x v="119"/>
    <s v="Headphones"/>
    <n v="21"/>
    <n v="65.760000000000005"/>
    <x v="0"/>
    <n v="0.11"/>
    <s v="Paypal"/>
    <n v="28.53"/>
    <x v="0"/>
    <x v="1"/>
    <s v="Not Returned"/>
    <s v="FedEx"/>
    <x v="0"/>
    <s v="Low"/>
    <n v="1381"/>
    <n v="152"/>
    <n v="1229"/>
  </r>
  <r>
    <d v="2025-01-11T00:00:00"/>
    <s v="SKU_1314"/>
    <x v="120"/>
    <s v="Office Chair"/>
    <n v="7"/>
    <m/>
    <x v="10"/>
    <n v="0.14000000000000001"/>
    <s v="Bank Transfer"/>
    <n v="17.43"/>
    <x v="0"/>
    <x v="1"/>
    <s v="Unknown"/>
    <s v="Royal Mail"/>
    <x v="2"/>
    <s v="Low"/>
    <n v="371"/>
    <n v="52"/>
    <n v="319"/>
  </r>
  <r>
    <d v="2025-01-11T00:00:00"/>
    <s v="SKU_1069"/>
    <x v="121"/>
    <s v="Wall Clock"/>
    <n v="42"/>
    <n v="34.700000000000003"/>
    <x v="2"/>
    <n v="0.33"/>
    <s v="Credit Card"/>
    <n v="27.53"/>
    <x v="2"/>
    <x v="0"/>
    <s v="Not Returned"/>
    <s v="FedEx"/>
    <x v="4"/>
    <s v="Medium"/>
    <n v="1457"/>
    <n v="481"/>
    <n v="976"/>
  </r>
  <r>
    <d v="2025-01-11T00:00:00"/>
    <s v="SKU_1141"/>
    <x v="122"/>
    <s v="T-shirt"/>
    <n v="15"/>
    <n v="79.27"/>
    <x v="11"/>
    <n v="0.44"/>
    <s v="Paypal"/>
    <n v="22.39"/>
    <x v="2"/>
    <x v="0"/>
    <s v="Not Returned"/>
    <s v="Royal Mail"/>
    <x v="0"/>
    <s v="Low"/>
    <n v="1189"/>
    <n v="523"/>
    <n v="666"/>
  </r>
  <r>
    <d v="2025-01-11T00:00:00"/>
    <s v="SKU_1622"/>
    <x v="123"/>
    <s v="Blue Pen"/>
    <m/>
    <n v="71.91"/>
    <x v="3"/>
    <n v="0.24"/>
    <s v="Bank Transfer"/>
    <n v="16.260000000000002"/>
    <x v="0"/>
    <x v="0"/>
    <s v="Not Returned"/>
    <s v="UPS"/>
    <x v="4"/>
    <s v="High"/>
    <n v="1870"/>
    <n v="449"/>
    <n v="1421"/>
  </r>
  <r>
    <d v="2025-01-11T00:00:00"/>
    <s v="SKU_1082"/>
    <x v="124"/>
    <s v="Office Chair"/>
    <n v="21"/>
    <n v="75.41"/>
    <x v="3"/>
    <n v="0.09"/>
    <s v="Bank Transfer"/>
    <n v="27.24"/>
    <x v="4"/>
    <x v="1"/>
    <s v="Unknown"/>
    <s v="Royal Mail"/>
    <x v="0"/>
    <s v="High"/>
    <n v="1584"/>
    <n v="143"/>
    <n v="1441"/>
  </r>
  <r>
    <d v="2025-01-11T00:00:00"/>
    <s v="SKU_1754"/>
    <x v="125"/>
    <s v="White Mug"/>
    <n v="32"/>
    <n v="87.88"/>
    <x v="2"/>
    <n v="0.01"/>
    <s v="Bank Transfer"/>
    <n v="13.74"/>
    <x v="4"/>
    <x v="0"/>
    <s v="Not Returned"/>
    <s v="UPS"/>
    <x v="4"/>
    <s v="High"/>
    <n v="2812"/>
    <n v="28"/>
    <n v="2784"/>
  </r>
  <r>
    <d v="2025-01-11T00:00:00"/>
    <s v="SKU_1518"/>
    <x v="126"/>
    <s v="Notebook"/>
    <n v="25"/>
    <n v="71.66"/>
    <x v="9"/>
    <n v="0.01"/>
    <s v="Bank Transfer"/>
    <n v="21.49"/>
    <x v="1"/>
    <x v="1"/>
    <s v="Not Returned"/>
    <s v="Royal Mail"/>
    <x v="3"/>
    <s v="Medium"/>
    <n v="1792"/>
    <n v="18"/>
    <n v="1774"/>
  </r>
  <r>
    <d v="2025-01-11T00:00:00"/>
    <s v="SKU_1437"/>
    <x v="127"/>
    <s v="Headphones"/>
    <n v="2"/>
    <n v="22.54"/>
    <x v="6"/>
    <n v="0.05"/>
    <s v="Paypal"/>
    <n v="9.56"/>
    <x v="2"/>
    <x v="0"/>
    <s v="Not Returned"/>
    <s v="FedEx"/>
    <x v="0"/>
    <s v="Medium"/>
    <n v="45"/>
    <n v="2"/>
    <n v="43"/>
  </r>
  <r>
    <d v="2025-01-12T00:00:00"/>
    <s v="SKU_1465"/>
    <x v="128"/>
    <s v="White Mug"/>
    <n v="9"/>
    <n v="42.51"/>
    <x v="3"/>
    <n v="0.41"/>
    <s v="Paypal"/>
    <n v="22.09"/>
    <x v="3"/>
    <x v="0"/>
    <s v="Not Returned"/>
    <s v="FedEx"/>
    <x v="4"/>
    <s v="Low"/>
    <n v="383"/>
    <n v="157"/>
    <n v="226"/>
  </r>
  <r>
    <d v="2025-01-12T00:00:00"/>
    <s v="SKU_1953"/>
    <x v="129"/>
    <s v="White Mug"/>
    <n v="34"/>
    <m/>
    <x v="5"/>
    <n v="0.17"/>
    <s v="Credit Card"/>
    <n v="6.48"/>
    <x v="2"/>
    <x v="0"/>
    <s v="Not Returned"/>
    <s v="UPS"/>
    <x v="3"/>
    <s v="High"/>
    <n v="1802"/>
    <n v="306"/>
    <n v="1496"/>
  </r>
  <r>
    <d v="2025-01-12T00:00:00"/>
    <s v="SKU_1572"/>
    <x v="130"/>
    <s v="Wireless Mouse"/>
    <n v="16"/>
    <n v="96.77"/>
    <x v="9"/>
    <n v="0.38"/>
    <s v="Bank Transfer"/>
    <n v="10.58"/>
    <x v="2"/>
    <x v="0"/>
    <s v="Not Returned"/>
    <s v="DHL"/>
    <x v="0"/>
    <s v="High"/>
    <n v="1548"/>
    <n v="588"/>
    <n v="960"/>
  </r>
  <r>
    <d v="2025-01-12T00:00:00"/>
    <s v="SKU_1875"/>
    <x v="131"/>
    <s v="Wireless Mouse"/>
    <n v="32"/>
    <n v="65.23"/>
    <x v="0"/>
    <n v="0.23"/>
    <s v="Paypal"/>
    <n v="13.05"/>
    <x v="4"/>
    <x v="1"/>
    <s v="Not Returned"/>
    <s v="DHL"/>
    <x v="1"/>
    <s v="High"/>
    <n v="2087"/>
    <n v="480"/>
    <n v="1607"/>
  </r>
  <r>
    <d v="2025-01-12T00:00:00"/>
    <s v="SKU_1327"/>
    <x v="132"/>
    <s v="T-shirt"/>
    <n v="47"/>
    <n v="82.16"/>
    <x v="7"/>
    <n v="0.13"/>
    <s v="Paypal"/>
    <n v="20.68"/>
    <x v="4"/>
    <x v="0"/>
    <s v="Returned"/>
    <s v="Royal Mail"/>
    <x v="1"/>
    <s v="High"/>
    <n v="3862"/>
    <n v="502"/>
    <n v="3360"/>
  </r>
  <r>
    <d v="2025-01-14T00:00:00"/>
    <s v="SKU_1752"/>
    <x v="133"/>
    <s v="Blue Pen"/>
    <n v="19"/>
    <n v="59.26"/>
    <x v="6"/>
    <n v="0.28999999999999998"/>
    <s v="Bank Transfer"/>
    <n v="5.42"/>
    <x v="3"/>
    <x v="1"/>
    <s v="Not Returned"/>
    <s v="UPS"/>
    <x v="0"/>
    <s v="Low"/>
    <n v="1126"/>
    <n v="327"/>
    <n v="799"/>
  </r>
  <r>
    <d v="2025-01-14T00:00:00"/>
    <s v="SKU_1225"/>
    <x v="134"/>
    <s v="Blue Pen"/>
    <n v="47"/>
    <n v="80.900000000000006"/>
    <x v="9"/>
    <n v="0.4"/>
    <s v="Bank Transfer"/>
    <n v="15.75"/>
    <x v="2"/>
    <x v="1"/>
    <s v="Not Returned"/>
    <s v="DHL"/>
    <x v="4"/>
    <s v="High"/>
    <n v="3802"/>
    <n v="1521"/>
    <n v="2281"/>
  </r>
  <r>
    <d v="2025-01-14T00:00:00"/>
    <s v="SKU_1162"/>
    <x v="135"/>
    <s v="Notebook"/>
    <n v="2"/>
    <n v="59.49"/>
    <x v="11"/>
    <n v="0.24"/>
    <s v="Bank Transfer"/>
    <n v="14.09"/>
    <x v="2"/>
    <x v="0"/>
    <s v="Not Returned"/>
    <s v="DHL"/>
    <x v="0"/>
    <s v="Medium"/>
    <n v="119"/>
    <n v="29"/>
    <n v="90"/>
  </r>
  <r>
    <d v="2025-01-14T00:00:00"/>
    <s v="SKU_1831"/>
    <x v="136"/>
    <s v="White Mug"/>
    <n v="32"/>
    <n v="2.2200000000000002"/>
    <x v="2"/>
    <n v="0.01"/>
    <s v="Bank Transfer"/>
    <n v="8.2100000000000009"/>
    <x v="1"/>
    <x v="1"/>
    <s v="Not Returned"/>
    <s v="UPS"/>
    <x v="0"/>
    <s v="High"/>
    <n v="71"/>
    <n v="1"/>
    <n v="70"/>
  </r>
  <r>
    <d v="2025-01-14T00:00:00"/>
    <s v="SKU_1932"/>
    <x v="137"/>
    <s v="Desk Lamp"/>
    <n v="33"/>
    <n v="39.369999999999997"/>
    <x v="5"/>
    <n v="0.1"/>
    <s v="Bank Transfer"/>
    <n v="19.98"/>
    <x v="0"/>
    <x v="1"/>
    <s v="Not Returned"/>
    <s v="Royal Mail"/>
    <x v="2"/>
    <s v="Low"/>
    <n v="1299"/>
    <n v="130"/>
    <n v="1169"/>
  </r>
  <r>
    <d v="2025-01-14T00:00:00"/>
    <s v="SKU_1812"/>
    <x v="138"/>
    <s v="USB Cable"/>
    <n v="28"/>
    <n v="36.31"/>
    <x v="4"/>
    <n v="0.04"/>
    <s v="Credit Card"/>
    <n v="21.39"/>
    <x v="0"/>
    <x v="0"/>
    <s v="Not Returned"/>
    <s v="FedEx"/>
    <x v="0"/>
    <s v="High"/>
    <n v="1017"/>
    <n v="41"/>
    <n v="976"/>
  </r>
  <r>
    <d v="2025-01-14T00:00:00"/>
    <s v="SKU_1805"/>
    <x v="139"/>
    <s v="USB Cable"/>
    <n v="37"/>
    <n v="83.84"/>
    <x v="6"/>
    <n v="0.03"/>
    <s v="Bank Transfer"/>
    <n v="15.34"/>
    <x v="2"/>
    <x v="1"/>
    <s v="Not Returned"/>
    <s v="Royal Mail"/>
    <x v="0"/>
    <s v="High"/>
    <n v="3102"/>
    <n v="93"/>
    <n v="3009"/>
  </r>
  <r>
    <d v="2025-01-14T00:00:00"/>
    <s v="SKU_1877"/>
    <x v="140"/>
    <s v="USB Cable"/>
    <n v="2"/>
    <n v="11.9"/>
    <x v="6"/>
    <n v="0.21"/>
    <s v="Paypal"/>
    <n v="10.7"/>
    <x v="1"/>
    <x v="1"/>
    <s v="Unknown"/>
    <s v="DHL"/>
    <x v="3"/>
    <s v="High"/>
    <n v="24"/>
    <n v="5"/>
    <n v="19"/>
  </r>
  <r>
    <d v="2025-01-14T00:00:00"/>
    <s v="SKU_1470"/>
    <x v="141"/>
    <s v="White Mug"/>
    <n v="22"/>
    <n v="6.65"/>
    <x v="0"/>
    <n v="0.46"/>
    <s v="Bank Transfer"/>
    <n v="7.14"/>
    <x v="3"/>
    <x v="1"/>
    <s v="Returned"/>
    <s v="FedEx"/>
    <x v="4"/>
    <s v="Low"/>
    <n v="146"/>
    <n v="67"/>
    <n v="79"/>
  </r>
  <r>
    <d v="2025-01-15T00:00:00"/>
    <s v="SKU_1356"/>
    <x v="142"/>
    <s v="Wireless Mouse"/>
    <n v="14"/>
    <n v="78.7"/>
    <x v="6"/>
    <n v="0.39"/>
    <s v="Paypal"/>
    <n v="23.23"/>
    <x v="0"/>
    <x v="1"/>
    <s v="Not Returned"/>
    <s v="DHL"/>
    <x v="0"/>
    <s v="Medium"/>
    <n v="1102"/>
    <n v="430"/>
    <n v="672"/>
  </r>
  <r>
    <d v="2025-01-15T00:00:00"/>
    <s v="SKU_1340"/>
    <x v="143"/>
    <s v="Headphones"/>
    <n v="47"/>
    <n v="28.54"/>
    <x v="11"/>
    <n v="0.3"/>
    <s v="Paypal"/>
    <n v="28.83"/>
    <x v="1"/>
    <x v="1"/>
    <s v="Not Returned"/>
    <s v="DHL"/>
    <x v="2"/>
    <s v="Low"/>
    <n v="1341"/>
    <n v="402"/>
    <n v="939"/>
  </r>
  <r>
    <d v="2025-01-15T00:00:00"/>
    <s v="SKU_1154"/>
    <x v="144"/>
    <s v="T-shirt"/>
    <n v="18"/>
    <n v="96.12"/>
    <x v="10"/>
    <n v="0.28999999999999998"/>
    <s v="Paypal"/>
    <n v="5.05"/>
    <x v="4"/>
    <x v="1"/>
    <s v="Not Returned"/>
    <s v="UPS"/>
    <x v="0"/>
    <s v="High"/>
    <n v="1730"/>
    <n v="502"/>
    <n v="1228"/>
  </r>
  <r>
    <d v="2025-01-15T00:00:00"/>
    <s v="SKU_1759"/>
    <x v="145"/>
    <s v="Notebook"/>
    <n v="34"/>
    <m/>
    <x v="4"/>
    <n v="0.44"/>
    <s v="Bank Transfer"/>
    <n v="11.58"/>
    <x v="2"/>
    <x v="0"/>
    <s v="Not Returned"/>
    <s v="Royal Mail"/>
    <x v="4"/>
    <s v="Medium"/>
    <n v="1802"/>
    <n v="793"/>
    <n v="1009"/>
  </r>
  <r>
    <d v="2025-01-15T00:00:00"/>
    <s v="SKU_1584"/>
    <x v="146"/>
    <s v="USB Cable"/>
    <n v="36"/>
    <n v="35.229999999999997"/>
    <x v="8"/>
    <n v="0.23"/>
    <s v="Paypal"/>
    <n v="12.59"/>
    <x v="4"/>
    <x v="1"/>
    <s v="Not Returned"/>
    <s v="FedEx"/>
    <x v="3"/>
    <s v="Low"/>
    <n v="1268"/>
    <n v="292"/>
    <n v="976"/>
  </r>
  <r>
    <d v="2025-01-15T00:00:00"/>
    <s v="SKU_1258"/>
    <x v="147"/>
    <s v="Notebook"/>
    <m/>
    <n v="94.9"/>
    <x v="7"/>
    <n v="0.39"/>
    <s v="Credit Card"/>
    <n v="8.51"/>
    <x v="1"/>
    <x v="1"/>
    <s v="Not Returned"/>
    <s v="FedEx"/>
    <x v="0"/>
    <s v="High"/>
    <n v="2467"/>
    <n v="962"/>
    <n v="1505"/>
  </r>
  <r>
    <d v="2025-01-15T00:00:00"/>
    <s v="SKU_1826"/>
    <x v="148"/>
    <s v="Desk Lamp"/>
    <n v="41"/>
    <n v="97.84"/>
    <x v="10"/>
    <n v="0.1"/>
    <s v="Paypal"/>
    <n v="23"/>
    <x v="4"/>
    <x v="0"/>
    <s v="Not Returned"/>
    <s v="FedEx"/>
    <x v="4"/>
    <s v="Low"/>
    <n v="4011"/>
    <n v="401"/>
    <n v="3610"/>
  </r>
  <r>
    <d v="2025-01-15T00:00:00"/>
    <s v="SKU_1099"/>
    <x v="149"/>
    <s v="Headphones"/>
    <n v="36"/>
    <n v="97.22"/>
    <x v="9"/>
    <n v="0.05"/>
    <s v="Bank Transfer"/>
    <n v="23.11"/>
    <x v="4"/>
    <x v="0"/>
    <s v="Returned"/>
    <s v="FedEx"/>
    <x v="0"/>
    <s v="High"/>
    <n v="3500"/>
    <n v="175"/>
    <n v="3325"/>
  </r>
  <r>
    <d v="2025-01-15T00:00:00"/>
    <s v="SKU_1225"/>
    <x v="150"/>
    <s v="White Mug"/>
    <n v="16"/>
    <n v="57.75"/>
    <x v="0"/>
    <n v="0.32"/>
    <s v="Paypal"/>
    <n v="8.33"/>
    <x v="3"/>
    <x v="0"/>
    <s v="Not Returned"/>
    <s v="FedEx"/>
    <x v="3"/>
    <s v="Low"/>
    <n v="924"/>
    <n v="296"/>
    <n v="628"/>
  </r>
  <r>
    <d v="2025-01-15T00:00:00"/>
    <s v="SKU_1029"/>
    <x v="151"/>
    <s v="USB Cable"/>
    <n v="25"/>
    <n v="37.71"/>
    <x v="11"/>
    <n v="0.11"/>
    <s v="Paypal"/>
    <n v="10.119999999999999"/>
    <x v="0"/>
    <x v="1"/>
    <s v="Not Returned"/>
    <s v="DHL"/>
    <x v="4"/>
    <s v="High"/>
    <n v="943"/>
    <n v="104"/>
    <n v="839"/>
  </r>
  <r>
    <d v="2025-01-15T00:00:00"/>
    <s v="SKU_1734"/>
    <x v="152"/>
    <s v="Notebook"/>
    <n v="41"/>
    <n v="98.23"/>
    <x v="3"/>
    <n v="0.47"/>
    <s v="Paypal"/>
    <n v="9.01"/>
    <x v="4"/>
    <x v="0"/>
    <s v="Unknown"/>
    <s v="FedEx"/>
    <x v="2"/>
    <s v="High"/>
    <n v="4027"/>
    <n v="1893"/>
    <n v="2134"/>
  </r>
  <r>
    <d v="2025-01-15T00:00:00"/>
    <s v="SKU_1221"/>
    <x v="153"/>
    <s v="Notebook"/>
    <n v="32"/>
    <n v="98.83"/>
    <x v="0"/>
    <n v="0.15"/>
    <s v="Bank Transfer"/>
    <n v="16.170000000000002"/>
    <x v="3"/>
    <x v="1"/>
    <s v="Not Returned"/>
    <s v="FedEx"/>
    <x v="2"/>
    <s v="Low"/>
    <n v="3163"/>
    <n v="474"/>
    <n v="2689"/>
  </r>
  <r>
    <d v="2025-01-15T00:00:00"/>
    <s v="SKU_1015"/>
    <x v="154"/>
    <s v="Wall Clock"/>
    <n v="30"/>
    <n v="93.51"/>
    <x v="7"/>
    <n v="0.15"/>
    <s v="Credit Card"/>
    <n v="12.16"/>
    <x v="0"/>
    <x v="1"/>
    <s v="Not Returned"/>
    <s v="FedEx"/>
    <x v="2"/>
    <s v="Medium"/>
    <n v="2805"/>
    <n v="421"/>
    <n v="2384"/>
  </r>
  <r>
    <d v="2025-01-15T00:00:00"/>
    <s v="SKU_1796"/>
    <x v="155"/>
    <s v="Wall Clock"/>
    <n v="42"/>
    <n v="42.61"/>
    <x v="7"/>
    <n v="0.37"/>
    <s v="Credit Card"/>
    <n v="14.31"/>
    <x v="3"/>
    <x v="1"/>
    <s v="Not Returned"/>
    <s v="DHL"/>
    <x v="4"/>
    <s v="High"/>
    <n v="1790"/>
    <n v="662"/>
    <n v="1128"/>
  </r>
  <r>
    <d v="2025-01-15T00:00:00"/>
    <s v="SKU_1965"/>
    <x v="156"/>
    <s v="Backpack"/>
    <n v="22"/>
    <n v="79.34"/>
    <x v="11"/>
    <n v="0.26"/>
    <s v="Paypal"/>
    <n v="20.66"/>
    <x v="3"/>
    <x v="0"/>
    <s v="Not Returned"/>
    <s v="Royal Mail"/>
    <x v="2"/>
    <s v="Low"/>
    <n v="1745"/>
    <n v="454"/>
    <n v="1291"/>
  </r>
  <r>
    <d v="2025-01-15T00:00:00"/>
    <s v="SKU_1717"/>
    <x v="157"/>
    <s v="Notebook"/>
    <n v="28"/>
    <m/>
    <x v="7"/>
    <n v="0.38"/>
    <s v="Paypal"/>
    <n v="12.26"/>
    <x v="3"/>
    <x v="0"/>
    <s v="Not Returned"/>
    <s v="DHL"/>
    <x v="3"/>
    <s v="High"/>
    <n v="1484"/>
    <n v="564"/>
    <n v="920"/>
  </r>
  <r>
    <d v="2025-01-15T00:00:00"/>
    <s v="SKU_1457"/>
    <x v="158"/>
    <s v="Headphones"/>
    <n v="37"/>
    <n v="10.96"/>
    <x v="7"/>
    <n v="0.45"/>
    <s v="Bank Transfer"/>
    <n v="15.62"/>
    <x v="4"/>
    <x v="0"/>
    <s v="Not Returned"/>
    <s v="FedEx"/>
    <x v="0"/>
    <s v="Low"/>
    <n v="406"/>
    <n v="182"/>
    <n v="224"/>
  </r>
  <r>
    <d v="2025-01-15T00:00:00"/>
    <s v="SKU_1215"/>
    <x v="159"/>
    <s v="Office Chair"/>
    <n v="44"/>
    <n v="17.32"/>
    <x v="1"/>
    <n v="0.1"/>
    <s v="Bank Transfer"/>
    <n v="25.64"/>
    <x v="3"/>
    <x v="1"/>
    <s v="Not Returned"/>
    <s v="FedEx"/>
    <x v="4"/>
    <s v="Medium"/>
    <n v="762"/>
    <n v="76"/>
    <n v="686"/>
  </r>
  <r>
    <d v="2025-01-15T00:00:00"/>
    <s v="SKU_1611"/>
    <x v="160"/>
    <s v="Backpack"/>
    <n v="39"/>
    <n v="14.51"/>
    <x v="8"/>
    <n v="0.3"/>
    <s v="Paypal"/>
    <n v="6.49"/>
    <x v="2"/>
    <x v="1"/>
    <s v="Not Returned"/>
    <s v="FedEx"/>
    <x v="3"/>
    <s v="Low"/>
    <n v="566"/>
    <n v="170"/>
    <n v="396"/>
  </r>
  <r>
    <d v="2025-01-15T00:00:00"/>
    <s v="SKU_1535"/>
    <x v="161"/>
    <s v="Wireless Mouse"/>
    <n v="22"/>
    <n v="34.31"/>
    <x v="9"/>
    <n v="0.15"/>
    <s v="Bank Transfer"/>
    <n v="23.76"/>
    <x v="3"/>
    <x v="1"/>
    <s v="Not Returned"/>
    <s v="DHL"/>
    <x v="3"/>
    <s v="Low"/>
    <n v="755"/>
    <n v="113"/>
    <n v="642"/>
  </r>
  <r>
    <d v="2025-01-15T00:00:00"/>
    <s v="SKU_1774"/>
    <x v="162"/>
    <s v="Desk Lamp"/>
    <n v="8"/>
    <n v="14.69"/>
    <x v="5"/>
    <n v="0.49"/>
    <s v="Credit Card"/>
    <n v="25.68"/>
    <x v="3"/>
    <x v="1"/>
    <s v="Not Returned"/>
    <s v="Royal Mail"/>
    <x v="4"/>
    <s v="Medium"/>
    <n v="118"/>
    <n v="58"/>
    <n v="60"/>
  </r>
  <r>
    <d v="2025-01-15T00:00:00"/>
    <s v="SKU_1432"/>
    <x v="163"/>
    <s v="Headphones"/>
    <n v="7"/>
    <n v="92.89"/>
    <x v="10"/>
    <n v="0.32"/>
    <s v="Bank Transfer"/>
    <n v="14.5"/>
    <x v="3"/>
    <x v="1"/>
    <s v="Returned"/>
    <s v="DHL"/>
    <x v="3"/>
    <s v="Low"/>
    <n v="650"/>
    <n v="208"/>
    <n v="442"/>
  </r>
  <r>
    <d v="2025-01-16T00:00:00"/>
    <s v="SKU_1958"/>
    <x v="164"/>
    <s v="Office Chair"/>
    <n v="47"/>
    <n v="49.95"/>
    <x v="1"/>
    <n v="0.06"/>
    <s v="Bank Transfer"/>
    <n v="27.99"/>
    <x v="2"/>
    <x v="1"/>
    <s v="Not Returned"/>
    <s v="UPS"/>
    <x v="2"/>
    <s v="High"/>
    <n v="2348"/>
    <n v="141"/>
    <n v="2207"/>
  </r>
  <r>
    <d v="2025-01-16T00:00:00"/>
    <s v="SKU_1612"/>
    <x v="165"/>
    <s v="Wireless Mouse"/>
    <n v="10"/>
    <n v="50.57"/>
    <x v="3"/>
    <n v="0.23"/>
    <s v="Bank Transfer"/>
    <n v="23.73"/>
    <x v="4"/>
    <x v="1"/>
    <s v="Not Returned"/>
    <s v="DHL"/>
    <x v="0"/>
    <s v="Low"/>
    <n v="506"/>
    <n v="116"/>
    <n v="390"/>
  </r>
  <r>
    <d v="2025-01-16T00:00:00"/>
    <s v="SKU_1557"/>
    <x v="166"/>
    <s v="USB Cable"/>
    <m/>
    <n v="72"/>
    <x v="6"/>
    <n v="0.28999999999999998"/>
    <s v="Credit Card"/>
    <n v="16.64"/>
    <x v="2"/>
    <x v="1"/>
    <s v="Not Returned"/>
    <s v="DHL"/>
    <x v="4"/>
    <s v="Medium"/>
    <n v="1872"/>
    <n v="543"/>
    <n v="1329"/>
  </r>
  <r>
    <d v="2025-01-16T00:00:00"/>
    <s v="SKU_1999"/>
    <x v="167"/>
    <s v="Blue Pen"/>
    <n v="34"/>
    <n v="92.63"/>
    <x v="5"/>
    <n v="0.39"/>
    <s v="Credit Card"/>
    <n v="16.899999999999999"/>
    <x v="3"/>
    <x v="0"/>
    <s v="Not Returned"/>
    <s v="DHL"/>
    <x v="4"/>
    <s v="Low"/>
    <n v="3149"/>
    <n v="1228"/>
    <n v="1921"/>
  </r>
  <r>
    <d v="2025-01-16T00:00:00"/>
    <s v="SKU_1815"/>
    <x v="168"/>
    <s v="Backpack"/>
    <n v="7"/>
    <n v="31.91"/>
    <x v="3"/>
    <n v="0.41"/>
    <s v="Credit Card"/>
    <n v="16.329999999999998"/>
    <x v="4"/>
    <x v="0"/>
    <s v="Unknown"/>
    <s v="DHL"/>
    <x v="2"/>
    <s v="High"/>
    <n v="223"/>
    <n v="92"/>
    <n v="131"/>
  </r>
  <r>
    <d v="2025-01-16T00:00:00"/>
    <s v="SKU_1101"/>
    <x v="169"/>
    <s v="T-shirt"/>
    <n v="24"/>
    <n v="46.02"/>
    <x v="5"/>
    <n v="0.09"/>
    <s v="Paypal"/>
    <n v="12.8"/>
    <x v="0"/>
    <x v="0"/>
    <s v="Not Returned"/>
    <s v="DHL"/>
    <x v="3"/>
    <s v="Low"/>
    <n v="1104"/>
    <n v="99"/>
    <n v="1005"/>
  </r>
  <r>
    <d v="2025-01-16T00:00:00"/>
    <s v="SKU_1664"/>
    <x v="170"/>
    <s v="Wireless Mouse"/>
    <n v="12"/>
    <n v="61.98"/>
    <x v="8"/>
    <n v="0.15"/>
    <s v="Credit Card"/>
    <n v="10.08"/>
    <x v="1"/>
    <x v="1"/>
    <s v="Not Returned"/>
    <s v="UPS"/>
    <x v="2"/>
    <s v="High"/>
    <n v="744"/>
    <n v="112"/>
    <n v="632"/>
  </r>
  <r>
    <d v="2025-01-16T00:00:00"/>
    <s v="SKU_1042"/>
    <x v="171"/>
    <s v="Blue Pen"/>
    <n v="47"/>
    <m/>
    <x v="7"/>
    <n v="0.45"/>
    <s v="Paypal"/>
    <n v="20.82"/>
    <x v="2"/>
    <x v="0"/>
    <s v="Not Returned"/>
    <s v="DHL"/>
    <x v="3"/>
    <s v="Low"/>
    <n v="2491"/>
    <n v="1121"/>
    <n v="1370"/>
  </r>
  <r>
    <d v="2025-01-16T00:00:00"/>
    <s v="SKU_1566"/>
    <x v="172"/>
    <s v="Wireless Mouse"/>
    <n v="2"/>
    <n v="78.72"/>
    <x v="10"/>
    <n v="0.18"/>
    <s v="Paypal"/>
    <n v="14.27"/>
    <x v="3"/>
    <x v="0"/>
    <s v="Not Returned"/>
    <s v="FedEx"/>
    <x v="4"/>
    <s v="High"/>
    <n v="157"/>
    <n v="28"/>
    <n v="129"/>
  </r>
  <r>
    <d v="2025-01-16T00:00:00"/>
    <s v="SKU_1417"/>
    <x v="173"/>
    <s v="Blue Pen"/>
    <n v="8"/>
    <n v="56.75"/>
    <x v="5"/>
    <n v="0.38"/>
    <s v="Bank Transfer"/>
    <n v="8.65"/>
    <x v="2"/>
    <x v="0"/>
    <s v="Not Returned"/>
    <s v="Royal Mail"/>
    <x v="0"/>
    <s v="High"/>
    <n v="454"/>
    <n v="173"/>
    <n v="281"/>
  </r>
  <r>
    <d v="2025-01-16T00:00:00"/>
    <s v="SKU_1320"/>
    <x v="174"/>
    <s v="White Mug"/>
    <n v="41"/>
    <n v="77.45"/>
    <x v="0"/>
    <n v="0.15"/>
    <s v="Bank Transfer"/>
    <n v="18.420000000000002"/>
    <x v="0"/>
    <x v="1"/>
    <s v="Not Returned"/>
    <s v="DHL"/>
    <x v="4"/>
    <s v="High"/>
    <n v="3175"/>
    <n v="476"/>
    <n v="2699"/>
  </r>
  <r>
    <d v="2025-01-16T00:00:00"/>
    <s v="SKU_1667"/>
    <x v="175"/>
    <s v="USB Cable"/>
    <n v="18"/>
    <n v="36.99"/>
    <x v="8"/>
    <n v="0.33"/>
    <s v="Credit Card"/>
    <n v="28.34"/>
    <x v="4"/>
    <x v="1"/>
    <s v="Returned"/>
    <s v="DHL"/>
    <x v="0"/>
    <s v="Low"/>
    <n v="666"/>
    <n v="220"/>
    <n v="446"/>
  </r>
  <r>
    <d v="2025-01-16T00:00:00"/>
    <s v="SKU_1808"/>
    <x v="176"/>
    <s v="Desk Lamp"/>
    <n v="31"/>
    <n v="43.72"/>
    <x v="11"/>
    <n v="0.33"/>
    <s v="Bank Transfer"/>
    <n v="22.11"/>
    <x v="3"/>
    <x v="1"/>
    <s v="Not Returned"/>
    <s v="Royal Mail"/>
    <x v="2"/>
    <s v="Medium"/>
    <n v="1355"/>
    <n v="447"/>
    <n v="908"/>
  </r>
  <r>
    <d v="2025-01-16T00:00:00"/>
    <s v="SKU_1412"/>
    <x v="177"/>
    <s v="T-shirt"/>
    <n v="43"/>
    <n v="49.97"/>
    <x v="2"/>
    <n v="0.05"/>
    <s v="Paypal"/>
    <n v="28.51"/>
    <x v="1"/>
    <x v="1"/>
    <s v="Not Returned"/>
    <s v="DHL"/>
    <x v="1"/>
    <s v="High"/>
    <n v="2149"/>
    <n v="107"/>
    <n v="2042"/>
  </r>
  <r>
    <d v="2025-01-16T00:00:00"/>
    <s v="SKU_1927"/>
    <x v="178"/>
    <s v="USB Cable"/>
    <n v="20"/>
    <n v="91.39"/>
    <x v="2"/>
    <n v="0.43"/>
    <s v="Paypal"/>
    <n v="23.32"/>
    <x v="2"/>
    <x v="1"/>
    <s v="Unknown"/>
    <s v="Royal Mail"/>
    <x v="2"/>
    <s v="High"/>
    <n v="1828"/>
    <n v="786"/>
    <n v="1042"/>
  </r>
  <r>
    <d v="2025-01-16T00:00:00"/>
    <s v="SKU_1964"/>
    <x v="179"/>
    <s v="T-shirt"/>
    <n v="20"/>
    <n v="23.44"/>
    <x v="7"/>
    <n v="0.35"/>
    <s v="Credit Card"/>
    <n v="22.73"/>
    <x v="0"/>
    <x v="0"/>
    <s v="Not Returned"/>
    <s v="Royal Mail"/>
    <x v="2"/>
    <s v="Low"/>
    <n v="469"/>
    <n v="164"/>
    <n v="305"/>
  </r>
  <r>
    <d v="2025-01-16T00:00:00"/>
    <s v="SKU_1033"/>
    <x v="180"/>
    <s v="White Mug"/>
    <n v="12"/>
    <n v="66.099999999999994"/>
    <x v="7"/>
    <n v="0.02"/>
    <s v="Bank Transfer"/>
    <n v="23.11"/>
    <x v="4"/>
    <x v="1"/>
    <s v="Not Returned"/>
    <s v="UPS"/>
    <x v="4"/>
    <s v="Low"/>
    <n v="793"/>
    <n v="16"/>
    <n v="777"/>
  </r>
  <r>
    <d v="2025-01-16T00:00:00"/>
    <s v="SKU_1749"/>
    <x v="181"/>
    <s v="USB Cable"/>
    <n v="6"/>
    <n v="75.98"/>
    <x v="10"/>
    <n v="0.34"/>
    <s v="Bank Transfer"/>
    <n v="14.12"/>
    <x v="2"/>
    <x v="0"/>
    <s v="Not Returned"/>
    <s v="FedEx"/>
    <x v="4"/>
    <s v="Low"/>
    <n v="456"/>
    <n v="155"/>
    <n v="301"/>
  </r>
  <r>
    <d v="2025-01-16T00:00:00"/>
    <s v="SKU_1444"/>
    <x v="182"/>
    <s v="Backpack"/>
    <n v="3"/>
    <n v="87.15"/>
    <x v="11"/>
    <n v="0.49"/>
    <s v="Paypal"/>
    <n v="26.04"/>
    <x v="4"/>
    <x v="1"/>
    <s v="Not Returned"/>
    <s v="DHL"/>
    <x v="4"/>
    <s v="Low"/>
    <n v="261"/>
    <n v="128"/>
    <n v="133"/>
  </r>
  <r>
    <d v="2025-01-16T00:00:00"/>
    <s v="SKU_1179"/>
    <x v="183"/>
    <s v="White Mug"/>
    <n v="30"/>
    <n v="2.57"/>
    <x v="4"/>
    <n v="0.08"/>
    <s v="Credit Card"/>
    <n v="14.9"/>
    <x v="3"/>
    <x v="1"/>
    <s v="Not Returned"/>
    <s v="UPS"/>
    <x v="3"/>
    <s v="Low"/>
    <n v="77"/>
    <n v="6"/>
    <n v="71"/>
  </r>
  <r>
    <d v="2025-01-16T00:00:00"/>
    <s v="SKU_1830"/>
    <x v="184"/>
    <s v="Desk Lamp"/>
    <n v="24"/>
    <n v="36.69"/>
    <x v="5"/>
    <n v="0.19"/>
    <s v="Paypal"/>
    <n v="7.24"/>
    <x v="0"/>
    <x v="0"/>
    <s v="Returned"/>
    <s v="Royal Mail"/>
    <x v="1"/>
    <s v="Low"/>
    <n v="881"/>
    <n v="167"/>
    <n v="714"/>
  </r>
  <r>
    <d v="2025-01-16T00:00:00"/>
    <s v="SKU_1665"/>
    <x v="185"/>
    <s v="USB Cable"/>
    <n v="48"/>
    <m/>
    <x v="6"/>
    <n v="0.46"/>
    <s v="Bank Transfer"/>
    <n v="27.45"/>
    <x v="4"/>
    <x v="0"/>
    <s v="Not Returned"/>
    <s v="UPS"/>
    <x v="2"/>
    <s v="High"/>
    <n v="2544"/>
    <n v="1170"/>
    <n v="1374"/>
  </r>
  <r>
    <d v="2025-01-17T00:00:00"/>
    <s v="SKU_1716"/>
    <x v="186"/>
    <s v="Office Chair"/>
    <n v="14"/>
    <n v="88.21"/>
    <x v="9"/>
    <n v="0.44"/>
    <s v="Credit Card"/>
    <n v="9.31"/>
    <x v="1"/>
    <x v="0"/>
    <s v="Unknown"/>
    <s v="DHL"/>
    <x v="3"/>
    <s v="High"/>
    <n v="1235"/>
    <n v="543"/>
    <n v="692"/>
  </r>
  <r>
    <d v="2025-01-17T00:00:00"/>
    <s v="SKU_1267"/>
    <x v="187"/>
    <s v="White Mug"/>
    <m/>
    <n v="46.28"/>
    <x v="10"/>
    <n v="0.05"/>
    <s v="Credit Card"/>
    <n v="8.5500000000000007"/>
    <x v="1"/>
    <x v="1"/>
    <s v="Not Returned"/>
    <s v="Royal Mail"/>
    <x v="2"/>
    <s v="Low"/>
    <n v="1203"/>
    <n v="60"/>
    <n v="1143"/>
  </r>
  <r>
    <d v="2025-01-17T00:00:00"/>
    <s v="SKU_1533"/>
    <x v="188"/>
    <s v="Wall Clock"/>
    <n v="29"/>
    <n v="36.270000000000003"/>
    <x v="1"/>
    <n v="0.14000000000000001"/>
    <s v="Credit Card"/>
    <n v="26.22"/>
    <x v="2"/>
    <x v="0"/>
    <s v="Not Returned"/>
    <s v="DHL"/>
    <x v="4"/>
    <s v="High"/>
    <n v="1052"/>
    <n v="147"/>
    <n v="905"/>
  </r>
  <r>
    <d v="2025-01-17T00:00:00"/>
    <s v="SKU_1968"/>
    <x v="189"/>
    <s v="Wall Clock"/>
    <n v="29"/>
    <n v="30.48"/>
    <x v="6"/>
    <n v="0.4"/>
    <s v="Credit Card"/>
    <n v="22.63"/>
    <x v="4"/>
    <x v="1"/>
    <s v="Returned"/>
    <s v="UPS"/>
    <x v="3"/>
    <s v="Low"/>
    <n v="884"/>
    <n v="354"/>
    <n v="530"/>
  </r>
  <r>
    <d v="2025-01-17T00:00:00"/>
    <s v="SKU_1311"/>
    <x v="190"/>
    <s v="Notebook"/>
    <n v="10"/>
    <n v="88.14"/>
    <x v="7"/>
    <n v="0.31"/>
    <s v="Credit Card"/>
    <n v="20.5"/>
    <x v="3"/>
    <x v="1"/>
    <s v="Not Returned"/>
    <s v="FedEx"/>
    <x v="0"/>
    <s v="Medium"/>
    <n v="881"/>
    <n v="273"/>
    <n v="608"/>
  </r>
  <r>
    <d v="2025-01-17T00:00:00"/>
    <s v="SKU_1005"/>
    <x v="191"/>
    <s v="USB Cable"/>
    <n v="42"/>
    <n v="64.37"/>
    <x v="7"/>
    <n v="0.38"/>
    <s v="Credit Card"/>
    <n v="25.05"/>
    <x v="1"/>
    <x v="0"/>
    <s v="Not Returned"/>
    <s v="DHL"/>
    <x v="4"/>
    <s v="Low"/>
    <n v="2704"/>
    <n v="1027"/>
    <n v="1677"/>
  </r>
  <r>
    <d v="2025-01-17T00:00:00"/>
    <s v="SKU_1547"/>
    <x v="192"/>
    <s v="T-shirt"/>
    <n v="41"/>
    <n v="37.5"/>
    <x v="6"/>
    <n v="0.44"/>
    <s v="Paypal"/>
    <n v="14.64"/>
    <x v="4"/>
    <x v="0"/>
    <s v="Not Returned"/>
    <s v="FedEx"/>
    <x v="0"/>
    <s v="Medium"/>
    <n v="1538"/>
    <n v="677"/>
    <n v="861"/>
  </r>
  <r>
    <d v="2025-01-17T00:00:00"/>
    <s v="SKU_1637"/>
    <x v="193"/>
    <s v="Blue Pen"/>
    <n v="39"/>
    <n v="48.69"/>
    <x v="8"/>
    <n v="7.0000000000000007E-2"/>
    <s v="Paypal"/>
    <n v="23.59"/>
    <x v="0"/>
    <x v="1"/>
    <s v="Not Returned"/>
    <s v="Royal Mail"/>
    <x v="0"/>
    <s v="High"/>
    <n v="1899"/>
    <n v="133"/>
    <n v="1766"/>
  </r>
  <r>
    <d v="2025-01-17T00:00:00"/>
    <s v="SKU_1457"/>
    <x v="194"/>
    <s v="Office Chair"/>
    <n v="33"/>
    <n v="12.47"/>
    <x v="6"/>
    <n v="0.46"/>
    <s v="Paypal"/>
    <n v="11.56"/>
    <x v="0"/>
    <x v="1"/>
    <s v="Not Returned"/>
    <s v="FedEx"/>
    <x v="4"/>
    <s v="Low"/>
    <n v="412"/>
    <n v="189"/>
    <n v="223"/>
  </r>
  <r>
    <d v="2025-01-17T00:00:00"/>
    <s v="SKU_1740"/>
    <x v="195"/>
    <s v="White Mug"/>
    <n v="8"/>
    <n v="89.83"/>
    <x v="9"/>
    <n v="0.1"/>
    <s v="Paypal"/>
    <n v="20.11"/>
    <x v="1"/>
    <x v="0"/>
    <s v="Not Returned"/>
    <s v="UPS"/>
    <x v="4"/>
    <s v="Medium"/>
    <n v="719"/>
    <n v="72"/>
    <n v="647"/>
  </r>
  <r>
    <d v="2025-01-17T00:00:00"/>
    <s v="SKU_1698"/>
    <x v="196"/>
    <s v="T-shirt"/>
    <n v="42"/>
    <n v="56.96"/>
    <x v="9"/>
    <n v="0.37"/>
    <s v="Paypal"/>
    <n v="13.94"/>
    <x v="2"/>
    <x v="1"/>
    <s v="Returned"/>
    <s v="DHL"/>
    <x v="0"/>
    <s v="High"/>
    <n v="2392"/>
    <n v="885"/>
    <n v="1507"/>
  </r>
  <r>
    <d v="2025-01-17T00:00:00"/>
    <s v="SKU_1570"/>
    <x v="197"/>
    <s v="Wall Clock"/>
    <n v="13"/>
    <n v="60.12"/>
    <x v="6"/>
    <n v="0.19"/>
    <s v="Paypal"/>
    <n v="16.149999999999999"/>
    <x v="3"/>
    <x v="1"/>
    <s v="Not Returned"/>
    <s v="UPS"/>
    <x v="0"/>
    <s v="High"/>
    <n v="782"/>
    <n v="148"/>
    <n v="634"/>
  </r>
  <r>
    <d v="2025-01-17T00:00:00"/>
    <s v="SKU_1067"/>
    <x v="198"/>
    <s v="Wall Clock"/>
    <n v="28"/>
    <n v="41.86"/>
    <x v="11"/>
    <n v="0.34"/>
    <s v="Paypal"/>
    <n v="22.25"/>
    <x v="0"/>
    <x v="0"/>
    <s v="Returned"/>
    <s v="Royal Mail"/>
    <x v="2"/>
    <s v="Low"/>
    <n v="1172"/>
    <n v="399"/>
    <n v="773"/>
  </r>
  <r>
    <d v="2025-01-17T00:00:00"/>
    <s v="SKU_1819"/>
    <x v="199"/>
    <s v="Office Chair"/>
    <n v="48"/>
    <n v="30.52"/>
    <x v="8"/>
    <n v="0.26"/>
    <s v="Paypal"/>
    <n v="28.58"/>
    <x v="2"/>
    <x v="1"/>
    <s v="Not Returned"/>
    <s v="FedEx"/>
    <x v="2"/>
    <s v="Medium"/>
    <n v="1465"/>
    <n v="381"/>
    <n v="1084"/>
  </r>
  <r>
    <d v="2025-01-17T00:00:00"/>
    <s v="SKU_1119"/>
    <x v="200"/>
    <s v="USB Cable"/>
    <n v="11"/>
    <n v="68.78"/>
    <x v="4"/>
    <n v="0.45"/>
    <s v="Credit Card"/>
    <n v="11.27"/>
    <x v="0"/>
    <x v="1"/>
    <s v="Not Returned"/>
    <s v="Royal Mail"/>
    <x v="4"/>
    <s v="Low"/>
    <n v="757"/>
    <n v="340"/>
    <n v="417"/>
  </r>
  <r>
    <d v="2025-01-17T00:00:00"/>
    <s v="SKU_1963"/>
    <x v="201"/>
    <s v="Notebook"/>
    <n v="17"/>
    <n v="29.47"/>
    <x v="9"/>
    <n v="0.47"/>
    <s v="Paypal"/>
    <n v="20.09"/>
    <x v="3"/>
    <x v="0"/>
    <s v="Not Returned"/>
    <s v="FedEx"/>
    <x v="0"/>
    <s v="High"/>
    <n v="501"/>
    <n v="235"/>
    <n v="266"/>
  </r>
  <r>
    <d v="2025-01-17T00:00:00"/>
    <s v="SKU_1332"/>
    <x v="202"/>
    <s v="Headphones"/>
    <n v="16"/>
    <n v="38.85"/>
    <x v="11"/>
    <n v="0.14000000000000001"/>
    <s v="Paypal"/>
    <n v="5.69"/>
    <x v="3"/>
    <x v="1"/>
    <s v="Unknown"/>
    <s v="Royal Mail"/>
    <x v="3"/>
    <s v="Medium"/>
    <n v="622"/>
    <n v="87"/>
    <n v="535"/>
  </r>
  <r>
    <d v="2025-01-17T00:00:00"/>
    <s v="SKU_1847"/>
    <x v="203"/>
    <s v="USB Cable"/>
    <n v="24"/>
    <n v="54.91"/>
    <x v="9"/>
    <n v="0.17"/>
    <s v="Bank Transfer"/>
    <n v="8.74"/>
    <x v="3"/>
    <x v="0"/>
    <s v="Not Returned"/>
    <s v="Royal Mail"/>
    <x v="0"/>
    <s v="Low"/>
    <n v="1318"/>
    <n v="224"/>
    <n v="1094"/>
  </r>
  <r>
    <d v="2025-01-17T00:00:00"/>
    <s v="SKU_1874"/>
    <x v="204"/>
    <s v="Blue Pen"/>
    <n v="33"/>
    <n v="41.98"/>
    <x v="3"/>
    <n v="0.33"/>
    <s v="Paypal"/>
    <n v="28.62"/>
    <x v="3"/>
    <x v="1"/>
    <s v="Not Returned"/>
    <s v="UPS"/>
    <x v="2"/>
    <s v="Low"/>
    <n v="1385"/>
    <n v="457"/>
    <n v="928"/>
  </r>
  <r>
    <d v="2025-01-17T00:00:00"/>
    <s v="SKU_1946"/>
    <x v="205"/>
    <s v="Backpack"/>
    <m/>
    <n v="99.06"/>
    <x v="0"/>
    <n v="7.0000000000000007E-2"/>
    <s v="Credit Card"/>
    <n v="28.58"/>
    <x v="2"/>
    <x v="1"/>
    <s v="Not Returned"/>
    <s v="Royal Mail"/>
    <x v="1"/>
    <s v="Medium"/>
    <n v="2576"/>
    <n v="180"/>
    <n v="2396"/>
  </r>
  <r>
    <d v="2025-01-17T00:00:00"/>
    <s v="SKU_1345"/>
    <x v="206"/>
    <s v="Blue Pen"/>
    <n v="42"/>
    <m/>
    <x v="3"/>
    <n v="0.49"/>
    <s v="Bank Transfer"/>
    <n v="12.67"/>
    <x v="3"/>
    <x v="1"/>
    <s v="Not Returned"/>
    <s v="UPS"/>
    <x v="1"/>
    <s v="High"/>
    <n v="2226"/>
    <n v="1091"/>
    <n v="1135"/>
  </r>
  <r>
    <d v="2025-01-17T00:00:00"/>
    <s v="SKU_1864"/>
    <x v="207"/>
    <s v="Wall Clock"/>
    <n v="13"/>
    <n v="56.57"/>
    <x v="8"/>
    <n v="0.21"/>
    <s v="Credit Card"/>
    <n v="23.08"/>
    <x v="3"/>
    <x v="1"/>
    <s v="Not Returned"/>
    <s v="FedEx"/>
    <x v="3"/>
    <s v="High"/>
    <n v="735"/>
    <n v="154"/>
    <n v="581"/>
  </r>
  <r>
    <d v="2025-01-17T00:00:00"/>
    <s v="SKU_1244"/>
    <x v="208"/>
    <s v="Office Chair"/>
    <n v="2"/>
    <n v="33.200000000000003"/>
    <x v="0"/>
    <n v="0.41"/>
    <s v="Bank Transfer"/>
    <n v="18.18"/>
    <x v="2"/>
    <x v="1"/>
    <s v="Returned"/>
    <s v="Royal Mail"/>
    <x v="1"/>
    <s v="Medium"/>
    <n v="66"/>
    <n v="27"/>
    <n v="39"/>
  </r>
  <r>
    <d v="2025-01-18T00:00:00"/>
    <s v="SKU_1579"/>
    <x v="209"/>
    <s v="Office Chair"/>
    <n v="26"/>
    <n v="36.200000000000003"/>
    <x v="9"/>
    <n v="0.19"/>
    <s v="Bank Transfer"/>
    <n v="26.85"/>
    <x v="1"/>
    <x v="0"/>
    <s v="Not Returned"/>
    <s v="UPS"/>
    <x v="4"/>
    <s v="Medium"/>
    <n v="941"/>
    <n v="179"/>
    <n v="762"/>
  </r>
  <r>
    <d v="2025-01-18T00:00:00"/>
    <s v="SKU_1665"/>
    <x v="210"/>
    <s v="Office Chair"/>
    <n v="29"/>
    <n v="32.47"/>
    <x v="7"/>
    <n v="0.45"/>
    <s v="Bank Transfer"/>
    <n v="27.85"/>
    <x v="1"/>
    <x v="1"/>
    <s v="Not Returned"/>
    <s v="UPS"/>
    <x v="4"/>
    <s v="Medium"/>
    <n v="942"/>
    <n v="424"/>
    <n v="518"/>
  </r>
  <r>
    <d v="2025-01-18T00:00:00"/>
    <s v="SKU_1840"/>
    <x v="211"/>
    <s v="Wireless Mouse"/>
    <n v="12"/>
    <n v="78.94"/>
    <x v="10"/>
    <n v="0.41"/>
    <s v="Paypal"/>
    <n v="21.06"/>
    <x v="0"/>
    <x v="0"/>
    <s v="Not Returned"/>
    <s v="DHL"/>
    <x v="1"/>
    <s v="Low"/>
    <n v="947"/>
    <n v="388"/>
    <n v="559"/>
  </r>
  <r>
    <d v="2025-01-18T00:00:00"/>
    <s v="SKU_1296"/>
    <x v="212"/>
    <s v="Headphones"/>
    <n v="3"/>
    <n v="20"/>
    <x v="0"/>
    <n v="0.5"/>
    <s v="Paypal"/>
    <n v="18.72"/>
    <x v="2"/>
    <x v="0"/>
    <s v="Not Returned"/>
    <s v="DHL"/>
    <x v="3"/>
    <s v="High"/>
    <n v="60"/>
    <n v="30"/>
    <n v="30"/>
  </r>
  <r>
    <d v="2025-01-18T00:00:00"/>
    <s v="SKU_1714"/>
    <x v="213"/>
    <s v="T-shirt"/>
    <n v="18"/>
    <n v="16.899999999999999"/>
    <x v="5"/>
    <n v="0.19"/>
    <s v="Paypal"/>
    <n v="23.52"/>
    <x v="4"/>
    <x v="1"/>
    <s v="Not Returned"/>
    <s v="FedEx"/>
    <x v="4"/>
    <s v="High"/>
    <n v="304"/>
    <n v="58"/>
    <n v="246"/>
  </r>
  <r>
    <d v="2025-01-18T00:00:00"/>
    <s v="SKU_1644"/>
    <x v="214"/>
    <s v="USB Cable"/>
    <n v="40"/>
    <n v="46.19"/>
    <x v="7"/>
    <n v="0.15"/>
    <s v="Credit Card"/>
    <n v="26.63"/>
    <x v="1"/>
    <x v="1"/>
    <s v="Not Returned"/>
    <s v="UPS"/>
    <x v="0"/>
    <s v="Medium"/>
    <n v="1848"/>
    <n v="277"/>
    <n v="1571"/>
  </r>
  <r>
    <d v="2025-01-18T00:00:00"/>
    <s v="SKU_1948"/>
    <x v="215"/>
    <s v="USB Cable"/>
    <n v="30"/>
    <n v="66.69"/>
    <x v="4"/>
    <n v="7.0000000000000007E-2"/>
    <s v="Credit Card"/>
    <n v="26.42"/>
    <x v="1"/>
    <x v="1"/>
    <s v="Not Returned"/>
    <s v="DHL"/>
    <x v="2"/>
    <s v="Low"/>
    <n v="2001"/>
    <n v="140"/>
    <n v="1861"/>
  </r>
  <r>
    <d v="2025-01-18T00:00:00"/>
    <s v="SKU_1933"/>
    <x v="216"/>
    <s v="Blue Pen"/>
    <n v="39"/>
    <n v="62.01"/>
    <x v="9"/>
    <n v="0.38"/>
    <s v="Credit Card"/>
    <n v="28.8"/>
    <x v="0"/>
    <x v="0"/>
    <s v="Not Returned"/>
    <s v="FedEx"/>
    <x v="4"/>
    <s v="Low"/>
    <n v="2418"/>
    <n v="919"/>
    <n v="1499"/>
  </r>
  <r>
    <d v="2025-01-18T00:00:00"/>
    <s v="SKU_1627"/>
    <x v="217"/>
    <s v="Notebook"/>
    <n v="42"/>
    <n v="26.85"/>
    <x v="6"/>
    <n v="0.08"/>
    <s v="Credit Card"/>
    <n v="6.28"/>
    <x v="3"/>
    <x v="0"/>
    <s v="Not Returned"/>
    <s v="UPS"/>
    <x v="4"/>
    <s v="Medium"/>
    <n v="1128"/>
    <n v="90"/>
    <n v="1038"/>
  </r>
  <r>
    <d v="2025-01-18T00:00:00"/>
    <s v="SKU_1991"/>
    <x v="218"/>
    <s v="Notebook"/>
    <n v="35"/>
    <n v="44.46"/>
    <x v="2"/>
    <n v="0.35"/>
    <s v="Bank Transfer"/>
    <n v="19.28"/>
    <x v="4"/>
    <x v="1"/>
    <s v="Returned"/>
    <s v="Royal Mail"/>
    <x v="0"/>
    <s v="High"/>
    <n v="1556"/>
    <n v="545"/>
    <n v="1011"/>
  </r>
  <r>
    <d v="2025-01-18T00:00:00"/>
    <s v="SKU_1604"/>
    <x v="219"/>
    <s v="White Mug"/>
    <n v="49"/>
    <n v="33.6"/>
    <x v="6"/>
    <n v="0.3"/>
    <s v="Credit Card"/>
    <n v="29.7"/>
    <x v="0"/>
    <x v="1"/>
    <s v="Not Returned"/>
    <s v="UPS"/>
    <x v="1"/>
    <s v="High"/>
    <n v="1646"/>
    <n v="494"/>
    <n v="1152"/>
  </r>
  <r>
    <d v="2025-01-18T00:00:00"/>
    <s v="SKU_1613"/>
    <x v="220"/>
    <s v="Notebook"/>
    <n v="9"/>
    <n v="69.45"/>
    <x v="1"/>
    <n v="0.49"/>
    <s v="Paypal"/>
    <n v="23.58"/>
    <x v="2"/>
    <x v="0"/>
    <s v="Unknown"/>
    <s v="UPS"/>
    <x v="4"/>
    <s v="Medium"/>
    <n v="625"/>
    <n v="306"/>
    <n v="319"/>
  </r>
  <r>
    <d v="2025-01-18T00:00:00"/>
    <s v="SKU_1359"/>
    <x v="221"/>
    <s v="T-shirt"/>
    <n v="46"/>
    <n v="5.37"/>
    <x v="9"/>
    <n v="0.28999999999999998"/>
    <s v="Credit Card"/>
    <n v="20.94"/>
    <x v="0"/>
    <x v="0"/>
    <s v="Not Returned"/>
    <s v="UPS"/>
    <x v="3"/>
    <s v="Low"/>
    <n v="247"/>
    <n v="72"/>
    <n v="175"/>
  </r>
  <r>
    <d v="2025-01-18T00:00:00"/>
    <s v="SKU_1347"/>
    <x v="222"/>
    <s v="T-shirt"/>
    <n v="9"/>
    <m/>
    <x v="6"/>
    <n v="0.21"/>
    <s v="Paypal"/>
    <n v="20.54"/>
    <x v="4"/>
    <x v="0"/>
    <s v="Not Returned"/>
    <s v="UPS"/>
    <x v="1"/>
    <s v="Medium"/>
    <n v="477"/>
    <n v="100"/>
    <n v="377"/>
  </r>
  <r>
    <d v="2025-01-18T00:00:00"/>
    <s v="SKU_1436"/>
    <x v="223"/>
    <s v="Notebook"/>
    <n v="42"/>
    <n v="86.71"/>
    <x v="11"/>
    <n v="0.26"/>
    <s v="Bank Transfer"/>
    <n v="28.11"/>
    <x v="0"/>
    <x v="1"/>
    <s v="Not Returned"/>
    <s v="Royal Mail"/>
    <x v="3"/>
    <s v="Medium"/>
    <n v="3642"/>
    <n v="947"/>
    <n v="2695"/>
  </r>
  <r>
    <d v="2025-01-18T00:00:00"/>
    <s v="SKU_1471"/>
    <x v="224"/>
    <s v="Wall Clock"/>
    <n v="41"/>
    <n v="49.11"/>
    <x v="2"/>
    <n v="0.02"/>
    <s v="Credit Card"/>
    <n v="6.8"/>
    <x v="1"/>
    <x v="0"/>
    <s v="Not Returned"/>
    <s v="DHL"/>
    <x v="4"/>
    <s v="Medium"/>
    <n v="2014"/>
    <n v="40"/>
    <n v="1974"/>
  </r>
  <r>
    <d v="2025-01-18T00:00:00"/>
    <s v="SKU_1951"/>
    <x v="225"/>
    <s v="T-shirt"/>
    <m/>
    <n v="54.42"/>
    <x v="2"/>
    <n v="0.11"/>
    <s v="Credit Card"/>
    <n v="19.09"/>
    <x v="1"/>
    <x v="1"/>
    <s v="Not Returned"/>
    <s v="DHL"/>
    <x v="2"/>
    <s v="Low"/>
    <n v="1415"/>
    <n v="156"/>
    <n v="1259"/>
  </r>
  <r>
    <d v="2025-01-18T00:00:00"/>
    <s v="SKU_1274"/>
    <x v="226"/>
    <s v="USB Cable"/>
    <n v="20"/>
    <n v="11.97"/>
    <x v="6"/>
    <n v="0.14000000000000001"/>
    <s v="Credit Card"/>
    <n v="13.55"/>
    <x v="1"/>
    <x v="1"/>
    <s v="Not Returned"/>
    <s v="FedEx"/>
    <x v="0"/>
    <s v="Low"/>
    <n v="239"/>
    <n v="34"/>
    <n v="205"/>
  </r>
  <r>
    <d v="2025-01-18T00:00:00"/>
    <s v="SKU_1629"/>
    <x v="227"/>
    <s v="T-shirt"/>
    <n v="48"/>
    <n v="62.19"/>
    <x v="2"/>
    <n v="0.47"/>
    <s v="Credit Card"/>
    <n v="9.41"/>
    <x v="4"/>
    <x v="0"/>
    <s v="Not Returned"/>
    <s v="FedEx"/>
    <x v="4"/>
    <s v="Low"/>
    <n v="2985"/>
    <n v="1403"/>
    <n v="1582"/>
  </r>
  <r>
    <d v="2025-01-18T00:00:00"/>
    <s v="SKU_1064"/>
    <x v="228"/>
    <s v="Notebook"/>
    <n v="17"/>
    <n v="76.97"/>
    <x v="6"/>
    <n v="0.3"/>
    <s v="Bank Transfer"/>
    <n v="11.38"/>
    <x v="0"/>
    <x v="0"/>
    <s v="Not Returned"/>
    <s v="UPS"/>
    <x v="4"/>
    <s v="Low"/>
    <n v="1308"/>
    <n v="393"/>
    <n v="915"/>
  </r>
  <r>
    <d v="2025-01-18T00:00:00"/>
    <s v="SKU_1726"/>
    <x v="229"/>
    <s v="Notebook"/>
    <n v="12"/>
    <n v="73.87"/>
    <x v="9"/>
    <n v="0.09"/>
    <s v="Paypal"/>
    <n v="25.85"/>
    <x v="1"/>
    <x v="1"/>
    <s v="Not Returned"/>
    <s v="FedEx"/>
    <x v="2"/>
    <s v="Low"/>
    <n v="886"/>
    <n v="80"/>
    <n v="806"/>
  </r>
  <r>
    <d v="2025-01-18T00:00:00"/>
    <s v="SKU_1308"/>
    <x v="230"/>
    <s v="Backpack"/>
    <n v="2"/>
    <n v="72.89"/>
    <x v="5"/>
    <n v="0.31"/>
    <s v="Paypal"/>
    <n v="26.14"/>
    <x v="0"/>
    <x v="0"/>
    <s v="Not Returned"/>
    <s v="FedEx"/>
    <x v="1"/>
    <s v="Medium"/>
    <n v="146"/>
    <n v="45"/>
    <n v="101"/>
  </r>
  <r>
    <d v="2025-01-18T00:00:00"/>
    <s v="SKU_1146"/>
    <x v="231"/>
    <s v="USB Cable"/>
    <n v="31"/>
    <n v="4.28"/>
    <x v="10"/>
    <n v="0.02"/>
    <s v="Bank Transfer"/>
    <n v="17.850000000000001"/>
    <x v="2"/>
    <x v="0"/>
    <s v="Not Returned"/>
    <s v="UPS"/>
    <x v="4"/>
    <s v="Medium"/>
    <n v="133"/>
    <n v="3"/>
    <n v="130"/>
  </r>
  <r>
    <d v="2025-01-19T00:00:00"/>
    <s v="SKU_1577"/>
    <x v="232"/>
    <s v="Notebook"/>
    <n v="15"/>
    <n v="43.87"/>
    <x v="6"/>
    <n v="0.41"/>
    <s v="Bank Transfer"/>
    <n v="11.34"/>
    <x v="2"/>
    <x v="0"/>
    <s v="Returned"/>
    <s v="DHL"/>
    <x v="3"/>
    <s v="Medium"/>
    <n v="658"/>
    <n v="270"/>
    <n v="388"/>
  </r>
  <r>
    <d v="2025-01-19T00:00:00"/>
    <s v="SKU_1507"/>
    <x v="233"/>
    <s v="Wall Clock"/>
    <n v="7"/>
    <n v="51.84"/>
    <x v="6"/>
    <n v="0.36"/>
    <s v="Credit Card"/>
    <n v="28.08"/>
    <x v="4"/>
    <x v="0"/>
    <s v="Not Returned"/>
    <s v="FedEx"/>
    <x v="4"/>
    <s v="Low"/>
    <n v="363"/>
    <n v="131"/>
    <n v="232"/>
  </r>
  <r>
    <d v="2025-01-19T00:00:00"/>
    <s v="SKU_1175"/>
    <x v="234"/>
    <s v="Notebook"/>
    <n v="34"/>
    <n v="29.09"/>
    <x v="0"/>
    <n v="0.4"/>
    <s v="Paypal"/>
    <n v="18.82"/>
    <x v="4"/>
    <x v="1"/>
    <s v="Not Returned"/>
    <s v="FedEx"/>
    <x v="1"/>
    <s v="High"/>
    <n v="989"/>
    <n v="396"/>
    <n v="593"/>
  </r>
  <r>
    <d v="2025-01-19T00:00:00"/>
    <s v="SKU_1577"/>
    <x v="235"/>
    <s v="Backpack"/>
    <n v="40"/>
    <n v="56.88"/>
    <x v="6"/>
    <n v="0.05"/>
    <s v="Paypal"/>
    <n v="5.08"/>
    <x v="0"/>
    <x v="0"/>
    <s v="Not Returned"/>
    <s v="Royal Mail"/>
    <x v="4"/>
    <s v="High"/>
    <n v="2275"/>
    <n v="114"/>
    <n v="2161"/>
  </r>
  <r>
    <d v="2025-01-19T00:00:00"/>
    <s v="SKU_1017"/>
    <x v="236"/>
    <s v="USB Cable"/>
    <n v="21"/>
    <n v="96.69"/>
    <x v="2"/>
    <n v="0.1"/>
    <s v="Paypal"/>
    <n v="5.32"/>
    <x v="2"/>
    <x v="0"/>
    <s v="Not Returned"/>
    <s v="DHL"/>
    <x v="2"/>
    <s v="Medium"/>
    <n v="2030"/>
    <n v="203"/>
    <n v="1827"/>
  </r>
  <r>
    <d v="2025-01-19T00:00:00"/>
    <s v="SKU_1335"/>
    <x v="237"/>
    <s v="T-shirt"/>
    <n v="13"/>
    <n v="87.62"/>
    <x v="10"/>
    <n v="0.44"/>
    <s v="Bank Transfer"/>
    <n v="27.81"/>
    <x v="1"/>
    <x v="1"/>
    <s v="Not Returned"/>
    <s v="Royal Mail"/>
    <x v="4"/>
    <s v="High"/>
    <n v="1139"/>
    <n v="501"/>
    <n v="638"/>
  </r>
  <r>
    <d v="2025-01-19T00:00:00"/>
    <s v="SKU_1806"/>
    <x v="238"/>
    <s v="Notebook"/>
    <n v="49"/>
    <n v="26.86"/>
    <x v="5"/>
    <n v="0.27"/>
    <s v="Bank Transfer"/>
    <n v="29.35"/>
    <x v="2"/>
    <x v="1"/>
    <s v="Not Returned"/>
    <s v="UPS"/>
    <x v="1"/>
    <s v="Low"/>
    <n v="1316"/>
    <n v="355"/>
    <n v="961"/>
  </r>
  <r>
    <d v="2025-01-19T00:00:00"/>
    <s v="SKU_1712"/>
    <x v="239"/>
    <s v="White Mug"/>
    <n v="2"/>
    <n v="82.39"/>
    <x v="8"/>
    <n v="0.42"/>
    <s v="Bank Transfer"/>
    <n v="29.14"/>
    <x v="0"/>
    <x v="0"/>
    <s v="Not Returned"/>
    <s v="FedEx"/>
    <x v="0"/>
    <s v="Low"/>
    <n v="165"/>
    <n v="69"/>
    <n v="96"/>
  </r>
  <r>
    <d v="2025-01-19T00:00:00"/>
    <s v="SKU_1491"/>
    <x v="240"/>
    <s v="Headphones"/>
    <n v="8"/>
    <m/>
    <x v="10"/>
    <n v="0.43"/>
    <s v="Credit Card"/>
    <n v="23.02"/>
    <x v="1"/>
    <x v="0"/>
    <s v="Returned"/>
    <s v="Royal Mail"/>
    <x v="2"/>
    <s v="Low"/>
    <n v="424"/>
    <n v="182"/>
    <n v="242"/>
  </r>
  <r>
    <d v="2025-01-19T00:00:00"/>
    <s v="SKU_1050"/>
    <x v="241"/>
    <s v="USB Cable"/>
    <n v="20"/>
    <n v="90.13"/>
    <x v="4"/>
    <n v="0.12"/>
    <s v="Paypal"/>
    <n v="9.8699999999999992"/>
    <x v="4"/>
    <x v="1"/>
    <s v="Unknown"/>
    <s v="UPS"/>
    <x v="2"/>
    <s v="Low"/>
    <n v="1803"/>
    <n v="216"/>
    <n v="1587"/>
  </r>
  <r>
    <d v="2025-01-19T00:00:00"/>
    <s v="SKU_1638"/>
    <x v="242"/>
    <s v="T-shirt"/>
    <n v="19"/>
    <n v="66.959999999999994"/>
    <x v="0"/>
    <n v="0.18"/>
    <s v="Paypal"/>
    <n v="13.48"/>
    <x v="1"/>
    <x v="0"/>
    <s v="Returned"/>
    <s v="FedEx"/>
    <x v="0"/>
    <s v="Low"/>
    <n v="1272"/>
    <n v="229"/>
    <n v="1043"/>
  </r>
  <r>
    <d v="2025-01-19T00:00:00"/>
    <s v="SKU_1150"/>
    <x v="243"/>
    <s v="Desk Lamp"/>
    <n v="25"/>
    <n v="83.53"/>
    <x v="9"/>
    <n v="0.18"/>
    <s v="Credit Card"/>
    <n v="27.26"/>
    <x v="3"/>
    <x v="0"/>
    <s v="Returned"/>
    <s v="UPS"/>
    <x v="1"/>
    <s v="Medium"/>
    <n v="2088"/>
    <n v="376"/>
    <n v="1712"/>
  </r>
  <r>
    <d v="2025-01-19T00:00:00"/>
    <s v="SKU_1160"/>
    <x v="244"/>
    <s v="Blue Pen"/>
    <n v="49"/>
    <n v="51.85"/>
    <x v="1"/>
    <n v="0.39"/>
    <s v="Bank Transfer"/>
    <n v="29.14"/>
    <x v="2"/>
    <x v="0"/>
    <s v="Not Returned"/>
    <s v="Royal Mail"/>
    <x v="3"/>
    <s v="Low"/>
    <n v="2541"/>
    <n v="991"/>
    <n v="1550"/>
  </r>
  <r>
    <d v="2025-01-19T00:00:00"/>
    <s v="SKU_1187"/>
    <x v="245"/>
    <s v="Notebook"/>
    <m/>
    <n v="96.93"/>
    <x v="2"/>
    <n v="0.13"/>
    <s v="Bank Transfer"/>
    <n v="15.32"/>
    <x v="0"/>
    <x v="0"/>
    <s v="Not Returned"/>
    <s v="FedEx"/>
    <x v="3"/>
    <s v="Low"/>
    <n v="2520"/>
    <n v="328"/>
    <n v="2192"/>
  </r>
  <r>
    <d v="2025-01-19T00:00:00"/>
    <s v="SKU_1229"/>
    <x v="246"/>
    <s v="White Mug"/>
    <n v="20"/>
    <n v="76.11"/>
    <x v="3"/>
    <n v="0.33"/>
    <s v="Bank Transfer"/>
    <n v="5.38"/>
    <x v="4"/>
    <x v="0"/>
    <s v="Not Returned"/>
    <s v="Royal Mail"/>
    <x v="4"/>
    <s v="Low"/>
    <n v="1522"/>
    <n v="502"/>
    <n v="1020"/>
  </r>
  <r>
    <d v="2025-01-19T00:00:00"/>
    <s v="SKU_1954"/>
    <x v="247"/>
    <s v="T-shirt"/>
    <n v="31"/>
    <n v="24.02"/>
    <x v="2"/>
    <n v="0.26"/>
    <s v="Credit Card"/>
    <n v="18.12"/>
    <x v="0"/>
    <x v="0"/>
    <s v="Not Returned"/>
    <s v="UPS"/>
    <x v="3"/>
    <s v="High"/>
    <n v="745"/>
    <n v="194"/>
    <n v="551"/>
  </r>
  <r>
    <d v="2025-01-19T00:00:00"/>
    <s v="SKU_1609"/>
    <x v="248"/>
    <s v="USB Cable"/>
    <n v="17"/>
    <n v="94.43"/>
    <x v="8"/>
    <n v="0.24"/>
    <s v="Bank Transfer"/>
    <n v="20.91"/>
    <x v="0"/>
    <x v="1"/>
    <s v="Not Returned"/>
    <s v="FedEx"/>
    <x v="0"/>
    <s v="Low"/>
    <n v="1605"/>
    <n v="385"/>
    <n v="1220"/>
  </r>
  <r>
    <d v="2025-01-19T00:00:00"/>
    <s v="SKU_1921"/>
    <x v="249"/>
    <s v="Backpack"/>
    <n v="23"/>
    <n v="62.26"/>
    <x v="7"/>
    <n v="0.16"/>
    <s v="Credit Card"/>
    <n v="12.51"/>
    <x v="1"/>
    <x v="0"/>
    <s v="Not Returned"/>
    <s v="UPS"/>
    <x v="0"/>
    <s v="Low"/>
    <n v="1432"/>
    <n v="229"/>
    <n v="1203"/>
  </r>
  <r>
    <d v="2025-01-19T00:00:00"/>
    <s v="SKU_1912"/>
    <x v="250"/>
    <s v="USB Cable"/>
    <n v="49"/>
    <n v="46.58"/>
    <x v="5"/>
    <n v="0.08"/>
    <s v="Bank Transfer"/>
    <n v="13.72"/>
    <x v="4"/>
    <x v="1"/>
    <s v="Not Returned"/>
    <s v="Royal Mail"/>
    <x v="3"/>
    <s v="High"/>
    <n v="2282"/>
    <n v="183"/>
    <n v="2099"/>
  </r>
  <r>
    <d v="2025-01-19T00:00:00"/>
    <s v="SKU_1180"/>
    <x v="251"/>
    <s v="USB Cable"/>
    <n v="37"/>
    <n v="53.13"/>
    <x v="1"/>
    <n v="0.2"/>
    <s v="Bank Transfer"/>
    <n v="17.87"/>
    <x v="3"/>
    <x v="0"/>
    <s v="Not Returned"/>
    <s v="FedEx"/>
    <x v="0"/>
    <s v="High"/>
    <n v="1966"/>
    <n v="393"/>
    <n v="1573"/>
  </r>
  <r>
    <d v="2025-01-19T00:00:00"/>
    <s v="SKU_1845"/>
    <x v="252"/>
    <s v="Notebook"/>
    <n v="3"/>
    <n v="14.21"/>
    <x v="7"/>
    <n v="0.14000000000000001"/>
    <s v="Paypal"/>
    <n v="12.73"/>
    <x v="3"/>
    <x v="1"/>
    <s v="Not Returned"/>
    <s v="UPS"/>
    <x v="3"/>
    <s v="High"/>
    <n v="43"/>
    <n v="6"/>
    <n v="37"/>
  </r>
  <r>
    <d v="2025-01-19T00:00:00"/>
    <s v="SKU_1716"/>
    <x v="253"/>
    <s v="White Mug"/>
    <n v="22"/>
    <n v="87"/>
    <x v="6"/>
    <n v="0.37"/>
    <s v="Bank Transfer"/>
    <n v="26.58"/>
    <x v="3"/>
    <x v="0"/>
    <s v="Not Returned"/>
    <s v="UPS"/>
    <x v="2"/>
    <s v="Medium"/>
    <n v="1914"/>
    <n v="708"/>
    <n v="1206"/>
  </r>
  <r>
    <d v="2025-01-20T00:00:00"/>
    <s v="SKU_1469"/>
    <x v="254"/>
    <s v="T-shirt"/>
    <n v="11"/>
    <n v="23.17"/>
    <x v="3"/>
    <n v="0.11"/>
    <s v="Bank Transfer"/>
    <n v="21.33"/>
    <x v="0"/>
    <x v="0"/>
    <s v="Unknown"/>
    <s v="FedEx"/>
    <x v="0"/>
    <s v="Low"/>
    <n v="255"/>
    <n v="28"/>
    <n v="227"/>
  </r>
  <r>
    <d v="2025-01-20T00:00:00"/>
    <s v="SKU_1426"/>
    <x v="255"/>
    <s v="Office Chair"/>
    <n v="3"/>
    <n v="76.599999999999994"/>
    <x v="2"/>
    <n v="0.13"/>
    <s v="Credit Card"/>
    <n v="13.67"/>
    <x v="3"/>
    <x v="0"/>
    <s v="Not Returned"/>
    <s v="DHL"/>
    <x v="0"/>
    <s v="Medium"/>
    <n v="230"/>
    <n v="30"/>
    <n v="200"/>
  </r>
  <r>
    <d v="2025-01-20T00:00:00"/>
    <s v="SKU_1815"/>
    <x v="256"/>
    <s v="Wall Clock"/>
    <n v="45"/>
    <n v="76.03"/>
    <x v="3"/>
    <n v="0.33"/>
    <s v="Bank Transfer"/>
    <n v="13.75"/>
    <x v="4"/>
    <x v="0"/>
    <s v="Not Returned"/>
    <s v="Royal Mail"/>
    <x v="0"/>
    <s v="Medium"/>
    <n v="3421"/>
    <n v="1129"/>
    <n v="2292"/>
  </r>
  <r>
    <d v="2025-01-20T00:00:00"/>
    <s v="SKU_1081"/>
    <x v="257"/>
    <s v="Backpack"/>
    <n v="49"/>
    <n v="90.06"/>
    <x v="7"/>
    <n v="0.24"/>
    <s v="Paypal"/>
    <n v="23.18"/>
    <x v="0"/>
    <x v="0"/>
    <s v="Not Returned"/>
    <s v="Royal Mail"/>
    <x v="4"/>
    <s v="Medium"/>
    <n v="4413"/>
    <n v="1059"/>
    <n v="3354"/>
  </r>
  <r>
    <d v="2025-01-20T00:00:00"/>
    <s v="SKU_1403"/>
    <x v="258"/>
    <s v="Wall Clock"/>
    <n v="40"/>
    <n v="77.95"/>
    <x v="4"/>
    <n v="0.06"/>
    <s v="Paypal"/>
    <n v="17.7"/>
    <x v="3"/>
    <x v="0"/>
    <s v="Not Returned"/>
    <s v="DHL"/>
    <x v="2"/>
    <s v="Low"/>
    <n v="3118"/>
    <n v="187"/>
    <n v="2931"/>
  </r>
  <r>
    <d v="2025-01-20T00:00:00"/>
    <s v="SKU_1477"/>
    <x v="259"/>
    <s v="Notebook"/>
    <n v="27"/>
    <n v="46.25"/>
    <x v="7"/>
    <n v="0.38"/>
    <s v="Bank Transfer"/>
    <n v="20.239999999999998"/>
    <x v="0"/>
    <x v="0"/>
    <s v="Returned"/>
    <s v="UPS"/>
    <x v="2"/>
    <s v="Medium"/>
    <n v="1249"/>
    <n v="475"/>
    <n v="774"/>
  </r>
  <r>
    <d v="2025-01-20T00:00:00"/>
    <s v="SKU_1930"/>
    <x v="260"/>
    <s v="T-shirt"/>
    <n v="1"/>
    <m/>
    <x v="11"/>
    <n v="0.2"/>
    <s v="Credit Card"/>
    <n v="15.85"/>
    <x v="1"/>
    <x v="1"/>
    <s v="Not Returned"/>
    <s v="Royal Mail"/>
    <x v="4"/>
    <s v="Medium"/>
    <n v="53"/>
    <n v="11"/>
    <n v="42"/>
  </r>
  <r>
    <d v="2025-01-20T00:00:00"/>
    <s v="SKU_1032"/>
    <x v="261"/>
    <s v="USB Cable"/>
    <n v="7"/>
    <n v="73.52"/>
    <x v="10"/>
    <n v="0.15"/>
    <s v="Bank Transfer"/>
    <n v="13.68"/>
    <x v="2"/>
    <x v="1"/>
    <s v="Not Returned"/>
    <s v="Royal Mail"/>
    <x v="2"/>
    <s v="High"/>
    <n v="515"/>
    <n v="77"/>
    <n v="438"/>
  </r>
  <r>
    <d v="2025-01-20T00:00:00"/>
    <s v="SKU_1749"/>
    <x v="262"/>
    <s v="Desk Lamp"/>
    <n v="5"/>
    <n v="46.35"/>
    <x v="2"/>
    <n v="0.19"/>
    <s v="Paypal"/>
    <n v="9.24"/>
    <x v="3"/>
    <x v="1"/>
    <s v="Not Returned"/>
    <s v="FedEx"/>
    <x v="2"/>
    <s v="Medium"/>
    <n v="232"/>
    <n v="44"/>
    <n v="188"/>
  </r>
  <r>
    <d v="2025-01-20T00:00:00"/>
    <s v="SKU_1592"/>
    <x v="263"/>
    <s v="Headphones"/>
    <m/>
    <n v="53.04"/>
    <x v="11"/>
    <n v="0.09"/>
    <s v="Credit Card"/>
    <n v="6.2"/>
    <x v="3"/>
    <x v="1"/>
    <s v="Not Returned"/>
    <s v="Royal Mail"/>
    <x v="0"/>
    <s v="Medium"/>
    <n v="1379"/>
    <n v="124"/>
    <n v="1255"/>
  </r>
  <r>
    <d v="2025-01-20T00:00:00"/>
    <s v="SKU_1866"/>
    <x v="264"/>
    <s v="White Mug"/>
    <n v="20"/>
    <n v="13.83"/>
    <x v="10"/>
    <n v="0.06"/>
    <s v="Paypal"/>
    <n v="14.99"/>
    <x v="2"/>
    <x v="1"/>
    <s v="Not Returned"/>
    <s v="DHL"/>
    <x v="4"/>
    <s v="Medium"/>
    <n v="277"/>
    <n v="17"/>
    <n v="260"/>
  </r>
  <r>
    <d v="2025-01-20T00:00:00"/>
    <s v="SKU_1459"/>
    <x v="265"/>
    <s v="Notebook"/>
    <n v="4"/>
    <n v="93.61"/>
    <x v="7"/>
    <n v="0.32"/>
    <s v="Bank Transfer"/>
    <n v="11.36"/>
    <x v="1"/>
    <x v="0"/>
    <s v="Not Returned"/>
    <s v="UPS"/>
    <x v="3"/>
    <s v="High"/>
    <n v="374"/>
    <n v="120"/>
    <n v="254"/>
  </r>
  <r>
    <d v="2025-01-20T00:00:00"/>
    <s v="SKU_1417"/>
    <x v="266"/>
    <s v="Notebook"/>
    <n v="42"/>
    <n v="61.64"/>
    <x v="1"/>
    <n v="0.24"/>
    <s v="Paypal"/>
    <n v="14.45"/>
    <x v="2"/>
    <x v="0"/>
    <s v="Not Returned"/>
    <s v="DHL"/>
    <x v="1"/>
    <s v="Low"/>
    <n v="2589"/>
    <n v="621"/>
    <n v="1968"/>
  </r>
  <r>
    <d v="2025-01-20T00:00:00"/>
    <s v="SKU_1331"/>
    <x v="267"/>
    <s v="USB Cable"/>
    <n v="41"/>
    <n v="1.4"/>
    <x v="9"/>
    <n v="0.22"/>
    <s v="Bank Transfer"/>
    <n v="25.7"/>
    <x v="2"/>
    <x v="1"/>
    <s v="Not Returned"/>
    <s v="DHL"/>
    <x v="2"/>
    <s v="High"/>
    <n v="57"/>
    <n v="13"/>
    <n v="44"/>
  </r>
  <r>
    <d v="2025-01-20T00:00:00"/>
    <s v="SKU_1601"/>
    <x v="268"/>
    <s v="USB Cable"/>
    <n v="19"/>
    <n v="6.91"/>
    <x v="10"/>
    <n v="0.37"/>
    <s v="Bank Transfer"/>
    <n v="22.13"/>
    <x v="2"/>
    <x v="1"/>
    <s v="Not Returned"/>
    <s v="UPS"/>
    <x v="2"/>
    <s v="High"/>
    <n v="131"/>
    <n v="49"/>
    <n v="82"/>
  </r>
  <r>
    <d v="2025-01-20T00:00:00"/>
    <s v="SKU_1637"/>
    <x v="269"/>
    <s v="Wireless Mouse"/>
    <n v="25"/>
    <n v="12.29"/>
    <x v="9"/>
    <n v="0.06"/>
    <s v="Paypal"/>
    <n v="28.07"/>
    <x v="4"/>
    <x v="0"/>
    <s v="Returned"/>
    <s v="FedEx"/>
    <x v="4"/>
    <s v="Low"/>
    <n v="307"/>
    <n v="18"/>
    <n v="289"/>
  </r>
  <r>
    <d v="2025-01-20T00:00:00"/>
    <s v="SKU_1532"/>
    <x v="270"/>
    <s v="Wireless Mouse"/>
    <n v="17"/>
    <n v="5.9"/>
    <x v="6"/>
    <n v="0.01"/>
    <s v="Bank Transfer"/>
    <n v="17.329999999999998"/>
    <x v="0"/>
    <x v="1"/>
    <s v="Unknown"/>
    <s v="Royal Mail"/>
    <x v="2"/>
    <s v="Medium"/>
    <n v="100"/>
    <n v="1"/>
    <n v="99"/>
  </r>
  <r>
    <d v="2025-01-20T00:00:00"/>
    <s v="SKU_1004"/>
    <x v="271"/>
    <s v="Backpack"/>
    <n v="40"/>
    <n v="18.100000000000001"/>
    <x v="5"/>
    <n v="0.38"/>
    <s v="Paypal"/>
    <n v="10.82"/>
    <x v="4"/>
    <x v="1"/>
    <s v="Not Returned"/>
    <s v="FedEx"/>
    <x v="1"/>
    <s v="Medium"/>
    <n v="724"/>
    <n v="275"/>
    <n v="449"/>
  </r>
  <r>
    <d v="2025-01-20T00:00:00"/>
    <s v="SKU_1283"/>
    <x v="272"/>
    <s v="T-shirt"/>
    <n v="33"/>
    <n v="40.43"/>
    <x v="9"/>
    <n v="0.46"/>
    <s v="Bank Transfer"/>
    <n v="25.74"/>
    <x v="4"/>
    <x v="0"/>
    <s v="Not Returned"/>
    <s v="UPS"/>
    <x v="1"/>
    <s v="Low"/>
    <n v="1334"/>
    <n v="614"/>
    <n v="720"/>
  </r>
  <r>
    <d v="2025-01-20T00:00:00"/>
    <s v="SKU_1854"/>
    <x v="273"/>
    <s v="Desk Lamp"/>
    <n v="33"/>
    <n v="45.47"/>
    <x v="4"/>
    <n v="0.25"/>
    <s v="Bank Transfer"/>
    <n v="6.36"/>
    <x v="1"/>
    <x v="0"/>
    <s v="Unknown"/>
    <s v="Royal Mail"/>
    <x v="2"/>
    <s v="Medium"/>
    <n v="1501"/>
    <n v="375"/>
    <n v="1126"/>
  </r>
  <r>
    <d v="2025-01-20T00:00:00"/>
    <s v="SKU_1303"/>
    <x v="274"/>
    <s v="Backpack"/>
    <n v="46"/>
    <n v="33.26"/>
    <x v="9"/>
    <n v="0.28000000000000003"/>
    <s v="Bank Transfer"/>
    <n v="16.920000000000002"/>
    <x v="3"/>
    <x v="1"/>
    <s v="Not Returned"/>
    <s v="FedEx"/>
    <x v="1"/>
    <s v="Low"/>
    <n v="1530"/>
    <n v="428"/>
    <n v="1102"/>
  </r>
  <r>
    <d v="2025-01-20T00:00:00"/>
    <s v="SKU_1863"/>
    <x v="275"/>
    <s v="White Mug"/>
    <n v="28"/>
    <n v="63.37"/>
    <x v="2"/>
    <n v="0.35"/>
    <s v="Paypal"/>
    <n v="25.09"/>
    <x v="0"/>
    <x v="1"/>
    <s v="Not Returned"/>
    <s v="Royal Mail"/>
    <x v="2"/>
    <s v="High"/>
    <n v="1774"/>
    <n v="621"/>
    <n v="1153"/>
  </r>
  <r>
    <d v="2025-01-21T00:00:00"/>
    <s v="SKU_1196"/>
    <x v="276"/>
    <s v="Backpack"/>
    <n v="17"/>
    <n v="68.94"/>
    <x v="4"/>
    <n v="0.16"/>
    <s v="Credit Card"/>
    <n v="26.76"/>
    <x v="0"/>
    <x v="0"/>
    <s v="Not Returned"/>
    <s v="DHL"/>
    <x v="2"/>
    <s v="High"/>
    <n v="1172"/>
    <n v="188"/>
    <n v="984"/>
  </r>
  <r>
    <d v="2025-01-21T00:00:00"/>
    <s v="SKU_1253"/>
    <x v="135"/>
    <s v="Blue Pen"/>
    <n v="48"/>
    <n v="5.04"/>
    <x v="8"/>
    <n v="0.23"/>
    <s v="Bank Transfer"/>
    <n v="22.43"/>
    <x v="2"/>
    <x v="1"/>
    <s v="Not Returned"/>
    <s v="FedEx"/>
    <x v="4"/>
    <s v="High"/>
    <n v="242"/>
    <n v="56"/>
    <n v="186"/>
  </r>
  <r>
    <d v="2025-01-21T00:00:00"/>
    <s v="SKU_1866"/>
    <x v="277"/>
    <s v="Wireless Mouse"/>
    <n v="31"/>
    <n v="49.19"/>
    <x v="2"/>
    <n v="0.27"/>
    <s v="Paypal"/>
    <n v="16.63"/>
    <x v="1"/>
    <x v="0"/>
    <s v="Not Returned"/>
    <s v="UPS"/>
    <x v="0"/>
    <s v="Medium"/>
    <n v="1525"/>
    <n v="412"/>
    <n v="1113"/>
  </r>
  <r>
    <d v="2025-01-21T00:00:00"/>
    <s v="SKU_1761"/>
    <x v="278"/>
    <s v="T-shirt"/>
    <n v="12"/>
    <n v="81.52"/>
    <x v="1"/>
    <n v="0.24"/>
    <s v="Bank Transfer"/>
    <n v="18.12"/>
    <x v="3"/>
    <x v="0"/>
    <s v="Not Returned"/>
    <s v="DHL"/>
    <x v="1"/>
    <s v="Medium"/>
    <n v="978"/>
    <n v="235"/>
    <n v="743"/>
  </r>
  <r>
    <d v="2025-01-21T00:00:00"/>
    <s v="SKU_1837"/>
    <x v="279"/>
    <s v="Wall Clock"/>
    <m/>
    <m/>
    <x v="2"/>
    <n v="0.15"/>
    <s v="Bank Transfer"/>
    <n v="11.34"/>
    <x v="4"/>
    <x v="0"/>
    <s v="Not Returned"/>
    <s v="UPS"/>
    <x v="4"/>
    <s v="High"/>
    <n v="1378"/>
    <n v="207"/>
    <n v="1171"/>
  </r>
  <r>
    <d v="2025-01-21T00:00:00"/>
    <s v="SKU_1594"/>
    <x v="280"/>
    <s v="Wall Clock"/>
    <n v="3"/>
    <n v="4.26"/>
    <x v="9"/>
    <n v="0.21"/>
    <s v="Credit Card"/>
    <n v="16.43"/>
    <x v="4"/>
    <x v="0"/>
    <s v="Returned"/>
    <s v="Royal Mail"/>
    <x v="0"/>
    <s v="Low"/>
    <n v="13"/>
    <n v="3"/>
    <n v="10"/>
  </r>
  <r>
    <d v="2025-01-21T00:00:00"/>
    <s v="SKU_1747"/>
    <x v="281"/>
    <s v="T-shirt"/>
    <n v="2"/>
    <n v="72.489999999999995"/>
    <x v="7"/>
    <n v="0.31"/>
    <s v="Paypal"/>
    <n v="23.26"/>
    <x v="2"/>
    <x v="1"/>
    <s v="Not Returned"/>
    <s v="Royal Mail"/>
    <x v="1"/>
    <s v="Low"/>
    <n v="145"/>
    <n v="45"/>
    <n v="100"/>
  </r>
  <r>
    <d v="2025-01-21T00:00:00"/>
    <s v="SKU_1167"/>
    <x v="282"/>
    <s v="Desk Lamp"/>
    <n v="16"/>
    <n v="51.29"/>
    <x v="7"/>
    <n v="0.1"/>
    <s v="Credit Card"/>
    <n v="26.79"/>
    <x v="0"/>
    <x v="1"/>
    <s v="Not Returned"/>
    <s v="DHL"/>
    <x v="4"/>
    <s v="Medium"/>
    <n v="821"/>
    <n v="82"/>
    <n v="739"/>
  </r>
  <r>
    <d v="2025-01-21T00:00:00"/>
    <s v="SKU_1005"/>
    <x v="283"/>
    <s v="White Mug"/>
    <n v="12"/>
    <n v="54.63"/>
    <x v="4"/>
    <n v="0.17"/>
    <s v="Credit Card"/>
    <n v="28.15"/>
    <x v="1"/>
    <x v="1"/>
    <s v="Not Returned"/>
    <s v="DHL"/>
    <x v="4"/>
    <s v="Low"/>
    <n v="656"/>
    <n v="111"/>
    <n v="545"/>
  </r>
  <r>
    <d v="2025-01-21T00:00:00"/>
    <s v="SKU_1141"/>
    <x v="284"/>
    <s v="T-shirt"/>
    <n v="14"/>
    <n v="39.64"/>
    <x v="4"/>
    <n v="0.1"/>
    <s v="Bank Transfer"/>
    <n v="22.06"/>
    <x v="1"/>
    <x v="0"/>
    <s v="Returned"/>
    <s v="UPS"/>
    <x v="0"/>
    <s v="Medium"/>
    <n v="555"/>
    <n v="55"/>
    <n v="500"/>
  </r>
  <r>
    <d v="2025-01-21T00:00:00"/>
    <s v="SKU_1124"/>
    <x v="285"/>
    <s v="Office Chair"/>
    <n v="14"/>
    <n v="80.05"/>
    <x v="11"/>
    <n v="0.06"/>
    <s v="Paypal"/>
    <n v="7.42"/>
    <x v="2"/>
    <x v="0"/>
    <s v="Not Returned"/>
    <s v="FedEx"/>
    <x v="4"/>
    <s v="Medium"/>
    <n v="1121"/>
    <n v="67"/>
    <n v="1054"/>
  </r>
  <r>
    <d v="2025-01-21T00:00:00"/>
    <s v="SKU_1322"/>
    <x v="286"/>
    <s v="Blue Pen"/>
    <n v="3"/>
    <n v="31.9"/>
    <x v="7"/>
    <n v="0.06"/>
    <s v="Credit Card"/>
    <n v="7.18"/>
    <x v="3"/>
    <x v="0"/>
    <s v="Not Returned"/>
    <s v="UPS"/>
    <x v="2"/>
    <s v="Medium"/>
    <n v="96"/>
    <n v="6"/>
    <n v="90"/>
  </r>
  <r>
    <d v="2025-01-21T00:00:00"/>
    <s v="SKU_1394"/>
    <x v="287"/>
    <s v="Wireless Mouse"/>
    <n v="5"/>
    <n v="45.88"/>
    <x v="6"/>
    <n v="0.01"/>
    <s v="Bank Transfer"/>
    <n v="25.39"/>
    <x v="2"/>
    <x v="0"/>
    <s v="Not Returned"/>
    <s v="UPS"/>
    <x v="2"/>
    <s v="Medium"/>
    <n v="229"/>
    <n v="2"/>
    <n v="227"/>
  </r>
  <r>
    <d v="2025-01-21T00:00:00"/>
    <s v="SKU_1166"/>
    <x v="288"/>
    <s v="Desk Lamp"/>
    <n v="9"/>
    <n v="88.95"/>
    <x v="1"/>
    <n v="0.37"/>
    <s v="Paypal"/>
    <n v="8.65"/>
    <x v="4"/>
    <x v="1"/>
    <s v="Not Returned"/>
    <s v="FedEx"/>
    <x v="2"/>
    <s v="Low"/>
    <n v="801"/>
    <n v="296"/>
    <n v="505"/>
  </r>
  <r>
    <d v="2025-01-21T00:00:00"/>
    <s v="SKU_1680"/>
    <x v="289"/>
    <s v="Backpack"/>
    <n v="14"/>
    <n v="73.95"/>
    <x v="8"/>
    <n v="0.28000000000000003"/>
    <s v="Paypal"/>
    <n v="18.79"/>
    <x v="4"/>
    <x v="0"/>
    <s v="Not Returned"/>
    <s v="Royal Mail"/>
    <x v="3"/>
    <s v="Low"/>
    <n v="1035"/>
    <n v="290"/>
    <n v="745"/>
  </r>
  <r>
    <d v="2025-01-21T00:00:00"/>
    <s v="SKU_1023"/>
    <x v="290"/>
    <s v="Backpack"/>
    <n v="44"/>
    <n v="78.5"/>
    <x v="11"/>
    <n v="0.13"/>
    <s v="Bank Transfer"/>
    <n v="21.81"/>
    <x v="4"/>
    <x v="0"/>
    <s v="Not Returned"/>
    <s v="Royal Mail"/>
    <x v="2"/>
    <s v="Low"/>
    <n v="3454"/>
    <n v="449"/>
    <n v="3005"/>
  </r>
  <r>
    <d v="2025-01-21T00:00:00"/>
    <s v="SKU_1682"/>
    <x v="291"/>
    <s v="Backpack"/>
    <n v="39"/>
    <n v="77.400000000000006"/>
    <x v="9"/>
    <n v="0.22"/>
    <s v="Bank Transfer"/>
    <n v="25.08"/>
    <x v="3"/>
    <x v="1"/>
    <s v="Not Returned"/>
    <s v="UPS"/>
    <x v="3"/>
    <s v="High"/>
    <n v="3019"/>
    <n v="664"/>
    <n v="2355"/>
  </r>
  <r>
    <d v="2025-01-21T00:00:00"/>
    <s v="SKU_1108"/>
    <x v="292"/>
    <s v="Wall Clock"/>
    <n v="48"/>
    <n v="69.64"/>
    <x v="0"/>
    <n v="0.41"/>
    <s v="Paypal"/>
    <n v="19.13"/>
    <x v="0"/>
    <x v="0"/>
    <s v="Not Returned"/>
    <s v="UPS"/>
    <x v="3"/>
    <s v="High"/>
    <n v="3343"/>
    <n v="1371"/>
    <n v="1972"/>
  </r>
  <r>
    <d v="2025-01-21T00:00:00"/>
    <s v="SKU_1209"/>
    <x v="293"/>
    <s v="White Mug"/>
    <n v="49"/>
    <n v="66.69"/>
    <x v="8"/>
    <n v="0.16"/>
    <s v="Paypal"/>
    <n v="14.83"/>
    <x v="0"/>
    <x v="0"/>
    <s v="Unknown"/>
    <s v="DHL"/>
    <x v="1"/>
    <s v="High"/>
    <n v="3268"/>
    <n v="523"/>
    <n v="2745"/>
  </r>
  <r>
    <d v="2025-01-21T00:00:00"/>
    <s v="SKU_1606"/>
    <x v="294"/>
    <s v="Wall Clock"/>
    <n v="8"/>
    <n v="33.61"/>
    <x v="10"/>
    <n v="0.5"/>
    <s v="Paypal"/>
    <n v="25.44"/>
    <x v="2"/>
    <x v="1"/>
    <s v="Not Returned"/>
    <s v="Royal Mail"/>
    <x v="4"/>
    <s v="High"/>
    <n v="269"/>
    <n v="134"/>
    <n v="135"/>
  </r>
  <r>
    <d v="2025-01-21T00:00:00"/>
    <s v="SKU_1201"/>
    <x v="295"/>
    <s v="T-shirt"/>
    <n v="10"/>
    <n v="21.96"/>
    <x v="5"/>
    <n v="0.2"/>
    <s v="Paypal"/>
    <n v="8.9600000000000009"/>
    <x v="3"/>
    <x v="0"/>
    <s v="Not Returned"/>
    <s v="DHL"/>
    <x v="0"/>
    <s v="Medium"/>
    <n v="220"/>
    <n v="44"/>
    <n v="176"/>
  </r>
  <r>
    <d v="2025-01-21T00:00:00"/>
    <s v="SKU_1409"/>
    <x v="296"/>
    <s v="USB Cable"/>
    <n v="27"/>
    <n v="46.31"/>
    <x v="7"/>
    <n v="0.17"/>
    <s v="Credit Card"/>
    <n v="21.67"/>
    <x v="0"/>
    <x v="1"/>
    <s v="Not Returned"/>
    <s v="FedEx"/>
    <x v="4"/>
    <s v="Medium"/>
    <n v="1250"/>
    <n v="213"/>
    <n v="1037"/>
  </r>
  <r>
    <d v="2025-01-21T00:00:00"/>
    <s v="SKU_1796"/>
    <x v="297"/>
    <s v="Blue Pen"/>
    <n v="14"/>
    <n v="93.01"/>
    <x v="8"/>
    <n v="0.41"/>
    <s v="Paypal"/>
    <n v="19.46"/>
    <x v="3"/>
    <x v="1"/>
    <s v="Not Returned"/>
    <s v="Royal Mail"/>
    <x v="2"/>
    <s v="Medium"/>
    <n v="1302"/>
    <n v="534"/>
    <n v="768"/>
  </r>
  <r>
    <d v="2025-01-22T00:00:00"/>
    <s v="SKU_1797"/>
    <x v="298"/>
    <s v="Wireless Mouse"/>
    <n v="7"/>
    <n v="81.41"/>
    <x v="6"/>
    <n v="0.03"/>
    <s v="Credit Card"/>
    <n v="9.17"/>
    <x v="2"/>
    <x v="1"/>
    <s v="Not Returned"/>
    <s v="DHL"/>
    <x v="1"/>
    <s v="Medium"/>
    <n v="570"/>
    <n v="17"/>
    <n v="553"/>
  </r>
  <r>
    <d v="2025-01-22T00:00:00"/>
    <s v="SKU_1742"/>
    <x v="299"/>
    <s v="T-shirt"/>
    <n v="5"/>
    <n v="57.61"/>
    <x v="10"/>
    <n v="0.44"/>
    <s v="Bank Transfer"/>
    <n v="20.91"/>
    <x v="0"/>
    <x v="0"/>
    <s v="Not Returned"/>
    <s v="DHL"/>
    <x v="0"/>
    <s v="Low"/>
    <n v="288"/>
    <n v="127"/>
    <n v="161"/>
  </r>
  <r>
    <d v="2025-01-22T00:00:00"/>
    <s v="SKU_1765"/>
    <x v="300"/>
    <s v="Desk Lamp"/>
    <n v="34"/>
    <m/>
    <x v="9"/>
    <n v="0.15"/>
    <s v="Paypal"/>
    <n v="16.87"/>
    <x v="3"/>
    <x v="0"/>
    <s v="Not Returned"/>
    <s v="DHL"/>
    <x v="0"/>
    <s v="High"/>
    <n v="1802"/>
    <n v="270"/>
    <n v="1532"/>
  </r>
  <r>
    <d v="2025-01-22T00:00:00"/>
    <s v="SKU_1110"/>
    <x v="301"/>
    <s v="Notebook"/>
    <n v="32"/>
    <n v="47.95"/>
    <x v="9"/>
    <n v="0.1"/>
    <s v="Paypal"/>
    <n v="6.49"/>
    <x v="4"/>
    <x v="1"/>
    <s v="Not Returned"/>
    <s v="FedEx"/>
    <x v="2"/>
    <s v="Medium"/>
    <n v="1534"/>
    <n v="153"/>
    <n v="1381"/>
  </r>
  <r>
    <d v="2025-01-22T00:00:00"/>
    <s v="SKU_1585"/>
    <x v="302"/>
    <s v="USB Cable"/>
    <m/>
    <n v="67.739999999999995"/>
    <x v="4"/>
    <n v="0.28000000000000003"/>
    <s v="Paypal"/>
    <n v="6.67"/>
    <x v="4"/>
    <x v="1"/>
    <s v="Not Returned"/>
    <s v="DHL"/>
    <x v="1"/>
    <s v="Low"/>
    <n v="1761"/>
    <n v="493"/>
    <n v="1268"/>
  </r>
  <r>
    <d v="2025-01-22T00:00:00"/>
    <s v="SKU_1075"/>
    <x v="303"/>
    <s v="Blue Pen"/>
    <n v="30"/>
    <n v="12.03"/>
    <x v="3"/>
    <n v="0.44"/>
    <s v="Credit Card"/>
    <n v="6.02"/>
    <x v="0"/>
    <x v="1"/>
    <s v="Not Returned"/>
    <s v="FedEx"/>
    <x v="3"/>
    <s v="Low"/>
    <n v="361"/>
    <n v="159"/>
    <n v="202"/>
  </r>
  <r>
    <d v="2025-01-22T00:00:00"/>
    <s v="SKU_1211"/>
    <x v="304"/>
    <s v="Headphones"/>
    <n v="19"/>
    <n v="36.200000000000003"/>
    <x v="2"/>
    <n v="0.01"/>
    <s v="Bank Transfer"/>
    <n v="29.36"/>
    <x v="4"/>
    <x v="1"/>
    <s v="Not Returned"/>
    <s v="UPS"/>
    <x v="4"/>
    <s v="Medium"/>
    <n v="688"/>
    <n v="7"/>
    <n v="681"/>
  </r>
  <r>
    <d v="2025-01-22T00:00:00"/>
    <s v="SKU_1952"/>
    <x v="305"/>
    <s v="Wireless Mouse"/>
    <n v="12"/>
    <n v="19.48"/>
    <x v="8"/>
    <n v="0.14000000000000001"/>
    <s v="Credit Card"/>
    <n v="8.83"/>
    <x v="1"/>
    <x v="1"/>
    <s v="Not Returned"/>
    <s v="FedEx"/>
    <x v="1"/>
    <s v="Low"/>
    <n v="234"/>
    <n v="33"/>
    <n v="201"/>
  </r>
  <r>
    <d v="2025-01-22T00:00:00"/>
    <s v="SKU_1629"/>
    <x v="306"/>
    <s v="Notebook"/>
    <n v="17"/>
    <n v="34.42"/>
    <x v="8"/>
    <n v="0.02"/>
    <s v="Credit Card"/>
    <n v="24.65"/>
    <x v="3"/>
    <x v="0"/>
    <s v="Not Returned"/>
    <s v="UPS"/>
    <x v="0"/>
    <s v="Low"/>
    <n v="585"/>
    <n v="12"/>
    <n v="573"/>
  </r>
  <r>
    <d v="2025-01-22T00:00:00"/>
    <s v="SKU_1186"/>
    <x v="307"/>
    <s v="Office Chair"/>
    <n v="11"/>
    <n v="15.52"/>
    <x v="6"/>
    <n v="0.14000000000000001"/>
    <s v="Paypal"/>
    <n v="21.57"/>
    <x v="1"/>
    <x v="0"/>
    <s v="Returned"/>
    <s v="DHL"/>
    <x v="0"/>
    <s v="Medium"/>
    <n v="171"/>
    <n v="24"/>
    <n v="147"/>
  </r>
  <r>
    <d v="2025-01-22T00:00:00"/>
    <s v="SKU_1274"/>
    <x v="308"/>
    <s v="Wireless Mouse"/>
    <n v="27"/>
    <n v="89.48"/>
    <x v="6"/>
    <n v="0.5"/>
    <s v="Credit Card"/>
    <n v="9.07"/>
    <x v="3"/>
    <x v="1"/>
    <s v="Not Returned"/>
    <s v="DHL"/>
    <x v="4"/>
    <s v="Low"/>
    <n v="2416"/>
    <n v="1208"/>
    <n v="1208"/>
  </r>
  <r>
    <d v="2025-01-22T00:00:00"/>
    <s v="SKU_1309"/>
    <x v="309"/>
    <s v="Desk Lamp"/>
    <n v="22"/>
    <n v="88.39"/>
    <x v="0"/>
    <n v="0.18"/>
    <s v="Paypal"/>
    <n v="21.02"/>
    <x v="4"/>
    <x v="0"/>
    <s v="Not Returned"/>
    <s v="UPS"/>
    <x v="2"/>
    <s v="Low"/>
    <n v="1945"/>
    <n v="350"/>
    <n v="1595"/>
  </r>
  <r>
    <d v="2025-01-22T00:00:00"/>
    <s v="SKU_1965"/>
    <x v="310"/>
    <s v="Backpack"/>
    <n v="25"/>
    <n v="19.27"/>
    <x v="1"/>
    <n v="0.28999999999999998"/>
    <s v="Paypal"/>
    <n v="7.24"/>
    <x v="0"/>
    <x v="1"/>
    <s v="Not Returned"/>
    <s v="FedEx"/>
    <x v="4"/>
    <s v="High"/>
    <n v="482"/>
    <n v="140"/>
    <n v="342"/>
  </r>
  <r>
    <d v="2025-01-22T00:00:00"/>
    <s v="SKU_1887"/>
    <x v="311"/>
    <s v="Blue Pen"/>
    <n v="45"/>
    <n v="20.91"/>
    <x v="9"/>
    <n v="0.41"/>
    <s v="Paypal"/>
    <n v="6.33"/>
    <x v="3"/>
    <x v="0"/>
    <s v="Not Returned"/>
    <s v="DHL"/>
    <x v="3"/>
    <s v="Low"/>
    <n v="941"/>
    <n v="386"/>
    <n v="555"/>
  </r>
  <r>
    <d v="2025-01-22T00:00:00"/>
    <s v="SKU_1210"/>
    <x v="312"/>
    <s v="Wireless Mouse"/>
    <n v="11"/>
    <m/>
    <x v="4"/>
    <n v="0.42"/>
    <s v="Bank Transfer"/>
    <n v="11.66"/>
    <x v="0"/>
    <x v="1"/>
    <s v="Not Returned"/>
    <s v="UPS"/>
    <x v="0"/>
    <s v="Low"/>
    <n v="583"/>
    <n v="245"/>
    <n v="338"/>
  </r>
  <r>
    <d v="2025-01-22T00:00:00"/>
    <s v="SKU_1350"/>
    <x v="313"/>
    <s v="Headphones"/>
    <n v="44"/>
    <n v="99.94"/>
    <x v="5"/>
    <n v="0.33"/>
    <s v="Bank Transfer"/>
    <n v="25.94"/>
    <x v="1"/>
    <x v="0"/>
    <s v="Not Returned"/>
    <s v="UPS"/>
    <x v="3"/>
    <s v="Low"/>
    <n v="4397"/>
    <n v="1451"/>
    <n v="2946"/>
  </r>
  <r>
    <d v="2025-01-22T00:00:00"/>
    <s v="SKU_1321"/>
    <x v="314"/>
    <s v="Wireless Mouse"/>
    <n v="24"/>
    <n v="14.89"/>
    <x v="8"/>
    <n v="0.19"/>
    <s v="Credit Card"/>
    <n v="7.84"/>
    <x v="0"/>
    <x v="0"/>
    <s v="Not Returned"/>
    <s v="Royal Mail"/>
    <x v="3"/>
    <s v="Medium"/>
    <n v="357"/>
    <n v="68"/>
    <n v="289"/>
  </r>
  <r>
    <d v="2025-01-22T00:00:00"/>
    <s v="SKU_1906"/>
    <x v="315"/>
    <s v="Backpack"/>
    <n v="37"/>
    <n v="8.94"/>
    <x v="5"/>
    <n v="0.49"/>
    <s v="Paypal"/>
    <n v="11.96"/>
    <x v="2"/>
    <x v="0"/>
    <s v="Unknown"/>
    <s v="Royal Mail"/>
    <x v="3"/>
    <s v="High"/>
    <n v="331"/>
    <n v="162"/>
    <n v="169"/>
  </r>
  <r>
    <d v="2025-01-22T00:00:00"/>
    <s v="SKU_1089"/>
    <x v="316"/>
    <s v="Desk Lamp"/>
    <n v="42"/>
    <n v="79.45"/>
    <x v="10"/>
    <n v="0.06"/>
    <s v="Bank Transfer"/>
    <n v="14.77"/>
    <x v="4"/>
    <x v="0"/>
    <s v="Not Returned"/>
    <s v="FedEx"/>
    <x v="3"/>
    <s v="High"/>
    <n v="3337"/>
    <n v="200"/>
    <n v="3137"/>
  </r>
  <r>
    <d v="2025-01-23T00:00:00"/>
    <s v="SKU_1657"/>
    <x v="317"/>
    <s v="Wireless Mouse"/>
    <n v="19"/>
    <n v="79.94"/>
    <x v="8"/>
    <n v="0.43"/>
    <s v="Paypal"/>
    <n v="12.89"/>
    <x v="4"/>
    <x v="0"/>
    <s v="Not Returned"/>
    <s v="Royal Mail"/>
    <x v="2"/>
    <s v="High"/>
    <n v="1519"/>
    <n v="653"/>
    <n v="866"/>
  </r>
  <r>
    <d v="2025-01-23T00:00:00"/>
    <s v="SKU_1064"/>
    <x v="318"/>
    <s v="Office Chair"/>
    <n v="27"/>
    <n v="9.49"/>
    <x v="2"/>
    <n v="0.05"/>
    <s v="Bank Transfer"/>
    <n v="21.83"/>
    <x v="2"/>
    <x v="0"/>
    <s v="Not Returned"/>
    <s v="FedEx"/>
    <x v="0"/>
    <s v="Low"/>
    <n v="256"/>
    <n v="13"/>
    <n v="243"/>
  </r>
  <r>
    <d v="2025-01-23T00:00:00"/>
    <s v="SKU_1415"/>
    <x v="319"/>
    <s v="Office Chair"/>
    <n v="43"/>
    <n v="82.53"/>
    <x v="11"/>
    <n v="0.43"/>
    <s v="Bank Transfer"/>
    <n v="29.68"/>
    <x v="3"/>
    <x v="1"/>
    <s v="Not Returned"/>
    <s v="Royal Mail"/>
    <x v="0"/>
    <s v="Low"/>
    <n v="3549"/>
    <n v="1526"/>
    <n v="2023"/>
  </r>
  <r>
    <d v="2025-01-23T00:00:00"/>
    <s v="SKU_1899"/>
    <x v="320"/>
    <s v="USB Cable"/>
    <n v="2"/>
    <n v="77.459999999999994"/>
    <x v="1"/>
    <n v="0.05"/>
    <s v="Bank Transfer"/>
    <n v="13.74"/>
    <x v="3"/>
    <x v="1"/>
    <s v="Not Returned"/>
    <s v="UPS"/>
    <x v="0"/>
    <s v="Low"/>
    <n v="155"/>
    <n v="8"/>
    <n v="147"/>
  </r>
  <r>
    <d v="2025-01-23T00:00:00"/>
    <s v="SKU_1597"/>
    <x v="321"/>
    <s v="Desk Lamp"/>
    <n v="18"/>
    <n v="59.33"/>
    <x v="4"/>
    <n v="0.13"/>
    <s v="Bank Transfer"/>
    <n v="27.24"/>
    <x v="3"/>
    <x v="0"/>
    <s v="Not Returned"/>
    <s v="FedEx"/>
    <x v="4"/>
    <s v="Low"/>
    <n v="1068"/>
    <n v="139"/>
    <n v="929"/>
  </r>
  <r>
    <d v="2025-01-23T00:00:00"/>
    <s v="SKU_1291"/>
    <x v="322"/>
    <s v="Wall Clock"/>
    <n v="33"/>
    <n v="40.340000000000003"/>
    <x v="6"/>
    <n v="0.49"/>
    <s v="Bank Transfer"/>
    <n v="14.14"/>
    <x v="1"/>
    <x v="0"/>
    <s v="Not Returned"/>
    <s v="Royal Mail"/>
    <x v="1"/>
    <s v="Medium"/>
    <n v="1331"/>
    <n v="652"/>
    <n v="679"/>
  </r>
  <r>
    <d v="2025-01-23T00:00:00"/>
    <s v="SKU_1476"/>
    <x v="323"/>
    <s v="Headphones"/>
    <n v="2"/>
    <n v="84.15"/>
    <x v="5"/>
    <n v="0.34"/>
    <s v="Bank Transfer"/>
    <n v="23.73"/>
    <x v="3"/>
    <x v="0"/>
    <s v="Not Returned"/>
    <s v="FedEx"/>
    <x v="4"/>
    <s v="Low"/>
    <n v="168"/>
    <n v="57"/>
    <n v="111"/>
  </r>
  <r>
    <d v="2025-01-23T00:00:00"/>
    <s v="SKU_1440"/>
    <x v="324"/>
    <s v="Wall Clock"/>
    <m/>
    <n v="24.23"/>
    <x v="1"/>
    <n v="7.0000000000000007E-2"/>
    <s v="Credit Card"/>
    <n v="27.93"/>
    <x v="0"/>
    <x v="1"/>
    <s v="Not Returned"/>
    <s v="DHL"/>
    <x v="0"/>
    <s v="Low"/>
    <n v="630"/>
    <n v="44"/>
    <n v="586"/>
  </r>
  <r>
    <d v="2025-01-23T00:00:00"/>
    <s v="SKU_1672"/>
    <x v="325"/>
    <s v="White Mug"/>
    <n v="5"/>
    <n v="82.85"/>
    <x v="2"/>
    <n v="0.23"/>
    <s v="Paypal"/>
    <n v="15"/>
    <x v="4"/>
    <x v="1"/>
    <s v="Returned"/>
    <s v="DHL"/>
    <x v="4"/>
    <s v="Low"/>
    <n v="414"/>
    <n v="95"/>
    <n v="319"/>
  </r>
  <r>
    <d v="2025-01-23T00:00:00"/>
    <s v="SKU_1742"/>
    <x v="326"/>
    <s v="T-shirt"/>
    <n v="46"/>
    <n v="65.930000000000007"/>
    <x v="7"/>
    <n v="0.13"/>
    <s v="Bank Transfer"/>
    <n v="10.7"/>
    <x v="3"/>
    <x v="1"/>
    <s v="Not Returned"/>
    <s v="FedEx"/>
    <x v="0"/>
    <s v="Low"/>
    <n v="3033"/>
    <n v="394"/>
    <n v="2639"/>
  </r>
  <r>
    <d v="2025-01-23T00:00:00"/>
    <s v="SKU_1653"/>
    <x v="327"/>
    <s v="Blue Pen"/>
    <n v="41"/>
    <n v="37.1"/>
    <x v="8"/>
    <n v="0.08"/>
    <s v="Credit Card"/>
    <n v="22.46"/>
    <x v="2"/>
    <x v="1"/>
    <s v="Not Returned"/>
    <s v="FedEx"/>
    <x v="1"/>
    <s v="High"/>
    <n v="1521"/>
    <n v="122"/>
    <n v="1399"/>
  </r>
  <r>
    <d v="2025-01-23T00:00:00"/>
    <s v="SKU_1431"/>
    <x v="328"/>
    <s v="Backpack"/>
    <n v="35"/>
    <n v="78.3"/>
    <x v="3"/>
    <n v="0.12"/>
    <s v="Paypal"/>
    <n v="21.3"/>
    <x v="4"/>
    <x v="1"/>
    <s v="Not Returned"/>
    <s v="UPS"/>
    <x v="0"/>
    <s v="High"/>
    <n v="2741"/>
    <n v="329"/>
    <n v="2412"/>
  </r>
  <r>
    <d v="2025-01-23T00:00:00"/>
    <s v="SKU_1238"/>
    <x v="329"/>
    <s v="Blue Pen"/>
    <n v="24"/>
    <n v="84.63"/>
    <x v="9"/>
    <n v="0.2"/>
    <s v="Paypal"/>
    <n v="5.54"/>
    <x v="0"/>
    <x v="1"/>
    <s v="Not Returned"/>
    <s v="Royal Mail"/>
    <x v="3"/>
    <s v="Low"/>
    <n v="2031"/>
    <n v="406"/>
    <n v="1625"/>
  </r>
  <r>
    <d v="2025-01-23T00:00:00"/>
    <s v="SKU_1292"/>
    <x v="330"/>
    <s v="Office Chair"/>
    <n v="18"/>
    <n v="6.19"/>
    <x v="1"/>
    <n v="0.15"/>
    <s v="Bank Transfer"/>
    <n v="12.65"/>
    <x v="1"/>
    <x v="0"/>
    <s v="Not Returned"/>
    <s v="FedEx"/>
    <x v="3"/>
    <s v="Low"/>
    <n v="111"/>
    <n v="17"/>
    <n v="94"/>
  </r>
  <r>
    <d v="2025-01-23T00:00:00"/>
    <s v="SKU_1236"/>
    <x v="331"/>
    <s v="Wall Clock"/>
    <n v="12"/>
    <n v="24.21"/>
    <x v="0"/>
    <n v="0.34"/>
    <s v="Bank Transfer"/>
    <n v="16.46"/>
    <x v="4"/>
    <x v="0"/>
    <s v="Not Returned"/>
    <s v="DHL"/>
    <x v="2"/>
    <s v="Low"/>
    <n v="291"/>
    <n v="99"/>
    <n v="192"/>
  </r>
  <r>
    <d v="2025-01-23T00:00:00"/>
    <s v="SKU_1644"/>
    <x v="332"/>
    <s v="Wireless Mouse"/>
    <n v="8"/>
    <n v="40.72"/>
    <x v="3"/>
    <n v="0.18"/>
    <s v="Paypal"/>
    <n v="19.82"/>
    <x v="3"/>
    <x v="1"/>
    <s v="Not Returned"/>
    <s v="UPS"/>
    <x v="3"/>
    <s v="High"/>
    <n v="326"/>
    <n v="59"/>
    <n v="267"/>
  </r>
  <r>
    <d v="2025-01-23T00:00:00"/>
    <s v="SKU_1817"/>
    <x v="333"/>
    <s v="Desk Lamp"/>
    <n v="1"/>
    <n v="95.33"/>
    <x v="4"/>
    <n v="0.47"/>
    <s v="Bank Transfer"/>
    <n v="13.51"/>
    <x v="0"/>
    <x v="0"/>
    <s v="Not Returned"/>
    <s v="FedEx"/>
    <x v="0"/>
    <s v="Medium"/>
    <n v="95"/>
    <n v="45"/>
    <n v="50"/>
  </r>
  <r>
    <d v="2025-01-23T00:00:00"/>
    <s v="SKU_1700"/>
    <x v="334"/>
    <s v="Office Chair"/>
    <n v="31"/>
    <n v="43.81"/>
    <x v="9"/>
    <n v="0.35"/>
    <s v="Bank Transfer"/>
    <n v="7.23"/>
    <x v="1"/>
    <x v="1"/>
    <s v="Not Returned"/>
    <s v="Royal Mail"/>
    <x v="2"/>
    <s v="Medium"/>
    <n v="1358"/>
    <n v="475"/>
    <n v="883"/>
  </r>
  <r>
    <d v="2025-01-23T00:00:00"/>
    <s v="SKU_1725"/>
    <x v="335"/>
    <s v="Blue Pen"/>
    <n v="26"/>
    <n v="18.47"/>
    <x v="5"/>
    <n v="0.32"/>
    <s v="Credit Card"/>
    <n v="17.66"/>
    <x v="4"/>
    <x v="0"/>
    <s v="Not Returned"/>
    <s v="DHL"/>
    <x v="2"/>
    <s v="Low"/>
    <n v="480"/>
    <n v="154"/>
    <n v="326"/>
  </r>
  <r>
    <d v="2025-01-23T00:00:00"/>
    <s v="SKU_1324"/>
    <x v="336"/>
    <s v="White Mug"/>
    <n v="35"/>
    <n v="71.150000000000006"/>
    <x v="7"/>
    <n v="0.26"/>
    <s v="Bank Transfer"/>
    <n v="5.93"/>
    <x v="3"/>
    <x v="1"/>
    <s v="Unknown"/>
    <s v="UPS"/>
    <x v="2"/>
    <s v="High"/>
    <n v="2490"/>
    <n v="647"/>
    <n v="1843"/>
  </r>
  <r>
    <d v="2025-01-23T00:00:00"/>
    <s v="SKU_1868"/>
    <x v="337"/>
    <s v="Office Chair"/>
    <n v="17"/>
    <n v="56.33"/>
    <x v="9"/>
    <n v="0.44"/>
    <s v="Bank Transfer"/>
    <n v="14.12"/>
    <x v="2"/>
    <x v="1"/>
    <s v="Not Returned"/>
    <s v="DHL"/>
    <x v="1"/>
    <s v="High"/>
    <n v="958"/>
    <n v="421"/>
    <n v="537"/>
  </r>
  <r>
    <d v="2025-01-24T00:00:00"/>
    <s v="SKU_1429"/>
    <x v="338"/>
    <s v="T-shirt"/>
    <n v="27"/>
    <n v="94.45"/>
    <x v="11"/>
    <n v="0.02"/>
    <s v="Paypal"/>
    <n v="28.33"/>
    <x v="3"/>
    <x v="1"/>
    <s v="Not Returned"/>
    <s v="Royal Mail"/>
    <x v="1"/>
    <s v="High"/>
    <n v="2550"/>
    <n v="51"/>
    <n v="2499"/>
  </r>
  <r>
    <d v="2025-01-24T00:00:00"/>
    <s v="SKU_1353"/>
    <x v="339"/>
    <s v="Blue Pen"/>
    <n v="20"/>
    <n v="48.63"/>
    <x v="2"/>
    <n v="0.24"/>
    <s v="Bank Transfer"/>
    <n v="5.72"/>
    <x v="2"/>
    <x v="0"/>
    <s v="Not Returned"/>
    <s v="DHL"/>
    <x v="1"/>
    <s v="Medium"/>
    <n v="973"/>
    <n v="233"/>
    <n v="740"/>
  </r>
  <r>
    <d v="2025-01-24T00:00:00"/>
    <s v="SKU_1654"/>
    <x v="340"/>
    <s v="Wireless Mouse"/>
    <n v="40"/>
    <n v="26.06"/>
    <x v="1"/>
    <n v="0.28000000000000003"/>
    <s v="Credit Card"/>
    <n v="27.62"/>
    <x v="3"/>
    <x v="0"/>
    <s v="Not Returned"/>
    <s v="DHL"/>
    <x v="2"/>
    <s v="Low"/>
    <n v="1042"/>
    <n v="292"/>
    <n v="750"/>
  </r>
  <r>
    <d v="2025-01-24T00:00:00"/>
    <s v="SKU_1292"/>
    <x v="341"/>
    <s v="USB Cable"/>
    <n v="28"/>
    <n v="20.440000000000001"/>
    <x v="7"/>
    <n v="0.32"/>
    <s v="Credit Card"/>
    <n v="14.3"/>
    <x v="3"/>
    <x v="1"/>
    <s v="Not Returned"/>
    <s v="UPS"/>
    <x v="3"/>
    <s v="High"/>
    <n v="572"/>
    <n v="183"/>
    <n v="389"/>
  </r>
  <r>
    <d v="2025-01-24T00:00:00"/>
    <s v="SKU_1794"/>
    <x v="342"/>
    <s v="T-shirt"/>
    <n v="43"/>
    <n v="47.74"/>
    <x v="5"/>
    <n v="0.43"/>
    <s v="Credit Card"/>
    <n v="20.84"/>
    <x v="3"/>
    <x v="1"/>
    <s v="Not Returned"/>
    <s v="FedEx"/>
    <x v="3"/>
    <s v="Medium"/>
    <n v="2053"/>
    <n v="883"/>
    <n v="1170"/>
  </r>
  <r>
    <d v="2025-01-24T00:00:00"/>
    <s v="SKU_1623"/>
    <x v="343"/>
    <s v="USB Cable"/>
    <n v="46"/>
    <n v="38.770000000000003"/>
    <x v="4"/>
    <n v="0.09"/>
    <s v="Bank Transfer"/>
    <n v="21.97"/>
    <x v="1"/>
    <x v="0"/>
    <s v="Returned"/>
    <s v="Royal Mail"/>
    <x v="0"/>
    <s v="Low"/>
    <n v="1783"/>
    <n v="161"/>
    <n v="1622"/>
  </r>
  <r>
    <d v="2025-01-24T00:00:00"/>
    <s v="SKU_1256"/>
    <x v="344"/>
    <s v="T-shirt"/>
    <n v="12"/>
    <n v="87.11"/>
    <x v="11"/>
    <n v="0.12"/>
    <s v="Paypal"/>
    <n v="25.86"/>
    <x v="1"/>
    <x v="1"/>
    <s v="Not Returned"/>
    <s v="DHL"/>
    <x v="1"/>
    <s v="Low"/>
    <n v="1045"/>
    <n v="125"/>
    <n v="920"/>
  </r>
  <r>
    <d v="2025-01-24T00:00:00"/>
    <s v="SKU_1380"/>
    <x v="345"/>
    <s v="USB Cable"/>
    <n v="5"/>
    <n v="58.6"/>
    <x v="0"/>
    <n v="0.02"/>
    <s v="Credit Card"/>
    <n v="7.25"/>
    <x v="1"/>
    <x v="0"/>
    <s v="Returned"/>
    <s v="FedEx"/>
    <x v="1"/>
    <s v="High"/>
    <n v="293"/>
    <n v="6"/>
    <n v="287"/>
  </r>
  <r>
    <d v="2025-01-24T00:00:00"/>
    <s v="SKU_1199"/>
    <x v="346"/>
    <s v="Headphones"/>
    <n v="24"/>
    <n v="74.239999999999995"/>
    <x v="11"/>
    <n v="0.4"/>
    <s v="Credit Card"/>
    <n v="25.33"/>
    <x v="1"/>
    <x v="1"/>
    <s v="Not Returned"/>
    <s v="FedEx"/>
    <x v="3"/>
    <s v="High"/>
    <n v="1782"/>
    <n v="713"/>
    <n v="1069"/>
  </r>
  <r>
    <d v="2025-01-24T00:00:00"/>
    <s v="SKU_1224"/>
    <x v="347"/>
    <s v="Notebook"/>
    <n v="31"/>
    <n v="65.989999999999995"/>
    <x v="11"/>
    <n v="0.26"/>
    <s v="Credit Card"/>
    <n v="29.92"/>
    <x v="0"/>
    <x v="0"/>
    <s v="Not Returned"/>
    <s v="FedEx"/>
    <x v="0"/>
    <s v="High"/>
    <n v="2046"/>
    <n v="532"/>
    <n v="1514"/>
  </r>
  <r>
    <d v="2025-01-24T00:00:00"/>
    <s v="SKU_1902"/>
    <x v="348"/>
    <s v="USB Cable"/>
    <n v="32"/>
    <n v="44.47"/>
    <x v="5"/>
    <n v="0.42"/>
    <s v="Paypal"/>
    <n v="29.77"/>
    <x v="2"/>
    <x v="1"/>
    <s v="Not Returned"/>
    <s v="Royal Mail"/>
    <x v="1"/>
    <s v="Low"/>
    <n v="1423"/>
    <n v="598"/>
    <n v="825"/>
  </r>
  <r>
    <d v="2025-01-24T00:00:00"/>
    <s v="SKU_1796"/>
    <x v="349"/>
    <s v="Backpack"/>
    <n v="17"/>
    <n v="76.8"/>
    <x v="7"/>
    <n v="0.4"/>
    <s v="Paypal"/>
    <n v="17.2"/>
    <x v="1"/>
    <x v="0"/>
    <s v="Not Returned"/>
    <s v="UPS"/>
    <x v="1"/>
    <s v="Medium"/>
    <n v="1306"/>
    <n v="522"/>
    <n v="784"/>
  </r>
  <r>
    <d v="2025-01-24T00:00:00"/>
    <s v="SKU_1519"/>
    <x v="350"/>
    <s v="Backpack"/>
    <n v="49"/>
    <n v="21.93"/>
    <x v="6"/>
    <n v="0.04"/>
    <s v="Credit Card"/>
    <n v="27.88"/>
    <x v="4"/>
    <x v="1"/>
    <s v="Not Returned"/>
    <s v="FedEx"/>
    <x v="4"/>
    <s v="Medium"/>
    <n v="1075"/>
    <n v="43"/>
    <n v="1032"/>
  </r>
  <r>
    <d v="2025-01-24T00:00:00"/>
    <s v="SKU_1606"/>
    <x v="351"/>
    <s v="T-shirt"/>
    <n v="45"/>
    <n v="47.57"/>
    <x v="11"/>
    <n v="0.03"/>
    <s v="Paypal"/>
    <n v="17.059999999999999"/>
    <x v="2"/>
    <x v="0"/>
    <s v="Not Returned"/>
    <s v="DHL"/>
    <x v="3"/>
    <s v="Low"/>
    <n v="2141"/>
    <n v="64"/>
    <n v="2077"/>
  </r>
  <r>
    <d v="2025-01-24T00:00:00"/>
    <s v="SKU_1676"/>
    <x v="352"/>
    <s v="Desk Lamp"/>
    <n v="43"/>
    <n v="41.29"/>
    <x v="1"/>
    <n v="0.38"/>
    <s v="Credit Card"/>
    <n v="8.27"/>
    <x v="4"/>
    <x v="1"/>
    <s v="Returned"/>
    <s v="UPS"/>
    <x v="4"/>
    <s v="Medium"/>
    <n v="1775"/>
    <n v="675"/>
    <n v="1100"/>
  </r>
  <r>
    <d v="2025-01-24T00:00:00"/>
    <s v="SKU_1442"/>
    <x v="353"/>
    <s v="Wall Clock"/>
    <n v="22"/>
    <n v="30.83"/>
    <x v="8"/>
    <n v="0.5"/>
    <s v="Credit Card"/>
    <n v="21.14"/>
    <x v="3"/>
    <x v="0"/>
    <s v="Not Returned"/>
    <s v="FedEx"/>
    <x v="2"/>
    <s v="Medium"/>
    <n v="678"/>
    <n v="339"/>
    <n v="339"/>
  </r>
  <r>
    <d v="2025-01-24T00:00:00"/>
    <s v="SKU_1499"/>
    <x v="354"/>
    <s v="Desk Lamp"/>
    <n v="31"/>
    <n v="43.34"/>
    <x v="3"/>
    <n v="0.23"/>
    <s v="Credit Card"/>
    <n v="13.42"/>
    <x v="4"/>
    <x v="0"/>
    <s v="Unknown"/>
    <s v="DHL"/>
    <x v="0"/>
    <s v="High"/>
    <n v="1344"/>
    <n v="309"/>
    <n v="1035"/>
  </r>
  <r>
    <d v="2025-01-24T00:00:00"/>
    <s v="SKU_1441"/>
    <x v="355"/>
    <s v="Wireless Mouse"/>
    <n v="47"/>
    <n v="58.01"/>
    <x v="4"/>
    <n v="0.38"/>
    <s v="Credit Card"/>
    <n v="12.98"/>
    <x v="0"/>
    <x v="0"/>
    <s v="Not Returned"/>
    <s v="UPS"/>
    <x v="0"/>
    <s v="High"/>
    <n v="2726"/>
    <n v="1036"/>
    <n v="1690"/>
  </r>
  <r>
    <d v="2025-01-25T00:00:00"/>
    <s v="SKU_1607"/>
    <x v="356"/>
    <s v="Office Chair"/>
    <n v="38"/>
    <m/>
    <x v="5"/>
    <n v="0.19"/>
    <s v="Paypal"/>
    <n v="28.05"/>
    <x v="2"/>
    <x v="1"/>
    <s v="Not Returned"/>
    <s v="FedEx"/>
    <x v="0"/>
    <s v="High"/>
    <n v="2014"/>
    <n v="383"/>
    <n v="1631"/>
  </r>
  <r>
    <d v="2025-01-25T00:00:00"/>
    <s v="SKU_1281"/>
    <x v="357"/>
    <s v="Blue Pen"/>
    <n v="33"/>
    <n v="31.32"/>
    <x v="5"/>
    <n v="0.18"/>
    <s v="Bank Transfer"/>
    <n v="9.6199999999999992"/>
    <x v="0"/>
    <x v="0"/>
    <s v="Not Returned"/>
    <s v="Royal Mail"/>
    <x v="1"/>
    <s v="Medium"/>
    <n v="1034"/>
    <n v="186"/>
    <n v="848"/>
  </r>
  <r>
    <d v="2025-01-25T00:00:00"/>
    <s v="SKU_1943"/>
    <x v="358"/>
    <s v="Notebook"/>
    <n v="44"/>
    <n v="3.73"/>
    <x v="6"/>
    <n v="0.37"/>
    <s v="Bank Transfer"/>
    <n v="20.27"/>
    <x v="3"/>
    <x v="0"/>
    <s v="Not Returned"/>
    <s v="Royal Mail"/>
    <x v="2"/>
    <s v="High"/>
    <n v="164"/>
    <n v="61"/>
    <n v="103"/>
  </r>
  <r>
    <d v="2025-01-25T00:00:00"/>
    <s v="SKU_1112"/>
    <x v="359"/>
    <s v="USB Cable"/>
    <n v="13"/>
    <n v="61.67"/>
    <x v="10"/>
    <n v="0.25"/>
    <s v="Bank Transfer"/>
    <n v="27.79"/>
    <x v="1"/>
    <x v="1"/>
    <s v="Not Returned"/>
    <s v="FedEx"/>
    <x v="1"/>
    <s v="Medium"/>
    <n v="802"/>
    <n v="200"/>
    <n v="602"/>
  </r>
  <r>
    <d v="2025-01-25T00:00:00"/>
    <s v="SKU_1266"/>
    <x v="360"/>
    <s v="Office Chair"/>
    <n v="49"/>
    <n v="18.239999999999998"/>
    <x v="4"/>
    <n v="0.25"/>
    <s v="Credit Card"/>
    <n v="16.45"/>
    <x v="3"/>
    <x v="0"/>
    <s v="Not Returned"/>
    <s v="DHL"/>
    <x v="2"/>
    <s v="Medium"/>
    <n v="894"/>
    <n v="223"/>
    <n v="671"/>
  </r>
  <r>
    <d v="2025-01-25T00:00:00"/>
    <s v="SKU_1534"/>
    <x v="361"/>
    <s v="Notebook"/>
    <n v="33"/>
    <n v="69.319999999999993"/>
    <x v="8"/>
    <n v="0.06"/>
    <s v="Bank Transfer"/>
    <n v="15.16"/>
    <x v="3"/>
    <x v="1"/>
    <s v="Not Returned"/>
    <s v="UPS"/>
    <x v="3"/>
    <s v="High"/>
    <n v="2288"/>
    <n v="137"/>
    <n v="2151"/>
  </r>
  <r>
    <d v="2025-01-25T00:00:00"/>
    <s v="SKU_1929"/>
    <x v="362"/>
    <s v="Desk Lamp"/>
    <n v="29"/>
    <n v="50.6"/>
    <x v="11"/>
    <n v="0.11"/>
    <s v="Bank Transfer"/>
    <n v="21.27"/>
    <x v="1"/>
    <x v="1"/>
    <s v="Returned"/>
    <s v="Royal Mail"/>
    <x v="2"/>
    <s v="Low"/>
    <n v="1467"/>
    <n v="161"/>
    <n v="1306"/>
  </r>
  <r>
    <d v="2025-01-25T00:00:00"/>
    <s v="SKU_1800"/>
    <x v="363"/>
    <s v="Notebook"/>
    <n v="10"/>
    <n v="11.15"/>
    <x v="7"/>
    <n v="0.36"/>
    <s v="Paypal"/>
    <n v="22.78"/>
    <x v="2"/>
    <x v="1"/>
    <s v="Not Returned"/>
    <s v="UPS"/>
    <x v="3"/>
    <s v="Low"/>
    <n v="112"/>
    <n v="40"/>
    <n v="72"/>
  </r>
  <r>
    <d v="2025-01-25T00:00:00"/>
    <s v="SKU_1464"/>
    <x v="364"/>
    <s v="Wall Clock"/>
    <n v="11"/>
    <n v="53.06"/>
    <x v="4"/>
    <n v="0.5"/>
    <s v="Bank Transfer"/>
    <n v="13.67"/>
    <x v="1"/>
    <x v="1"/>
    <s v="Not Returned"/>
    <s v="Royal Mail"/>
    <x v="4"/>
    <s v="Medium"/>
    <n v="584"/>
    <n v="292"/>
    <n v="292"/>
  </r>
  <r>
    <d v="2025-01-25T00:00:00"/>
    <s v="SKU_1992"/>
    <x v="365"/>
    <s v="T-shirt"/>
    <n v="48"/>
    <n v="53.97"/>
    <x v="11"/>
    <n v="0.41"/>
    <s v="Bank Transfer"/>
    <n v="13.17"/>
    <x v="4"/>
    <x v="1"/>
    <s v="Not Returned"/>
    <s v="DHL"/>
    <x v="1"/>
    <s v="Medium"/>
    <n v="2591"/>
    <n v="1062"/>
    <n v="1529"/>
  </r>
  <r>
    <d v="2025-01-25T00:00:00"/>
    <s v="SKU_1385"/>
    <x v="366"/>
    <s v="Notebook"/>
    <n v="2"/>
    <n v="53.14"/>
    <x v="4"/>
    <n v="0.47"/>
    <s v="Paypal"/>
    <n v="13.99"/>
    <x v="2"/>
    <x v="1"/>
    <s v="Not Returned"/>
    <s v="UPS"/>
    <x v="3"/>
    <s v="Low"/>
    <n v="106"/>
    <n v="50"/>
    <n v="56"/>
  </r>
  <r>
    <d v="2025-01-25T00:00:00"/>
    <s v="SKU_1507"/>
    <x v="367"/>
    <s v="Wall Clock"/>
    <n v="13"/>
    <n v="72.45"/>
    <x v="5"/>
    <n v="0.32"/>
    <s v="Credit Card"/>
    <n v="8.0500000000000007"/>
    <x v="2"/>
    <x v="1"/>
    <s v="Returned"/>
    <s v="DHL"/>
    <x v="2"/>
    <s v="Low"/>
    <n v="942"/>
    <n v="301"/>
    <n v="641"/>
  </r>
  <r>
    <d v="2025-01-25T00:00:00"/>
    <s v="SKU_1112"/>
    <x v="368"/>
    <s v="T-shirt"/>
    <n v="15"/>
    <n v="51.51"/>
    <x v="10"/>
    <n v="0.42"/>
    <s v="Bank Transfer"/>
    <n v="16.39"/>
    <x v="1"/>
    <x v="1"/>
    <s v="Not Returned"/>
    <s v="FedEx"/>
    <x v="1"/>
    <s v="Low"/>
    <n v="773"/>
    <n v="325"/>
    <n v="448"/>
  </r>
  <r>
    <d v="2025-01-25T00:00:00"/>
    <s v="SKU_1316"/>
    <x v="369"/>
    <s v="White Mug"/>
    <n v="46"/>
    <n v="4.9800000000000004"/>
    <x v="1"/>
    <n v="0.46"/>
    <s v="Bank Transfer"/>
    <n v="8.11"/>
    <x v="1"/>
    <x v="0"/>
    <s v="Not Returned"/>
    <s v="FedEx"/>
    <x v="0"/>
    <s v="Low"/>
    <n v="229"/>
    <n v="105"/>
    <n v="124"/>
  </r>
  <r>
    <d v="2025-01-25T00:00:00"/>
    <s v="SKU_1131"/>
    <x v="370"/>
    <s v="Backpack"/>
    <n v="42"/>
    <n v="12.61"/>
    <x v="11"/>
    <n v="0.05"/>
    <s v="Bank Transfer"/>
    <n v="27.25"/>
    <x v="2"/>
    <x v="0"/>
    <s v="Returned"/>
    <s v="UPS"/>
    <x v="1"/>
    <s v="Medium"/>
    <n v="530"/>
    <n v="26"/>
    <n v="504"/>
  </r>
  <r>
    <d v="2025-01-25T00:00:00"/>
    <s v="SKU_1523"/>
    <x v="371"/>
    <s v="Wall Clock"/>
    <n v="9"/>
    <n v="53.55"/>
    <x v="1"/>
    <n v="0.12"/>
    <s v="Paypal"/>
    <n v="26.62"/>
    <x v="1"/>
    <x v="1"/>
    <s v="Not Returned"/>
    <s v="FedEx"/>
    <x v="1"/>
    <s v="High"/>
    <n v="482"/>
    <n v="58"/>
    <n v="424"/>
  </r>
  <r>
    <d v="2025-01-25T00:00:00"/>
    <s v="SKU_1924"/>
    <x v="372"/>
    <s v="USB Cable"/>
    <n v="44"/>
    <n v="14.29"/>
    <x v="3"/>
    <n v="0.11"/>
    <s v="Bank Transfer"/>
    <n v="28.09"/>
    <x v="2"/>
    <x v="1"/>
    <s v="Unknown"/>
    <s v="DHL"/>
    <x v="1"/>
    <s v="High"/>
    <n v="629"/>
    <n v="69"/>
    <n v="560"/>
  </r>
  <r>
    <d v="2025-01-25T00:00:00"/>
    <s v="SKU_1745"/>
    <x v="373"/>
    <s v="Headphones"/>
    <n v="19"/>
    <n v="59.18"/>
    <x v="9"/>
    <n v="0.48"/>
    <s v="Credit Card"/>
    <n v="18.78"/>
    <x v="3"/>
    <x v="0"/>
    <s v="Not Returned"/>
    <s v="UPS"/>
    <x v="4"/>
    <s v="Medium"/>
    <n v="1124"/>
    <n v="540"/>
    <n v="584"/>
  </r>
  <r>
    <d v="2025-01-25T00:00:00"/>
    <s v="SKU_1750"/>
    <x v="374"/>
    <s v="Wireless Mouse"/>
    <n v="36"/>
    <n v="59.62"/>
    <x v="11"/>
    <n v="0.37"/>
    <s v="Bank Transfer"/>
    <n v="10.11"/>
    <x v="1"/>
    <x v="0"/>
    <s v="Not Returned"/>
    <s v="UPS"/>
    <x v="4"/>
    <s v="Low"/>
    <n v="2146"/>
    <n v="794"/>
    <n v="1352"/>
  </r>
  <r>
    <d v="2025-01-25T00:00:00"/>
    <s v="SKU_1874"/>
    <x v="375"/>
    <s v="Headphones"/>
    <n v="38"/>
    <n v="39.29"/>
    <x v="3"/>
    <n v="0.31"/>
    <s v="Bank Transfer"/>
    <n v="29.23"/>
    <x v="4"/>
    <x v="1"/>
    <s v="Not Returned"/>
    <s v="UPS"/>
    <x v="0"/>
    <s v="High"/>
    <n v="1493"/>
    <n v="463"/>
    <n v="1030"/>
  </r>
  <r>
    <d v="2025-01-25T00:00:00"/>
    <s v="SKU_1102"/>
    <x v="376"/>
    <s v="Backpack"/>
    <n v="8"/>
    <n v="92.97"/>
    <x v="7"/>
    <n v="0.49"/>
    <s v="Bank Transfer"/>
    <n v="28.12"/>
    <x v="4"/>
    <x v="0"/>
    <s v="Not Returned"/>
    <s v="UPS"/>
    <x v="3"/>
    <s v="High"/>
    <n v="744"/>
    <n v="364"/>
    <n v="380"/>
  </r>
  <r>
    <d v="2025-01-25T00:00:00"/>
    <s v="SKU_1681"/>
    <x v="377"/>
    <s v="White Mug"/>
    <n v="28"/>
    <n v="21.66"/>
    <x v="7"/>
    <n v="0.31"/>
    <s v="Bank Transfer"/>
    <n v="25.58"/>
    <x v="2"/>
    <x v="0"/>
    <s v="Not Returned"/>
    <s v="Royal Mail"/>
    <x v="3"/>
    <s v="High"/>
    <n v="606"/>
    <n v="188"/>
    <n v="418"/>
  </r>
  <r>
    <d v="2025-01-25T00:00:00"/>
    <s v="SKU_1978"/>
    <x v="378"/>
    <s v="Headphones"/>
    <n v="36"/>
    <n v="1.4"/>
    <x v="9"/>
    <n v="0.22"/>
    <s v="Bank Transfer"/>
    <n v="11"/>
    <x v="0"/>
    <x v="1"/>
    <s v="Returned"/>
    <s v="FedEx"/>
    <x v="2"/>
    <s v="Low"/>
    <n v="50"/>
    <n v="11"/>
    <n v="39"/>
  </r>
  <r>
    <d v="2025-01-25T00:00:00"/>
    <s v="SKU_1184"/>
    <x v="379"/>
    <s v="Office Chair"/>
    <n v="18"/>
    <n v="73.900000000000006"/>
    <x v="7"/>
    <n v="0.35"/>
    <s v="Paypal"/>
    <n v="24.49"/>
    <x v="4"/>
    <x v="1"/>
    <s v="Not Returned"/>
    <s v="FedEx"/>
    <x v="4"/>
    <s v="High"/>
    <n v="1330"/>
    <n v="466"/>
    <n v="864"/>
  </r>
  <r>
    <d v="2025-01-26T00:00:00"/>
    <s v="SKU_1945"/>
    <x v="380"/>
    <s v="T-shirt"/>
    <n v="34"/>
    <n v="11.26"/>
    <x v="1"/>
    <n v="0.19"/>
    <s v="Credit Card"/>
    <n v="11.21"/>
    <x v="1"/>
    <x v="1"/>
    <s v="Not Returned"/>
    <s v="DHL"/>
    <x v="3"/>
    <s v="Low"/>
    <n v="383"/>
    <n v="73"/>
    <n v="310"/>
  </r>
  <r>
    <d v="2025-01-26T00:00:00"/>
    <s v="SKU_1065"/>
    <x v="381"/>
    <s v="Blue Pen"/>
    <n v="48"/>
    <n v="71.349999999999994"/>
    <x v="11"/>
    <n v="0.12"/>
    <s v="Bank Transfer"/>
    <n v="19.75"/>
    <x v="1"/>
    <x v="1"/>
    <s v="Not Returned"/>
    <s v="FedEx"/>
    <x v="4"/>
    <s v="Medium"/>
    <n v="3425"/>
    <n v="411"/>
    <n v="3014"/>
  </r>
  <r>
    <d v="2025-01-26T00:00:00"/>
    <s v="SKU_1134"/>
    <x v="382"/>
    <s v="White Mug"/>
    <n v="18"/>
    <n v="12.33"/>
    <x v="7"/>
    <n v="0.08"/>
    <s v="Paypal"/>
    <n v="28.76"/>
    <x v="1"/>
    <x v="0"/>
    <s v="Not Returned"/>
    <s v="Royal Mail"/>
    <x v="2"/>
    <s v="Low"/>
    <n v="222"/>
    <n v="18"/>
    <n v="204"/>
  </r>
  <r>
    <d v="2025-01-26T00:00:00"/>
    <s v="SKU_1124"/>
    <x v="383"/>
    <s v="Backpack"/>
    <n v="17"/>
    <m/>
    <x v="10"/>
    <n v="0.24"/>
    <s v="Bank Transfer"/>
    <n v="12.56"/>
    <x v="2"/>
    <x v="0"/>
    <s v="Not Returned"/>
    <s v="UPS"/>
    <x v="2"/>
    <s v="High"/>
    <n v="901"/>
    <n v="216"/>
    <n v="685"/>
  </r>
  <r>
    <d v="2025-01-26T00:00:00"/>
    <s v="SKU_1056"/>
    <x v="384"/>
    <s v="Office Chair"/>
    <n v="47"/>
    <n v="9.1"/>
    <x v="0"/>
    <n v="0.38"/>
    <s v="Paypal"/>
    <n v="7.89"/>
    <x v="4"/>
    <x v="0"/>
    <s v="Not Returned"/>
    <s v="UPS"/>
    <x v="2"/>
    <s v="Medium"/>
    <n v="428"/>
    <n v="163"/>
    <n v="265"/>
  </r>
  <r>
    <d v="2025-01-26T00:00:00"/>
    <s v="SKU_1301"/>
    <x v="385"/>
    <s v="USB Cable"/>
    <n v="8"/>
    <n v="69.680000000000007"/>
    <x v="11"/>
    <n v="0.37"/>
    <s v="Credit Card"/>
    <n v="11.4"/>
    <x v="4"/>
    <x v="0"/>
    <s v="Not Returned"/>
    <s v="UPS"/>
    <x v="4"/>
    <s v="High"/>
    <n v="557"/>
    <n v="206"/>
    <n v="351"/>
  </r>
  <r>
    <d v="2025-01-26T00:00:00"/>
    <s v="SKU_1789"/>
    <x v="386"/>
    <s v="Notebook"/>
    <n v="19"/>
    <n v="86.1"/>
    <x v="10"/>
    <n v="0.34"/>
    <s v="Bank Transfer"/>
    <n v="22.8"/>
    <x v="4"/>
    <x v="0"/>
    <s v="Not Returned"/>
    <s v="Royal Mail"/>
    <x v="2"/>
    <s v="High"/>
    <n v="1636"/>
    <n v="556"/>
    <n v="1080"/>
  </r>
  <r>
    <d v="2025-01-26T00:00:00"/>
    <s v="SKU_1906"/>
    <x v="387"/>
    <s v="Backpack"/>
    <n v="34"/>
    <n v="85.2"/>
    <x v="0"/>
    <n v="0.08"/>
    <s v="Bank Transfer"/>
    <n v="11.61"/>
    <x v="3"/>
    <x v="0"/>
    <s v="Not Returned"/>
    <s v="Royal Mail"/>
    <x v="1"/>
    <s v="Medium"/>
    <n v="2897"/>
    <n v="232"/>
    <n v="2665"/>
  </r>
  <r>
    <d v="2025-01-26T00:00:00"/>
    <s v="SKU_1928"/>
    <x v="388"/>
    <s v="Backpack"/>
    <n v="12"/>
    <n v="79.790000000000006"/>
    <x v="3"/>
    <n v="0.04"/>
    <s v="Paypal"/>
    <n v="13.99"/>
    <x v="2"/>
    <x v="1"/>
    <s v="Not Returned"/>
    <s v="DHL"/>
    <x v="3"/>
    <s v="High"/>
    <n v="957"/>
    <n v="38"/>
    <n v="919"/>
  </r>
  <r>
    <d v="2025-01-26T00:00:00"/>
    <s v="SKU_1693"/>
    <x v="389"/>
    <s v="USB Cable"/>
    <n v="44"/>
    <n v="58.71"/>
    <x v="2"/>
    <n v="0.37"/>
    <s v="Bank Transfer"/>
    <n v="25.07"/>
    <x v="3"/>
    <x v="0"/>
    <s v="Not Returned"/>
    <s v="DHL"/>
    <x v="0"/>
    <s v="Low"/>
    <n v="2583"/>
    <n v="956"/>
    <n v="1627"/>
  </r>
  <r>
    <d v="2025-01-26T00:00:00"/>
    <s v="SKU_1659"/>
    <x v="390"/>
    <s v="White Mug"/>
    <n v="23"/>
    <n v="17.27"/>
    <x v="6"/>
    <n v="0.17"/>
    <s v="Bank Transfer"/>
    <n v="29.78"/>
    <x v="0"/>
    <x v="0"/>
    <s v="Not Returned"/>
    <s v="FedEx"/>
    <x v="1"/>
    <s v="High"/>
    <n v="397"/>
    <n v="68"/>
    <n v="329"/>
  </r>
  <r>
    <d v="2025-01-26T00:00:00"/>
    <s v="SKU_1772"/>
    <x v="391"/>
    <s v="Backpack"/>
    <n v="26"/>
    <n v="31.24"/>
    <x v="10"/>
    <n v="0.13"/>
    <s v="Bank Transfer"/>
    <n v="7.58"/>
    <x v="4"/>
    <x v="1"/>
    <s v="Not Returned"/>
    <s v="UPS"/>
    <x v="0"/>
    <s v="High"/>
    <n v="812"/>
    <n v="106"/>
    <n v="706"/>
  </r>
  <r>
    <d v="2025-01-26T00:00:00"/>
    <s v="SKU_1835"/>
    <x v="392"/>
    <s v="Blue Pen"/>
    <n v="37"/>
    <n v="81.61"/>
    <x v="5"/>
    <n v="0.41"/>
    <s v="Bank Transfer"/>
    <n v="8.3000000000000007"/>
    <x v="4"/>
    <x v="0"/>
    <s v="Not Returned"/>
    <s v="Royal Mail"/>
    <x v="3"/>
    <s v="Low"/>
    <n v="3020"/>
    <n v="1238"/>
    <n v="1782"/>
  </r>
  <r>
    <d v="2025-01-26T00:00:00"/>
    <s v="SKU_1898"/>
    <x v="393"/>
    <s v="T-shirt"/>
    <n v="1"/>
    <n v="95.64"/>
    <x v="8"/>
    <n v="0.28999999999999998"/>
    <s v="Bank Transfer"/>
    <n v="28.77"/>
    <x v="0"/>
    <x v="1"/>
    <s v="Not Returned"/>
    <s v="Royal Mail"/>
    <x v="0"/>
    <s v="Medium"/>
    <n v="96"/>
    <n v="28"/>
    <n v="68"/>
  </r>
  <r>
    <d v="2025-01-26T00:00:00"/>
    <s v="SKU_1625"/>
    <x v="394"/>
    <s v="Wall Clock"/>
    <n v="39"/>
    <n v="75.13"/>
    <x v="10"/>
    <n v="0.36"/>
    <s v="Bank Transfer"/>
    <n v="12.76"/>
    <x v="0"/>
    <x v="1"/>
    <s v="Not Returned"/>
    <s v="Royal Mail"/>
    <x v="3"/>
    <s v="Low"/>
    <n v="2930"/>
    <n v="1055"/>
    <n v="1875"/>
  </r>
  <r>
    <d v="2025-01-26T00:00:00"/>
    <s v="SKU_1465"/>
    <x v="395"/>
    <s v="Headphones"/>
    <n v="43"/>
    <n v="96.41"/>
    <x v="0"/>
    <n v="0"/>
    <s v="Credit Card"/>
    <n v="20.07"/>
    <x v="0"/>
    <x v="0"/>
    <s v="Not Returned"/>
    <s v="FedEx"/>
    <x v="1"/>
    <s v="Low"/>
    <n v="4146"/>
    <n v="0"/>
    <n v="4146"/>
  </r>
  <r>
    <d v="2025-01-26T00:00:00"/>
    <s v="SKU_1026"/>
    <x v="396"/>
    <s v="Desk Lamp"/>
    <n v="10"/>
    <m/>
    <x v="4"/>
    <n v="0.15"/>
    <s v="Bank Transfer"/>
    <n v="7.47"/>
    <x v="0"/>
    <x v="1"/>
    <s v="Not Returned"/>
    <s v="Royal Mail"/>
    <x v="4"/>
    <s v="Medium"/>
    <n v="530"/>
    <n v="80"/>
    <n v="450"/>
  </r>
  <r>
    <d v="2025-01-26T00:00:00"/>
    <s v="SKU_1962"/>
    <x v="397"/>
    <s v="Notebook"/>
    <n v="25"/>
    <n v="90.66"/>
    <x v="0"/>
    <n v="0.28999999999999998"/>
    <s v="Bank Transfer"/>
    <n v="6.43"/>
    <x v="3"/>
    <x v="1"/>
    <s v="Not Returned"/>
    <s v="Royal Mail"/>
    <x v="3"/>
    <s v="Low"/>
    <n v="2267"/>
    <n v="657"/>
    <n v="1610"/>
  </r>
  <r>
    <d v="2025-01-26T00:00:00"/>
    <s v="SKU_1319"/>
    <x v="398"/>
    <s v="Office Chair"/>
    <n v="33"/>
    <n v="89.2"/>
    <x v="11"/>
    <n v="0.37"/>
    <s v="Bank Transfer"/>
    <n v="12.41"/>
    <x v="4"/>
    <x v="1"/>
    <s v="Returned"/>
    <s v="DHL"/>
    <x v="0"/>
    <s v="Medium"/>
    <n v="2944"/>
    <n v="1089"/>
    <n v="1855"/>
  </r>
  <r>
    <d v="2025-01-27T00:00:00"/>
    <s v="SKU_1731"/>
    <x v="399"/>
    <s v="Backpack"/>
    <n v="27"/>
    <n v="31.33"/>
    <x v="5"/>
    <n v="0.25"/>
    <s v="Bank Transfer"/>
    <n v="23.59"/>
    <x v="4"/>
    <x v="0"/>
    <s v="Not Returned"/>
    <s v="UPS"/>
    <x v="1"/>
    <s v="Low"/>
    <n v="846"/>
    <n v="211"/>
    <n v="635"/>
  </r>
  <r>
    <d v="2025-01-27T00:00:00"/>
    <s v="SKU_1853"/>
    <x v="400"/>
    <s v="Wireless Mouse"/>
    <n v="8"/>
    <m/>
    <x v="0"/>
    <n v="0.37"/>
    <s v="Credit Card"/>
    <n v="9.49"/>
    <x v="3"/>
    <x v="0"/>
    <s v="Not Returned"/>
    <s v="FedEx"/>
    <x v="3"/>
    <s v="Medium"/>
    <n v="424"/>
    <n v="157"/>
    <n v="267"/>
  </r>
  <r>
    <d v="2025-01-27T00:00:00"/>
    <s v="SKU_1169"/>
    <x v="401"/>
    <s v="T-shirt"/>
    <n v="23"/>
    <n v="69.45"/>
    <x v="9"/>
    <n v="0.32"/>
    <s v="Paypal"/>
    <n v="24.36"/>
    <x v="0"/>
    <x v="0"/>
    <s v="Returned"/>
    <s v="UPS"/>
    <x v="1"/>
    <s v="Medium"/>
    <n v="1597"/>
    <n v="511"/>
    <n v="1086"/>
  </r>
  <r>
    <d v="2025-01-27T00:00:00"/>
    <s v="SKU_1412"/>
    <x v="402"/>
    <s v="Office Chair"/>
    <n v="40"/>
    <n v="78.73"/>
    <x v="3"/>
    <n v="0.26"/>
    <s v="Paypal"/>
    <n v="26.8"/>
    <x v="4"/>
    <x v="1"/>
    <s v="Not Returned"/>
    <s v="UPS"/>
    <x v="2"/>
    <s v="High"/>
    <n v="3149"/>
    <n v="819"/>
    <n v="2330"/>
  </r>
  <r>
    <d v="2025-01-27T00:00:00"/>
    <s v="SKU_1591"/>
    <x v="403"/>
    <s v="White Mug"/>
    <n v="26"/>
    <n v="45.21"/>
    <x v="11"/>
    <n v="0.16"/>
    <s v="Bank Transfer"/>
    <n v="26.75"/>
    <x v="3"/>
    <x v="0"/>
    <s v="Not Returned"/>
    <s v="DHL"/>
    <x v="3"/>
    <s v="Medium"/>
    <n v="1175"/>
    <n v="188"/>
    <n v="987"/>
  </r>
  <r>
    <d v="2025-01-27T00:00:00"/>
    <s v="SKU_1418"/>
    <x v="404"/>
    <s v="Office Chair"/>
    <n v="7"/>
    <n v="73.92"/>
    <x v="3"/>
    <n v="0.38"/>
    <s v="Paypal"/>
    <n v="5.78"/>
    <x v="1"/>
    <x v="1"/>
    <s v="Not Returned"/>
    <s v="Royal Mail"/>
    <x v="3"/>
    <s v="Low"/>
    <n v="517"/>
    <n v="197"/>
    <n v="320"/>
  </r>
  <r>
    <d v="2025-01-27T00:00:00"/>
    <s v="SKU_1786"/>
    <x v="405"/>
    <s v="Blue Pen"/>
    <n v="23"/>
    <n v="66.16"/>
    <x v="2"/>
    <n v="0.35"/>
    <s v="Bank Transfer"/>
    <n v="14.47"/>
    <x v="1"/>
    <x v="1"/>
    <s v="Not Returned"/>
    <s v="DHL"/>
    <x v="0"/>
    <s v="Low"/>
    <n v="1522"/>
    <n v="533"/>
    <n v="989"/>
  </r>
  <r>
    <d v="2025-01-27T00:00:00"/>
    <s v="SKU_1115"/>
    <x v="406"/>
    <s v="Wireless Mouse"/>
    <n v="41"/>
    <n v="65.09"/>
    <x v="6"/>
    <n v="0.12"/>
    <s v="Credit Card"/>
    <n v="27.93"/>
    <x v="2"/>
    <x v="1"/>
    <s v="Not Returned"/>
    <s v="Royal Mail"/>
    <x v="4"/>
    <s v="Medium"/>
    <n v="2669"/>
    <n v="320"/>
    <n v="2349"/>
  </r>
  <r>
    <d v="2025-01-27T00:00:00"/>
    <s v="SKU_1605"/>
    <x v="407"/>
    <s v="USB Cable"/>
    <n v="37"/>
    <n v="33.869999999999997"/>
    <x v="9"/>
    <n v="0.05"/>
    <s v="Credit Card"/>
    <n v="27.04"/>
    <x v="0"/>
    <x v="0"/>
    <s v="Not Returned"/>
    <s v="Royal Mail"/>
    <x v="2"/>
    <s v="High"/>
    <n v="1253"/>
    <n v="63"/>
    <n v="1190"/>
  </r>
  <r>
    <d v="2025-01-27T00:00:00"/>
    <s v="SKU_1974"/>
    <x v="408"/>
    <s v="Backpack"/>
    <n v="2"/>
    <n v="53.33"/>
    <x v="10"/>
    <n v="0.3"/>
    <s v="Bank Transfer"/>
    <n v="11.01"/>
    <x v="3"/>
    <x v="0"/>
    <s v="Not Returned"/>
    <s v="Royal Mail"/>
    <x v="2"/>
    <s v="Medium"/>
    <n v="107"/>
    <n v="32"/>
    <n v="75"/>
  </r>
  <r>
    <d v="2025-01-27T00:00:00"/>
    <s v="SKU_1068"/>
    <x v="409"/>
    <s v="Blue Pen"/>
    <n v="4"/>
    <n v="48.07"/>
    <x v="7"/>
    <n v="0.34"/>
    <s v="Paypal"/>
    <n v="26.23"/>
    <x v="1"/>
    <x v="1"/>
    <s v="Not Returned"/>
    <s v="Royal Mail"/>
    <x v="3"/>
    <s v="Medium"/>
    <n v="192"/>
    <n v="65"/>
    <n v="127"/>
  </r>
  <r>
    <d v="2025-01-27T00:00:00"/>
    <s v="SKU_1286"/>
    <x v="410"/>
    <s v="Desk Lamp"/>
    <n v="42"/>
    <n v="76.63"/>
    <x v="9"/>
    <n v="0.16"/>
    <s v="Credit Card"/>
    <n v="10.57"/>
    <x v="0"/>
    <x v="0"/>
    <s v="Not Returned"/>
    <s v="UPS"/>
    <x v="1"/>
    <s v="High"/>
    <n v="3218"/>
    <n v="515"/>
    <n v="2703"/>
  </r>
  <r>
    <d v="2025-01-27T00:00:00"/>
    <s v="SKU_1682"/>
    <x v="411"/>
    <s v="Wall Clock"/>
    <n v="1"/>
    <n v="87.79"/>
    <x v="0"/>
    <n v="0.42"/>
    <s v="Bank Transfer"/>
    <n v="21.72"/>
    <x v="2"/>
    <x v="1"/>
    <s v="Not Returned"/>
    <s v="Royal Mail"/>
    <x v="4"/>
    <s v="Medium"/>
    <n v="88"/>
    <n v="37"/>
    <n v="51"/>
  </r>
  <r>
    <d v="2025-01-27T00:00:00"/>
    <s v="SKU_1606"/>
    <x v="412"/>
    <s v="Wall Clock"/>
    <n v="22"/>
    <n v="50.81"/>
    <x v="7"/>
    <n v="0.5"/>
    <s v="Credit Card"/>
    <n v="16.73"/>
    <x v="3"/>
    <x v="0"/>
    <s v="Not Returned"/>
    <s v="Royal Mail"/>
    <x v="4"/>
    <s v="Low"/>
    <n v="1118"/>
    <n v="559"/>
    <n v="559"/>
  </r>
  <r>
    <d v="2025-01-27T00:00:00"/>
    <s v="SKU_1968"/>
    <x v="413"/>
    <s v="T-shirt"/>
    <n v="17"/>
    <n v="53.65"/>
    <x v="8"/>
    <n v="0.35"/>
    <s v="Paypal"/>
    <n v="27.2"/>
    <x v="2"/>
    <x v="0"/>
    <s v="Not Returned"/>
    <s v="Royal Mail"/>
    <x v="0"/>
    <s v="Medium"/>
    <n v="912"/>
    <n v="319"/>
    <n v="593"/>
  </r>
  <r>
    <d v="2025-01-27T00:00:00"/>
    <s v="SKU_1460"/>
    <x v="414"/>
    <s v="Desk Lamp"/>
    <n v="5"/>
    <n v="51.5"/>
    <x v="6"/>
    <n v="0.16"/>
    <s v="Credit Card"/>
    <n v="11.53"/>
    <x v="3"/>
    <x v="0"/>
    <s v="Not Returned"/>
    <s v="UPS"/>
    <x v="1"/>
    <s v="High"/>
    <n v="258"/>
    <n v="41"/>
    <n v="217"/>
  </r>
  <r>
    <d v="2025-01-27T00:00:00"/>
    <s v="SKU_1148"/>
    <x v="415"/>
    <s v="Wall Clock"/>
    <n v="23"/>
    <n v="79.92"/>
    <x v="8"/>
    <n v="0.12"/>
    <s v="Paypal"/>
    <n v="6.97"/>
    <x v="3"/>
    <x v="1"/>
    <s v="Not Returned"/>
    <s v="FedEx"/>
    <x v="2"/>
    <s v="High"/>
    <n v="1838"/>
    <n v="221"/>
    <n v="1617"/>
  </r>
  <r>
    <d v="2025-01-27T00:00:00"/>
    <s v="SKU_1877"/>
    <x v="416"/>
    <s v="T-shirt"/>
    <n v="26"/>
    <n v="33.99"/>
    <x v="5"/>
    <n v="0.2"/>
    <s v="Paypal"/>
    <n v="6.41"/>
    <x v="1"/>
    <x v="1"/>
    <s v="Not Returned"/>
    <s v="FedEx"/>
    <x v="0"/>
    <s v="Medium"/>
    <n v="884"/>
    <n v="177"/>
    <n v="707"/>
  </r>
  <r>
    <d v="2025-01-27T00:00:00"/>
    <s v="SKU_1192"/>
    <x v="417"/>
    <s v="T-shirt"/>
    <n v="5"/>
    <n v="57.94"/>
    <x v="5"/>
    <n v="0.26"/>
    <s v="Paypal"/>
    <n v="8.82"/>
    <x v="4"/>
    <x v="1"/>
    <s v="Not Returned"/>
    <s v="Royal Mail"/>
    <x v="1"/>
    <s v="High"/>
    <n v="290"/>
    <n v="75"/>
    <n v="215"/>
  </r>
  <r>
    <d v="2025-01-27T00:00:00"/>
    <s v="SKU_1232"/>
    <x v="418"/>
    <s v="USB Cable"/>
    <n v="46"/>
    <n v="97.73"/>
    <x v="9"/>
    <n v="0.28000000000000003"/>
    <s v="Bank Transfer"/>
    <n v="11.06"/>
    <x v="3"/>
    <x v="0"/>
    <s v="Not Returned"/>
    <s v="DHL"/>
    <x v="1"/>
    <s v="Low"/>
    <n v="4496"/>
    <n v="1259"/>
    <n v="3237"/>
  </r>
  <r>
    <d v="2025-01-27T00:00:00"/>
    <s v="SKU_1716"/>
    <x v="419"/>
    <s v="Desk Lamp"/>
    <n v="38"/>
    <n v="73.459999999999994"/>
    <x v="1"/>
    <n v="0.36"/>
    <s v="Credit Card"/>
    <n v="10.69"/>
    <x v="2"/>
    <x v="0"/>
    <s v="Not Returned"/>
    <s v="DHL"/>
    <x v="3"/>
    <s v="Low"/>
    <n v="2791"/>
    <n v="1005"/>
    <n v="1786"/>
  </r>
  <r>
    <d v="2025-01-27T00:00:00"/>
    <s v="SKU_1161"/>
    <x v="420"/>
    <s v="White Mug"/>
    <n v="9"/>
    <n v="82.33"/>
    <x v="11"/>
    <n v="0.18"/>
    <s v="Bank Transfer"/>
    <n v="12.27"/>
    <x v="2"/>
    <x v="1"/>
    <s v="Not Returned"/>
    <s v="Royal Mail"/>
    <x v="4"/>
    <s v="High"/>
    <n v="741"/>
    <n v="133"/>
    <n v="608"/>
  </r>
  <r>
    <d v="2025-01-27T00:00:00"/>
    <s v="SKU_1956"/>
    <x v="421"/>
    <s v="USB Cable"/>
    <n v="14"/>
    <n v="36.200000000000003"/>
    <x v="11"/>
    <n v="0.36"/>
    <s v="Credit Card"/>
    <n v="27.66"/>
    <x v="2"/>
    <x v="1"/>
    <s v="Not Returned"/>
    <s v="UPS"/>
    <x v="3"/>
    <s v="Medium"/>
    <n v="507"/>
    <n v="182"/>
    <n v="325"/>
  </r>
  <r>
    <d v="2025-01-28T00:00:00"/>
    <s v="SKU_1547"/>
    <x v="422"/>
    <s v="T-shirt"/>
    <n v="32"/>
    <n v="62.13"/>
    <x v="7"/>
    <n v="0.36"/>
    <s v="Credit Card"/>
    <n v="29.6"/>
    <x v="1"/>
    <x v="1"/>
    <s v="Not Returned"/>
    <s v="Royal Mail"/>
    <x v="0"/>
    <s v="Medium"/>
    <n v="1988"/>
    <n v="716"/>
    <n v="1272"/>
  </r>
  <r>
    <d v="2025-01-28T00:00:00"/>
    <s v="SKU_1741"/>
    <x v="423"/>
    <s v="Backpack"/>
    <n v="2"/>
    <n v="26.52"/>
    <x v="10"/>
    <n v="0.18"/>
    <s v="Bank Transfer"/>
    <n v="6.96"/>
    <x v="4"/>
    <x v="1"/>
    <s v="Not Returned"/>
    <s v="FedEx"/>
    <x v="2"/>
    <s v="Low"/>
    <n v="53"/>
    <n v="10"/>
    <n v="43"/>
  </r>
  <r>
    <d v="2025-01-28T00:00:00"/>
    <s v="SKU_1161"/>
    <x v="424"/>
    <s v="Notebook"/>
    <n v="3"/>
    <m/>
    <x v="5"/>
    <n v="0.02"/>
    <s v="Credit Card"/>
    <n v="23.73"/>
    <x v="2"/>
    <x v="1"/>
    <s v="Not Returned"/>
    <s v="DHL"/>
    <x v="1"/>
    <s v="High"/>
    <n v="159"/>
    <n v="3"/>
    <n v="156"/>
  </r>
  <r>
    <d v="2025-01-28T00:00:00"/>
    <s v="SKU_1152"/>
    <x v="425"/>
    <s v="Blue Pen"/>
    <n v="44"/>
    <n v="66.83"/>
    <x v="2"/>
    <n v="0"/>
    <s v="Credit Card"/>
    <n v="9.5299999999999994"/>
    <x v="3"/>
    <x v="1"/>
    <s v="Not Returned"/>
    <s v="Royal Mail"/>
    <x v="4"/>
    <s v="Low"/>
    <n v="2941"/>
    <n v="0"/>
    <n v="2941"/>
  </r>
  <r>
    <d v="2025-01-28T00:00:00"/>
    <s v="SKU_1440"/>
    <x v="426"/>
    <s v="Backpack"/>
    <n v="42"/>
    <n v="17.05"/>
    <x v="9"/>
    <n v="0.01"/>
    <s v="Credit Card"/>
    <n v="29.41"/>
    <x v="4"/>
    <x v="1"/>
    <s v="Not Returned"/>
    <s v="DHL"/>
    <x v="1"/>
    <s v="Low"/>
    <n v="716"/>
    <n v="7"/>
    <n v="709"/>
  </r>
  <r>
    <d v="2025-01-28T00:00:00"/>
    <s v="SKU_1320"/>
    <x v="427"/>
    <s v="Backpack"/>
    <n v="37"/>
    <n v="2.42"/>
    <x v="0"/>
    <n v="0.02"/>
    <s v="Credit Card"/>
    <n v="14.69"/>
    <x v="0"/>
    <x v="1"/>
    <s v="Returned"/>
    <s v="DHL"/>
    <x v="1"/>
    <s v="High"/>
    <n v="90"/>
    <n v="2"/>
    <n v="88"/>
  </r>
  <r>
    <d v="2025-01-28T00:00:00"/>
    <s v="SKU_1075"/>
    <x v="428"/>
    <s v="Desk Lamp"/>
    <n v="49"/>
    <n v="55.96"/>
    <x v="8"/>
    <n v="0.39"/>
    <s v="Credit Card"/>
    <n v="22.96"/>
    <x v="4"/>
    <x v="1"/>
    <s v="Not Returned"/>
    <s v="UPS"/>
    <x v="0"/>
    <s v="Low"/>
    <n v="2742"/>
    <n v="1069"/>
    <n v="1673"/>
  </r>
  <r>
    <d v="2025-01-28T00:00:00"/>
    <s v="SKU_1379"/>
    <x v="429"/>
    <s v="USB Cable"/>
    <n v="23"/>
    <n v="53.54"/>
    <x v="3"/>
    <n v="0.34"/>
    <s v="Bank Transfer"/>
    <n v="10.56"/>
    <x v="4"/>
    <x v="1"/>
    <s v="Not Returned"/>
    <s v="FedEx"/>
    <x v="0"/>
    <s v="Medium"/>
    <n v="1231"/>
    <n v="419"/>
    <n v="812"/>
  </r>
  <r>
    <d v="2025-01-28T00:00:00"/>
    <s v="SKU_1762"/>
    <x v="430"/>
    <s v="USB Cable"/>
    <n v="27"/>
    <n v="66.599999999999994"/>
    <x v="3"/>
    <n v="0.48"/>
    <s v="Bank Transfer"/>
    <n v="21.49"/>
    <x v="2"/>
    <x v="1"/>
    <s v="Not Returned"/>
    <s v="UPS"/>
    <x v="4"/>
    <s v="Low"/>
    <n v="1798"/>
    <n v="863"/>
    <n v="935"/>
  </r>
  <r>
    <d v="2025-01-28T00:00:00"/>
    <s v="SKU_1789"/>
    <x v="431"/>
    <s v="Headphones"/>
    <n v="7"/>
    <n v="54.12"/>
    <x v="6"/>
    <n v="0.11"/>
    <s v="Paypal"/>
    <n v="22.51"/>
    <x v="2"/>
    <x v="0"/>
    <s v="Not Returned"/>
    <s v="Royal Mail"/>
    <x v="3"/>
    <s v="High"/>
    <n v="379"/>
    <n v="42"/>
    <n v="337"/>
  </r>
  <r>
    <d v="2025-01-28T00:00:00"/>
    <s v="SKU_1699"/>
    <x v="432"/>
    <s v="White Mug"/>
    <n v="2"/>
    <n v="12.1"/>
    <x v="6"/>
    <n v="0.14000000000000001"/>
    <s v="Credit Card"/>
    <n v="18.27"/>
    <x v="1"/>
    <x v="1"/>
    <s v="Not Returned"/>
    <s v="FedEx"/>
    <x v="1"/>
    <s v="Low"/>
    <n v="24"/>
    <n v="3"/>
    <n v="21"/>
  </r>
  <r>
    <d v="2025-01-28T00:00:00"/>
    <s v="SKU_1437"/>
    <x v="433"/>
    <s v="Wireless Mouse"/>
    <n v="4"/>
    <n v="65.64"/>
    <x v="4"/>
    <n v="0.23"/>
    <s v="Paypal"/>
    <n v="26.94"/>
    <x v="4"/>
    <x v="0"/>
    <s v="Not Returned"/>
    <s v="FedEx"/>
    <x v="1"/>
    <s v="Low"/>
    <n v="263"/>
    <n v="60"/>
    <n v="203"/>
  </r>
  <r>
    <d v="2025-01-28T00:00:00"/>
    <s v="SKU_1888"/>
    <x v="434"/>
    <s v="Wall Clock"/>
    <n v="10"/>
    <n v="94.31"/>
    <x v="2"/>
    <n v="0.28000000000000003"/>
    <s v="Paypal"/>
    <n v="21.1"/>
    <x v="2"/>
    <x v="0"/>
    <s v="Not Returned"/>
    <s v="Royal Mail"/>
    <x v="4"/>
    <s v="Medium"/>
    <n v="943"/>
    <n v="264"/>
    <n v="679"/>
  </r>
  <r>
    <d v="2025-01-28T00:00:00"/>
    <s v="SKU_1789"/>
    <x v="435"/>
    <s v="USB Cable"/>
    <n v="24"/>
    <n v="71.25"/>
    <x v="7"/>
    <n v="0.35"/>
    <s v="Bank Transfer"/>
    <n v="5.84"/>
    <x v="4"/>
    <x v="1"/>
    <s v="Not Returned"/>
    <s v="DHL"/>
    <x v="0"/>
    <s v="Medium"/>
    <n v="1710"/>
    <n v="599"/>
    <n v="1111"/>
  </r>
  <r>
    <d v="2025-01-28T00:00:00"/>
    <s v="SKU_1700"/>
    <x v="436"/>
    <s v="Office Chair"/>
    <n v="28"/>
    <n v="63.09"/>
    <x v="9"/>
    <n v="0.28000000000000003"/>
    <s v="Paypal"/>
    <n v="8.83"/>
    <x v="2"/>
    <x v="1"/>
    <s v="Not Returned"/>
    <s v="UPS"/>
    <x v="3"/>
    <s v="Medium"/>
    <n v="1767"/>
    <n v="495"/>
    <n v="1272"/>
  </r>
  <r>
    <d v="2025-01-28T00:00:00"/>
    <s v="SKU_1705"/>
    <x v="437"/>
    <s v="Desk Lamp"/>
    <n v="19"/>
    <n v="96.2"/>
    <x v="8"/>
    <n v="0.25"/>
    <s v="Credit Card"/>
    <n v="13.2"/>
    <x v="0"/>
    <x v="1"/>
    <s v="Not Returned"/>
    <s v="DHL"/>
    <x v="0"/>
    <s v="Low"/>
    <n v="1828"/>
    <n v="457"/>
    <n v="1371"/>
  </r>
  <r>
    <d v="2025-01-28T00:00:00"/>
    <s v="SKU_1940"/>
    <x v="438"/>
    <s v="Wireless Mouse"/>
    <n v="19"/>
    <n v="96.5"/>
    <x v="9"/>
    <n v="0.37"/>
    <s v="Paypal"/>
    <n v="29.41"/>
    <x v="3"/>
    <x v="0"/>
    <s v="Not Returned"/>
    <s v="UPS"/>
    <x v="1"/>
    <s v="Medium"/>
    <n v="1834"/>
    <n v="678"/>
    <n v="1156"/>
  </r>
  <r>
    <d v="2025-01-28T00:00:00"/>
    <s v="SKU_1199"/>
    <x v="439"/>
    <s v="Headphones"/>
    <n v="44"/>
    <n v="72.16"/>
    <x v="2"/>
    <n v="0.46"/>
    <s v="Credit Card"/>
    <n v="9.66"/>
    <x v="4"/>
    <x v="1"/>
    <s v="Not Returned"/>
    <s v="FedEx"/>
    <x v="2"/>
    <s v="Medium"/>
    <n v="3175"/>
    <n v="1461"/>
    <n v="1714"/>
  </r>
  <r>
    <d v="2025-01-28T00:00:00"/>
    <s v="SKU_1224"/>
    <x v="440"/>
    <s v="Wireless Mouse"/>
    <n v="26"/>
    <n v="78.81"/>
    <x v="7"/>
    <n v="0.14000000000000001"/>
    <s v="Bank Transfer"/>
    <n v="28.97"/>
    <x v="1"/>
    <x v="1"/>
    <s v="Not Returned"/>
    <s v="Royal Mail"/>
    <x v="4"/>
    <s v="High"/>
    <n v="2049"/>
    <n v="287"/>
    <n v="1762"/>
  </r>
  <r>
    <d v="2025-01-29T00:00:00"/>
    <s v="SKU_1580"/>
    <x v="441"/>
    <s v="Desk Lamp"/>
    <n v="40"/>
    <n v="87.93"/>
    <x v="11"/>
    <n v="7.0000000000000007E-2"/>
    <s v="Paypal"/>
    <n v="24.33"/>
    <x v="3"/>
    <x v="1"/>
    <s v="Not Returned"/>
    <s v="UPS"/>
    <x v="3"/>
    <s v="High"/>
    <n v="3517"/>
    <n v="246"/>
    <n v="3271"/>
  </r>
  <r>
    <d v="2025-01-29T00:00:00"/>
    <s v="SKU_1191"/>
    <x v="442"/>
    <s v="Blue Pen"/>
    <n v="21"/>
    <n v="90.85"/>
    <x v="0"/>
    <n v="0.4"/>
    <s v="Credit Card"/>
    <n v="16.41"/>
    <x v="3"/>
    <x v="0"/>
    <s v="Not Returned"/>
    <s v="Royal Mail"/>
    <x v="3"/>
    <s v="Low"/>
    <n v="1908"/>
    <n v="763"/>
    <n v="1145"/>
  </r>
  <r>
    <d v="2025-01-29T00:00:00"/>
    <s v="SKU_1521"/>
    <x v="443"/>
    <s v="USB Cable"/>
    <n v="47"/>
    <n v="38.04"/>
    <x v="7"/>
    <n v="0.11"/>
    <s v="Paypal"/>
    <n v="28.24"/>
    <x v="4"/>
    <x v="1"/>
    <s v="Not Returned"/>
    <s v="FedEx"/>
    <x v="4"/>
    <s v="High"/>
    <n v="1788"/>
    <n v="197"/>
    <n v="1591"/>
  </r>
  <r>
    <d v="2025-01-29T00:00:00"/>
    <s v="SKU_1962"/>
    <x v="444"/>
    <s v="Notebook"/>
    <n v="22"/>
    <n v="80.38"/>
    <x v="3"/>
    <n v="0.08"/>
    <s v="Credit Card"/>
    <n v="6.84"/>
    <x v="2"/>
    <x v="0"/>
    <s v="Not Returned"/>
    <s v="FedEx"/>
    <x v="3"/>
    <s v="Low"/>
    <n v="1768"/>
    <n v="141"/>
    <n v="1627"/>
  </r>
  <r>
    <d v="2025-01-29T00:00:00"/>
    <s v="SKU_1778"/>
    <x v="445"/>
    <s v="T-shirt"/>
    <n v="40"/>
    <n v="23.38"/>
    <x v="4"/>
    <n v="0.4"/>
    <s v="Credit Card"/>
    <n v="7.75"/>
    <x v="1"/>
    <x v="0"/>
    <s v="Not Returned"/>
    <s v="Royal Mail"/>
    <x v="3"/>
    <s v="Low"/>
    <n v="935"/>
    <n v="374"/>
    <n v="561"/>
  </r>
  <r>
    <d v="2025-01-29T00:00:00"/>
    <s v="SKU_1245"/>
    <x v="446"/>
    <s v="Desk Lamp"/>
    <n v="15"/>
    <m/>
    <x v="8"/>
    <n v="0.16"/>
    <s v="Bank Transfer"/>
    <n v="5.98"/>
    <x v="1"/>
    <x v="0"/>
    <s v="Not Returned"/>
    <s v="FedEx"/>
    <x v="0"/>
    <s v="Low"/>
    <n v="795"/>
    <n v="127"/>
    <n v="668"/>
  </r>
  <r>
    <d v="2025-01-29T00:00:00"/>
    <s v="SKU_1989"/>
    <x v="447"/>
    <s v="White Mug"/>
    <n v="8"/>
    <n v="38.450000000000003"/>
    <x v="8"/>
    <n v="0.32"/>
    <s v="Paypal"/>
    <n v="10.25"/>
    <x v="1"/>
    <x v="1"/>
    <s v="Not Returned"/>
    <s v="Royal Mail"/>
    <x v="0"/>
    <s v="Low"/>
    <n v="308"/>
    <n v="98"/>
    <n v="210"/>
  </r>
  <r>
    <d v="2025-01-29T00:00:00"/>
    <s v="SKU_1411"/>
    <x v="448"/>
    <s v="Wall Clock"/>
    <n v="9"/>
    <n v="70.7"/>
    <x v="10"/>
    <n v="0.46"/>
    <s v="Bank Transfer"/>
    <n v="24.78"/>
    <x v="3"/>
    <x v="1"/>
    <s v="Not Returned"/>
    <s v="FedEx"/>
    <x v="1"/>
    <s v="Low"/>
    <n v="636"/>
    <n v="293"/>
    <n v="343"/>
  </r>
  <r>
    <d v="2025-01-29T00:00:00"/>
    <s v="SKU_1772"/>
    <x v="449"/>
    <s v="Headphones"/>
    <n v="38"/>
    <n v="81.010000000000005"/>
    <x v="3"/>
    <n v="0.14000000000000001"/>
    <s v="Credit Card"/>
    <n v="25.2"/>
    <x v="2"/>
    <x v="0"/>
    <s v="Not Returned"/>
    <s v="FedEx"/>
    <x v="2"/>
    <s v="Low"/>
    <n v="3078"/>
    <n v="431"/>
    <n v="2647"/>
  </r>
  <r>
    <d v="2025-01-29T00:00:00"/>
    <s v="SKU_1523"/>
    <x v="450"/>
    <s v="Backpack"/>
    <n v="46"/>
    <n v="29.69"/>
    <x v="10"/>
    <n v="0.04"/>
    <s v="Paypal"/>
    <n v="22.81"/>
    <x v="0"/>
    <x v="0"/>
    <s v="Not Returned"/>
    <s v="DHL"/>
    <x v="0"/>
    <s v="Low"/>
    <n v="1366"/>
    <n v="55"/>
    <n v="1311"/>
  </r>
  <r>
    <d v="2025-01-29T00:00:00"/>
    <s v="SKU_1555"/>
    <x v="451"/>
    <s v="Headphones"/>
    <n v="7"/>
    <n v="84.77"/>
    <x v="7"/>
    <n v="0.44"/>
    <s v="Paypal"/>
    <n v="10.33"/>
    <x v="2"/>
    <x v="0"/>
    <s v="Not Returned"/>
    <s v="FedEx"/>
    <x v="1"/>
    <s v="Medium"/>
    <n v="593"/>
    <n v="261"/>
    <n v="332"/>
  </r>
  <r>
    <d v="2025-01-29T00:00:00"/>
    <s v="SKU_1620"/>
    <x v="452"/>
    <s v="Desk Lamp"/>
    <n v="3"/>
    <n v="45.21"/>
    <x v="2"/>
    <n v="0"/>
    <s v="Bank Transfer"/>
    <n v="22.86"/>
    <x v="3"/>
    <x v="0"/>
    <s v="Not Returned"/>
    <s v="UPS"/>
    <x v="0"/>
    <s v="Medium"/>
    <n v="136"/>
    <n v="0"/>
    <n v="136"/>
  </r>
  <r>
    <d v="2025-01-29T00:00:00"/>
    <s v="SKU_1089"/>
    <x v="453"/>
    <s v="Office Chair"/>
    <n v="49"/>
    <n v="17.03"/>
    <x v="10"/>
    <n v="0.1"/>
    <s v="Bank Transfer"/>
    <n v="17.45"/>
    <x v="3"/>
    <x v="1"/>
    <s v="Not Returned"/>
    <s v="UPS"/>
    <x v="4"/>
    <s v="Low"/>
    <n v="834"/>
    <n v="83"/>
    <n v="751"/>
  </r>
  <r>
    <d v="2025-01-29T00:00:00"/>
    <s v="SKU_1988"/>
    <x v="454"/>
    <s v="Blue Pen"/>
    <n v="49"/>
    <n v="49.05"/>
    <x v="8"/>
    <n v="0.28999999999999998"/>
    <s v="Paypal"/>
    <n v="18.47"/>
    <x v="2"/>
    <x v="1"/>
    <s v="Not Returned"/>
    <s v="FedEx"/>
    <x v="3"/>
    <s v="High"/>
    <n v="2403"/>
    <n v="697"/>
    <n v="1706"/>
  </r>
  <r>
    <d v="2025-01-29T00:00:00"/>
    <s v="SKU_1796"/>
    <x v="455"/>
    <s v="Wall Clock"/>
    <n v="8"/>
    <n v="96.98"/>
    <x v="2"/>
    <n v="0.3"/>
    <s v="Bank Transfer"/>
    <n v="16.59"/>
    <x v="2"/>
    <x v="0"/>
    <s v="Not Returned"/>
    <s v="FedEx"/>
    <x v="2"/>
    <s v="Low"/>
    <n v="776"/>
    <n v="233"/>
    <n v="543"/>
  </r>
  <r>
    <d v="2025-01-29T00:00:00"/>
    <s v="SKU_1461"/>
    <x v="456"/>
    <s v="White Mug"/>
    <n v="23"/>
    <n v="64.84"/>
    <x v="4"/>
    <n v="0.49"/>
    <s v="Paypal"/>
    <n v="14.39"/>
    <x v="2"/>
    <x v="1"/>
    <s v="Not Returned"/>
    <s v="DHL"/>
    <x v="3"/>
    <s v="Low"/>
    <n v="1491"/>
    <n v="731"/>
    <n v="760"/>
  </r>
  <r>
    <d v="2025-01-29T00:00:00"/>
    <s v="SKU_1290"/>
    <x v="457"/>
    <s v="T-shirt"/>
    <n v="22"/>
    <n v="33.36"/>
    <x v="0"/>
    <n v="0.34"/>
    <s v="Bank Transfer"/>
    <n v="27.82"/>
    <x v="2"/>
    <x v="1"/>
    <s v="Not Returned"/>
    <s v="UPS"/>
    <x v="3"/>
    <s v="High"/>
    <n v="734"/>
    <n v="250"/>
    <n v="484"/>
  </r>
  <r>
    <d v="2025-01-29T00:00:00"/>
    <s v="SKU_1368"/>
    <x v="458"/>
    <s v="Blue Pen"/>
    <n v="20"/>
    <n v="27.62"/>
    <x v="3"/>
    <n v="0.12"/>
    <s v="Bank Transfer"/>
    <n v="12.7"/>
    <x v="3"/>
    <x v="0"/>
    <s v="Not Returned"/>
    <s v="FedEx"/>
    <x v="1"/>
    <s v="High"/>
    <n v="552"/>
    <n v="66"/>
    <n v="486"/>
  </r>
  <r>
    <d v="2025-01-29T00:00:00"/>
    <s v="SKU_1263"/>
    <x v="459"/>
    <s v="Wireless Mouse"/>
    <n v="3"/>
    <n v="44.82"/>
    <x v="8"/>
    <n v="0.31"/>
    <s v="Paypal"/>
    <n v="9.4"/>
    <x v="2"/>
    <x v="0"/>
    <s v="Not Returned"/>
    <s v="FedEx"/>
    <x v="1"/>
    <s v="Medium"/>
    <n v="134"/>
    <n v="42"/>
    <n v="92"/>
  </r>
  <r>
    <d v="2025-01-29T00:00:00"/>
    <s v="SKU_1271"/>
    <x v="460"/>
    <s v="Backpack"/>
    <n v="22"/>
    <n v="63.3"/>
    <x v="0"/>
    <n v="0.42"/>
    <s v="Bank Transfer"/>
    <n v="13.22"/>
    <x v="3"/>
    <x v="0"/>
    <s v="Not Returned"/>
    <s v="DHL"/>
    <x v="1"/>
    <s v="Medium"/>
    <n v="1393"/>
    <n v="585"/>
    <n v="808"/>
  </r>
  <r>
    <d v="2025-01-29T00:00:00"/>
    <s v="SKU_1810"/>
    <x v="461"/>
    <s v="Office Chair"/>
    <n v="49"/>
    <n v="34.47"/>
    <x v="7"/>
    <n v="0.42"/>
    <s v="Bank Transfer"/>
    <n v="8.0500000000000007"/>
    <x v="2"/>
    <x v="0"/>
    <s v="Not Returned"/>
    <s v="FedEx"/>
    <x v="2"/>
    <s v="Medium"/>
    <n v="1689"/>
    <n v="709"/>
    <n v="980"/>
  </r>
  <r>
    <d v="2025-01-29T00:00:00"/>
    <s v="SKU_1068"/>
    <x v="462"/>
    <s v="Backpack"/>
    <n v="48"/>
    <n v="19.61"/>
    <x v="11"/>
    <n v="0.37"/>
    <s v="Paypal"/>
    <n v="27.94"/>
    <x v="3"/>
    <x v="1"/>
    <s v="Not Returned"/>
    <s v="UPS"/>
    <x v="0"/>
    <s v="Low"/>
    <n v="941"/>
    <n v="348"/>
    <n v="593"/>
  </r>
  <r>
    <d v="2025-01-30T00:00:00"/>
    <s v="SKU_1143"/>
    <x v="463"/>
    <s v="USB Cable"/>
    <n v="38"/>
    <n v="2.63"/>
    <x v="3"/>
    <n v="0.28000000000000003"/>
    <s v="Bank Transfer"/>
    <n v="14.29"/>
    <x v="0"/>
    <x v="1"/>
    <s v="Not Returned"/>
    <s v="Royal Mail"/>
    <x v="2"/>
    <s v="Low"/>
    <n v="100"/>
    <n v="28"/>
    <n v="72"/>
  </r>
  <r>
    <d v="2025-01-30T00:00:00"/>
    <s v="SKU_1055"/>
    <x v="464"/>
    <s v="Backpack"/>
    <n v="38"/>
    <n v="10.16"/>
    <x v="0"/>
    <n v="0.02"/>
    <s v="Bank Transfer"/>
    <n v="28.25"/>
    <x v="0"/>
    <x v="0"/>
    <s v="Not Returned"/>
    <s v="FedEx"/>
    <x v="1"/>
    <s v="High"/>
    <n v="386"/>
    <n v="8"/>
    <n v="378"/>
  </r>
  <r>
    <d v="2025-01-30T00:00:00"/>
    <s v="SKU_1552"/>
    <x v="465"/>
    <s v="Office Chair"/>
    <n v="19"/>
    <n v="41.94"/>
    <x v="8"/>
    <n v="0.4"/>
    <s v="Paypal"/>
    <n v="13.29"/>
    <x v="3"/>
    <x v="1"/>
    <s v="Not Returned"/>
    <s v="UPS"/>
    <x v="4"/>
    <s v="Medium"/>
    <n v="797"/>
    <n v="319"/>
    <n v="478"/>
  </r>
  <r>
    <d v="2025-01-30T00:00:00"/>
    <s v="SKU_1076"/>
    <x v="466"/>
    <s v="Backpack"/>
    <n v="29"/>
    <n v="87.3"/>
    <x v="11"/>
    <n v="0.19"/>
    <s v="Paypal"/>
    <n v="8.7799999999999994"/>
    <x v="4"/>
    <x v="0"/>
    <s v="Not Returned"/>
    <s v="UPS"/>
    <x v="1"/>
    <s v="Low"/>
    <n v="2532"/>
    <n v="481"/>
    <n v="2051"/>
  </r>
  <r>
    <d v="2025-01-30T00:00:00"/>
    <s v="SKU_1519"/>
    <x v="467"/>
    <s v="Blue Pen"/>
    <n v="17"/>
    <n v="16.22"/>
    <x v="9"/>
    <n v="0.31"/>
    <s v="Paypal"/>
    <n v="10.11"/>
    <x v="3"/>
    <x v="1"/>
    <s v="Not Returned"/>
    <s v="DHL"/>
    <x v="3"/>
    <s v="Low"/>
    <n v="276"/>
    <n v="85"/>
    <n v="191"/>
  </r>
  <r>
    <d v="2025-01-30T00:00:00"/>
    <s v="SKU_1089"/>
    <x v="77"/>
    <s v="Notebook"/>
    <n v="12"/>
    <n v="37.729999999999997"/>
    <x v="3"/>
    <n v="0.04"/>
    <s v="Bank Transfer"/>
    <n v="14.67"/>
    <x v="2"/>
    <x v="1"/>
    <s v="Not Returned"/>
    <s v="UPS"/>
    <x v="0"/>
    <s v="High"/>
    <n v="453"/>
    <n v="18"/>
    <n v="435"/>
  </r>
  <r>
    <d v="2025-01-30T00:00:00"/>
    <s v="SKU_1375"/>
    <x v="468"/>
    <s v="White Mug"/>
    <n v="14"/>
    <n v="58.94"/>
    <x v="8"/>
    <n v="0.19"/>
    <s v="Credit Card"/>
    <n v="10.61"/>
    <x v="4"/>
    <x v="0"/>
    <s v="Returned"/>
    <s v="Royal Mail"/>
    <x v="3"/>
    <s v="Low"/>
    <n v="825"/>
    <n v="157"/>
    <n v="668"/>
  </r>
  <r>
    <d v="2025-01-30T00:00:00"/>
    <s v="SKU_1900"/>
    <x v="469"/>
    <s v="Wall Clock"/>
    <n v="48"/>
    <n v="36.04"/>
    <x v="4"/>
    <n v="0.15"/>
    <s v="Credit Card"/>
    <n v="6.19"/>
    <x v="1"/>
    <x v="1"/>
    <s v="Not Returned"/>
    <s v="DHL"/>
    <x v="2"/>
    <s v="Low"/>
    <n v="1730"/>
    <n v="259"/>
    <n v="1471"/>
  </r>
  <r>
    <d v="2025-01-30T00:00:00"/>
    <s v="SKU_1776"/>
    <x v="470"/>
    <s v="Office Chair"/>
    <n v="42"/>
    <n v="37.64"/>
    <x v="9"/>
    <n v="0.37"/>
    <s v="Paypal"/>
    <n v="23.83"/>
    <x v="2"/>
    <x v="1"/>
    <s v="Returned"/>
    <s v="DHL"/>
    <x v="0"/>
    <s v="Low"/>
    <n v="1581"/>
    <n v="585"/>
    <n v="996"/>
  </r>
  <r>
    <d v="2025-01-30T00:00:00"/>
    <s v="SKU_1193"/>
    <x v="471"/>
    <s v="Wireless Mouse"/>
    <n v="18"/>
    <n v="47.6"/>
    <x v="7"/>
    <n v="0.19"/>
    <s v="Bank Transfer"/>
    <n v="27.3"/>
    <x v="1"/>
    <x v="0"/>
    <s v="Not Returned"/>
    <s v="UPS"/>
    <x v="3"/>
    <s v="Medium"/>
    <n v="857"/>
    <n v="163"/>
    <n v="694"/>
  </r>
  <r>
    <d v="2025-01-30T00:00:00"/>
    <s v="SKU_1582"/>
    <x v="472"/>
    <s v="Blue Pen"/>
    <n v="23"/>
    <n v="70.55"/>
    <x v="6"/>
    <n v="0.32"/>
    <s v="Bank Transfer"/>
    <n v="27.54"/>
    <x v="2"/>
    <x v="1"/>
    <s v="Not Returned"/>
    <s v="Royal Mail"/>
    <x v="0"/>
    <s v="Low"/>
    <n v="1623"/>
    <n v="519"/>
    <n v="1104"/>
  </r>
  <r>
    <d v="2025-01-30T00:00:00"/>
    <s v="SKU_1797"/>
    <x v="473"/>
    <s v="USB Cable"/>
    <n v="44"/>
    <n v="86.03"/>
    <x v="4"/>
    <n v="0.26"/>
    <s v="Paypal"/>
    <n v="24.22"/>
    <x v="4"/>
    <x v="1"/>
    <s v="Not Returned"/>
    <s v="DHL"/>
    <x v="0"/>
    <s v="High"/>
    <n v="3785"/>
    <n v="984"/>
    <n v="2801"/>
  </r>
  <r>
    <d v="2025-01-30T00:00:00"/>
    <s v="SKU_1336"/>
    <x v="474"/>
    <s v="White Mug"/>
    <n v="31"/>
    <n v="50.91"/>
    <x v="8"/>
    <n v="0.01"/>
    <s v="Bank Transfer"/>
    <n v="15.4"/>
    <x v="0"/>
    <x v="1"/>
    <s v="Not Returned"/>
    <s v="DHL"/>
    <x v="0"/>
    <s v="Medium"/>
    <n v="1578"/>
    <n v="16"/>
    <n v="1562"/>
  </r>
  <r>
    <d v="2025-01-30T00:00:00"/>
    <s v="SKU_1505"/>
    <x v="475"/>
    <s v="Wall Clock"/>
    <n v="13"/>
    <n v="49.05"/>
    <x v="11"/>
    <n v="0.05"/>
    <s v="Paypal"/>
    <n v="19.5"/>
    <x v="4"/>
    <x v="0"/>
    <s v="Not Returned"/>
    <s v="UPS"/>
    <x v="4"/>
    <s v="Low"/>
    <n v="638"/>
    <n v="32"/>
    <n v="606"/>
  </r>
  <r>
    <d v="2025-01-30T00:00:00"/>
    <s v="SKU_1107"/>
    <x v="476"/>
    <s v="Wireless Mouse"/>
    <n v="1"/>
    <n v="74.2"/>
    <x v="5"/>
    <n v="0.2"/>
    <s v="Credit Card"/>
    <n v="10.17"/>
    <x v="4"/>
    <x v="0"/>
    <s v="Not Returned"/>
    <s v="FedEx"/>
    <x v="0"/>
    <s v="Low"/>
    <n v="74"/>
    <n v="15"/>
    <n v="59"/>
  </r>
  <r>
    <d v="2025-01-30T00:00:00"/>
    <s v="SKU_1320"/>
    <x v="477"/>
    <s v="White Mug"/>
    <n v="24"/>
    <n v="76.8"/>
    <x v="11"/>
    <n v="0.15"/>
    <s v="Credit Card"/>
    <n v="23.64"/>
    <x v="0"/>
    <x v="1"/>
    <s v="Not Returned"/>
    <s v="UPS"/>
    <x v="4"/>
    <s v="Low"/>
    <n v="1843"/>
    <n v="276"/>
    <n v="1567"/>
  </r>
  <r>
    <d v="2025-01-30T00:00:00"/>
    <s v="SKU_1475"/>
    <x v="478"/>
    <s v="Notebook"/>
    <n v="4"/>
    <n v="5.37"/>
    <x v="8"/>
    <n v="0.03"/>
    <s v="Credit Card"/>
    <n v="10.58"/>
    <x v="2"/>
    <x v="0"/>
    <s v="Not Returned"/>
    <s v="FedEx"/>
    <x v="3"/>
    <s v="Low"/>
    <n v="21"/>
    <n v="1"/>
    <n v="20"/>
  </r>
  <r>
    <d v="2025-01-30T00:00:00"/>
    <s v="SKU_1285"/>
    <x v="479"/>
    <s v="Desk Lamp"/>
    <n v="29"/>
    <n v="26.6"/>
    <x v="5"/>
    <n v="0.2"/>
    <s v="Bank Transfer"/>
    <n v="6.51"/>
    <x v="3"/>
    <x v="1"/>
    <s v="Not Returned"/>
    <s v="Royal Mail"/>
    <x v="4"/>
    <s v="High"/>
    <n v="771"/>
    <n v="154"/>
    <n v="617"/>
  </r>
  <r>
    <d v="2025-01-30T00:00:00"/>
    <s v="SKU_1814"/>
    <x v="480"/>
    <s v="Office Chair"/>
    <n v="34"/>
    <n v="41.27"/>
    <x v="6"/>
    <n v="0.31"/>
    <s v="Bank Transfer"/>
    <n v="12.09"/>
    <x v="0"/>
    <x v="0"/>
    <s v="Not Returned"/>
    <s v="Royal Mail"/>
    <x v="0"/>
    <s v="High"/>
    <n v="1403"/>
    <n v="435"/>
    <n v="968"/>
  </r>
  <r>
    <d v="2025-01-30T00:00:00"/>
    <s v="SKU_1350"/>
    <x v="481"/>
    <s v="Backpack"/>
    <n v="16"/>
    <n v="15.33"/>
    <x v="5"/>
    <n v="0.31"/>
    <s v="Bank Transfer"/>
    <n v="26.89"/>
    <x v="0"/>
    <x v="0"/>
    <s v="Not Returned"/>
    <s v="FedEx"/>
    <x v="3"/>
    <s v="High"/>
    <n v="245"/>
    <n v="76"/>
    <n v="169"/>
  </r>
  <r>
    <d v="2025-01-31T00:00:00"/>
    <s v="SKU_1855"/>
    <x v="482"/>
    <s v="Office Chair"/>
    <n v="5"/>
    <n v="61.83"/>
    <x v="4"/>
    <n v="0.34"/>
    <s v="Credit Card"/>
    <n v="28.89"/>
    <x v="0"/>
    <x v="0"/>
    <s v="Not Returned"/>
    <s v="UPS"/>
    <x v="4"/>
    <s v="Medium"/>
    <n v="309"/>
    <n v="105"/>
    <n v="204"/>
  </r>
  <r>
    <d v="2025-01-31T00:00:00"/>
    <s v="SKU_1926"/>
    <x v="483"/>
    <s v="Desk Lamp"/>
    <n v="17"/>
    <n v="52.21"/>
    <x v="5"/>
    <n v="0.48"/>
    <s v="Paypal"/>
    <n v="6.84"/>
    <x v="4"/>
    <x v="1"/>
    <s v="Not Returned"/>
    <s v="UPS"/>
    <x v="2"/>
    <s v="Low"/>
    <n v="888"/>
    <n v="426"/>
    <n v="462"/>
  </r>
  <r>
    <d v="2025-01-31T00:00:00"/>
    <s v="SKU_1955"/>
    <x v="484"/>
    <s v="T-shirt"/>
    <n v="16"/>
    <n v="9.5299999999999994"/>
    <x v="6"/>
    <n v="0.39"/>
    <s v="Credit Card"/>
    <n v="13.89"/>
    <x v="4"/>
    <x v="1"/>
    <s v="Not Returned"/>
    <s v="FedEx"/>
    <x v="0"/>
    <s v="Low"/>
    <n v="152"/>
    <n v="59"/>
    <n v="93"/>
  </r>
  <r>
    <d v="2025-01-31T00:00:00"/>
    <s v="SKU_1244"/>
    <x v="485"/>
    <s v="Notebook"/>
    <n v="25"/>
    <n v="83.03"/>
    <x v="8"/>
    <n v="0.14000000000000001"/>
    <s v="Credit Card"/>
    <n v="5.46"/>
    <x v="1"/>
    <x v="1"/>
    <s v="Not Returned"/>
    <s v="UPS"/>
    <x v="2"/>
    <s v="Medium"/>
    <n v="2076"/>
    <n v="291"/>
    <n v="1785"/>
  </r>
  <r>
    <d v="2025-01-31T00:00:00"/>
    <s v="SKU_1586"/>
    <x v="486"/>
    <s v="Notebook"/>
    <n v="31"/>
    <n v="54.61"/>
    <x v="5"/>
    <n v="0.33"/>
    <s v="Paypal"/>
    <n v="11.85"/>
    <x v="1"/>
    <x v="0"/>
    <s v="Not Returned"/>
    <s v="DHL"/>
    <x v="0"/>
    <s v="Low"/>
    <n v="1693"/>
    <n v="559"/>
    <n v="1134"/>
  </r>
  <r>
    <d v="2025-01-31T00:00:00"/>
    <s v="SKU_1715"/>
    <x v="487"/>
    <s v="Wall Clock"/>
    <n v="26"/>
    <n v="54.36"/>
    <x v="7"/>
    <n v="0.01"/>
    <s v="Paypal"/>
    <n v="9.61"/>
    <x v="2"/>
    <x v="0"/>
    <s v="Not Returned"/>
    <s v="FedEx"/>
    <x v="4"/>
    <s v="High"/>
    <n v="1413"/>
    <n v="14"/>
    <n v="1399"/>
  </r>
  <r>
    <d v="2025-01-31T00:00:00"/>
    <s v="SKU_1437"/>
    <x v="488"/>
    <s v="Headphones"/>
    <n v="24"/>
    <n v="2.21"/>
    <x v="11"/>
    <n v="0.28000000000000003"/>
    <s v="Paypal"/>
    <n v="17.670000000000002"/>
    <x v="3"/>
    <x v="1"/>
    <s v="Not Returned"/>
    <s v="FedEx"/>
    <x v="3"/>
    <s v="Low"/>
    <n v="53"/>
    <n v="15"/>
    <n v="38"/>
  </r>
  <r>
    <d v="2025-01-31T00:00:00"/>
    <s v="SKU_1572"/>
    <x v="489"/>
    <s v="Office Chair"/>
    <n v="36"/>
    <n v="29.42"/>
    <x v="0"/>
    <n v="0.38"/>
    <s v="Paypal"/>
    <n v="6.73"/>
    <x v="4"/>
    <x v="1"/>
    <s v="Not Returned"/>
    <s v="Royal Mail"/>
    <x v="3"/>
    <s v="Low"/>
    <n v="1059"/>
    <n v="402"/>
    <n v="657"/>
  </r>
  <r>
    <d v="2025-01-31T00:00:00"/>
    <s v="SKU_1447"/>
    <x v="490"/>
    <s v="USB Cable"/>
    <n v="35"/>
    <n v="1.31"/>
    <x v="3"/>
    <n v="0.31"/>
    <s v="Paypal"/>
    <n v="29.32"/>
    <x v="2"/>
    <x v="1"/>
    <s v="Not Returned"/>
    <s v="FedEx"/>
    <x v="0"/>
    <s v="Medium"/>
    <n v="46"/>
    <n v="14"/>
    <n v="32"/>
  </r>
  <r>
    <d v="2025-01-31T00:00:00"/>
    <s v="SKU_1975"/>
    <x v="491"/>
    <s v="T-shirt"/>
    <n v="21"/>
    <n v="28.27"/>
    <x v="3"/>
    <n v="0.27"/>
    <s v="Credit Card"/>
    <n v="13.09"/>
    <x v="1"/>
    <x v="1"/>
    <s v="Not Returned"/>
    <s v="Royal Mail"/>
    <x v="3"/>
    <s v="Medium"/>
    <n v="594"/>
    <n v="160"/>
    <n v="434"/>
  </r>
  <r>
    <d v="2025-01-31T00:00:00"/>
    <s v="SKU_1864"/>
    <x v="492"/>
    <s v="Desk Lamp"/>
    <n v="5"/>
    <n v="57.05"/>
    <x v="7"/>
    <n v="0.46"/>
    <s v="Credit Card"/>
    <n v="16.43"/>
    <x v="1"/>
    <x v="1"/>
    <s v="Not Returned"/>
    <s v="FedEx"/>
    <x v="1"/>
    <s v="Low"/>
    <n v="285"/>
    <n v="131"/>
    <n v="154"/>
  </r>
  <r>
    <d v="2025-01-31T00:00:00"/>
    <s v="SKU_1261"/>
    <x v="493"/>
    <s v="Desk Lamp"/>
    <n v="28"/>
    <n v="40.479999999999997"/>
    <x v="0"/>
    <n v="0.45"/>
    <s v="Bank Transfer"/>
    <n v="8.0399999999999991"/>
    <x v="3"/>
    <x v="1"/>
    <s v="Returned"/>
    <s v="UPS"/>
    <x v="1"/>
    <s v="Medium"/>
    <n v="1133"/>
    <n v="510"/>
    <n v="623"/>
  </r>
  <r>
    <d v="2025-01-31T00:00:00"/>
    <s v="SKU_1576"/>
    <x v="494"/>
    <s v="Notebook"/>
    <n v="15"/>
    <n v="87.4"/>
    <x v="10"/>
    <n v="0.28999999999999998"/>
    <s v="Paypal"/>
    <n v="21.6"/>
    <x v="4"/>
    <x v="1"/>
    <s v="Not Returned"/>
    <s v="UPS"/>
    <x v="3"/>
    <s v="Medium"/>
    <n v="1311"/>
    <n v="380"/>
    <n v="931"/>
  </r>
  <r>
    <d v="2025-01-31T00:00:00"/>
    <s v="SKU_1972"/>
    <x v="495"/>
    <s v="Headphones"/>
    <n v="35"/>
    <n v="57.97"/>
    <x v="9"/>
    <n v="0.4"/>
    <s v="Paypal"/>
    <n v="6.26"/>
    <x v="3"/>
    <x v="0"/>
    <s v="Not Returned"/>
    <s v="UPS"/>
    <x v="1"/>
    <s v="Medium"/>
    <n v="2029"/>
    <n v="812"/>
    <n v="1217"/>
  </r>
  <r>
    <d v="2025-01-31T00:00:00"/>
    <s v="SKU_1548"/>
    <x v="496"/>
    <s v="Desk Lamp"/>
    <n v="17"/>
    <n v="30.82"/>
    <x v="3"/>
    <n v="0.31"/>
    <s v="Bank Transfer"/>
    <n v="18.78"/>
    <x v="4"/>
    <x v="1"/>
    <s v="Not Returned"/>
    <s v="UPS"/>
    <x v="3"/>
    <s v="High"/>
    <n v="524"/>
    <n v="162"/>
    <n v="362"/>
  </r>
  <r>
    <d v="2025-01-31T00:00:00"/>
    <s v="SKU_1857"/>
    <x v="497"/>
    <s v="Office Chair"/>
    <n v="31"/>
    <n v="33.020000000000003"/>
    <x v="6"/>
    <n v="0"/>
    <s v="Bank Transfer"/>
    <n v="8.4499999999999993"/>
    <x v="0"/>
    <x v="1"/>
    <s v="Not Returned"/>
    <s v="Royal Mail"/>
    <x v="3"/>
    <s v="Medium"/>
    <n v="1024"/>
    <n v="0"/>
    <n v="1024"/>
  </r>
  <r>
    <d v="2025-01-31T00:00:00"/>
    <s v="SKU_1233"/>
    <x v="498"/>
    <s v="White Mug"/>
    <n v="40"/>
    <n v="13.84"/>
    <x v="9"/>
    <n v="0.5"/>
    <s v="Credit Card"/>
    <n v="8.6199999999999992"/>
    <x v="1"/>
    <x v="0"/>
    <s v="Not Returned"/>
    <s v="DHL"/>
    <x v="0"/>
    <s v="High"/>
    <n v="554"/>
    <n v="277"/>
    <n v="277"/>
  </r>
  <r>
    <d v="2025-01-31T00:00:00"/>
    <s v="SKU_1200"/>
    <x v="499"/>
    <s v="T-shirt"/>
    <n v="44"/>
    <n v="33.229999999999997"/>
    <x v="9"/>
    <n v="0.12"/>
    <s v="Paypal"/>
    <n v="5.69"/>
    <x v="4"/>
    <x v="0"/>
    <s v="Not Returned"/>
    <s v="DHL"/>
    <x v="1"/>
    <s v="High"/>
    <n v="1462"/>
    <n v="175"/>
    <n v="1287"/>
  </r>
  <r>
    <d v="2025-02-01T00:00:00"/>
    <s v="SKU_1400"/>
    <x v="500"/>
    <s v="USB Cable"/>
    <n v="14"/>
    <n v="74.97"/>
    <x v="6"/>
    <n v="0.1"/>
    <s v="Credit Card"/>
    <n v="22.26"/>
    <x v="3"/>
    <x v="1"/>
    <s v="Not Returned"/>
    <s v="DHL"/>
    <x v="0"/>
    <s v="Medium"/>
    <n v="1050"/>
    <n v="105"/>
    <n v="945"/>
  </r>
  <r>
    <d v="2025-02-01T00:00:00"/>
    <s v="SKU_1613"/>
    <x v="501"/>
    <s v="Headphones"/>
    <n v="12"/>
    <n v="44.34"/>
    <x v="4"/>
    <n v="0.14000000000000001"/>
    <s v="Credit Card"/>
    <n v="28.2"/>
    <x v="3"/>
    <x v="0"/>
    <s v="Not Returned"/>
    <s v="DHL"/>
    <x v="3"/>
    <s v="Medium"/>
    <n v="532"/>
    <n v="74"/>
    <n v="458"/>
  </r>
  <r>
    <d v="2025-02-01T00:00:00"/>
    <s v="SKU_1109"/>
    <x v="502"/>
    <s v="Backpack"/>
    <n v="5"/>
    <n v="11.92"/>
    <x v="9"/>
    <n v="0.08"/>
    <s v="Bank Transfer"/>
    <n v="27.12"/>
    <x v="3"/>
    <x v="0"/>
    <s v="Not Returned"/>
    <s v="DHL"/>
    <x v="1"/>
    <s v="Low"/>
    <n v="60"/>
    <n v="5"/>
    <n v="55"/>
  </r>
  <r>
    <d v="2025-02-01T00:00:00"/>
    <s v="SKU_1994"/>
    <x v="503"/>
    <s v="Wall Clock"/>
    <n v="10"/>
    <n v="76.69"/>
    <x v="4"/>
    <n v="0.35"/>
    <s v="Bank Transfer"/>
    <n v="21.65"/>
    <x v="1"/>
    <x v="0"/>
    <s v="Not Returned"/>
    <s v="DHL"/>
    <x v="1"/>
    <s v="Medium"/>
    <n v="767"/>
    <n v="268"/>
    <n v="499"/>
  </r>
  <r>
    <d v="2025-02-01T00:00:00"/>
    <s v="SKU_1920"/>
    <x v="504"/>
    <s v="USB Cable"/>
    <n v="38"/>
    <n v="19.420000000000002"/>
    <x v="1"/>
    <n v="0.22"/>
    <s v="Bank Transfer"/>
    <n v="22.84"/>
    <x v="0"/>
    <x v="1"/>
    <s v="Not Returned"/>
    <s v="FedEx"/>
    <x v="2"/>
    <s v="Low"/>
    <n v="738"/>
    <n v="162"/>
    <n v="576"/>
  </r>
  <r>
    <d v="2025-02-01T00:00:00"/>
    <s v="SKU_1561"/>
    <x v="505"/>
    <s v="USB Cable"/>
    <n v="17"/>
    <n v="61.08"/>
    <x v="6"/>
    <n v="0.48"/>
    <s v="Paypal"/>
    <n v="12.5"/>
    <x v="1"/>
    <x v="1"/>
    <s v="Not Returned"/>
    <s v="Royal Mail"/>
    <x v="2"/>
    <s v="Medium"/>
    <n v="1038"/>
    <n v="498"/>
    <n v="540"/>
  </r>
  <r>
    <d v="2025-02-01T00:00:00"/>
    <s v="SKU_1507"/>
    <x v="506"/>
    <s v="Wireless Mouse"/>
    <n v="49"/>
    <n v="3.51"/>
    <x v="1"/>
    <n v="0.49"/>
    <s v="Paypal"/>
    <n v="6.16"/>
    <x v="2"/>
    <x v="1"/>
    <s v="Not Returned"/>
    <s v="Royal Mail"/>
    <x v="2"/>
    <s v="Low"/>
    <n v="172"/>
    <n v="84"/>
    <n v="88"/>
  </r>
  <r>
    <d v="2025-02-01T00:00:00"/>
    <s v="SKU_1890"/>
    <x v="507"/>
    <s v="Headphones"/>
    <n v="42"/>
    <n v="55.62"/>
    <x v="4"/>
    <n v="0.12"/>
    <s v="Credit Card"/>
    <n v="9.2899999999999991"/>
    <x v="2"/>
    <x v="1"/>
    <s v="Not Returned"/>
    <s v="DHL"/>
    <x v="0"/>
    <s v="High"/>
    <n v="2336"/>
    <n v="280"/>
    <n v="2056"/>
  </r>
  <r>
    <d v="2025-02-01T00:00:00"/>
    <s v="SKU_1838"/>
    <x v="508"/>
    <s v="Office Chair"/>
    <n v="29"/>
    <n v="3.82"/>
    <x v="2"/>
    <n v="0.03"/>
    <s v="Credit Card"/>
    <n v="17.05"/>
    <x v="4"/>
    <x v="1"/>
    <s v="Not Returned"/>
    <s v="UPS"/>
    <x v="1"/>
    <s v="Medium"/>
    <n v="111"/>
    <n v="3"/>
    <n v="108"/>
  </r>
  <r>
    <d v="2025-02-01T00:00:00"/>
    <s v="SKU_1878"/>
    <x v="509"/>
    <s v="Wireless Mouse"/>
    <n v="48"/>
    <n v="53.96"/>
    <x v="4"/>
    <n v="0.25"/>
    <s v="Paypal"/>
    <n v="26.89"/>
    <x v="2"/>
    <x v="0"/>
    <s v="Not Returned"/>
    <s v="UPS"/>
    <x v="4"/>
    <s v="Medium"/>
    <n v="2590"/>
    <n v="648"/>
    <n v="1942"/>
  </r>
  <r>
    <d v="2025-02-01T00:00:00"/>
    <s v="SKU_1798"/>
    <x v="510"/>
    <s v="Headphones"/>
    <n v="21"/>
    <n v="89.01"/>
    <x v="6"/>
    <n v="0.08"/>
    <s v="Bank Transfer"/>
    <n v="25.01"/>
    <x v="1"/>
    <x v="1"/>
    <s v="Returned"/>
    <s v="UPS"/>
    <x v="2"/>
    <s v="Medium"/>
    <n v="1869"/>
    <n v="150"/>
    <n v="1719"/>
  </r>
  <r>
    <d v="2025-02-01T00:00:00"/>
    <s v="SKU_1671"/>
    <x v="511"/>
    <s v="Blue Pen"/>
    <n v="47"/>
    <n v="33.94"/>
    <x v="4"/>
    <n v="0.21"/>
    <s v="Paypal"/>
    <n v="12.42"/>
    <x v="3"/>
    <x v="0"/>
    <s v="Not Returned"/>
    <s v="Royal Mail"/>
    <x v="3"/>
    <s v="Medium"/>
    <n v="1595"/>
    <n v="335"/>
    <n v="1260"/>
  </r>
  <r>
    <d v="2025-02-01T00:00:00"/>
    <s v="SKU_1815"/>
    <x v="512"/>
    <s v="Headphones"/>
    <n v="2"/>
    <n v="72.84"/>
    <x v="9"/>
    <n v="0.13"/>
    <s v="Credit Card"/>
    <n v="22.76"/>
    <x v="0"/>
    <x v="0"/>
    <s v="Not Returned"/>
    <s v="DHL"/>
    <x v="4"/>
    <s v="Low"/>
    <n v="146"/>
    <n v="19"/>
    <n v="127"/>
  </r>
  <r>
    <d v="2025-02-01T00:00:00"/>
    <s v="SKU_1498"/>
    <x v="513"/>
    <s v="Desk Lamp"/>
    <n v="22"/>
    <n v="45.43"/>
    <x v="5"/>
    <n v="0.46"/>
    <s v="Paypal"/>
    <n v="26.5"/>
    <x v="1"/>
    <x v="1"/>
    <s v="Not Returned"/>
    <s v="DHL"/>
    <x v="1"/>
    <s v="Medium"/>
    <n v="999"/>
    <n v="460"/>
    <n v="539"/>
  </r>
  <r>
    <d v="2025-02-01T00:00:00"/>
    <s v="SKU_1656"/>
    <x v="514"/>
    <s v="T-shirt"/>
    <n v="12"/>
    <n v="36.85"/>
    <x v="3"/>
    <n v="0.3"/>
    <s v="Paypal"/>
    <n v="8.31"/>
    <x v="3"/>
    <x v="1"/>
    <s v="Not Returned"/>
    <s v="UPS"/>
    <x v="1"/>
    <s v="High"/>
    <n v="442"/>
    <n v="133"/>
    <n v="309"/>
  </r>
  <r>
    <d v="2025-02-01T00:00:00"/>
    <s v="SKU_1188"/>
    <x v="515"/>
    <s v="Headphones"/>
    <n v="26"/>
    <n v="58.36"/>
    <x v="4"/>
    <n v="0.44"/>
    <s v="Paypal"/>
    <n v="27.43"/>
    <x v="4"/>
    <x v="0"/>
    <s v="Not Returned"/>
    <s v="FedEx"/>
    <x v="1"/>
    <s v="Low"/>
    <n v="1517"/>
    <n v="668"/>
    <n v="849"/>
  </r>
  <r>
    <d v="2025-02-01T00:00:00"/>
    <s v="SKU_1184"/>
    <x v="516"/>
    <s v="T-shirt"/>
    <n v="5"/>
    <n v="28.61"/>
    <x v="10"/>
    <n v="0.03"/>
    <s v="Paypal"/>
    <n v="16.420000000000002"/>
    <x v="4"/>
    <x v="1"/>
    <s v="Returned"/>
    <s v="FedEx"/>
    <x v="3"/>
    <s v="Low"/>
    <n v="143"/>
    <n v="4"/>
    <n v="139"/>
  </r>
  <r>
    <d v="2025-02-01T00:00:00"/>
    <s v="SKU_1312"/>
    <x v="517"/>
    <s v="Office Chair"/>
    <n v="29"/>
    <n v="81.08"/>
    <x v="10"/>
    <n v="0.28999999999999998"/>
    <s v="Credit Card"/>
    <n v="14.61"/>
    <x v="1"/>
    <x v="0"/>
    <s v="Not Returned"/>
    <s v="DHL"/>
    <x v="4"/>
    <s v="Low"/>
    <n v="2351"/>
    <n v="682"/>
    <n v="1669"/>
  </r>
  <r>
    <d v="2025-02-01T00:00:00"/>
    <s v="SKU_1453"/>
    <x v="518"/>
    <s v="Office Chair"/>
    <n v="1"/>
    <n v="89.58"/>
    <x v="3"/>
    <n v="0.47"/>
    <s v="Bank Transfer"/>
    <n v="20.440000000000001"/>
    <x v="4"/>
    <x v="0"/>
    <s v="Not Returned"/>
    <s v="Royal Mail"/>
    <x v="2"/>
    <s v="Low"/>
    <n v="90"/>
    <n v="42"/>
    <n v="48"/>
  </r>
  <r>
    <d v="2025-02-01T00:00:00"/>
    <s v="SKU_1984"/>
    <x v="519"/>
    <s v="Desk Lamp"/>
    <n v="32"/>
    <n v="18.98"/>
    <x v="5"/>
    <n v="0.47"/>
    <s v="Paypal"/>
    <n v="27.35"/>
    <x v="1"/>
    <x v="1"/>
    <s v="Not Returned"/>
    <s v="DHL"/>
    <x v="3"/>
    <s v="High"/>
    <n v="607"/>
    <n v="285"/>
    <n v="322"/>
  </r>
  <r>
    <d v="2025-02-01T00:00:00"/>
    <s v="SKU_1672"/>
    <x v="520"/>
    <s v="Notebook"/>
    <n v="34"/>
    <n v="88.22"/>
    <x v="2"/>
    <n v="0.38"/>
    <s v="Credit Card"/>
    <n v="13.93"/>
    <x v="3"/>
    <x v="1"/>
    <s v="Not Returned"/>
    <s v="Royal Mail"/>
    <x v="4"/>
    <s v="High"/>
    <n v="2999"/>
    <n v="1140"/>
    <n v="1859"/>
  </r>
  <r>
    <d v="2025-02-02T00:00:00"/>
    <s v="SKU_1658"/>
    <x v="521"/>
    <s v="T-shirt"/>
    <n v="17"/>
    <n v="60.47"/>
    <x v="5"/>
    <n v="0.21"/>
    <s v="Credit Card"/>
    <n v="11.15"/>
    <x v="4"/>
    <x v="0"/>
    <s v="Not Returned"/>
    <s v="DHL"/>
    <x v="4"/>
    <s v="Low"/>
    <n v="1028"/>
    <n v="216"/>
    <n v="812"/>
  </r>
  <r>
    <d v="2025-02-02T00:00:00"/>
    <s v="SKU_1782"/>
    <x v="522"/>
    <s v="Blue Pen"/>
    <n v="27"/>
    <n v="19.18"/>
    <x v="6"/>
    <n v="0.38"/>
    <s v="Bank Transfer"/>
    <n v="7.21"/>
    <x v="3"/>
    <x v="0"/>
    <s v="Not Returned"/>
    <s v="FedEx"/>
    <x v="0"/>
    <s v="Medium"/>
    <n v="518"/>
    <n v="197"/>
    <n v="321"/>
  </r>
  <r>
    <d v="2025-02-02T00:00:00"/>
    <s v="SKU_1674"/>
    <x v="523"/>
    <s v="USB Cable"/>
    <n v="15"/>
    <n v="24.66"/>
    <x v="5"/>
    <n v="0.42"/>
    <s v="Bank Transfer"/>
    <n v="7.31"/>
    <x v="2"/>
    <x v="1"/>
    <s v="Returned"/>
    <s v="DHL"/>
    <x v="0"/>
    <s v="High"/>
    <n v="370"/>
    <n v="155"/>
    <n v="215"/>
  </r>
  <r>
    <d v="2025-02-02T00:00:00"/>
    <s v="SKU_1688"/>
    <x v="524"/>
    <s v="Notebook"/>
    <n v="13"/>
    <n v="22.52"/>
    <x v="11"/>
    <n v="0.14000000000000001"/>
    <s v="Bank Transfer"/>
    <n v="16.55"/>
    <x v="4"/>
    <x v="0"/>
    <s v="Not Returned"/>
    <s v="FedEx"/>
    <x v="0"/>
    <s v="High"/>
    <n v="293"/>
    <n v="41"/>
    <n v="252"/>
  </r>
  <r>
    <d v="2025-02-02T00:00:00"/>
    <s v="SKU_1991"/>
    <x v="525"/>
    <s v="T-shirt"/>
    <n v="14"/>
    <n v="27.22"/>
    <x v="7"/>
    <n v="0.28999999999999998"/>
    <s v="Paypal"/>
    <n v="9.3800000000000008"/>
    <x v="1"/>
    <x v="0"/>
    <s v="Not Returned"/>
    <s v="FedEx"/>
    <x v="1"/>
    <s v="High"/>
    <n v="381"/>
    <n v="111"/>
    <n v="270"/>
  </r>
  <r>
    <d v="2025-02-02T00:00:00"/>
    <s v="SKU_1229"/>
    <x v="526"/>
    <s v="Office Chair"/>
    <n v="42"/>
    <n v="75.62"/>
    <x v="8"/>
    <n v="0"/>
    <s v="Bank Transfer"/>
    <n v="20.66"/>
    <x v="3"/>
    <x v="0"/>
    <s v="Not Returned"/>
    <s v="FedEx"/>
    <x v="0"/>
    <s v="Medium"/>
    <n v="3176"/>
    <n v="0"/>
    <n v="3176"/>
  </r>
  <r>
    <d v="2025-02-02T00:00:00"/>
    <s v="SKU_1675"/>
    <x v="527"/>
    <s v="T-shirt"/>
    <n v="43"/>
    <n v="71.900000000000006"/>
    <x v="11"/>
    <n v="0.01"/>
    <s v="Paypal"/>
    <n v="9.68"/>
    <x v="2"/>
    <x v="1"/>
    <s v="Not Returned"/>
    <s v="Royal Mail"/>
    <x v="0"/>
    <s v="Medium"/>
    <n v="3092"/>
    <n v="31"/>
    <n v="3061"/>
  </r>
  <r>
    <d v="2025-02-02T00:00:00"/>
    <s v="SKU_1223"/>
    <x v="528"/>
    <s v="White Mug"/>
    <n v="44"/>
    <n v="55.51"/>
    <x v="3"/>
    <n v="0.23"/>
    <s v="Bank Transfer"/>
    <n v="27.66"/>
    <x v="0"/>
    <x v="1"/>
    <s v="Not Returned"/>
    <s v="FedEx"/>
    <x v="1"/>
    <s v="Medium"/>
    <n v="2442"/>
    <n v="562"/>
    <n v="1880"/>
  </r>
  <r>
    <d v="2025-02-02T00:00:00"/>
    <s v="SKU_1743"/>
    <x v="529"/>
    <s v="Headphones"/>
    <n v="33"/>
    <n v="53.49"/>
    <x v="10"/>
    <n v="0.42"/>
    <s v="Paypal"/>
    <n v="5.64"/>
    <x v="1"/>
    <x v="0"/>
    <s v="Not Returned"/>
    <s v="FedEx"/>
    <x v="1"/>
    <s v="Medium"/>
    <n v="1765"/>
    <n v="741"/>
    <n v="1024"/>
  </r>
  <r>
    <d v="2025-02-02T00:00:00"/>
    <s v="SKU_1053"/>
    <x v="530"/>
    <s v="Blue Pen"/>
    <n v="37"/>
    <n v="2.66"/>
    <x v="4"/>
    <n v="0.46"/>
    <s v="Paypal"/>
    <n v="27.47"/>
    <x v="4"/>
    <x v="1"/>
    <s v="Not Returned"/>
    <s v="UPS"/>
    <x v="3"/>
    <s v="Low"/>
    <n v="98"/>
    <n v="45"/>
    <n v="53"/>
  </r>
  <r>
    <d v="2025-02-02T00:00:00"/>
    <s v="SKU_1035"/>
    <x v="531"/>
    <s v="USB Cable"/>
    <n v="29"/>
    <n v="7.42"/>
    <x v="9"/>
    <n v="0.22"/>
    <s v="Bank Transfer"/>
    <n v="14.92"/>
    <x v="1"/>
    <x v="1"/>
    <s v="Not Returned"/>
    <s v="Royal Mail"/>
    <x v="3"/>
    <s v="Medium"/>
    <n v="215"/>
    <n v="47"/>
    <n v="168"/>
  </r>
  <r>
    <d v="2025-02-02T00:00:00"/>
    <s v="SKU_1699"/>
    <x v="532"/>
    <s v="USB Cable"/>
    <n v="18"/>
    <n v="84.2"/>
    <x v="4"/>
    <n v="0.33"/>
    <s v="Bank Transfer"/>
    <n v="22.18"/>
    <x v="3"/>
    <x v="1"/>
    <s v="Not Returned"/>
    <s v="Royal Mail"/>
    <x v="2"/>
    <s v="Low"/>
    <n v="1516"/>
    <n v="500"/>
    <n v="1016"/>
  </r>
  <r>
    <d v="2025-02-02T00:00:00"/>
    <s v="SKU_1585"/>
    <x v="533"/>
    <s v="Notebook"/>
    <n v="32"/>
    <n v="89.09"/>
    <x v="5"/>
    <n v="0.08"/>
    <s v="Bank Transfer"/>
    <n v="16.940000000000001"/>
    <x v="3"/>
    <x v="0"/>
    <s v="Not Returned"/>
    <s v="Royal Mail"/>
    <x v="2"/>
    <s v="High"/>
    <n v="2851"/>
    <n v="228"/>
    <n v="2623"/>
  </r>
  <r>
    <d v="2025-02-02T00:00:00"/>
    <s v="SKU_1299"/>
    <x v="534"/>
    <s v="Backpack"/>
    <n v="17"/>
    <n v="65.66"/>
    <x v="7"/>
    <n v="7.0000000000000007E-2"/>
    <s v="Paypal"/>
    <n v="18.079999999999998"/>
    <x v="0"/>
    <x v="1"/>
    <s v="Not Returned"/>
    <s v="Royal Mail"/>
    <x v="2"/>
    <s v="Medium"/>
    <n v="1116"/>
    <n v="78"/>
    <n v="1038"/>
  </r>
  <r>
    <d v="2025-02-02T00:00:00"/>
    <s v="SKU_1288"/>
    <x v="535"/>
    <s v="Headphones"/>
    <n v="1"/>
    <n v="79.09"/>
    <x v="9"/>
    <n v="0.31"/>
    <s v="Bank Transfer"/>
    <n v="17.04"/>
    <x v="0"/>
    <x v="0"/>
    <s v="Not Returned"/>
    <s v="UPS"/>
    <x v="0"/>
    <s v="High"/>
    <n v="79"/>
    <n v="25"/>
    <n v="54"/>
  </r>
  <r>
    <d v="2025-02-02T00:00:00"/>
    <s v="SKU_1310"/>
    <x v="536"/>
    <s v="Backpack"/>
    <n v="3"/>
    <n v="81.94"/>
    <x v="9"/>
    <n v="0.16"/>
    <s v="Credit Card"/>
    <n v="25.75"/>
    <x v="0"/>
    <x v="1"/>
    <s v="Not Returned"/>
    <s v="UPS"/>
    <x v="4"/>
    <s v="High"/>
    <n v="246"/>
    <n v="39"/>
    <n v="207"/>
  </r>
  <r>
    <d v="2025-02-02T00:00:00"/>
    <s v="SKU_1457"/>
    <x v="537"/>
    <s v="Notebook"/>
    <n v="29"/>
    <n v="58.15"/>
    <x v="9"/>
    <n v="0.37"/>
    <s v="Bank Transfer"/>
    <n v="12.39"/>
    <x v="1"/>
    <x v="0"/>
    <s v="Not Returned"/>
    <s v="DHL"/>
    <x v="4"/>
    <s v="Medium"/>
    <n v="1686"/>
    <n v="624"/>
    <n v="1062"/>
  </r>
  <r>
    <d v="2025-02-02T00:00:00"/>
    <s v="SKU_1555"/>
    <x v="538"/>
    <s v="Desk Lamp"/>
    <n v="45"/>
    <n v="35.97"/>
    <x v="1"/>
    <n v="0.47"/>
    <s v="Paypal"/>
    <n v="21.85"/>
    <x v="4"/>
    <x v="1"/>
    <s v="Not Returned"/>
    <s v="FedEx"/>
    <x v="4"/>
    <s v="Medium"/>
    <n v="1619"/>
    <n v="761"/>
    <n v="858"/>
  </r>
  <r>
    <d v="2025-02-02T00:00:00"/>
    <s v="SKU_1050"/>
    <x v="539"/>
    <s v="Headphones"/>
    <n v="38"/>
    <n v="36.86"/>
    <x v="1"/>
    <n v="0.08"/>
    <s v="Credit Card"/>
    <n v="11.28"/>
    <x v="0"/>
    <x v="1"/>
    <s v="Not Returned"/>
    <s v="FedEx"/>
    <x v="4"/>
    <s v="High"/>
    <n v="1401"/>
    <n v="112"/>
    <n v="1289"/>
  </r>
  <r>
    <d v="2025-02-02T00:00:00"/>
    <s v="SKU_1508"/>
    <x v="540"/>
    <s v="Notebook"/>
    <n v="30"/>
    <n v="94.84"/>
    <x v="4"/>
    <n v="0.14000000000000001"/>
    <s v="Bank Transfer"/>
    <n v="11.13"/>
    <x v="2"/>
    <x v="1"/>
    <s v="Not Returned"/>
    <s v="DHL"/>
    <x v="4"/>
    <s v="Medium"/>
    <n v="2845"/>
    <n v="398"/>
    <n v="2447"/>
  </r>
  <r>
    <d v="2025-02-03T00:00:00"/>
    <s v="SKU_1341"/>
    <x v="541"/>
    <s v="Backpack"/>
    <n v="8"/>
    <n v="69.989999999999995"/>
    <x v="10"/>
    <n v="0.05"/>
    <s v="Paypal"/>
    <n v="12.86"/>
    <x v="0"/>
    <x v="1"/>
    <s v="Not Returned"/>
    <s v="Royal Mail"/>
    <x v="4"/>
    <s v="Medium"/>
    <n v="560"/>
    <n v="28"/>
    <n v="532"/>
  </r>
  <r>
    <d v="2025-02-03T00:00:00"/>
    <s v="SKU_1562"/>
    <x v="542"/>
    <s v="Office Chair"/>
    <n v="35"/>
    <n v="79.62"/>
    <x v="3"/>
    <n v="0.49"/>
    <s v="Paypal"/>
    <n v="5.35"/>
    <x v="3"/>
    <x v="1"/>
    <s v="Returned"/>
    <s v="UPS"/>
    <x v="3"/>
    <s v="Medium"/>
    <n v="2787"/>
    <n v="1365"/>
    <n v="1422"/>
  </r>
  <r>
    <d v="2025-02-03T00:00:00"/>
    <s v="SKU_1982"/>
    <x v="543"/>
    <s v="Wireless Mouse"/>
    <n v="3"/>
    <n v="75.099999999999994"/>
    <x v="6"/>
    <n v="0.28000000000000003"/>
    <s v="Bank Transfer"/>
    <n v="16.72"/>
    <x v="4"/>
    <x v="1"/>
    <s v="Not Returned"/>
    <s v="DHL"/>
    <x v="2"/>
    <s v="High"/>
    <n v="225"/>
    <n v="63"/>
    <n v="162"/>
  </r>
  <r>
    <d v="2025-02-03T00:00:00"/>
    <s v="SKU_1646"/>
    <x v="544"/>
    <s v="Blue Pen"/>
    <n v="9"/>
    <n v="78.25"/>
    <x v="2"/>
    <n v="0.28999999999999998"/>
    <s v="Credit Card"/>
    <n v="13.52"/>
    <x v="4"/>
    <x v="0"/>
    <s v="Not Returned"/>
    <s v="UPS"/>
    <x v="1"/>
    <s v="Medium"/>
    <n v="704"/>
    <n v="204"/>
    <n v="500"/>
  </r>
  <r>
    <d v="2025-02-03T00:00:00"/>
    <s v="SKU_1724"/>
    <x v="545"/>
    <s v="Backpack"/>
    <n v="1"/>
    <n v="71.78"/>
    <x v="9"/>
    <n v="0.12"/>
    <s v="Credit Card"/>
    <n v="17.82"/>
    <x v="0"/>
    <x v="0"/>
    <s v="Not Returned"/>
    <s v="Royal Mail"/>
    <x v="2"/>
    <s v="Medium"/>
    <n v="72"/>
    <n v="9"/>
    <n v="63"/>
  </r>
  <r>
    <d v="2025-02-03T00:00:00"/>
    <s v="SKU_1384"/>
    <x v="546"/>
    <s v="Wall Clock"/>
    <n v="33"/>
    <n v="8.31"/>
    <x v="3"/>
    <n v="0.06"/>
    <s v="Paypal"/>
    <n v="11.42"/>
    <x v="3"/>
    <x v="1"/>
    <s v="Not Returned"/>
    <s v="DHL"/>
    <x v="1"/>
    <s v="Medium"/>
    <n v="274"/>
    <n v="16"/>
    <n v="258"/>
  </r>
  <r>
    <d v="2025-02-03T00:00:00"/>
    <s v="SKU_1652"/>
    <x v="547"/>
    <s v="Blue Pen"/>
    <n v="4"/>
    <n v="63.04"/>
    <x v="9"/>
    <n v="0.33"/>
    <s v="Credit Card"/>
    <n v="23.72"/>
    <x v="1"/>
    <x v="0"/>
    <s v="Not Returned"/>
    <s v="FedEx"/>
    <x v="0"/>
    <s v="High"/>
    <n v="252"/>
    <n v="83"/>
    <n v="169"/>
  </r>
  <r>
    <d v="2025-02-03T00:00:00"/>
    <s v="SKU_1894"/>
    <x v="548"/>
    <s v="Headphones"/>
    <n v="15"/>
    <n v="25.82"/>
    <x v="5"/>
    <n v="0.04"/>
    <s v="Bank Transfer"/>
    <n v="16.38"/>
    <x v="3"/>
    <x v="0"/>
    <s v="Not Returned"/>
    <s v="FedEx"/>
    <x v="3"/>
    <s v="Low"/>
    <n v="387"/>
    <n v="15"/>
    <n v="372"/>
  </r>
  <r>
    <d v="2025-02-03T00:00:00"/>
    <s v="SKU_1750"/>
    <x v="549"/>
    <s v="White Mug"/>
    <n v="6"/>
    <n v="1.17"/>
    <x v="2"/>
    <n v="7.0000000000000007E-2"/>
    <s v="Paypal"/>
    <n v="5.55"/>
    <x v="2"/>
    <x v="0"/>
    <s v="Returned"/>
    <s v="UPS"/>
    <x v="4"/>
    <s v="Low"/>
    <n v="7"/>
    <n v="0"/>
    <n v="7"/>
  </r>
  <r>
    <d v="2025-02-03T00:00:00"/>
    <s v="SKU_1851"/>
    <x v="550"/>
    <s v="Backpack"/>
    <n v="42"/>
    <n v="48.88"/>
    <x v="3"/>
    <n v="0.31"/>
    <s v="Paypal"/>
    <n v="21.91"/>
    <x v="0"/>
    <x v="0"/>
    <s v="Not Returned"/>
    <s v="UPS"/>
    <x v="4"/>
    <s v="High"/>
    <n v="2053"/>
    <n v="636"/>
    <n v="1417"/>
  </r>
  <r>
    <d v="2025-02-03T00:00:00"/>
    <s v="SKU_1686"/>
    <x v="551"/>
    <s v="USB Cable"/>
    <n v="35"/>
    <n v="8.9"/>
    <x v="11"/>
    <n v="0.09"/>
    <s v="Paypal"/>
    <n v="21.9"/>
    <x v="4"/>
    <x v="0"/>
    <s v="Not Returned"/>
    <s v="Royal Mail"/>
    <x v="4"/>
    <s v="High"/>
    <n v="312"/>
    <n v="28"/>
    <n v="284"/>
  </r>
  <r>
    <d v="2025-02-03T00:00:00"/>
    <s v="SKU_1558"/>
    <x v="552"/>
    <s v="Headphones"/>
    <n v="34"/>
    <n v="10.119999999999999"/>
    <x v="9"/>
    <n v="0.19"/>
    <s v="Paypal"/>
    <n v="12.73"/>
    <x v="1"/>
    <x v="0"/>
    <s v="Not Returned"/>
    <s v="FedEx"/>
    <x v="2"/>
    <s v="Low"/>
    <n v="344"/>
    <n v="65"/>
    <n v="279"/>
  </r>
  <r>
    <d v="2025-02-03T00:00:00"/>
    <s v="SKU_1265"/>
    <x v="553"/>
    <s v="Notebook"/>
    <n v="27"/>
    <n v="50.55"/>
    <x v="3"/>
    <n v="0.4"/>
    <s v="Credit Card"/>
    <n v="28.95"/>
    <x v="0"/>
    <x v="0"/>
    <s v="Not Returned"/>
    <s v="UPS"/>
    <x v="3"/>
    <s v="Low"/>
    <n v="1365"/>
    <n v="546"/>
    <n v="819"/>
  </r>
  <r>
    <d v="2025-02-03T00:00:00"/>
    <s v="SKU_1025"/>
    <x v="554"/>
    <s v="White Mug"/>
    <n v="42"/>
    <n v="71.37"/>
    <x v="9"/>
    <n v="0.2"/>
    <s v="Paypal"/>
    <n v="24.06"/>
    <x v="4"/>
    <x v="0"/>
    <s v="Not Returned"/>
    <s v="DHL"/>
    <x v="2"/>
    <s v="High"/>
    <n v="2998"/>
    <n v="600"/>
    <n v="2398"/>
  </r>
  <r>
    <d v="2025-02-03T00:00:00"/>
    <s v="SKU_1049"/>
    <x v="555"/>
    <s v="Wall Clock"/>
    <n v="13"/>
    <n v="53.36"/>
    <x v="10"/>
    <n v="0.19"/>
    <s v="Credit Card"/>
    <n v="10.44"/>
    <x v="0"/>
    <x v="1"/>
    <s v="Not Returned"/>
    <s v="Royal Mail"/>
    <x v="1"/>
    <s v="Low"/>
    <n v="694"/>
    <n v="132"/>
    <n v="562"/>
  </r>
  <r>
    <d v="2025-02-03T00:00:00"/>
    <s v="SKU_1942"/>
    <x v="556"/>
    <s v="T-shirt"/>
    <n v="41"/>
    <n v="52.83"/>
    <x v="2"/>
    <n v="0.12"/>
    <s v="Paypal"/>
    <n v="23.27"/>
    <x v="0"/>
    <x v="1"/>
    <s v="Not Returned"/>
    <s v="FedEx"/>
    <x v="3"/>
    <s v="Medium"/>
    <n v="2166"/>
    <n v="260"/>
    <n v="1906"/>
  </r>
  <r>
    <d v="2025-02-03T00:00:00"/>
    <s v="SKU_1939"/>
    <x v="557"/>
    <s v="Desk Lamp"/>
    <n v="22"/>
    <n v="8.6199999999999992"/>
    <x v="8"/>
    <n v="7.0000000000000007E-2"/>
    <s v="Paypal"/>
    <n v="18.03"/>
    <x v="3"/>
    <x v="0"/>
    <s v="Not Returned"/>
    <s v="DHL"/>
    <x v="2"/>
    <s v="Low"/>
    <n v="190"/>
    <n v="13"/>
    <n v="177"/>
  </r>
  <r>
    <d v="2025-02-03T00:00:00"/>
    <s v="SKU_1640"/>
    <x v="558"/>
    <s v="Notebook"/>
    <n v="40"/>
    <n v="71.47"/>
    <x v="2"/>
    <n v="0.17"/>
    <s v="Credit Card"/>
    <n v="27.75"/>
    <x v="0"/>
    <x v="0"/>
    <s v="Not Returned"/>
    <s v="FedEx"/>
    <x v="0"/>
    <s v="Low"/>
    <n v="2859"/>
    <n v="486"/>
    <n v="2373"/>
  </r>
  <r>
    <d v="2025-02-03T00:00:00"/>
    <s v="SKU_1364"/>
    <x v="559"/>
    <s v="Desk Lamp"/>
    <n v="29"/>
    <n v="19.86"/>
    <x v="3"/>
    <n v="0.31"/>
    <s v="Credit Card"/>
    <n v="23.32"/>
    <x v="1"/>
    <x v="0"/>
    <s v="Not Returned"/>
    <s v="FedEx"/>
    <x v="3"/>
    <s v="Low"/>
    <n v="576"/>
    <n v="179"/>
    <n v="397"/>
  </r>
  <r>
    <d v="2025-02-03T00:00:00"/>
    <s v="SKU_1830"/>
    <x v="560"/>
    <s v="White Mug"/>
    <n v="37"/>
    <n v="43.68"/>
    <x v="11"/>
    <n v="0.06"/>
    <s v="Credit Card"/>
    <n v="20.86"/>
    <x v="0"/>
    <x v="1"/>
    <s v="Not Returned"/>
    <s v="Royal Mail"/>
    <x v="4"/>
    <s v="High"/>
    <n v="1616"/>
    <n v="97"/>
    <n v="1519"/>
  </r>
  <r>
    <d v="2025-02-04T00:00:00"/>
    <s v="SKU_1144"/>
    <x v="561"/>
    <s v="Headphones"/>
    <n v="43"/>
    <n v="80.34"/>
    <x v="0"/>
    <n v="0.27"/>
    <s v="Bank Transfer"/>
    <n v="29.93"/>
    <x v="1"/>
    <x v="1"/>
    <s v="Not Returned"/>
    <s v="UPS"/>
    <x v="4"/>
    <s v="Medium"/>
    <n v="3455"/>
    <n v="933"/>
    <n v="2522"/>
  </r>
  <r>
    <d v="2025-02-04T00:00:00"/>
    <s v="SKU_1144"/>
    <x v="562"/>
    <s v="Blue Pen"/>
    <n v="45"/>
    <n v="97.53"/>
    <x v="8"/>
    <n v="0.18"/>
    <s v="Credit Card"/>
    <n v="5.65"/>
    <x v="2"/>
    <x v="1"/>
    <s v="Not Returned"/>
    <s v="UPS"/>
    <x v="4"/>
    <s v="High"/>
    <n v="4389"/>
    <n v="790"/>
    <n v="3599"/>
  </r>
  <r>
    <d v="2025-02-04T00:00:00"/>
    <s v="SKU_1166"/>
    <x v="563"/>
    <s v="Desk Lamp"/>
    <n v="12"/>
    <n v="63.64"/>
    <x v="8"/>
    <n v="7.0000000000000007E-2"/>
    <s v="Bank Transfer"/>
    <n v="15.36"/>
    <x v="0"/>
    <x v="0"/>
    <s v="Not Returned"/>
    <s v="FedEx"/>
    <x v="0"/>
    <s v="Medium"/>
    <n v="764"/>
    <n v="53"/>
    <n v="711"/>
  </r>
  <r>
    <d v="2025-02-04T00:00:00"/>
    <s v="SKU_1042"/>
    <x v="564"/>
    <s v="Wall Clock"/>
    <n v="41"/>
    <n v="54.41"/>
    <x v="6"/>
    <n v="0.41"/>
    <s v="Bank Transfer"/>
    <n v="20.79"/>
    <x v="4"/>
    <x v="1"/>
    <s v="Not Returned"/>
    <s v="Royal Mail"/>
    <x v="4"/>
    <s v="Low"/>
    <n v="2231"/>
    <n v="915"/>
    <n v="1316"/>
  </r>
  <r>
    <d v="2025-02-04T00:00:00"/>
    <s v="SKU_1971"/>
    <x v="565"/>
    <s v="Blue Pen"/>
    <n v="5"/>
    <n v="65.31"/>
    <x v="5"/>
    <n v="0.23"/>
    <s v="Paypal"/>
    <n v="29.78"/>
    <x v="4"/>
    <x v="0"/>
    <s v="Not Returned"/>
    <s v="FedEx"/>
    <x v="4"/>
    <s v="Low"/>
    <n v="327"/>
    <n v="75"/>
    <n v="252"/>
  </r>
  <r>
    <d v="2025-02-04T00:00:00"/>
    <s v="SKU_1552"/>
    <x v="566"/>
    <s v="Backpack"/>
    <n v="5"/>
    <n v="59.92"/>
    <x v="7"/>
    <n v="0.11"/>
    <s v="Bank Transfer"/>
    <n v="8.52"/>
    <x v="3"/>
    <x v="0"/>
    <s v="Not Returned"/>
    <s v="DHL"/>
    <x v="0"/>
    <s v="Low"/>
    <n v="300"/>
    <n v="33"/>
    <n v="267"/>
  </r>
  <r>
    <d v="2025-02-04T00:00:00"/>
    <s v="SKU_1014"/>
    <x v="567"/>
    <s v="Notebook"/>
    <n v="26"/>
    <n v="81.98"/>
    <x v="2"/>
    <n v="0.21"/>
    <s v="Credit Card"/>
    <n v="22.38"/>
    <x v="4"/>
    <x v="1"/>
    <s v="Not Returned"/>
    <s v="Royal Mail"/>
    <x v="0"/>
    <s v="High"/>
    <n v="2131"/>
    <n v="448"/>
    <n v="1683"/>
  </r>
  <r>
    <d v="2025-02-04T00:00:00"/>
    <s v="SKU_1128"/>
    <x v="568"/>
    <s v="White Mug"/>
    <n v="26"/>
    <n v="93.44"/>
    <x v="1"/>
    <n v="0.4"/>
    <s v="Bank Transfer"/>
    <n v="11.59"/>
    <x v="1"/>
    <x v="0"/>
    <s v="Not Returned"/>
    <s v="FedEx"/>
    <x v="1"/>
    <s v="Medium"/>
    <n v="2429"/>
    <n v="972"/>
    <n v="1457"/>
  </r>
  <r>
    <d v="2025-02-04T00:00:00"/>
    <s v="SKU_1057"/>
    <x v="569"/>
    <s v="Wireless Mouse"/>
    <n v="10"/>
    <n v="24.49"/>
    <x v="9"/>
    <n v="0.1"/>
    <s v="Credit Card"/>
    <n v="20.399999999999999"/>
    <x v="2"/>
    <x v="1"/>
    <s v="Not Returned"/>
    <s v="DHL"/>
    <x v="2"/>
    <s v="Low"/>
    <n v="245"/>
    <n v="24"/>
    <n v="221"/>
  </r>
  <r>
    <d v="2025-02-04T00:00:00"/>
    <s v="SKU_1053"/>
    <x v="570"/>
    <s v="USB Cable"/>
    <n v="49"/>
    <n v="24.56"/>
    <x v="3"/>
    <n v="0.04"/>
    <s v="Paypal"/>
    <n v="13"/>
    <x v="4"/>
    <x v="1"/>
    <s v="Not Returned"/>
    <s v="FedEx"/>
    <x v="0"/>
    <s v="Medium"/>
    <n v="1203"/>
    <n v="48"/>
    <n v="1155"/>
  </r>
  <r>
    <d v="2025-02-04T00:00:00"/>
    <s v="SKU_1714"/>
    <x v="571"/>
    <s v="Headphones"/>
    <n v="7"/>
    <n v="48.27"/>
    <x v="4"/>
    <n v="0.21"/>
    <s v="Credit Card"/>
    <n v="21.11"/>
    <x v="3"/>
    <x v="0"/>
    <s v="Not Returned"/>
    <s v="Royal Mail"/>
    <x v="3"/>
    <s v="Low"/>
    <n v="338"/>
    <n v="71"/>
    <n v="267"/>
  </r>
  <r>
    <d v="2025-02-04T00:00:00"/>
    <s v="SKU_1132"/>
    <x v="572"/>
    <s v="Wireless Mouse"/>
    <n v="6"/>
    <n v="75.989999999999995"/>
    <x v="11"/>
    <n v="0.41"/>
    <s v="Credit Card"/>
    <n v="17.170000000000002"/>
    <x v="3"/>
    <x v="0"/>
    <s v="Not Returned"/>
    <s v="FedEx"/>
    <x v="4"/>
    <s v="Low"/>
    <n v="456"/>
    <n v="187"/>
    <n v="269"/>
  </r>
  <r>
    <d v="2025-02-04T00:00:00"/>
    <s v="SKU_1573"/>
    <x v="573"/>
    <s v="Desk Lamp"/>
    <n v="2"/>
    <n v="42.98"/>
    <x v="7"/>
    <n v="0.27"/>
    <s v="Bank Transfer"/>
    <n v="16.329999999999998"/>
    <x v="2"/>
    <x v="0"/>
    <s v="Not Returned"/>
    <s v="UPS"/>
    <x v="4"/>
    <s v="Low"/>
    <n v="86"/>
    <n v="23"/>
    <n v="63"/>
  </r>
  <r>
    <d v="2025-02-04T00:00:00"/>
    <s v="SKU_1242"/>
    <x v="574"/>
    <s v="Backpack"/>
    <n v="15"/>
    <n v="78.98"/>
    <x v="4"/>
    <n v="0.42"/>
    <s v="Bank Transfer"/>
    <n v="11.33"/>
    <x v="4"/>
    <x v="0"/>
    <s v="Not Returned"/>
    <s v="Royal Mail"/>
    <x v="0"/>
    <s v="Medium"/>
    <n v="1185"/>
    <n v="498"/>
    <n v="687"/>
  </r>
  <r>
    <d v="2025-02-04T00:00:00"/>
    <s v="SKU_1209"/>
    <x v="575"/>
    <s v="Wall Clock"/>
    <n v="32"/>
    <n v="11.83"/>
    <x v="11"/>
    <n v="0.08"/>
    <s v="Credit Card"/>
    <n v="10.68"/>
    <x v="1"/>
    <x v="1"/>
    <s v="Returned"/>
    <s v="DHL"/>
    <x v="2"/>
    <s v="High"/>
    <n v="379"/>
    <n v="30"/>
    <n v="349"/>
  </r>
  <r>
    <d v="2025-02-04T00:00:00"/>
    <s v="SKU_1241"/>
    <x v="576"/>
    <s v="T-shirt"/>
    <n v="2"/>
    <n v="2.13"/>
    <x v="0"/>
    <n v="0.06"/>
    <s v="Credit Card"/>
    <n v="14.09"/>
    <x v="2"/>
    <x v="1"/>
    <s v="Not Returned"/>
    <s v="UPS"/>
    <x v="2"/>
    <s v="Medium"/>
    <n v="4"/>
    <n v="0"/>
    <n v="4"/>
  </r>
  <r>
    <d v="2025-02-04T00:00:00"/>
    <s v="SKU_1382"/>
    <x v="577"/>
    <s v="Headphones"/>
    <n v="31"/>
    <n v="45.03"/>
    <x v="0"/>
    <n v="0.36"/>
    <s v="Paypal"/>
    <n v="24.01"/>
    <x v="3"/>
    <x v="0"/>
    <s v="Not Returned"/>
    <s v="Royal Mail"/>
    <x v="0"/>
    <s v="Medium"/>
    <n v="1396"/>
    <n v="503"/>
    <n v="893"/>
  </r>
  <r>
    <d v="2025-02-04T00:00:00"/>
    <s v="SKU_1209"/>
    <x v="578"/>
    <s v="Blue Pen"/>
    <n v="43"/>
    <n v="8.77"/>
    <x v="2"/>
    <n v="7.0000000000000007E-2"/>
    <s v="Paypal"/>
    <n v="7.89"/>
    <x v="1"/>
    <x v="0"/>
    <s v="Not Returned"/>
    <s v="Royal Mail"/>
    <x v="0"/>
    <s v="Medium"/>
    <n v="377"/>
    <n v="26"/>
    <n v="351"/>
  </r>
  <r>
    <d v="2025-02-04T00:00:00"/>
    <s v="SKU_1214"/>
    <x v="579"/>
    <s v="Office Chair"/>
    <n v="1"/>
    <n v="99.65"/>
    <x v="10"/>
    <n v="0.23"/>
    <s v="Paypal"/>
    <n v="25.65"/>
    <x v="2"/>
    <x v="1"/>
    <s v="Not Returned"/>
    <s v="Royal Mail"/>
    <x v="2"/>
    <s v="Low"/>
    <n v="100"/>
    <n v="23"/>
    <n v="77"/>
  </r>
  <r>
    <d v="2025-02-04T00:00:00"/>
    <s v="SKU_1243"/>
    <x v="580"/>
    <s v="Backpack"/>
    <n v="11"/>
    <n v="47.27"/>
    <x v="5"/>
    <n v="0.38"/>
    <s v="Bank Transfer"/>
    <n v="20.94"/>
    <x v="3"/>
    <x v="1"/>
    <s v="Not Returned"/>
    <s v="FedEx"/>
    <x v="3"/>
    <s v="Medium"/>
    <n v="520"/>
    <n v="198"/>
    <n v="322"/>
  </r>
  <r>
    <d v="2025-02-04T00:00:00"/>
    <s v="SKU_1070"/>
    <x v="581"/>
    <s v="T-shirt"/>
    <n v="18"/>
    <n v="20.96"/>
    <x v="8"/>
    <n v="0.28000000000000003"/>
    <s v="Paypal"/>
    <n v="28.07"/>
    <x v="0"/>
    <x v="0"/>
    <s v="Not Returned"/>
    <s v="DHL"/>
    <x v="4"/>
    <s v="High"/>
    <n v="377"/>
    <n v="106"/>
    <n v="271"/>
  </r>
  <r>
    <d v="2025-02-04T00:00:00"/>
    <s v="SKU_1813"/>
    <x v="582"/>
    <s v="Headphones"/>
    <n v="39"/>
    <n v="90.04"/>
    <x v="7"/>
    <n v="0.25"/>
    <s v="Credit Card"/>
    <n v="23.77"/>
    <x v="0"/>
    <x v="0"/>
    <s v="Not Returned"/>
    <s v="FedEx"/>
    <x v="2"/>
    <s v="Medium"/>
    <n v="3512"/>
    <n v="878"/>
    <n v="2634"/>
  </r>
  <r>
    <d v="2025-02-04T00:00:00"/>
    <s v="SKU_1089"/>
    <x v="583"/>
    <s v="White Mug"/>
    <n v="1"/>
    <n v="82.94"/>
    <x v="11"/>
    <n v="0.14000000000000001"/>
    <s v="Credit Card"/>
    <n v="15.71"/>
    <x v="1"/>
    <x v="0"/>
    <s v="Not Returned"/>
    <s v="Royal Mail"/>
    <x v="1"/>
    <s v="High"/>
    <n v="83"/>
    <n v="12"/>
    <n v="71"/>
  </r>
  <r>
    <d v="2025-02-05T00:00:00"/>
    <s v="SKU_1448"/>
    <x v="584"/>
    <s v="Desk Lamp"/>
    <n v="25"/>
    <n v="81.92"/>
    <x v="5"/>
    <n v="0.27"/>
    <s v="Bank Transfer"/>
    <n v="13.95"/>
    <x v="0"/>
    <x v="1"/>
    <s v="Not Returned"/>
    <s v="DHL"/>
    <x v="4"/>
    <s v="High"/>
    <n v="2048"/>
    <n v="553"/>
    <n v="1495"/>
  </r>
  <r>
    <d v="2025-02-05T00:00:00"/>
    <s v="SKU_1155"/>
    <x v="585"/>
    <s v="Blue Pen"/>
    <n v="34"/>
    <n v="20.48"/>
    <x v="6"/>
    <n v="0.34"/>
    <s v="Paypal"/>
    <n v="26.14"/>
    <x v="1"/>
    <x v="0"/>
    <s v="Not Returned"/>
    <s v="DHL"/>
    <x v="1"/>
    <s v="Medium"/>
    <n v="696"/>
    <n v="237"/>
    <n v="459"/>
  </r>
  <r>
    <d v="2025-02-05T00:00:00"/>
    <s v="SKU_1377"/>
    <x v="586"/>
    <s v="Blue Pen"/>
    <n v="3"/>
    <n v="95.41"/>
    <x v="1"/>
    <n v="0.01"/>
    <s v="Paypal"/>
    <n v="15.39"/>
    <x v="1"/>
    <x v="1"/>
    <s v="Not Returned"/>
    <s v="UPS"/>
    <x v="4"/>
    <s v="Medium"/>
    <n v="286"/>
    <n v="3"/>
    <n v="283"/>
  </r>
  <r>
    <d v="2025-02-05T00:00:00"/>
    <s v="SKU_1083"/>
    <x v="587"/>
    <s v="Blue Pen"/>
    <n v="39"/>
    <n v="26.06"/>
    <x v="7"/>
    <n v="0.25"/>
    <s v="Paypal"/>
    <n v="8.7200000000000006"/>
    <x v="3"/>
    <x v="1"/>
    <s v="Not Returned"/>
    <s v="DHL"/>
    <x v="3"/>
    <s v="High"/>
    <n v="1016"/>
    <n v="254"/>
    <n v="762"/>
  </r>
  <r>
    <d v="2025-02-05T00:00:00"/>
    <s v="SKU_1424"/>
    <x v="588"/>
    <s v="Blue Pen"/>
    <n v="41"/>
    <n v="38.75"/>
    <x v="9"/>
    <n v="0.48"/>
    <s v="Bank Transfer"/>
    <n v="19.18"/>
    <x v="0"/>
    <x v="0"/>
    <s v="Not Returned"/>
    <s v="DHL"/>
    <x v="3"/>
    <s v="High"/>
    <n v="1589"/>
    <n v="763"/>
    <n v="826"/>
  </r>
  <r>
    <d v="2025-02-05T00:00:00"/>
    <s v="SKU_1671"/>
    <x v="589"/>
    <s v="T-shirt"/>
    <n v="31"/>
    <n v="78.98"/>
    <x v="9"/>
    <n v="0.48"/>
    <s v="Bank Transfer"/>
    <n v="11.83"/>
    <x v="0"/>
    <x v="1"/>
    <s v="Not Returned"/>
    <s v="UPS"/>
    <x v="0"/>
    <s v="Low"/>
    <n v="2448"/>
    <n v="1175"/>
    <n v="1273"/>
  </r>
  <r>
    <d v="2025-02-05T00:00:00"/>
    <s v="SKU_1953"/>
    <x v="590"/>
    <s v="White Mug"/>
    <n v="34"/>
    <n v="23.71"/>
    <x v="9"/>
    <n v="0.5"/>
    <s v="Bank Transfer"/>
    <n v="18.55"/>
    <x v="4"/>
    <x v="1"/>
    <s v="Not Returned"/>
    <s v="FedEx"/>
    <x v="2"/>
    <s v="High"/>
    <n v="806"/>
    <n v="403"/>
    <n v="403"/>
  </r>
  <r>
    <d v="2025-02-05T00:00:00"/>
    <s v="SKU_1485"/>
    <x v="591"/>
    <s v="USB Cable"/>
    <n v="19"/>
    <n v="89.18"/>
    <x v="0"/>
    <n v="7.0000000000000007E-2"/>
    <s v="Paypal"/>
    <n v="8.9499999999999993"/>
    <x v="2"/>
    <x v="1"/>
    <s v="Not Returned"/>
    <s v="FedEx"/>
    <x v="3"/>
    <s v="High"/>
    <n v="1694"/>
    <n v="119"/>
    <n v="1575"/>
  </r>
  <r>
    <d v="2025-02-05T00:00:00"/>
    <s v="SKU_1934"/>
    <x v="592"/>
    <s v="Wireless Mouse"/>
    <n v="48"/>
    <n v="9.94"/>
    <x v="1"/>
    <n v="0.17"/>
    <s v="Bank Transfer"/>
    <n v="19.18"/>
    <x v="3"/>
    <x v="1"/>
    <s v="Not Returned"/>
    <s v="Royal Mail"/>
    <x v="3"/>
    <s v="Medium"/>
    <n v="477"/>
    <n v="81"/>
    <n v="396"/>
  </r>
  <r>
    <d v="2025-02-05T00:00:00"/>
    <s v="SKU_1081"/>
    <x v="593"/>
    <s v="Notebook"/>
    <n v="30"/>
    <n v="98.89"/>
    <x v="8"/>
    <n v="0.2"/>
    <s v="Bank Transfer"/>
    <n v="6.59"/>
    <x v="1"/>
    <x v="1"/>
    <s v="Not Returned"/>
    <s v="DHL"/>
    <x v="1"/>
    <s v="Low"/>
    <n v="2967"/>
    <n v="593"/>
    <n v="2374"/>
  </r>
  <r>
    <d v="2025-02-05T00:00:00"/>
    <s v="SKU_1800"/>
    <x v="594"/>
    <s v="Backpack"/>
    <n v="28"/>
    <n v="96.04"/>
    <x v="10"/>
    <n v="0.38"/>
    <s v="Credit Card"/>
    <n v="14.98"/>
    <x v="4"/>
    <x v="0"/>
    <s v="Not Returned"/>
    <s v="Royal Mail"/>
    <x v="2"/>
    <s v="Medium"/>
    <n v="2689"/>
    <n v="1022"/>
    <n v="1667"/>
  </r>
  <r>
    <d v="2025-02-05T00:00:00"/>
    <s v="SKU_1185"/>
    <x v="595"/>
    <s v="Blue Pen"/>
    <n v="42"/>
    <n v="39.18"/>
    <x v="4"/>
    <n v="0.18"/>
    <s v="Paypal"/>
    <n v="17.510000000000002"/>
    <x v="0"/>
    <x v="0"/>
    <s v="Not Returned"/>
    <s v="Royal Mail"/>
    <x v="0"/>
    <s v="Medium"/>
    <n v="1646"/>
    <n v="296"/>
    <n v="1350"/>
  </r>
  <r>
    <d v="2025-02-05T00:00:00"/>
    <s v="SKU_1088"/>
    <x v="596"/>
    <s v="Backpack"/>
    <n v="35"/>
    <n v="87.14"/>
    <x v="11"/>
    <n v="0.46"/>
    <s v="Paypal"/>
    <n v="17.149999999999999"/>
    <x v="4"/>
    <x v="1"/>
    <s v="Not Returned"/>
    <s v="FedEx"/>
    <x v="0"/>
    <s v="Low"/>
    <n v="3050"/>
    <n v="1403"/>
    <n v="1647"/>
  </r>
  <r>
    <d v="2025-02-05T00:00:00"/>
    <s v="SKU_1159"/>
    <x v="597"/>
    <s v="Wireless Mouse"/>
    <n v="36"/>
    <n v="84.19"/>
    <x v="8"/>
    <n v="0.38"/>
    <s v="Bank Transfer"/>
    <n v="25.7"/>
    <x v="4"/>
    <x v="0"/>
    <s v="Not Returned"/>
    <s v="FedEx"/>
    <x v="0"/>
    <s v="Medium"/>
    <n v="3031"/>
    <n v="1152"/>
    <n v="1879"/>
  </r>
  <r>
    <d v="2025-02-05T00:00:00"/>
    <s v="SKU_1561"/>
    <x v="598"/>
    <s v="Wall Clock"/>
    <n v="1"/>
    <n v="74.209999999999994"/>
    <x v="8"/>
    <n v="0.41"/>
    <s v="Credit Card"/>
    <n v="22.48"/>
    <x v="1"/>
    <x v="0"/>
    <s v="Not Returned"/>
    <s v="UPS"/>
    <x v="3"/>
    <s v="High"/>
    <n v="74"/>
    <n v="30"/>
    <n v="44"/>
  </r>
  <r>
    <d v="2025-02-05T00:00:00"/>
    <s v="SKU_1178"/>
    <x v="599"/>
    <s v="Wireless Mouse"/>
    <n v="35"/>
    <n v="89.87"/>
    <x v="3"/>
    <n v="0.34"/>
    <s v="Credit Card"/>
    <n v="28.76"/>
    <x v="2"/>
    <x v="1"/>
    <s v="Not Returned"/>
    <s v="UPS"/>
    <x v="4"/>
    <s v="Low"/>
    <n v="3145"/>
    <n v="1069"/>
    <n v="2076"/>
  </r>
  <r>
    <d v="2025-02-05T00:00:00"/>
    <s v="SKU_1731"/>
    <x v="600"/>
    <s v="Wireless Mouse"/>
    <n v="12"/>
    <n v="65.069999999999993"/>
    <x v="2"/>
    <n v="0.3"/>
    <s v="Credit Card"/>
    <n v="28.44"/>
    <x v="2"/>
    <x v="1"/>
    <s v="Returned"/>
    <s v="DHL"/>
    <x v="3"/>
    <s v="Medium"/>
    <n v="781"/>
    <n v="234"/>
    <n v="547"/>
  </r>
  <r>
    <d v="2025-02-05T00:00:00"/>
    <s v="SKU_1530"/>
    <x v="601"/>
    <s v="White Mug"/>
    <n v="9"/>
    <n v="20.76"/>
    <x v="5"/>
    <n v="0.41"/>
    <s v="Credit Card"/>
    <n v="25.13"/>
    <x v="4"/>
    <x v="1"/>
    <s v="Not Returned"/>
    <s v="DHL"/>
    <x v="1"/>
    <s v="Medium"/>
    <n v="187"/>
    <n v="77"/>
    <n v="110"/>
  </r>
  <r>
    <d v="2025-02-05T00:00:00"/>
    <s v="SKU_1514"/>
    <x v="602"/>
    <s v="Blue Pen"/>
    <n v="19"/>
    <n v="47.87"/>
    <x v="10"/>
    <n v="0.01"/>
    <s v="Bank Transfer"/>
    <n v="20.2"/>
    <x v="3"/>
    <x v="0"/>
    <s v="Not Returned"/>
    <s v="FedEx"/>
    <x v="2"/>
    <s v="Low"/>
    <n v="910"/>
    <n v="9"/>
    <n v="901"/>
  </r>
  <r>
    <d v="2025-02-05T00:00:00"/>
    <s v="SKU_1115"/>
    <x v="603"/>
    <s v="Backpack"/>
    <n v="29"/>
    <n v="3.49"/>
    <x v="5"/>
    <n v="0.2"/>
    <s v="Paypal"/>
    <n v="26.95"/>
    <x v="2"/>
    <x v="1"/>
    <s v="Not Returned"/>
    <s v="DHL"/>
    <x v="4"/>
    <s v="Low"/>
    <n v="101"/>
    <n v="20"/>
    <n v="81"/>
  </r>
  <r>
    <d v="2025-02-05T00:00:00"/>
    <s v="SKU_1346"/>
    <x v="604"/>
    <s v="Office Chair"/>
    <n v="6"/>
    <n v="13.89"/>
    <x v="0"/>
    <n v="0.24"/>
    <s v="Bank Transfer"/>
    <n v="10.16"/>
    <x v="0"/>
    <x v="0"/>
    <s v="Not Returned"/>
    <s v="FedEx"/>
    <x v="0"/>
    <s v="Medium"/>
    <n v="83"/>
    <n v="20"/>
    <n v="63"/>
  </r>
  <r>
    <d v="2025-02-06T00:00:00"/>
    <s v="SKU_1298"/>
    <x v="605"/>
    <s v="USB Cable"/>
    <n v="24"/>
    <n v="61.03"/>
    <x v="2"/>
    <n v="0.09"/>
    <s v="Paypal"/>
    <n v="27.14"/>
    <x v="2"/>
    <x v="1"/>
    <s v="Not Returned"/>
    <s v="FedEx"/>
    <x v="3"/>
    <s v="Low"/>
    <n v="1465"/>
    <n v="132"/>
    <n v="1333"/>
  </r>
  <r>
    <d v="2025-02-06T00:00:00"/>
    <s v="SKU_1752"/>
    <x v="606"/>
    <s v="Wall Clock"/>
    <n v="47"/>
    <n v="13.89"/>
    <x v="1"/>
    <n v="0.46"/>
    <s v="Paypal"/>
    <n v="20.97"/>
    <x v="2"/>
    <x v="0"/>
    <s v="Not Returned"/>
    <s v="FedEx"/>
    <x v="2"/>
    <s v="Low"/>
    <n v="653"/>
    <n v="300"/>
    <n v="353"/>
  </r>
  <r>
    <d v="2025-02-06T00:00:00"/>
    <s v="SKU_1509"/>
    <x v="607"/>
    <s v="Wireless Mouse"/>
    <n v="22"/>
    <n v="81.12"/>
    <x v="5"/>
    <n v="0.02"/>
    <s v="Credit Card"/>
    <n v="28.54"/>
    <x v="4"/>
    <x v="0"/>
    <s v="Not Returned"/>
    <s v="FedEx"/>
    <x v="0"/>
    <s v="Low"/>
    <n v="1785"/>
    <n v="36"/>
    <n v="1749"/>
  </r>
  <r>
    <d v="2025-02-06T00:00:00"/>
    <s v="SKU_1107"/>
    <x v="608"/>
    <s v="USB Cable"/>
    <n v="32"/>
    <n v="30.18"/>
    <x v="11"/>
    <n v="0.01"/>
    <s v="Bank Transfer"/>
    <n v="17.82"/>
    <x v="2"/>
    <x v="0"/>
    <s v="Not Returned"/>
    <s v="FedEx"/>
    <x v="3"/>
    <s v="Medium"/>
    <n v="966"/>
    <n v="10"/>
    <n v="956"/>
  </r>
  <r>
    <d v="2025-02-06T00:00:00"/>
    <s v="SKU_1811"/>
    <x v="609"/>
    <s v="White Mug"/>
    <n v="4"/>
    <n v="79.959999999999994"/>
    <x v="4"/>
    <n v="0.46"/>
    <s v="Paypal"/>
    <n v="8.6300000000000008"/>
    <x v="2"/>
    <x v="0"/>
    <s v="Not Returned"/>
    <s v="Royal Mail"/>
    <x v="0"/>
    <s v="Medium"/>
    <n v="320"/>
    <n v="147"/>
    <n v="173"/>
  </r>
  <r>
    <d v="2025-02-06T00:00:00"/>
    <s v="SKU_1539"/>
    <x v="610"/>
    <s v="White Mug"/>
    <n v="13"/>
    <n v="46.33"/>
    <x v="6"/>
    <n v="0.06"/>
    <s v="Bank Transfer"/>
    <n v="13.4"/>
    <x v="3"/>
    <x v="1"/>
    <s v="Not Returned"/>
    <s v="Royal Mail"/>
    <x v="1"/>
    <s v="High"/>
    <n v="602"/>
    <n v="36"/>
    <n v="566"/>
  </r>
  <r>
    <d v="2025-02-06T00:00:00"/>
    <s v="SKU_1211"/>
    <x v="611"/>
    <s v="USB Cable"/>
    <n v="31"/>
    <n v="36.96"/>
    <x v="0"/>
    <n v="0.14000000000000001"/>
    <s v="Paypal"/>
    <n v="17.920000000000002"/>
    <x v="0"/>
    <x v="0"/>
    <s v="Not Returned"/>
    <s v="UPS"/>
    <x v="2"/>
    <s v="Medium"/>
    <n v="1146"/>
    <n v="160"/>
    <n v="986"/>
  </r>
  <r>
    <d v="2025-02-06T00:00:00"/>
    <s v="SKU_1108"/>
    <x v="612"/>
    <s v="Office Chair"/>
    <n v="39"/>
    <n v="60.61"/>
    <x v="0"/>
    <n v="0.26"/>
    <s v="Credit Card"/>
    <n v="10.3"/>
    <x v="2"/>
    <x v="1"/>
    <s v="Not Returned"/>
    <s v="DHL"/>
    <x v="4"/>
    <s v="Low"/>
    <n v="2364"/>
    <n v="615"/>
    <n v="1749"/>
  </r>
  <r>
    <d v="2025-02-06T00:00:00"/>
    <s v="SKU_1929"/>
    <x v="613"/>
    <s v="Wireless Mouse"/>
    <n v="19"/>
    <n v="43.54"/>
    <x v="0"/>
    <n v="0.09"/>
    <s v="Bank Transfer"/>
    <n v="15.22"/>
    <x v="0"/>
    <x v="0"/>
    <s v="Not Returned"/>
    <s v="Royal Mail"/>
    <x v="1"/>
    <s v="Low"/>
    <n v="827"/>
    <n v="74"/>
    <n v="753"/>
  </r>
  <r>
    <d v="2025-02-06T00:00:00"/>
    <s v="SKU_1998"/>
    <x v="614"/>
    <s v="Backpack"/>
    <n v="28"/>
    <n v="88.15"/>
    <x v="11"/>
    <n v="0.32"/>
    <s v="Bank Transfer"/>
    <n v="23.25"/>
    <x v="3"/>
    <x v="1"/>
    <s v="Not Returned"/>
    <s v="DHL"/>
    <x v="1"/>
    <s v="Low"/>
    <n v="2468"/>
    <n v="790"/>
    <n v="1678"/>
  </r>
  <r>
    <d v="2025-02-06T00:00:00"/>
    <s v="SKU_1821"/>
    <x v="615"/>
    <s v="Office Chair"/>
    <n v="13"/>
    <n v="13.43"/>
    <x v="10"/>
    <n v="0.36"/>
    <s v="Credit Card"/>
    <n v="9.9600000000000009"/>
    <x v="4"/>
    <x v="0"/>
    <s v="Not Returned"/>
    <s v="FedEx"/>
    <x v="1"/>
    <s v="Low"/>
    <n v="175"/>
    <n v="63"/>
    <n v="112"/>
  </r>
  <r>
    <d v="2025-02-06T00:00:00"/>
    <s v="SKU_1769"/>
    <x v="616"/>
    <s v="White Mug"/>
    <n v="44"/>
    <n v="1.07"/>
    <x v="1"/>
    <n v="0.34"/>
    <s v="Bank Transfer"/>
    <n v="8.31"/>
    <x v="4"/>
    <x v="1"/>
    <s v="Not Returned"/>
    <s v="DHL"/>
    <x v="2"/>
    <s v="Medium"/>
    <n v="47"/>
    <n v="16"/>
    <n v="31"/>
  </r>
  <r>
    <d v="2025-02-06T00:00:00"/>
    <s v="SKU_1369"/>
    <x v="617"/>
    <s v="Wireless Mouse"/>
    <n v="24"/>
    <n v="99.99"/>
    <x v="5"/>
    <n v="0.1"/>
    <s v="Credit Card"/>
    <n v="28.49"/>
    <x v="4"/>
    <x v="0"/>
    <s v="Not Returned"/>
    <s v="FedEx"/>
    <x v="1"/>
    <s v="Low"/>
    <n v="2400"/>
    <n v="240"/>
    <n v="2160"/>
  </r>
  <r>
    <d v="2025-02-06T00:00:00"/>
    <s v="SKU_1731"/>
    <x v="618"/>
    <s v="Office Chair"/>
    <n v="40"/>
    <n v="88.28"/>
    <x v="5"/>
    <n v="0.16"/>
    <s v="Bank Transfer"/>
    <n v="25.53"/>
    <x v="3"/>
    <x v="1"/>
    <s v="Not Returned"/>
    <s v="UPS"/>
    <x v="0"/>
    <s v="Medium"/>
    <n v="3531"/>
    <n v="565"/>
    <n v="2966"/>
  </r>
  <r>
    <d v="2025-02-06T00:00:00"/>
    <s v="SKU_1239"/>
    <x v="619"/>
    <s v="T-shirt"/>
    <n v="15"/>
    <n v="57.79"/>
    <x v="1"/>
    <n v="0.43"/>
    <s v="Paypal"/>
    <n v="23.42"/>
    <x v="4"/>
    <x v="0"/>
    <s v="Not Returned"/>
    <s v="Royal Mail"/>
    <x v="4"/>
    <s v="Low"/>
    <n v="867"/>
    <n v="373"/>
    <n v="494"/>
  </r>
  <r>
    <d v="2025-02-06T00:00:00"/>
    <s v="SKU_1723"/>
    <x v="620"/>
    <s v="Desk Lamp"/>
    <n v="21"/>
    <n v="32.49"/>
    <x v="8"/>
    <n v="0.32"/>
    <s v="Bank Transfer"/>
    <n v="16.43"/>
    <x v="2"/>
    <x v="0"/>
    <s v="Not Returned"/>
    <s v="DHL"/>
    <x v="2"/>
    <s v="High"/>
    <n v="682"/>
    <n v="218"/>
    <n v="464"/>
  </r>
  <r>
    <d v="2025-02-06T00:00:00"/>
    <s v="SKU_1795"/>
    <x v="621"/>
    <s v="Desk Lamp"/>
    <n v="15"/>
    <n v="67.67"/>
    <x v="0"/>
    <n v="0.05"/>
    <s v="Credit Card"/>
    <n v="22.92"/>
    <x v="1"/>
    <x v="1"/>
    <s v="Not Returned"/>
    <s v="UPS"/>
    <x v="4"/>
    <s v="Low"/>
    <n v="1015"/>
    <n v="51"/>
    <n v="964"/>
  </r>
  <r>
    <d v="2025-02-07T00:00:00"/>
    <s v="SKU_1795"/>
    <x v="622"/>
    <s v="Office Chair"/>
    <n v="5"/>
    <n v="98.58"/>
    <x v="5"/>
    <n v="0.22"/>
    <s v="Credit Card"/>
    <n v="18.23"/>
    <x v="1"/>
    <x v="0"/>
    <s v="Not Returned"/>
    <s v="FedEx"/>
    <x v="4"/>
    <s v="Medium"/>
    <n v="493"/>
    <n v="108"/>
    <n v="385"/>
  </r>
  <r>
    <d v="2025-02-07T00:00:00"/>
    <s v="SKU_1179"/>
    <x v="623"/>
    <s v="White Mug"/>
    <n v="39"/>
    <n v="38.450000000000003"/>
    <x v="7"/>
    <n v="0.04"/>
    <s v="Bank Transfer"/>
    <n v="26.38"/>
    <x v="2"/>
    <x v="0"/>
    <s v="Not Returned"/>
    <s v="DHL"/>
    <x v="1"/>
    <s v="High"/>
    <n v="1500"/>
    <n v="60"/>
    <n v="1440"/>
  </r>
  <r>
    <d v="2025-02-07T00:00:00"/>
    <s v="SKU_1271"/>
    <x v="624"/>
    <s v="Wall Clock"/>
    <n v="45"/>
    <m/>
    <x v="0"/>
    <n v="0.4"/>
    <s v="Paypal"/>
    <n v="16.3"/>
    <x v="4"/>
    <x v="0"/>
    <s v="Not Returned"/>
    <s v="UPS"/>
    <x v="1"/>
    <s v="Medium"/>
    <n v="2385"/>
    <n v="954"/>
    <n v="1431"/>
  </r>
  <r>
    <d v="2025-02-07T00:00:00"/>
    <s v="SKU_1928"/>
    <x v="625"/>
    <s v="Office Chair"/>
    <n v="8"/>
    <n v="36.270000000000003"/>
    <x v="9"/>
    <n v="0.26"/>
    <s v="Credit Card"/>
    <n v="15.04"/>
    <x v="2"/>
    <x v="1"/>
    <s v="Not Returned"/>
    <s v="DHL"/>
    <x v="3"/>
    <s v="Medium"/>
    <n v="290"/>
    <n v="75"/>
    <n v="215"/>
  </r>
  <r>
    <d v="2025-02-07T00:00:00"/>
    <s v="SKU_1084"/>
    <x v="626"/>
    <s v="Wall Clock"/>
    <n v="12"/>
    <n v="72.680000000000007"/>
    <x v="0"/>
    <n v="0.09"/>
    <s v="Paypal"/>
    <n v="11.12"/>
    <x v="4"/>
    <x v="0"/>
    <s v="Not Returned"/>
    <s v="UPS"/>
    <x v="3"/>
    <s v="High"/>
    <n v="872"/>
    <n v="78"/>
    <n v="794"/>
  </r>
  <r>
    <d v="2025-02-07T00:00:00"/>
    <s v="SKU_1494"/>
    <x v="627"/>
    <s v="Wireless Mouse"/>
    <n v="1"/>
    <n v="22.84"/>
    <x v="10"/>
    <n v="0.4"/>
    <s v="Bank Transfer"/>
    <n v="9.86"/>
    <x v="1"/>
    <x v="1"/>
    <s v="Not Returned"/>
    <s v="DHL"/>
    <x v="4"/>
    <s v="Low"/>
    <n v="23"/>
    <n v="9"/>
    <n v="14"/>
  </r>
  <r>
    <d v="2025-02-07T00:00:00"/>
    <s v="SKU_1300"/>
    <x v="628"/>
    <s v="Headphones"/>
    <n v="20"/>
    <n v="3.97"/>
    <x v="5"/>
    <n v="0.06"/>
    <s v="Credit Card"/>
    <n v="21.64"/>
    <x v="1"/>
    <x v="0"/>
    <s v="Not Returned"/>
    <s v="Royal Mail"/>
    <x v="4"/>
    <s v="Low"/>
    <n v="79"/>
    <n v="5"/>
    <n v="74"/>
  </r>
  <r>
    <d v="2025-02-07T00:00:00"/>
    <s v="SKU_1420"/>
    <x v="629"/>
    <s v="Wireless Mouse"/>
    <n v="5"/>
    <n v="26.35"/>
    <x v="5"/>
    <n v="0.23"/>
    <s v="Credit Card"/>
    <n v="10.51"/>
    <x v="2"/>
    <x v="1"/>
    <s v="Not Returned"/>
    <s v="UPS"/>
    <x v="3"/>
    <s v="Medium"/>
    <n v="132"/>
    <n v="30"/>
    <n v="102"/>
  </r>
  <r>
    <d v="2025-02-07T00:00:00"/>
    <s v="SKU_1209"/>
    <x v="630"/>
    <s v="T-shirt"/>
    <n v="28"/>
    <n v="82.63"/>
    <x v="11"/>
    <n v="0.06"/>
    <s v="Bank Transfer"/>
    <n v="25.15"/>
    <x v="2"/>
    <x v="0"/>
    <s v="Not Returned"/>
    <s v="Royal Mail"/>
    <x v="4"/>
    <s v="Medium"/>
    <n v="2314"/>
    <n v="139"/>
    <n v="2175"/>
  </r>
  <r>
    <d v="2025-02-07T00:00:00"/>
    <s v="SKU_1307"/>
    <x v="631"/>
    <s v="Headphones"/>
    <n v="28"/>
    <n v="28.72"/>
    <x v="3"/>
    <n v="0.44"/>
    <s v="Paypal"/>
    <n v="14.05"/>
    <x v="3"/>
    <x v="1"/>
    <s v="Not Returned"/>
    <s v="UPS"/>
    <x v="2"/>
    <s v="Low"/>
    <n v="804"/>
    <n v="354"/>
    <n v="450"/>
  </r>
  <r>
    <d v="2025-02-07T00:00:00"/>
    <s v="SKU_1061"/>
    <x v="632"/>
    <s v="Blue Pen"/>
    <n v="26"/>
    <n v="81.52"/>
    <x v="5"/>
    <n v="0.18"/>
    <s v="Credit Card"/>
    <n v="21.92"/>
    <x v="4"/>
    <x v="0"/>
    <s v="Not Returned"/>
    <s v="UPS"/>
    <x v="4"/>
    <s v="Medium"/>
    <n v="2120"/>
    <n v="382"/>
    <n v="1738"/>
  </r>
  <r>
    <d v="2025-02-07T00:00:00"/>
    <s v="SKU_1004"/>
    <x v="633"/>
    <s v="Notebook"/>
    <n v="18"/>
    <n v="77.650000000000006"/>
    <x v="11"/>
    <n v="0.43"/>
    <s v="Bank Transfer"/>
    <n v="26.19"/>
    <x v="2"/>
    <x v="0"/>
    <s v="Not Returned"/>
    <s v="UPS"/>
    <x v="2"/>
    <s v="Low"/>
    <n v="1398"/>
    <n v="601"/>
    <n v="797"/>
  </r>
  <r>
    <d v="2025-02-07T00:00:00"/>
    <s v="SKU_1495"/>
    <x v="634"/>
    <s v="USB Cable"/>
    <n v="23"/>
    <n v="60.94"/>
    <x v="8"/>
    <n v="0.16"/>
    <s v="Credit Card"/>
    <n v="8.5500000000000007"/>
    <x v="2"/>
    <x v="1"/>
    <s v="Not Returned"/>
    <s v="FedEx"/>
    <x v="0"/>
    <s v="Low"/>
    <n v="1402"/>
    <n v="224"/>
    <n v="1178"/>
  </r>
  <r>
    <d v="2025-02-07T00:00:00"/>
    <s v="SKU_1106"/>
    <x v="635"/>
    <s v="T-shirt"/>
    <n v="42"/>
    <n v="18.440000000000001"/>
    <x v="4"/>
    <n v="0.44"/>
    <s v="Bank Transfer"/>
    <n v="8.8800000000000008"/>
    <x v="4"/>
    <x v="0"/>
    <s v="Not Returned"/>
    <s v="Royal Mail"/>
    <x v="4"/>
    <s v="Medium"/>
    <n v="774"/>
    <n v="341"/>
    <n v="433"/>
  </r>
  <r>
    <d v="2025-02-07T00:00:00"/>
    <s v="SKU_1522"/>
    <x v="636"/>
    <s v="Notebook"/>
    <n v="18"/>
    <n v="44.7"/>
    <x v="5"/>
    <n v="0.08"/>
    <s v="Bank Transfer"/>
    <n v="27.27"/>
    <x v="3"/>
    <x v="0"/>
    <s v="Not Returned"/>
    <s v="Royal Mail"/>
    <x v="3"/>
    <s v="Medium"/>
    <n v="805"/>
    <n v="64"/>
    <n v="741"/>
  </r>
  <r>
    <d v="2025-02-07T00:00:00"/>
    <s v="SKU_1853"/>
    <x v="637"/>
    <s v="Office Chair"/>
    <n v="43"/>
    <n v="79.89"/>
    <x v="7"/>
    <n v="0.36"/>
    <s v="Paypal"/>
    <n v="24.33"/>
    <x v="0"/>
    <x v="1"/>
    <s v="Not Returned"/>
    <s v="UPS"/>
    <x v="4"/>
    <s v="High"/>
    <n v="3435"/>
    <n v="1237"/>
    <n v="2198"/>
  </r>
  <r>
    <d v="2025-02-07T00:00:00"/>
    <s v="SKU_1726"/>
    <x v="638"/>
    <s v="T-shirt"/>
    <n v="8"/>
    <n v="24.76"/>
    <x v="9"/>
    <n v="0.2"/>
    <s v="Credit Card"/>
    <n v="17.34"/>
    <x v="1"/>
    <x v="0"/>
    <s v="Not Returned"/>
    <s v="UPS"/>
    <x v="0"/>
    <s v="High"/>
    <n v="198"/>
    <n v="40"/>
    <n v="158"/>
  </r>
  <r>
    <d v="2025-02-07T00:00:00"/>
    <s v="SKU_1473"/>
    <x v="639"/>
    <s v="Wall Clock"/>
    <n v="24"/>
    <n v="73.61"/>
    <x v="4"/>
    <n v="0.28000000000000003"/>
    <s v="Bank Transfer"/>
    <n v="11.41"/>
    <x v="2"/>
    <x v="0"/>
    <s v="Not Returned"/>
    <s v="UPS"/>
    <x v="4"/>
    <s v="High"/>
    <n v="1767"/>
    <n v="495"/>
    <n v="1272"/>
  </r>
  <r>
    <d v="2025-02-07T00:00:00"/>
    <s v="SKU_1730"/>
    <x v="640"/>
    <s v="White Mug"/>
    <n v="22"/>
    <n v="95.52"/>
    <x v="2"/>
    <n v="0.49"/>
    <s v="Credit Card"/>
    <n v="28.23"/>
    <x v="1"/>
    <x v="0"/>
    <s v="Not Returned"/>
    <s v="FedEx"/>
    <x v="0"/>
    <s v="Low"/>
    <n v="2101"/>
    <n v="1030"/>
    <n v="1071"/>
  </r>
  <r>
    <d v="2025-02-07T00:00:00"/>
    <s v="SKU_1386"/>
    <x v="641"/>
    <s v="Backpack"/>
    <n v="20"/>
    <n v="97.07"/>
    <x v="1"/>
    <n v="0.3"/>
    <s v="Paypal"/>
    <n v="21.5"/>
    <x v="0"/>
    <x v="0"/>
    <s v="Not Returned"/>
    <s v="UPS"/>
    <x v="3"/>
    <s v="Low"/>
    <n v="1941"/>
    <n v="582"/>
    <n v="1359"/>
  </r>
  <r>
    <d v="2025-02-07T00:00:00"/>
    <s v="SKU_1178"/>
    <x v="642"/>
    <s v="T-shirt"/>
    <n v="32"/>
    <n v="69.19"/>
    <x v="6"/>
    <n v="0.21"/>
    <s v="Credit Card"/>
    <n v="8.7799999999999994"/>
    <x v="3"/>
    <x v="1"/>
    <s v="Not Returned"/>
    <s v="DHL"/>
    <x v="3"/>
    <s v="Medium"/>
    <n v="2214"/>
    <n v="465"/>
    <n v="1749"/>
  </r>
  <r>
    <d v="2025-02-07T00:00:00"/>
    <s v="SKU_1489"/>
    <x v="643"/>
    <s v="Office Chair"/>
    <n v="37"/>
    <n v="55.44"/>
    <x v="3"/>
    <n v="0.32"/>
    <s v="Paypal"/>
    <n v="12.74"/>
    <x v="0"/>
    <x v="1"/>
    <s v="Returned"/>
    <s v="FedEx"/>
    <x v="1"/>
    <s v="High"/>
    <n v="2051"/>
    <n v="656"/>
    <n v="1395"/>
  </r>
  <r>
    <d v="2025-02-08T00:00:00"/>
    <s v="SKU_1827"/>
    <x v="644"/>
    <s v="Office Chair"/>
    <n v="49"/>
    <n v="69"/>
    <x v="1"/>
    <n v="0.41"/>
    <s v="Paypal"/>
    <n v="15.01"/>
    <x v="4"/>
    <x v="1"/>
    <s v="Not Returned"/>
    <s v="UPS"/>
    <x v="0"/>
    <s v="Low"/>
    <n v="3381"/>
    <n v="1386"/>
    <n v="1995"/>
  </r>
  <r>
    <d v="2025-02-08T00:00:00"/>
    <s v="SKU_1065"/>
    <x v="645"/>
    <s v="Office Chair"/>
    <n v="30"/>
    <n v="57"/>
    <x v="1"/>
    <n v="0.08"/>
    <s v="Paypal"/>
    <n v="18.14"/>
    <x v="4"/>
    <x v="1"/>
    <s v="Not Returned"/>
    <s v="FedEx"/>
    <x v="0"/>
    <s v="High"/>
    <n v="1710"/>
    <n v="137"/>
    <n v="1573"/>
  </r>
  <r>
    <d v="2025-02-08T00:00:00"/>
    <s v="SKU_1696"/>
    <x v="646"/>
    <s v="USB Cable"/>
    <n v="48"/>
    <n v="97.14"/>
    <x v="6"/>
    <n v="0.26"/>
    <s v="Credit Card"/>
    <n v="28.17"/>
    <x v="2"/>
    <x v="0"/>
    <s v="Not Returned"/>
    <s v="Royal Mail"/>
    <x v="4"/>
    <s v="High"/>
    <n v="4663"/>
    <n v="1212"/>
    <n v="3451"/>
  </r>
  <r>
    <d v="2025-02-08T00:00:00"/>
    <s v="SKU_1528"/>
    <x v="647"/>
    <s v="Office Chair"/>
    <n v="21"/>
    <n v="99.39"/>
    <x v="5"/>
    <n v="7.0000000000000007E-2"/>
    <s v="Credit Card"/>
    <n v="27.39"/>
    <x v="1"/>
    <x v="1"/>
    <s v="Returned"/>
    <s v="FedEx"/>
    <x v="2"/>
    <s v="High"/>
    <n v="2087"/>
    <n v="146"/>
    <n v="1941"/>
  </r>
  <r>
    <d v="2025-02-08T00:00:00"/>
    <s v="SKU_1386"/>
    <x v="648"/>
    <s v="Headphones"/>
    <n v="15"/>
    <n v="2.71"/>
    <x v="10"/>
    <n v="0.19"/>
    <s v="Bank Transfer"/>
    <n v="13.01"/>
    <x v="0"/>
    <x v="0"/>
    <s v="Not Returned"/>
    <s v="UPS"/>
    <x v="4"/>
    <s v="High"/>
    <n v="41"/>
    <n v="8"/>
    <n v="33"/>
  </r>
  <r>
    <d v="2025-02-08T00:00:00"/>
    <s v="SKU_1386"/>
    <x v="649"/>
    <s v="Office Chair"/>
    <n v="25"/>
    <n v="52.02"/>
    <x v="9"/>
    <n v="0.17"/>
    <s v="Bank Transfer"/>
    <n v="29.18"/>
    <x v="2"/>
    <x v="0"/>
    <s v="Not Returned"/>
    <s v="Royal Mail"/>
    <x v="2"/>
    <s v="Medium"/>
    <n v="1301"/>
    <n v="221"/>
    <n v="1080"/>
  </r>
  <r>
    <d v="2025-02-08T00:00:00"/>
    <s v="SKU_1551"/>
    <x v="650"/>
    <s v="Headphones"/>
    <n v="7"/>
    <n v="81.52"/>
    <x v="2"/>
    <n v="0.1"/>
    <s v="Credit Card"/>
    <n v="10.8"/>
    <x v="2"/>
    <x v="1"/>
    <s v="Not Returned"/>
    <s v="FedEx"/>
    <x v="0"/>
    <s v="Medium"/>
    <n v="571"/>
    <n v="57"/>
    <n v="514"/>
  </r>
  <r>
    <d v="2025-02-08T00:00:00"/>
    <s v="SKU_1335"/>
    <x v="651"/>
    <s v="USB Cable"/>
    <n v="32"/>
    <n v="37.08"/>
    <x v="6"/>
    <n v="0"/>
    <s v="Paypal"/>
    <n v="19.940000000000001"/>
    <x v="3"/>
    <x v="1"/>
    <s v="Not Returned"/>
    <s v="DHL"/>
    <x v="2"/>
    <s v="Medium"/>
    <n v="1187"/>
    <n v="0"/>
    <n v="1187"/>
  </r>
  <r>
    <d v="2025-02-08T00:00:00"/>
    <s v="SKU_1587"/>
    <x v="652"/>
    <s v="Backpack"/>
    <n v="23"/>
    <n v="32.5"/>
    <x v="7"/>
    <n v="0.45"/>
    <s v="Paypal"/>
    <n v="5.0599999999999996"/>
    <x v="2"/>
    <x v="1"/>
    <s v="Not Returned"/>
    <s v="UPS"/>
    <x v="0"/>
    <s v="Low"/>
    <n v="748"/>
    <n v="336"/>
    <n v="412"/>
  </r>
  <r>
    <d v="2025-02-08T00:00:00"/>
    <s v="SKU_1830"/>
    <x v="653"/>
    <s v="Blue Pen"/>
    <n v="47"/>
    <n v="32.46"/>
    <x v="9"/>
    <n v="0.28999999999999998"/>
    <s v="Credit Card"/>
    <n v="22.62"/>
    <x v="4"/>
    <x v="0"/>
    <s v="Not Returned"/>
    <s v="UPS"/>
    <x v="2"/>
    <s v="High"/>
    <n v="1526"/>
    <n v="442"/>
    <n v="1084"/>
  </r>
  <r>
    <d v="2025-02-08T00:00:00"/>
    <s v="SKU_1757"/>
    <x v="654"/>
    <s v="T-shirt"/>
    <n v="42"/>
    <n v="43.9"/>
    <x v="7"/>
    <n v="0.45"/>
    <s v="Bank Transfer"/>
    <n v="25.77"/>
    <x v="0"/>
    <x v="1"/>
    <s v="Not Returned"/>
    <s v="DHL"/>
    <x v="4"/>
    <s v="Low"/>
    <n v="1844"/>
    <n v="830"/>
    <n v="1014"/>
  </r>
  <r>
    <d v="2025-02-08T00:00:00"/>
    <s v="SKU_1050"/>
    <x v="655"/>
    <s v="T-shirt"/>
    <n v="43"/>
    <n v="78.459999999999994"/>
    <x v="8"/>
    <n v="0.35"/>
    <s v="Credit Card"/>
    <n v="10.49"/>
    <x v="4"/>
    <x v="1"/>
    <s v="Not Returned"/>
    <s v="DHL"/>
    <x v="4"/>
    <s v="Low"/>
    <n v="3374"/>
    <n v="1181"/>
    <n v="2193"/>
  </r>
  <r>
    <d v="2025-02-08T00:00:00"/>
    <s v="SKU_1640"/>
    <x v="656"/>
    <s v="T-shirt"/>
    <n v="27"/>
    <n v="97.42"/>
    <x v="9"/>
    <n v="0.31"/>
    <s v="Bank Transfer"/>
    <n v="12.27"/>
    <x v="4"/>
    <x v="1"/>
    <s v="Not Returned"/>
    <s v="DHL"/>
    <x v="4"/>
    <s v="Medium"/>
    <n v="2630"/>
    <n v="815"/>
    <n v="1815"/>
  </r>
  <r>
    <d v="2025-02-08T00:00:00"/>
    <s v="SKU_1306"/>
    <x v="657"/>
    <s v="Notebook"/>
    <n v="5"/>
    <n v="51.94"/>
    <x v="0"/>
    <n v="0.25"/>
    <s v="Bank Transfer"/>
    <n v="8.6199999999999992"/>
    <x v="2"/>
    <x v="0"/>
    <s v="Not Returned"/>
    <s v="DHL"/>
    <x v="0"/>
    <s v="High"/>
    <n v="260"/>
    <n v="65"/>
    <n v="195"/>
  </r>
  <r>
    <d v="2025-02-08T00:00:00"/>
    <s v="SKU_1720"/>
    <x v="658"/>
    <s v="Wireless Mouse"/>
    <n v="23"/>
    <n v="86.69"/>
    <x v="10"/>
    <n v="0.37"/>
    <s v="Paypal"/>
    <n v="25.44"/>
    <x v="4"/>
    <x v="0"/>
    <s v="Not Returned"/>
    <s v="FedEx"/>
    <x v="1"/>
    <s v="High"/>
    <n v="1994"/>
    <n v="738"/>
    <n v="1256"/>
  </r>
  <r>
    <d v="2025-02-08T00:00:00"/>
    <s v="SKU_1210"/>
    <x v="659"/>
    <s v="Desk Lamp"/>
    <n v="38"/>
    <n v="83.81"/>
    <x v="6"/>
    <n v="0.4"/>
    <s v="Bank Transfer"/>
    <n v="10.64"/>
    <x v="1"/>
    <x v="1"/>
    <s v="Not Returned"/>
    <s v="FedEx"/>
    <x v="0"/>
    <s v="Medium"/>
    <n v="3185"/>
    <n v="1274"/>
    <n v="1911"/>
  </r>
  <r>
    <d v="2025-02-08T00:00:00"/>
    <s v="SKU_1430"/>
    <x v="660"/>
    <s v="Notebook"/>
    <n v="33"/>
    <n v="58.19"/>
    <x v="9"/>
    <n v="0.15"/>
    <s v="Bank Transfer"/>
    <n v="26.27"/>
    <x v="0"/>
    <x v="0"/>
    <s v="Not Returned"/>
    <s v="UPS"/>
    <x v="4"/>
    <s v="High"/>
    <n v="1920"/>
    <n v="288"/>
    <n v="1632"/>
  </r>
  <r>
    <d v="2025-02-08T00:00:00"/>
    <s v="SKU_1934"/>
    <x v="661"/>
    <s v="Headphones"/>
    <n v="9"/>
    <n v="73.459999999999994"/>
    <x v="11"/>
    <n v="0.36"/>
    <s v="Paypal"/>
    <n v="13.18"/>
    <x v="4"/>
    <x v="0"/>
    <s v="Not Returned"/>
    <s v="FedEx"/>
    <x v="2"/>
    <s v="Low"/>
    <n v="661"/>
    <n v="238"/>
    <n v="423"/>
  </r>
  <r>
    <d v="2025-02-08T00:00:00"/>
    <s v="SKU_1595"/>
    <x v="662"/>
    <s v="Wireless Mouse"/>
    <n v="25"/>
    <n v="51.33"/>
    <x v="7"/>
    <n v="0.14000000000000001"/>
    <s v="Credit Card"/>
    <n v="25.04"/>
    <x v="3"/>
    <x v="0"/>
    <s v="Not Returned"/>
    <s v="Royal Mail"/>
    <x v="0"/>
    <s v="Low"/>
    <n v="1283"/>
    <n v="180"/>
    <n v="1103"/>
  </r>
  <r>
    <d v="2025-02-08T00:00:00"/>
    <s v="SKU_1048"/>
    <x v="663"/>
    <s v="T-shirt"/>
    <n v="38"/>
    <n v="33.909999999999997"/>
    <x v="0"/>
    <n v="0.36"/>
    <s v="Credit Card"/>
    <n v="17.14"/>
    <x v="3"/>
    <x v="1"/>
    <s v="Not Returned"/>
    <s v="FedEx"/>
    <x v="1"/>
    <s v="Low"/>
    <n v="1289"/>
    <n v="464"/>
    <n v="825"/>
  </r>
  <r>
    <d v="2025-02-08T00:00:00"/>
    <s v="SKU_1440"/>
    <x v="664"/>
    <s v="Office Chair"/>
    <n v="25"/>
    <n v="81.09"/>
    <x v="8"/>
    <n v="0.49"/>
    <s v="Paypal"/>
    <n v="23.79"/>
    <x v="2"/>
    <x v="1"/>
    <s v="Not Returned"/>
    <s v="DHL"/>
    <x v="1"/>
    <s v="High"/>
    <n v="2027"/>
    <n v="993"/>
    <n v="1034"/>
  </r>
  <r>
    <d v="2025-02-09T00:00:00"/>
    <s v="SKU_1550"/>
    <x v="665"/>
    <s v="Office Chair"/>
    <n v="46"/>
    <n v="9.08"/>
    <x v="10"/>
    <n v="0.49"/>
    <s v="Paypal"/>
    <n v="19.16"/>
    <x v="2"/>
    <x v="1"/>
    <s v="Not Returned"/>
    <s v="DHL"/>
    <x v="3"/>
    <s v="Low"/>
    <n v="418"/>
    <n v="205"/>
    <n v="213"/>
  </r>
  <r>
    <d v="2025-02-09T00:00:00"/>
    <s v="SKU_1451"/>
    <x v="666"/>
    <s v="Notebook"/>
    <n v="19"/>
    <n v="24.43"/>
    <x v="5"/>
    <n v="0.27"/>
    <s v="Bank Transfer"/>
    <n v="18.79"/>
    <x v="0"/>
    <x v="1"/>
    <s v="Returned"/>
    <s v="FedEx"/>
    <x v="2"/>
    <s v="Low"/>
    <n v="464"/>
    <n v="125"/>
    <n v="339"/>
  </r>
  <r>
    <d v="2025-02-09T00:00:00"/>
    <s v="SKU_1144"/>
    <x v="667"/>
    <s v="Headphones"/>
    <n v="38"/>
    <n v="27.85"/>
    <x v="7"/>
    <n v="0.5"/>
    <s v="Paypal"/>
    <n v="25.27"/>
    <x v="3"/>
    <x v="1"/>
    <s v="Not Returned"/>
    <s v="FedEx"/>
    <x v="4"/>
    <s v="High"/>
    <n v="1058"/>
    <n v="529"/>
    <n v="529"/>
  </r>
  <r>
    <d v="2025-02-09T00:00:00"/>
    <s v="SKU_1246"/>
    <x v="668"/>
    <s v="White Mug"/>
    <n v="48"/>
    <n v="1.83"/>
    <x v="9"/>
    <n v="0.02"/>
    <s v="Credit Card"/>
    <n v="12.94"/>
    <x v="2"/>
    <x v="0"/>
    <s v="Not Returned"/>
    <s v="UPS"/>
    <x v="0"/>
    <s v="Low"/>
    <n v="88"/>
    <n v="2"/>
    <n v="86"/>
  </r>
  <r>
    <d v="2025-02-09T00:00:00"/>
    <s v="SKU_1360"/>
    <x v="669"/>
    <s v="White Mug"/>
    <n v="34"/>
    <n v="61.61"/>
    <x v="9"/>
    <n v="0.48"/>
    <s v="Paypal"/>
    <n v="26.2"/>
    <x v="3"/>
    <x v="0"/>
    <s v="Not Returned"/>
    <s v="FedEx"/>
    <x v="0"/>
    <s v="High"/>
    <n v="2095"/>
    <n v="1005"/>
    <n v="1090"/>
  </r>
  <r>
    <d v="2025-02-09T00:00:00"/>
    <s v="SKU_1389"/>
    <x v="670"/>
    <s v="Blue Pen"/>
    <n v="48"/>
    <n v="18.559999999999999"/>
    <x v="2"/>
    <n v="0.22"/>
    <s v="Paypal"/>
    <n v="25.4"/>
    <x v="4"/>
    <x v="0"/>
    <s v="Not Returned"/>
    <s v="UPS"/>
    <x v="0"/>
    <s v="Low"/>
    <n v="891"/>
    <n v="196"/>
    <n v="695"/>
  </r>
  <r>
    <d v="2025-02-09T00:00:00"/>
    <s v="SKU_1927"/>
    <x v="671"/>
    <s v="Wall Clock"/>
    <n v="15"/>
    <n v="32.840000000000003"/>
    <x v="5"/>
    <n v="0.21"/>
    <s v="Paypal"/>
    <n v="14.08"/>
    <x v="3"/>
    <x v="0"/>
    <s v="Not Returned"/>
    <s v="Royal Mail"/>
    <x v="4"/>
    <s v="Medium"/>
    <n v="493"/>
    <n v="103"/>
    <n v="390"/>
  </r>
  <r>
    <d v="2025-02-09T00:00:00"/>
    <s v="SKU_1976"/>
    <x v="672"/>
    <s v="Desk Lamp"/>
    <n v="3"/>
    <n v="66.63"/>
    <x v="2"/>
    <n v="0.32"/>
    <s v="Credit Card"/>
    <n v="17.66"/>
    <x v="1"/>
    <x v="0"/>
    <s v="Not Returned"/>
    <s v="Royal Mail"/>
    <x v="1"/>
    <s v="Low"/>
    <n v="200"/>
    <n v="64"/>
    <n v="136"/>
  </r>
  <r>
    <d v="2025-02-09T00:00:00"/>
    <s v="SKU_1550"/>
    <x v="673"/>
    <s v="Backpack"/>
    <n v="10"/>
    <n v="86.01"/>
    <x v="7"/>
    <n v="0.39"/>
    <s v="Bank Transfer"/>
    <n v="22.99"/>
    <x v="0"/>
    <x v="1"/>
    <s v="Not Returned"/>
    <s v="FedEx"/>
    <x v="0"/>
    <s v="Medium"/>
    <n v="860"/>
    <n v="335"/>
    <n v="525"/>
  </r>
  <r>
    <d v="2025-02-09T00:00:00"/>
    <s v="SKU_1144"/>
    <x v="674"/>
    <s v="Wireless Mouse"/>
    <n v="18"/>
    <n v="81.67"/>
    <x v="10"/>
    <n v="0.16"/>
    <s v="Credit Card"/>
    <n v="6.93"/>
    <x v="1"/>
    <x v="0"/>
    <s v="Not Returned"/>
    <s v="UPS"/>
    <x v="3"/>
    <s v="Low"/>
    <n v="1470"/>
    <n v="235"/>
    <n v="1235"/>
  </r>
  <r>
    <d v="2025-02-09T00:00:00"/>
    <s v="SKU_1045"/>
    <x v="675"/>
    <s v="Notebook"/>
    <n v="8"/>
    <n v="52.65"/>
    <x v="5"/>
    <n v="0.15"/>
    <s v="Bank Transfer"/>
    <n v="24.78"/>
    <x v="3"/>
    <x v="0"/>
    <s v="Returned"/>
    <s v="Royal Mail"/>
    <x v="2"/>
    <s v="Medium"/>
    <n v="421"/>
    <n v="63"/>
    <n v="358"/>
  </r>
  <r>
    <d v="2025-02-09T00:00:00"/>
    <s v="SKU_1462"/>
    <x v="676"/>
    <s v="Blue Pen"/>
    <n v="16"/>
    <n v="49.93"/>
    <x v="11"/>
    <n v="0.49"/>
    <s v="Paypal"/>
    <n v="7.92"/>
    <x v="4"/>
    <x v="0"/>
    <s v="Not Returned"/>
    <s v="FedEx"/>
    <x v="4"/>
    <s v="Medium"/>
    <n v="799"/>
    <n v="391"/>
    <n v="408"/>
  </r>
  <r>
    <d v="2025-02-09T00:00:00"/>
    <s v="SKU_1883"/>
    <x v="677"/>
    <s v="Office Chair"/>
    <n v="8"/>
    <n v="70.319999999999993"/>
    <x v="9"/>
    <n v="0.31"/>
    <s v="Paypal"/>
    <n v="11.67"/>
    <x v="1"/>
    <x v="1"/>
    <s v="Not Returned"/>
    <s v="DHL"/>
    <x v="1"/>
    <s v="Low"/>
    <n v="563"/>
    <n v="174"/>
    <n v="389"/>
  </r>
  <r>
    <d v="2025-02-09T00:00:00"/>
    <s v="SKU_1820"/>
    <x v="678"/>
    <s v="White Mug"/>
    <n v="7"/>
    <n v="7.09"/>
    <x v="5"/>
    <n v="0.19"/>
    <s v="Credit Card"/>
    <n v="18.63"/>
    <x v="1"/>
    <x v="0"/>
    <s v="Not Returned"/>
    <s v="UPS"/>
    <x v="4"/>
    <s v="Low"/>
    <n v="50"/>
    <n v="9"/>
    <n v="41"/>
  </r>
  <r>
    <d v="2025-02-09T00:00:00"/>
    <s v="SKU_1369"/>
    <x v="679"/>
    <s v="Wireless Mouse"/>
    <n v="4"/>
    <n v="5.79"/>
    <x v="2"/>
    <n v="0.17"/>
    <s v="Credit Card"/>
    <n v="23.81"/>
    <x v="3"/>
    <x v="0"/>
    <s v="Not Returned"/>
    <s v="UPS"/>
    <x v="0"/>
    <s v="Low"/>
    <n v="23"/>
    <n v="4"/>
    <n v="19"/>
  </r>
  <r>
    <d v="2025-02-09T00:00:00"/>
    <s v="SKU_1401"/>
    <x v="680"/>
    <s v="Office Chair"/>
    <n v="20"/>
    <n v="54.64"/>
    <x v="1"/>
    <n v="0.48"/>
    <s v="Paypal"/>
    <n v="18.809999999999999"/>
    <x v="2"/>
    <x v="0"/>
    <s v="Not Returned"/>
    <s v="FedEx"/>
    <x v="1"/>
    <s v="High"/>
    <n v="1093"/>
    <n v="525"/>
    <n v="568"/>
  </r>
  <r>
    <d v="2025-02-09T00:00:00"/>
    <s v="SKU_1493"/>
    <x v="681"/>
    <s v="Headphones"/>
    <n v="30"/>
    <n v="42.42"/>
    <x v="7"/>
    <n v="0.42"/>
    <s v="Paypal"/>
    <n v="24.17"/>
    <x v="2"/>
    <x v="0"/>
    <s v="Not Returned"/>
    <s v="FedEx"/>
    <x v="3"/>
    <s v="High"/>
    <n v="1273"/>
    <n v="534"/>
    <n v="739"/>
  </r>
  <r>
    <d v="2025-02-09T00:00:00"/>
    <s v="SKU_1531"/>
    <x v="682"/>
    <s v="T-shirt"/>
    <n v="32"/>
    <n v="95.28"/>
    <x v="7"/>
    <n v="0.14000000000000001"/>
    <s v="Credit Card"/>
    <n v="7.43"/>
    <x v="1"/>
    <x v="1"/>
    <s v="Not Returned"/>
    <s v="Royal Mail"/>
    <x v="1"/>
    <s v="Medium"/>
    <n v="3049"/>
    <n v="427"/>
    <n v="2622"/>
  </r>
  <r>
    <d v="2025-02-10T00:00:00"/>
    <s v="SKU_1132"/>
    <x v="683"/>
    <s v="Wireless Mouse"/>
    <n v="18"/>
    <n v="5.26"/>
    <x v="5"/>
    <n v="0.27"/>
    <s v="Paypal"/>
    <n v="8.5500000000000007"/>
    <x v="3"/>
    <x v="1"/>
    <s v="Not Returned"/>
    <s v="UPS"/>
    <x v="1"/>
    <s v="Low"/>
    <n v="95"/>
    <n v="26"/>
    <n v="69"/>
  </r>
  <r>
    <d v="2025-02-10T00:00:00"/>
    <s v="SKU_1511"/>
    <x v="684"/>
    <s v="Wall Clock"/>
    <n v="31"/>
    <n v="1.72"/>
    <x v="10"/>
    <n v="0.46"/>
    <s v="Credit Card"/>
    <n v="22.83"/>
    <x v="0"/>
    <x v="1"/>
    <s v="Not Returned"/>
    <s v="UPS"/>
    <x v="0"/>
    <s v="Low"/>
    <n v="53"/>
    <n v="25"/>
    <n v="28"/>
  </r>
  <r>
    <d v="2025-02-10T00:00:00"/>
    <s v="SKU_1317"/>
    <x v="685"/>
    <s v="USB Cable"/>
    <n v="49"/>
    <n v="23.01"/>
    <x v="5"/>
    <n v="0.21"/>
    <s v="Paypal"/>
    <n v="7.61"/>
    <x v="2"/>
    <x v="1"/>
    <s v="Returned"/>
    <s v="FedEx"/>
    <x v="2"/>
    <s v="Low"/>
    <n v="1127"/>
    <n v="237"/>
    <n v="890"/>
  </r>
  <r>
    <d v="2025-02-10T00:00:00"/>
    <s v="SKU_1870"/>
    <x v="686"/>
    <s v="Headphones"/>
    <n v="48"/>
    <n v="19.149999999999999"/>
    <x v="3"/>
    <n v="0.42"/>
    <s v="Paypal"/>
    <n v="25.62"/>
    <x v="4"/>
    <x v="1"/>
    <s v="Not Returned"/>
    <s v="UPS"/>
    <x v="2"/>
    <s v="Low"/>
    <n v="919"/>
    <n v="386"/>
    <n v="533"/>
  </r>
  <r>
    <d v="2025-02-10T00:00:00"/>
    <s v="SKU_1267"/>
    <x v="687"/>
    <s v="Wireless Mouse"/>
    <n v="25"/>
    <n v="57.23"/>
    <x v="8"/>
    <n v="0.33"/>
    <s v="Bank Transfer"/>
    <n v="24.18"/>
    <x v="1"/>
    <x v="1"/>
    <s v="Not Returned"/>
    <s v="DHL"/>
    <x v="1"/>
    <s v="High"/>
    <n v="1431"/>
    <n v="472"/>
    <n v="959"/>
  </r>
  <r>
    <d v="2025-02-10T00:00:00"/>
    <s v="SKU_1592"/>
    <x v="688"/>
    <s v="T-shirt"/>
    <n v="2"/>
    <n v="60.23"/>
    <x v="2"/>
    <n v="0.33"/>
    <s v="Paypal"/>
    <n v="23.11"/>
    <x v="3"/>
    <x v="1"/>
    <s v="Returned"/>
    <s v="DHL"/>
    <x v="3"/>
    <s v="Low"/>
    <n v="120"/>
    <n v="40"/>
    <n v="80"/>
  </r>
  <r>
    <d v="2025-02-10T00:00:00"/>
    <s v="SKU_1669"/>
    <x v="689"/>
    <s v="USB Cable"/>
    <n v="34"/>
    <n v="76.099999999999994"/>
    <x v="11"/>
    <n v="0.12"/>
    <s v="Credit Card"/>
    <n v="27.12"/>
    <x v="3"/>
    <x v="1"/>
    <s v="Not Returned"/>
    <s v="UPS"/>
    <x v="3"/>
    <s v="Medium"/>
    <n v="2587"/>
    <n v="310"/>
    <n v="2277"/>
  </r>
  <r>
    <d v="2025-02-10T00:00:00"/>
    <s v="SKU_1978"/>
    <x v="690"/>
    <s v="Headphones"/>
    <n v="47"/>
    <n v="65.58"/>
    <x v="3"/>
    <n v="0.34"/>
    <s v="Paypal"/>
    <n v="14.49"/>
    <x v="4"/>
    <x v="0"/>
    <s v="Not Returned"/>
    <s v="Royal Mail"/>
    <x v="3"/>
    <s v="High"/>
    <n v="3082"/>
    <n v="1048"/>
    <n v="2034"/>
  </r>
  <r>
    <d v="2025-02-10T00:00:00"/>
    <s v="SKU_1223"/>
    <x v="691"/>
    <s v="Wall Clock"/>
    <n v="3"/>
    <n v="82.79"/>
    <x v="4"/>
    <n v="0.48"/>
    <s v="Bank Transfer"/>
    <n v="25.04"/>
    <x v="3"/>
    <x v="0"/>
    <s v="Not Returned"/>
    <s v="FedEx"/>
    <x v="1"/>
    <s v="Low"/>
    <n v="248"/>
    <n v="119"/>
    <n v="129"/>
  </r>
  <r>
    <d v="2025-02-10T00:00:00"/>
    <s v="SKU_1911"/>
    <x v="692"/>
    <s v="Wireless Mouse"/>
    <n v="21"/>
    <n v="31.98"/>
    <x v="3"/>
    <n v="0.47"/>
    <s v="Bank Transfer"/>
    <n v="5.82"/>
    <x v="2"/>
    <x v="1"/>
    <s v="Not Returned"/>
    <s v="DHL"/>
    <x v="1"/>
    <s v="High"/>
    <n v="672"/>
    <n v="316"/>
    <n v="356"/>
  </r>
  <r>
    <d v="2025-02-10T00:00:00"/>
    <s v="SKU_1001"/>
    <x v="693"/>
    <s v="Wireless Mouse"/>
    <n v="31"/>
    <n v="22.61"/>
    <x v="5"/>
    <n v="0.48"/>
    <s v="Paypal"/>
    <n v="8.58"/>
    <x v="1"/>
    <x v="1"/>
    <s v="Not Returned"/>
    <s v="FedEx"/>
    <x v="3"/>
    <s v="Low"/>
    <n v="701"/>
    <n v="336"/>
    <n v="365"/>
  </r>
  <r>
    <d v="2025-02-10T00:00:00"/>
    <s v="SKU_1636"/>
    <x v="694"/>
    <s v="USB Cable"/>
    <n v="48"/>
    <n v="57.6"/>
    <x v="2"/>
    <n v="0.01"/>
    <s v="Credit Card"/>
    <n v="18.649999999999999"/>
    <x v="0"/>
    <x v="1"/>
    <s v="Not Returned"/>
    <s v="DHL"/>
    <x v="4"/>
    <s v="Low"/>
    <n v="2765"/>
    <n v="28"/>
    <n v="2737"/>
  </r>
  <r>
    <d v="2025-02-10T00:00:00"/>
    <s v="SKU_1240"/>
    <x v="695"/>
    <s v="Blue Pen"/>
    <n v="2"/>
    <n v="95.94"/>
    <x v="9"/>
    <n v="0.49"/>
    <s v="Credit Card"/>
    <n v="18.940000000000001"/>
    <x v="3"/>
    <x v="0"/>
    <s v="Not Returned"/>
    <s v="UPS"/>
    <x v="4"/>
    <s v="High"/>
    <n v="192"/>
    <n v="94"/>
    <n v="98"/>
  </r>
  <r>
    <d v="2025-02-10T00:00:00"/>
    <s v="SKU_1116"/>
    <x v="696"/>
    <s v="Wireless Mouse"/>
    <n v="48"/>
    <n v="89.69"/>
    <x v="7"/>
    <n v="0.31"/>
    <s v="Credit Card"/>
    <n v="21.24"/>
    <x v="4"/>
    <x v="0"/>
    <s v="Not Returned"/>
    <s v="Royal Mail"/>
    <x v="3"/>
    <s v="Low"/>
    <n v="4305"/>
    <n v="1335"/>
    <n v="2970"/>
  </r>
  <r>
    <d v="2025-02-10T00:00:00"/>
    <s v="SKU_1898"/>
    <x v="697"/>
    <s v="White Mug"/>
    <n v="30"/>
    <n v="49.31"/>
    <x v="8"/>
    <n v="0.48"/>
    <s v="Paypal"/>
    <n v="25.46"/>
    <x v="0"/>
    <x v="1"/>
    <s v="Not Returned"/>
    <s v="FedEx"/>
    <x v="3"/>
    <s v="High"/>
    <n v="1479"/>
    <n v="710"/>
    <n v="769"/>
  </r>
  <r>
    <d v="2025-02-10T00:00:00"/>
    <s v="SKU_1548"/>
    <x v="698"/>
    <s v="Office Chair"/>
    <n v="16"/>
    <n v="98.1"/>
    <x v="6"/>
    <n v="0.31"/>
    <s v="Bank Transfer"/>
    <n v="5.07"/>
    <x v="4"/>
    <x v="0"/>
    <s v="Not Returned"/>
    <s v="FedEx"/>
    <x v="3"/>
    <s v="Low"/>
    <n v="1570"/>
    <n v="487"/>
    <n v="1083"/>
  </r>
  <r>
    <d v="2025-02-10T00:00:00"/>
    <s v="SKU_1436"/>
    <x v="699"/>
    <s v="Backpack"/>
    <n v="45"/>
    <n v="56.78"/>
    <x v="10"/>
    <n v="0.28000000000000003"/>
    <s v="Bank Transfer"/>
    <n v="13.2"/>
    <x v="1"/>
    <x v="1"/>
    <s v="Not Returned"/>
    <s v="FedEx"/>
    <x v="3"/>
    <s v="Low"/>
    <n v="2555"/>
    <n v="715"/>
    <n v="1840"/>
  </r>
  <r>
    <d v="2025-02-10T00:00:00"/>
    <s v="SKU_1310"/>
    <x v="700"/>
    <s v="Wall Clock"/>
    <n v="38"/>
    <n v="85.64"/>
    <x v="1"/>
    <n v="0.06"/>
    <s v="Paypal"/>
    <n v="9.35"/>
    <x v="3"/>
    <x v="1"/>
    <s v="Not Returned"/>
    <s v="UPS"/>
    <x v="0"/>
    <s v="Medium"/>
    <n v="3254"/>
    <n v="195"/>
    <n v="3059"/>
  </r>
  <r>
    <d v="2025-02-10T00:00:00"/>
    <s v="SKU_1215"/>
    <x v="701"/>
    <s v="Wireless Mouse"/>
    <n v="28"/>
    <n v="40.61"/>
    <x v="10"/>
    <n v="0.1"/>
    <s v="Credit Card"/>
    <n v="22.23"/>
    <x v="1"/>
    <x v="0"/>
    <s v="Not Returned"/>
    <s v="Royal Mail"/>
    <x v="4"/>
    <s v="Low"/>
    <n v="1137"/>
    <n v="114"/>
    <n v="1023"/>
  </r>
  <r>
    <d v="2025-02-10T00:00:00"/>
    <s v="SKU_1560"/>
    <x v="702"/>
    <s v="Wall Clock"/>
    <n v="17"/>
    <n v="47.85"/>
    <x v="11"/>
    <n v="0.46"/>
    <s v="Bank Transfer"/>
    <n v="12.87"/>
    <x v="4"/>
    <x v="1"/>
    <s v="Not Returned"/>
    <s v="Royal Mail"/>
    <x v="1"/>
    <s v="Medium"/>
    <n v="813"/>
    <n v="374"/>
    <n v="439"/>
  </r>
  <r>
    <d v="2025-02-10T00:00:00"/>
    <s v="SKU_1216"/>
    <x v="703"/>
    <s v="White Mug"/>
    <n v="39"/>
    <n v="71.75"/>
    <x v="4"/>
    <n v="0.39"/>
    <s v="Bank Transfer"/>
    <n v="26.9"/>
    <x v="3"/>
    <x v="0"/>
    <s v="Not Returned"/>
    <s v="FedEx"/>
    <x v="1"/>
    <s v="Medium"/>
    <n v="2798"/>
    <n v="1091"/>
    <n v="1707"/>
  </r>
  <r>
    <d v="2025-02-11T00:00:00"/>
    <s v="SKU_1570"/>
    <x v="704"/>
    <s v="Backpack"/>
    <n v="19"/>
    <n v="76.349999999999994"/>
    <x v="11"/>
    <n v="0.04"/>
    <s v="Bank Transfer"/>
    <n v="8.1199999999999992"/>
    <x v="2"/>
    <x v="1"/>
    <s v="Not Returned"/>
    <s v="UPS"/>
    <x v="4"/>
    <s v="Medium"/>
    <n v="1451"/>
    <n v="58"/>
    <n v="1393"/>
  </r>
  <r>
    <d v="2025-02-11T00:00:00"/>
    <s v="SKU_1344"/>
    <x v="705"/>
    <s v="T-shirt"/>
    <n v="18"/>
    <n v="75.02"/>
    <x v="7"/>
    <n v="0.28000000000000003"/>
    <s v="Bank Transfer"/>
    <n v="25.96"/>
    <x v="4"/>
    <x v="0"/>
    <s v="Returned"/>
    <s v="DHL"/>
    <x v="0"/>
    <s v="Medium"/>
    <n v="1350"/>
    <n v="378"/>
    <n v="972"/>
  </r>
  <r>
    <d v="2025-02-11T00:00:00"/>
    <s v="SKU_1077"/>
    <x v="706"/>
    <s v="White Mug"/>
    <n v="46"/>
    <n v="24.32"/>
    <x v="8"/>
    <n v="0.46"/>
    <s v="Paypal"/>
    <n v="8.76"/>
    <x v="2"/>
    <x v="1"/>
    <s v="Not Returned"/>
    <s v="DHL"/>
    <x v="2"/>
    <s v="High"/>
    <n v="1119"/>
    <n v="515"/>
    <n v="604"/>
  </r>
  <r>
    <d v="2025-02-11T00:00:00"/>
    <s v="SKU_1118"/>
    <x v="707"/>
    <s v="White Mug"/>
    <n v="38"/>
    <n v="94.48"/>
    <x v="8"/>
    <n v="0.24"/>
    <s v="Paypal"/>
    <n v="17.38"/>
    <x v="0"/>
    <x v="0"/>
    <s v="Not Returned"/>
    <s v="FedEx"/>
    <x v="3"/>
    <s v="High"/>
    <n v="3590"/>
    <n v="862"/>
    <n v="2728"/>
  </r>
  <r>
    <d v="2025-02-11T00:00:00"/>
    <s v="SKU_1429"/>
    <x v="708"/>
    <s v="Desk Lamp"/>
    <n v="26"/>
    <n v="54.18"/>
    <x v="11"/>
    <n v="0.31"/>
    <s v="Bank Transfer"/>
    <n v="27.9"/>
    <x v="0"/>
    <x v="1"/>
    <s v="Not Returned"/>
    <s v="DHL"/>
    <x v="3"/>
    <s v="Low"/>
    <n v="1409"/>
    <n v="437"/>
    <n v="972"/>
  </r>
  <r>
    <d v="2025-02-11T00:00:00"/>
    <s v="SKU_1867"/>
    <x v="709"/>
    <s v="Wireless Mouse"/>
    <n v="40"/>
    <n v="35.64"/>
    <x v="11"/>
    <n v="0.38"/>
    <s v="Credit Card"/>
    <n v="13.05"/>
    <x v="0"/>
    <x v="1"/>
    <s v="Not Returned"/>
    <s v="UPS"/>
    <x v="3"/>
    <s v="Low"/>
    <n v="1426"/>
    <n v="542"/>
    <n v="884"/>
  </r>
  <r>
    <d v="2025-02-11T00:00:00"/>
    <s v="SKU_1318"/>
    <x v="710"/>
    <s v="USB Cable"/>
    <n v="28"/>
    <n v="11.52"/>
    <x v="2"/>
    <n v="0.11"/>
    <s v="Bank Transfer"/>
    <n v="20.68"/>
    <x v="4"/>
    <x v="1"/>
    <s v="Not Returned"/>
    <s v="Royal Mail"/>
    <x v="3"/>
    <s v="Low"/>
    <n v="323"/>
    <n v="35"/>
    <n v="288"/>
  </r>
  <r>
    <d v="2025-02-11T00:00:00"/>
    <s v="SKU_1638"/>
    <x v="711"/>
    <s v="Office Chair"/>
    <n v="47"/>
    <n v="42.18"/>
    <x v="11"/>
    <n v="0.33"/>
    <s v="Credit Card"/>
    <n v="25.87"/>
    <x v="2"/>
    <x v="1"/>
    <s v="Not Returned"/>
    <s v="UPS"/>
    <x v="3"/>
    <s v="Low"/>
    <n v="1982"/>
    <n v="654"/>
    <n v="1328"/>
  </r>
  <r>
    <d v="2025-02-11T00:00:00"/>
    <s v="SKU_1206"/>
    <x v="712"/>
    <s v="Notebook"/>
    <n v="7"/>
    <n v="59.24"/>
    <x v="5"/>
    <n v="0.41"/>
    <s v="Paypal"/>
    <n v="5.21"/>
    <x v="2"/>
    <x v="1"/>
    <s v="Not Returned"/>
    <s v="Royal Mail"/>
    <x v="2"/>
    <s v="Medium"/>
    <n v="415"/>
    <n v="170"/>
    <n v="245"/>
  </r>
  <r>
    <d v="2025-02-11T00:00:00"/>
    <s v="SKU_1671"/>
    <x v="713"/>
    <s v="Blue Pen"/>
    <n v="39"/>
    <n v="79.16"/>
    <x v="6"/>
    <n v="0.11"/>
    <s v="Credit Card"/>
    <n v="16.760000000000002"/>
    <x v="0"/>
    <x v="1"/>
    <s v="Not Returned"/>
    <s v="Royal Mail"/>
    <x v="0"/>
    <s v="Low"/>
    <n v="3087"/>
    <n v="340"/>
    <n v="2747"/>
  </r>
  <r>
    <d v="2025-02-11T00:00:00"/>
    <s v="SKU_1321"/>
    <x v="714"/>
    <s v="Blue Pen"/>
    <n v="26"/>
    <n v="33.130000000000003"/>
    <x v="1"/>
    <n v="0.11"/>
    <s v="Paypal"/>
    <n v="19.21"/>
    <x v="2"/>
    <x v="0"/>
    <s v="Not Returned"/>
    <s v="Royal Mail"/>
    <x v="3"/>
    <s v="Low"/>
    <n v="861"/>
    <n v="95"/>
    <n v="766"/>
  </r>
  <r>
    <d v="2025-02-11T00:00:00"/>
    <s v="SKU_1596"/>
    <x v="715"/>
    <s v="Backpack"/>
    <n v="42"/>
    <n v="89.95"/>
    <x v="1"/>
    <n v="0.28000000000000003"/>
    <s v="Bank Transfer"/>
    <n v="13.23"/>
    <x v="1"/>
    <x v="0"/>
    <s v="Not Returned"/>
    <s v="FedEx"/>
    <x v="1"/>
    <s v="Medium"/>
    <n v="3778"/>
    <n v="1058"/>
    <n v="2720"/>
  </r>
  <r>
    <d v="2025-02-11T00:00:00"/>
    <s v="SKU_1003"/>
    <x v="716"/>
    <s v="Office Chair"/>
    <n v="43"/>
    <n v="86.15"/>
    <x v="9"/>
    <n v="0.37"/>
    <s v="Credit Card"/>
    <n v="17.61"/>
    <x v="1"/>
    <x v="0"/>
    <s v="Not Returned"/>
    <s v="FedEx"/>
    <x v="0"/>
    <s v="Medium"/>
    <n v="3704"/>
    <n v="1371"/>
    <n v="2333"/>
  </r>
  <r>
    <d v="2025-02-11T00:00:00"/>
    <s v="SKU_1668"/>
    <x v="717"/>
    <s v="Backpack"/>
    <n v="35"/>
    <n v="85.41"/>
    <x v="7"/>
    <n v="0.35"/>
    <s v="Paypal"/>
    <n v="6.85"/>
    <x v="4"/>
    <x v="1"/>
    <s v="Not Returned"/>
    <s v="UPS"/>
    <x v="1"/>
    <s v="High"/>
    <n v="2989"/>
    <n v="1046"/>
    <n v="1943"/>
  </r>
  <r>
    <d v="2025-02-11T00:00:00"/>
    <s v="SKU_1176"/>
    <x v="642"/>
    <s v="Notebook"/>
    <n v="8"/>
    <n v="97.03"/>
    <x v="2"/>
    <n v="0.15"/>
    <s v="Credit Card"/>
    <n v="13.4"/>
    <x v="1"/>
    <x v="0"/>
    <s v="Not Returned"/>
    <s v="UPS"/>
    <x v="3"/>
    <s v="High"/>
    <n v="776"/>
    <n v="116"/>
    <n v="660"/>
  </r>
  <r>
    <d v="2025-02-11T00:00:00"/>
    <s v="SKU_1348"/>
    <x v="718"/>
    <s v="Wall Clock"/>
    <n v="45"/>
    <n v="84.9"/>
    <x v="8"/>
    <n v="0.25"/>
    <s v="Bank Transfer"/>
    <n v="21.68"/>
    <x v="0"/>
    <x v="0"/>
    <s v="Returned"/>
    <s v="UPS"/>
    <x v="3"/>
    <s v="Low"/>
    <n v="3821"/>
    <n v="955"/>
    <n v="2866"/>
  </r>
  <r>
    <d v="2025-02-11T00:00:00"/>
    <s v="SKU_1790"/>
    <x v="719"/>
    <s v="Wall Clock"/>
    <n v="4"/>
    <n v="46.58"/>
    <x v="11"/>
    <n v="0.28999999999999998"/>
    <s v="Credit Card"/>
    <n v="12.45"/>
    <x v="3"/>
    <x v="0"/>
    <s v="Not Returned"/>
    <s v="DHL"/>
    <x v="4"/>
    <s v="Medium"/>
    <n v="186"/>
    <n v="54"/>
    <n v="132"/>
  </r>
  <r>
    <d v="2025-02-11T00:00:00"/>
    <s v="SKU_1309"/>
    <x v="720"/>
    <s v="Wall Clock"/>
    <n v="21"/>
    <n v="67.37"/>
    <x v="3"/>
    <n v="0.06"/>
    <s v="Credit Card"/>
    <n v="11.59"/>
    <x v="3"/>
    <x v="1"/>
    <s v="Not Returned"/>
    <s v="Royal Mail"/>
    <x v="4"/>
    <s v="Low"/>
    <n v="1415"/>
    <n v="85"/>
    <n v="1330"/>
  </r>
  <r>
    <d v="2025-02-11T00:00:00"/>
    <s v="SKU_1763"/>
    <x v="721"/>
    <s v="USB Cable"/>
    <n v="27"/>
    <n v="14.66"/>
    <x v="8"/>
    <n v="0.21"/>
    <s v="Paypal"/>
    <n v="27.75"/>
    <x v="4"/>
    <x v="1"/>
    <s v="Not Returned"/>
    <s v="Royal Mail"/>
    <x v="0"/>
    <s v="Medium"/>
    <n v="396"/>
    <n v="83"/>
    <n v="313"/>
  </r>
  <r>
    <d v="2025-02-11T00:00:00"/>
    <s v="SKU_1916"/>
    <x v="722"/>
    <s v="Wireless Mouse"/>
    <n v="39"/>
    <n v="15.07"/>
    <x v="0"/>
    <n v="0.25"/>
    <s v="Bank Transfer"/>
    <n v="29.61"/>
    <x v="2"/>
    <x v="1"/>
    <s v="Not Returned"/>
    <s v="UPS"/>
    <x v="4"/>
    <s v="High"/>
    <n v="588"/>
    <n v="147"/>
    <n v="441"/>
  </r>
  <r>
    <d v="2025-02-11T00:00:00"/>
    <s v="SKU_1079"/>
    <x v="723"/>
    <s v="Wireless Mouse"/>
    <n v="22"/>
    <n v="63.83"/>
    <x v="1"/>
    <n v="0.15"/>
    <s v="Paypal"/>
    <n v="20.3"/>
    <x v="0"/>
    <x v="0"/>
    <s v="Not Returned"/>
    <s v="FedEx"/>
    <x v="1"/>
    <s v="High"/>
    <n v="1404"/>
    <n v="211"/>
    <n v="1193"/>
  </r>
  <r>
    <d v="2025-02-11T00:00:00"/>
    <s v="SKU_1043"/>
    <x v="724"/>
    <s v="Office Chair"/>
    <n v="23"/>
    <n v="29.32"/>
    <x v="0"/>
    <n v="0.21"/>
    <s v="Bank Transfer"/>
    <n v="17.13"/>
    <x v="1"/>
    <x v="0"/>
    <s v="Not Returned"/>
    <s v="UPS"/>
    <x v="1"/>
    <s v="Low"/>
    <n v="674"/>
    <n v="142"/>
    <n v="532"/>
  </r>
  <r>
    <d v="2025-02-12T00:00:00"/>
    <s v="SKU_1915"/>
    <x v="725"/>
    <s v="Backpack"/>
    <n v="46"/>
    <n v="67.959999999999994"/>
    <x v="8"/>
    <n v="0.45"/>
    <s v="Credit Card"/>
    <n v="6.87"/>
    <x v="0"/>
    <x v="1"/>
    <s v="Not Returned"/>
    <s v="FedEx"/>
    <x v="4"/>
    <s v="High"/>
    <n v="3126"/>
    <n v="1407"/>
    <n v="1719"/>
  </r>
  <r>
    <d v="2025-02-12T00:00:00"/>
    <s v="SKU_1482"/>
    <x v="726"/>
    <s v="White Mug"/>
    <n v="3"/>
    <n v="75.180000000000007"/>
    <x v="7"/>
    <n v="0.39"/>
    <s v="Credit Card"/>
    <n v="29.79"/>
    <x v="2"/>
    <x v="1"/>
    <s v="Not Returned"/>
    <s v="UPS"/>
    <x v="3"/>
    <s v="Low"/>
    <n v="226"/>
    <n v="88"/>
    <n v="138"/>
  </r>
  <r>
    <d v="2025-02-12T00:00:00"/>
    <s v="SKU_1452"/>
    <x v="727"/>
    <s v="Wireless Mouse"/>
    <n v="44"/>
    <n v="2.7"/>
    <x v="1"/>
    <n v="0.27"/>
    <s v="Bank Transfer"/>
    <n v="21.89"/>
    <x v="0"/>
    <x v="0"/>
    <s v="Not Returned"/>
    <s v="UPS"/>
    <x v="1"/>
    <s v="High"/>
    <n v="119"/>
    <n v="32"/>
    <n v="87"/>
  </r>
  <r>
    <d v="2025-02-12T00:00:00"/>
    <s v="SKU_1729"/>
    <x v="728"/>
    <s v="Desk Lamp"/>
    <n v="8"/>
    <n v="7.28"/>
    <x v="6"/>
    <n v="0.06"/>
    <s v="Bank Transfer"/>
    <n v="24.08"/>
    <x v="3"/>
    <x v="1"/>
    <s v="Returned"/>
    <s v="DHL"/>
    <x v="3"/>
    <s v="High"/>
    <n v="58"/>
    <n v="3"/>
    <n v="55"/>
  </r>
  <r>
    <d v="2025-02-12T00:00:00"/>
    <s v="SKU_1198"/>
    <x v="729"/>
    <s v="Notebook"/>
    <n v="14"/>
    <n v="32.17"/>
    <x v="8"/>
    <n v="0.04"/>
    <s v="Paypal"/>
    <n v="6.73"/>
    <x v="2"/>
    <x v="1"/>
    <s v="Not Returned"/>
    <s v="DHL"/>
    <x v="0"/>
    <s v="Medium"/>
    <n v="450"/>
    <n v="18"/>
    <n v="432"/>
  </r>
  <r>
    <d v="2025-02-12T00:00:00"/>
    <s v="SKU_1691"/>
    <x v="730"/>
    <s v="White Mug"/>
    <n v="27"/>
    <n v="82.79"/>
    <x v="0"/>
    <n v="0.48"/>
    <s v="Paypal"/>
    <n v="29.3"/>
    <x v="0"/>
    <x v="0"/>
    <s v="Not Returned"/>
    <s v="FedEx"/>
    <x v="3"/>
    <s v="Medium"/>
    <n v="2235"/>
    <n v="1073"/>
    <n v="1162"/>
  </r>
  <r>
    <d v="2025-02-12T00:00:00"/>
    <s v="SKU_1207"/>
    <x v="731"/>
    <s v="Backpack"/>
    <n v="49"/>
    <n v="72.569999999999993"/>
    <x v="11"/>
    <n v="0"/>
    <s v="Paypal"/>
    <n v="12.43"/>
    <x v="3"/>
    <x v="1"/>
    <s v="Not Returned"/>
    <s v="Royal Mail"/>
    <x v="1"/>
    <s v="High"/>
    <n v="3556"/>
    <n v="0"/>
    <n v="3556"/>
  </r>
  <r>
    <d v="2025-02-12T00:00:00"/>
    <s v="SKU_1912"/>
    <x v="732"/>
    <s v="Notebook"/>
    <n v="25"/>
    <n v="81.41"/>
    <x v="11"/>
    <n v="0.12"/>
    <s v="Paypal"/>
    <n v="15.64"/>
    <x v="3"/>
    <x v="1"/>
    <s v="Returned"/>
    <s v="Royal Mail"/>
    <x v="0"/>
    <s v="High"/>
    <n v="2035"/>
    <n v="244"/>
    <n v="1791"/>
  </r>
  <r>
    <d v="2025-02-12T00:00:00"/>
    <s v="SKU_1193"/>
    <x v="733"/>
    <s v="Headphones"/>
    <n v="1"/>
    <n v="63.07"/>
    <x v="10"/>
    <n v="0.31"/>
    <s v="Bank Transfer"/>
    <n v="8.15"/>
    <x v="3"/>
    <x v="1"/>
    <s v="Not Returned"/>
    <s v="DHL"/>
    <x v="2"/>
    <s v="High"/>
    <n v="63"/>
    <n v="20"/>
    <n v="43"/>
  </r>
  <r>
    <d v="2025-02-12T00:00:00"/>
    <s v="SKU_1011"/>
    <x v="734"/>
    <s v="Wireless Mouse"/>
    <n v="36"/>
    <n v="94.65"/>
    <x v="7"/>
    <n v="0.25"/>
    <s v="Credit Card"/>
    <n v="22.59"/>
    <x v="4"/>
    <x v="0"/>
    <s v="Not Returned"/>
    <s v="FedEx"/>
    <x v="3"/>
    <s v="High"/>
    <n v="3407"/>
    <n v="852"/>
    <n v="2555"/>
  </r>
  <r>
    <d v="2025-02-12T00:00:00"/>
    <s v="SKU_1953"/>
    <x v="735"/>
    <s v="Blue Pen"/>
    <n v="24"/>
    <n v="85.51"/>
    <x v="9"/>
    <n v="0.33"/>
    <s v="Bank Transfer"/>
    <n v="28.3"/>
    <x v="2"/>
    <x v="1"/>
    <s v="Not Returned"/>
    <s v="DHL"/>
    <x v="1"/>
    <s v="High"/>
    <n v="2052"/>
    <n v="677"/>
    <n v="1375"/>
  </r>
  <r>
    <d v="2025-02-12T00:00:00"/>
    <s v="SKU_1847"/>
    <x v="736"/>
    <s v="Notebook"/>
    <n v="43"/>
    <n v="40.479999999999997"/>
    <x v="4"/>
    <n v="0.21"/>
    <s v="Paypal"/>
    <n v="28.03"/>
    <x v="0"/>
    <x v="1"/>
    <s v="Not Returned"/>
    <s v="Royal Mail"/>
    <x v="3"/>
    <s v="Low"/>
    <n v="1741"/>
    <n v="366"/>
    <n v="1375"/>
  </r>
  <r>
    <d v="2025-02-12T00:00:00"/>
    <s v="SKU_1125"/>
    <x v="737"/>
    <s v="Notebook"/>
    <n v="31"/>
    <n v="65.88"/>
    <x v="7"/>
    <n v="0.18"/>
    <s v="Paypal"/>
    <n v="10.92"/>
    <x v="0"/>
    <x v="0"/>
    <s v="Not Returned"/>
    <s v="DHL"/>
    <x v="3"/>
    <s v="Medium"/>
    <n v="2042"/>
    <n v="368"/>
    <n v="1674"/>
  </r>
  <r>
    <d v="2025-02-12T00:00:00"/>
    <s v="SKU_1347"/>
    <x v="738"/>
    <s v="Blue Pen"/>
    <n v="27"/>
    <n v="69.33"/>
    <x v="7"/>
    <n v="0.43"/>
    <s v="Paypal"/>
    <n v="23.65"/>
    <x v="4"/>
    <x v="0"/>
    <s v="Not Returned"/>
    <s v="UPS"/>
    <x v="2"/>
    <s v="Low"/>
    <n v="1872"/>
    <n v="805"/>
    <n v="1067"/>
  </r>
  <r>
    <d v="2025-02-12T00:00:00"/>
    <s v="SKU_1071"/>
    <x v="739"/>
    <s v="Backpack"/>
    <n v="43"/>
    <n v="27.6"/>
    <x v="2"/>
    <n v="0.23"/>
    <s v="Paypal"/>
    <n v="14.95"/>
    <x v="4"/>
    <x v="1"/>
    <s v="Not Returned"/>
    <s v="FedEx"/>
    <x v="1"/>
    <s v="High"/>
    <n v="1187"/>
    <n v="273"/>
    <n v="914"/>
  </r>
  <r>
    <d v="2025-02-12T00:00:00"/>
    <s v="SKU_1439"/>
    <x v="740"/>
    <s v="White Mug"/>
    <n v="28"/>
    <n v="66.760000000000005"/>
    <x v="2"/>
    <n v="0.23"/>
    <s v="Bank Transfer"/>
    <n v="19.420000000000002"/>
    <x v="4"/>
    <x v="1"/>
    <s v="Not Returned"/>
    <s v="FedEx"/>
    <x v="1"/>
    <s v="High"/>
    <n v="1869"/>
    <n v="430"/>
    <n v="1439"/>
  </r>
  <r>
    <d v="2025-02-12T00:00:00"/>
    <s v="SKU_1731"/>
    <x v="741"/>
    <s v="Notebook"/>
    <n v="31"/>
    <n v="13.9"/>
    <x v="10"/>
    <n v="0.27"/>
    <s v="Paypal"/>
    <n v="14.15"/>
    <x v="0"/>
    <x v="1"/>
    <s v="Not Returned"/>
    <s v="FedEx"/>
    <x v="4"/>
    <s v="Medium"/>
    <n v="431"/>
    <n v="116"/>
    <n v="315"/>
  </r>
  <r>
    <d v="2025-02-12T00:00:00"/>
    <s v="SKU_1583"/>
    <x v="742"/>
    <s v="T-shirt"/>
    <n v="30"/>
    <n v="22.8"/>
    <x v="1"/>
    <n v="0.21"/>
    <s v="Bank Transfer"/>
    <n v="26.41"/>
    <x v="3"/>
    <x v="1"/>
    <s v="Not Returned"/>
    <s v="UPS"/>
    <x v="3"/>
    <s v="Low"/>
    <n v="684"/>
    <n v="144"/>
    <n v="540"/>
  </r>
  <r>
    <d v="2025-02-12T00:00:00"/>
    <s v="SKU_1348"/>
    <x v="743"/>
    <s v="White Mug"/>
    <n v="13"/>
    <n v="94.81"/>
    <x v="5"/>
    <n v="0.27"/>
    <s v="Bank Transfer"/>
    <n v="12.8"/>
    <x v="1"/>
    <x v="1"/>
    <s v="Not Returned"/>
    <s v="Royal Mail"/>
    <x v="0"/>
    <s v="Medium"/>
    <n v="1233"/>
    <n v="333"/>
    <n v="900"/>
  </r>
  <r>
    <d v="2025-02-12T00:00:00"/>
    <s v="SKU_1120"/>
    <x v="744"/>
    <s v="White Mug"/>
    <n v="12"/>
    <n v="57.92"/>
    <x v="6"/>
    <n v="0.5"/>
    <s v="Paypal"/>
    <n v="5.68"/>
    <x v="0"/>
    <x v="1"/>
    <s v="Returned"/>
    <s v="UPS"/>
    <x v="3"/>
    <s v="Medium"/>
    <n v="695"/>
    <n v="348"/>
    <n v="347"/>
  </r>
  <r>
    <d v="2025-02-13T00:00:00"/>
    <s v="SKU_1785"/>
    <x v="745"/>
    <s v="T-shirt"/>
    <n v="30"/>
    <n v="58.01"/>
    <x v="8"/>
    <n v="0.27"/>
    <s v="Bank Transfer"/>
    <n v="6.7"/>
    <x v="3"/>
    <x v="1"/>
    <s v="Not Returned"/>
    <s v="Royal Mail"/>
    <x v="0"/>
    <s v="Medium"/>
    <n v="1740"/>
    <n v="470"/>
    <n v="1270"/>
  </r>
  <r>
    <d v="2025-02-13T00:00:00"/>
    <s v="SKU_1554"/>
    <x v="746"/>
    <s v="USB Cable"/>
    <n v="43"/>
    <n v="56.9"/>
    <x v="4"/>
    <n v="0.09"/>
    <s v="Credit Card"/>
    <n v="12.43"/>
    <x v="2"/>
    <x v="0"/>
    <s v="Not Returned"/>
    <s v="DHL"/>
    <x v="4"/>
    <s v="Low"/>
    <n v="2447"/>
    <n v="220"/>
    <n v="2227"/>
  </r>
  <r>
    <d v="2025-02-13T00:00:00"/>
    <s v="SKU_1207"/>
    <x v="747"/>
    <s v="Wireless Mouse"/>
    <n v="48"/>
    <n v="12.47"/>
    <x v="11"/>
    <n v="0.18"/>
    <s v="Credit Card"/>
    <n v="9.49"/>
    <x v="0"/>
    <x v="1"/>
    <s v="Not Returned"/>
    <s v="UPS"/>
    <x v="0"/>
    <s v="Low"/>
    <n v="599"/>
    <n v="108"/>
    <n v="491"/>
  </r>
  <r>
    <d v="2025-02-13T00:00:00"/>
    <s v="SKU_1473"/>
    <x v="748"/>
    <s v="T-shirt"/>
    <n v="49"/>
    <n v="14.27"/>
    <x v="9"/>
    <n v="0.41"/>
    <s v="Credit Card"/>
    <n v="11.91"/>
    <x v="1"/>
    <x v="1"/>
    <s v="Not Returned"/>
    <s v="DHL"/>
    <x v="3"/>
    <s v="Medium"/>
    <n v="699"/>
    <n v="287"/>
    <n v="412"/>
  </r>
  <r>
    <d v="2025-02-13T00:00:00"/>
    <s v="SKU_1213"/>
    <x v="749"/>
    <s v="Headphones"/>
    <n v="39"/>
    <n v="86.32"/>
    <x v="2"/>
    <n v="0.06"/>
    <s v="Paypal"/>
    <n v="15.49"/>
    <x v="1"/>
    <x v="1"/>
    <s v="Returned"/>
    <s v="FedEx"/>
    <x v="0"/>
    <s v="High"/>
    <n v="3366"/>
    <n v="202"/>
    <n v="3164"/>
  </r>
  <r>
    <d v="2025-02-13T00:00:00"/>
    <s v="SKU_1334"/>
    <x v="750"/>
    <s v="Backpack"/>
    <n v="4"/>
    <n v="28.14"/>
    <x v="6"/>
    <n v="0"/>
    <s v="Paypal"/>
    <n v="9.24"/>
    <x v="1"/>
    <x v="1"/>
    <s v="Not Returned"/>
    <s v="FedEx"/>
    <x v="2"/>
    <s v="Medium"/>
    <n v="113"/>
    <n v="0"/>
    <n v="113"/>
  </r>
  <r>
    <d v="2025-02-13T00:00:00"/>
    <s v="SKU_1149"/>
    <x v="751"/>
    <s v="Office Chair"/>
    <n v="17"/>
    <n v="47.37"/>
    <x v="9"/>
    <n v="0.15"/>
    <s v="Bank Transfer"/>
    <n v="29.96"/>
    <x v="1"/>
    <x v="0"/>
    <s v="Returned"/>
    <s v="Royal Mail"/>
    <x v="1"/>
    <s v="High"/>
    <n v="805"/>
    <n v="121"/>
    <n v="684"/>
  </r>
  <r>
    <d v="2025-02-13T00:00:00"/>
    <s v="SKU_1251"/>
    <x v="752"/>
    <s v="Desk Lamp"/>
    <n v="44"/>
    <n v="1.54"/>
    <x v="3"/>
    <n v="0.14000000000000001"/>
    <s v="Bank Transfer"/>
    <n v="12.87"/>
    <x v="1"/>
    <x v="0"/>
    <s v="Not Returned"/>
    <s v="DHL"/>
    <x v="2"/>
    <s v="High"/>
    <n v="68"/>
    <n v="9"/>
    <n v="59"/>
  </r>
  <r>
    <d v="2025-02-13T00:00:00"/>
    <s v="SKU_1571"/>
    <x v="696"/>
    <s v="Wireless Mouse"/>
    <n v="1"/>
    <n v="13.94"/>
    <x v="3"/>
    <n v="0.05"/>
    <s v="Paypal"/>
    <n v="19.28"/>
    <x v="4"/>
    <x v="1"/>
    <s v="Returned"/>
    <s v="FedEx"/>
    <x v="1"/>
    <s v="Low"/>
    <n v="14"/>
    <n v="1"/>
    <n v="13"/>
  </r>
  <r>
    <d v="2025-02-13T00:00:00"/>
    <s v="SKU_1212"/>
    <x v="753"/>
    <s v="White Mug"/>
    <n v="44"/>
    <n v="52.56"/>
    <x v="9"/>
    <n v="0.41"/>
    <s v="Credit Card"/>
    <n v="28.13"/>
    <x v="0"/>
    <x v="1"/>
    <s v="Not Returned"/>
    <s v="FedEx"/>
    <x v="3"/>
    <s v="Medium"/>
    <n v="2313"/>
    <n v="948"/>
    <n v="1365"/>
  </r>
  <r>
    <d v="2025-02-13T00:00:00"/>
    <s v="SKU_1574"/>
    <x v="754"/>
    <s v="T-shirt"/>
    <n v="16"/>
    <n v="6.55"/>
    <x v="4"/>
    <n v="0.44"/>
    <s v="Paypal"/>
    <n v="20.149999999999999"/>
    <x v="0"/>
    <x v="1"/>
    <s v="Returned"/>
    <s v="DHL"/>
    <x v="1"/>
    <s v="Medium"/>
    <n v="105"/>
    <n v="46"/>
    <n v="59"/>
  </r>
  <r>
    <d v="2025-02-13T00:00:00"/>
    <s v="SKU_1497"/>
    <x v="755"/>
    <s v="Headphones"/>
    <n v="10"/>
    <n v="73.92"/>
    <x v="3"/>
    <n v="0.41"/>
    <s v="Credit Card"/>
    <n v="26.43"/>
    <x v="0"/>
    <x v="1"/>
    <s v="Not Returned"/>
    <s v="Royal Mail"/>
    <x v="1"/>
    <s v="High"/>
    <n v="739"/>
    <n v="303"/>
    <n v="436"/>
  </r>
  <r>
    <d v="2025-02-13T00:00:00"/>
    <s v="SKU_1791"/>
    <x v="756"/>
    <s v="Wireless Mouse"/>
    <n v="2"/>
    <n v="38.44"/>
    <x v="5"/>
    <n v="0.3"/>
    <s v="Bank Transfer"/>
    <n v="19.66"/>
    <x v="3"/>
    <x v="0"/>
    <s v="Not Returned"/>
    <s v="DHL"/>
    <x v="1"/>
    <s v="High"/>
    <n v="77"/>
    <n v="23"/>
    <n v="54"/>
  </r>
  <r>
    <d v="2025-02-13T00:00:00"/>
    <s v="SKU_1704"/>
    <x v="757"/>
    <s v="Blue Pen"/>
    <n v="11"/>
    <n v="99.17"/>
    <x v="7"/>
    <n v="0.28000000000000003"/>
    <s v="Credit Card"/>
    <n v="21.08"/>
    <x v="3"/>
    <x v="1"/>
    <s v="Not Returned"/>
    <s v="UPS"/>
    <x v="2"/>
    <s v="Medium"/>
    <n v="1091"/>
    <n v="305"/>
    <n v="786"/>
  </r>
  <r>
    <d v="2025-02-13T00:00:00"/>
    <s v="SKU_1028"/>
    <x v="758"/>
    <s v="Headphones"/>
    <n v="3"/>
    <n v="26.1"/>
    <x v="1"/>
    <n v="0.48"/>
    <s v="Bank Transfer"/>
    <n v="10.45"/>
    <x v="0"/>
    <x v="1"/>
    <s v="Not Returned"/>
    <s v="FedEx"/>
    <x v="1"/>
    <s v="High"/>
    <n v="78"/>
    <n v="38"/>
    <n v="40"/>
  </r>
  <r>
    <d v="2025-02-13T00:00:00"/>
    <s v="SKU_1896"/>
    <x v="759"/>
    <s v="Office Chair"/>
    <n v="8"/>
    <n v="28.36"/>
    <x v="10"/>
    <n v="0.22"/>
    <s v="Bank Transfer"/>
    <n v="19"/>
    <x v="0"/>
    <x v="1"/>
    <s v="Not Returned"/>
    <s v="DHL"/>
    <x v="1"/>
    <s v="Medium"/>
    <n v="227"/>
    <n v="50"/>
    <n v="177"/>
  </r>
  <r>
    <d v="2025-02-13T00:00:00"/>
    <s v="SKU_1891"/>
    <x v="760"/>
    <s v="Office Chair"/>
    <n v="16"/>
    <n v="96.46"/>
    <x v="10"/>
    <n v="0.05"/>
    <s v="Credit Card"/>
    <n v="12.15"/>
    <x v="1"/>
    <x v="0"/>
    <s v="Not Returned"/>
    <s v="DHL"/>
    <x v="3"/>
    <s v="High"/>
    <n v="1543"/>
    <n v="77"/>
    <n v="1466"/>
  </r>
  <r>
    <d v="2025-02-13T00:00:00"/>
    <s v="SKU_1512"/>
    <x v="761"/>
    <s v="Notebook"/>
    <n v="47"/>
    <n v="30.39"/>
    <x v="6"/>
    <n v="0.1"/>
    <s v="Bank Transfer"/>
    <n v="21.53"/>
    <x v="4"/>
    <x v="1"/>
    <s v="Not Returned"/>
    <s v="DHL"/>
    <x v="3"/>
    <s v="Low"/>
    <n v="1428"/>
    <n v="143"/>
    <n v="1285"/>
  </r>
  <r>
    <d v="2025-02-13T00:00:00"/>
    <s v="SKU_1072"/>
    <x v="762"/>
    <s v="Wireless Mouse"/>
    <n v="9"/>
    <n v="67.260000000000005"/>
    <x v="10"/>
    <n v="0.37"/>
    <s v="Bank Transfer"/>
    <n v="11.74"/>
    <x v="0"/>
    <x v="1"/>
    <s v="Not Returned"/>
    <s v="UPS"/>
    <x v="2"/>
    <s v="Medium"/>
    <n v="605"/>
    <n v="224"/>
    <n v="381"/>
  </r>
  <r>
    <d v="2025-02-13T00:00:00"/>
    <s v="SKU_1788"/>
    <x v="763"/>
    <s v="White Mug"/>
    <n v="46"/>
    <n v="68.92"/>
    <x v="7"/>
    <n v="0.38"/>
    <s v="Credit Card"/>
    <n v="15.96"/>
    <x v="0"/>
    <x v="1"/>
    <s v="Not Returned"/>
    <s v="UPS"/>
    <x v="2"/>
    <s v="High"/>
    <n v="3170"/>
    <n v="1205"/>
    <n v="1965"/>
  </r>
  <r>
    <d v="2025-02-13T00:00:00"/>
    <s v="SKU_1205"/>
    <x v="764"/>
    <s v="T-shirt"/>
    <n v="46"/>
    <n v="83.44"/>
    <x v="6"/>
    <n v="0.24"/>
    <s v="Bank Transfer"/>
    <n v="21.49"/>
    <x v="2"/>
    <x v="1"/>
    <s v="Returned"/>
    <s v="UPS"/>
    <x v="4"/>
    <s v="Low"/>
    <n v="3838"/>
    <n v="921"/>
    <n v="2917"/>
  </r>
  <r>
    <d v="2025-02-13T00:00:00"/>
    <s v="SKU_1667"/>
    <x v="765"/>
    <s v="Desk Lamp"/>
    <n v="27"/>
    <n v="97.02"/>
    <x v="5"/>
    <n v="0.19"/>
    <s v="Paypal"/>
    <n v="16.47"/>
    <x v="3"/>
    <x v="0"/>
    <s v="Not Returned"/>
    <s v="UPS"/>
    <x v="3"/>
    <s v="Low"/>
    <n v="2620"/>
    <n v="498"/>
    <n v="2122"/>
  </r>
  <r>
    <d v="2025-02-14T00:00:00"/>
    <s v="SKU_1657"/>
    <x v="766"/>
    <s v="Office Chair"/>
    <n v="22"/>
    <n v="57.2"/>
    <x v="1"/>
    <n v="7.0000000000000007E-2"/>
    <s v="Bank Transfer"/>
    <n v="18.399999999999999"/>
    <x v="2"/>
    <x v="1"/>
    <s v="Not Returned"/>
    <s v="FedEx"/>
    <x v="0"/>
    <s v="Low"/>
    <n v="1258"/>
    <n v="88"/>
    <n v="1170"/>
  </r>
  <r>
    <d v="2025-02-14T00:00:00"/>
    <s v="SKU_1864"/>
    <x v="767"/>
    <s v="Notebook"/>
    <n v="27"/>
    <n v="55.2"/>
    <x v="0"/>
    <n v="0.06"/>
    <s v="Paypal"/>
    <n v="14.25"/>
    <x v="3"/>
    <x v="1"/>
    <s v="Not Returned"/>
    <s v="UPS"/>
    <x v="2"/>
    <s v="Medium"/>
    <n v="1490"/>
    <n v="89"/>
    <n v="1401"/>
  </r>
  <r>
    <d v="2025-02-14T00:00:00"/>
    <s v="SKU_1051"/>
    <x v="768"/>
    <s v="Office Chair"/>
    <n v="38"/>
    <n v="34.590000000000003"/>
    <x v="4"/>
    <n v="0.46"/>
    <s v="Bank Transfer"/>
    <n v="20.57"/>
    <x v="1"/>
    <x v="1"/>
    <s v="Not Returned"/>
    <s v="FedEx"/>
    <x v="4"/>
    <s v="Low"/>
    <n v="1314"/>
    <n v="605"/>
    <n v="709"/>
  </r>
  <r>
    <d v="2025-02-14T00:00:00"/>
    <s v="SKU_1321"/>
    <x v="769"/>
    <s v="Desk Lamp"/>
    <n v="6"/>
    <n v="50.45"/>
    <x v="6"/>
    <n v="0.25"/>
    <s v="Bank Transfer"/>
    <n v="27.28"/>
    <x v="0"/>
    <x v="0"/>
    <s v="Not Returned"/>
    <s v="Royal Mail"/>
    <x v="2"/>
    <s v="High"/>
    <n v="303"/>
    <n v="76"/>
    <n v="227"/>
  </r>
  <r>
    <d v="2025-02-14T00:00:00"/>
    <s v="SKU_1225"/>
    <x v="770"/>
    <s v="Blue Pen"/>
    <n v="21"/>
    <n v="20.61"/>
    <x v="11"/>
    <n v="0.12"/>
    <s v="Paypal"/>
    <n v="13.46"/>
    <x v="4"/>
    <x v="1"/>
    <s v="Not Returned"/>
    <s v="DHL"/>
    <x v="0"/>
    <s v="High"/>
    <n v="433"/>
    <n v="52"/>
    <n v="381"/>
  </r>
  <r>
    <d v="2025-02-14T00:00:00"/>
    <s v="SKU_1061"/>
    <x v="771"/>
    <s v="USB Cable"/>
    <n v="7"/>
    <n v="81.41"/>
    <x v="8"/>
    <n v="0.37"/>
    <s v="Paypal"/>
    <n v="28.89"/>
    <x v="4"/>
    <x v="0"/>
    <s v="Not Returned"/>
    <s v="FedEx"/>
    <x v="4"/>
    <s v="Medium"/>
    <n v="570"/>
    <n v="211"/>
    <n v="359"/>
  </r>
  <r>
    <d v="2025-02-14T00:00:00"/>
    <s v="SKU_1018"/>
    <x v="772"/>
    <s v="USB Cable"/>
    <n v="10"/>
    <n v="7.45"/>
    <x v="11"/>
    <n v="0.13"/>
    <s v="Credit Card"/>
    <n v="28.73"/>
    <x v="2"/>
    <x v="1"/>
    <s v="Not Returned"/>
    <s v="DHL"/>
    <x v="2"/>
    <s v="Low"/>
    <n v="75"/>
    <n v="10"/>
    <n v="65"/>
  </r>
  <r>
    <d v="2025-02-14T00:00:00"/>
    <s v="SKU_1769"/>
    <x v="773"/>
    <s v="Wireless Mouse"/>
    <n v="47"/>
    <n v="79.78"/>
    <x v="11"/>
    <n v="0.36"/>
    <s v="Credit Card"/>
    <n v="26.21"/>
    <x v="3"/>
    <x v="1"/>
    <s v="Not Returned"/>
    <s v="UPS"/>
    <x v="4"/>
    <s v="Medium"/>
    <n v="3750"/>
    <n v="1350"/>
    <n v="2400"/>
  </r>
  <r>
    <d v="2025-02-14T00:00:00"/>
    <s v="SKU_1709"/>
    <x v="774"/>
    <s v="Wireless Mouse"/>
    <n v="16"/>
    <n v="96.08"/>
    <x v="1"/>
    <n v="0.1"/>
    <s v="Paypal"/>
    <n v="16.52"/>
    <x v="4"/>
    <x v="0"/>
    <s v="Not Returned"/>
    <s v="DHL"/>
    <x v="4"/>
    <s v="Medium"/>
    <n v="1537"/>
    <n v="154"/>
    <n v="1383"/>
  </r>
  <r>
    <d v="2025-02-14T00:00:00"/>
    <s v="SKU_1310"/>
    <x v="775"/>
    <s v="Blue Pen"/>
    <n v="34"/>
    <n v="77.94"/>
    <x v="2"/>
    <n v="0.24"/>
    <s v="Paypal"/>
    <n v="19.43"/>
    <x v="3"/>
    <x v="1"/>
    <s v="Not Returned"/>
    <s v="FedEx"/>
    <x v="4"/>
    <s v="Low"/>
    <n v="2650"/>
    <n v="636"/>
    <n v="2014"/>
  </r>
  <r>
    <d v="2025-02-14T00:00:00"/>
    <s v="SKU_1440"/>
    <x v="776"/>
    <s v="Desk Lamp"/>
    <n v="34"/>
    <n v="86.56"/>
    <x v="7"/>
    <n v="0.15"/>
    <s v="Bank Transfer"/>
    <n v="15.15"/>
    <x v="0"/>
    <x v="0"/>
    <s v="Returned"/>
    <s v="Royal Mail"/>
    <x v="4"/>
    <s v="Low"/>
    <n v="2943"/>
    <n v="441"/>
    <n v="2502"/>
  </r>
  <r>
    <d v="2025-02-14T00:00:00"/>
    <s v="SKU_1522"/>
    <x v="777"/>
    <s v="Wall Clock"/>
    <n v="7"/>
    <n v="98.99"/>
    <x v="5"/>
    <n v="0.41"/>
    <s v="Paypal"/>
    <n v="13.95"/>
    <x v="0"/>
    <x v="1"/>
    <s v="Not Returned"/>
    <s v="UPS"/>
    <x v="4"/>
    <s v="High"/>
    <n v="693"/>
    <n v="284"/>
    <n v="409"/>
  </r>
  <r>
    <d v="2025-02-14T00:00:00"/>
    <s v="SKU_1755"/>
    <x v="778"/>
    <s v="Office Chair"/>
    <n v="26"/>
    <n v="15.52"/>
    <x v="3"/>
    <n v="0.49"/>
    <s v="Paypal"/>
    <n v="28.39"/>
    <x v="2"/>
    <x v="1"/>
    <s v="Not Returned"/>
    <s v="FedEx"/>
    <x v="2"/>
    <s v="Medium"/>
    <n v="404"/>
    <n v="198"/>
    <n v="206"/>
  </r>
  <r>
    <d v="2025-02-14T00:00:00"/>
    <s v="SKU_1084"/>
    <x v="779"/>
    <s v="Backpack"/>
    <n v="18"/>
    <n v="70.14"/>
    <x v="10"/>
    <n v="0.11"/>
    <s v="Bank Transfer"/>
    <n v="21.35"/>
    <x v="4"/>
    <x v="1"/>
    <s v="Not Returned"/>
    <s v="Royal Mail"/>
    <x v="2"/>
    <s v="Low"/>
    <n v="1263"/>
    <n v="139"/>
    <n v="1124"/>
  </r>
  <r>
    <d v="2025-02-14T00:00:00"/>
    <s v="SKU_1957"/>
    <x v="780"/>
    <s v="Office Chair"/>
    <n v="10"/>
    <n v="96.19"/>
    <x v="2"/>
    <n v="0.35"/>
    <s v="Credit Card"/>
    <n v="22.39"/>
    <x v="3"/>
    <x v="1"/>
    <s v="Not Returned"/>
    <s v="FedEx"/>
    <x v="2"/>
    <s v="Low"/>
    <n v="962"/>
    <n v="337"/>
    <n v="625"/>
  </r>
  <r>
    <d v="2025-02-14T00:00:00"/>
    <s v="SKU_1538"/>
    <x v="781"/>
    <s v="Headphones"/>
    <n v="40"/>
    <n v="55.16"/>
    <x v="11"/>
    <n v="0.26"/>
    <s v="Bank Transfer"/>
    <n v="8.3699999999999992"/>
    <x v="3"/>
    <x v="0"/>
    <s v="Not Returned"/>
    <s v="FedEx"/>
    <x v="4"/>
    <s v="Low"/>
    <n v="2206"/>
    <n v="574"/>
    <n v="1632"/>
  </r>
  <r>
    <d v="2025-02-14T00:00:00"/>
    <s v="SKU_1789"/>
    <x v="782"/>
    <s v="White Mug"/>
    <n v="29"/>
    <n v="84.49"/>
    <x v="2"/>
    <n v="0.44"/>
    <s v="Bank Transfer"/>
    <n v="8.86"/>
    <x v="4"/>
    <x v="0"/>
    <s v="Not Returned"/>
    <s v="FedEx"/>
    <x v="2"/>
    <s v="Medium"/>
    <n v="2450"/>
    <n v="1078"/>
    <n v="1372"/>
  </r>
  <r>
    <d v="2025-02-14T00:00:00"/>
    <s v="SKU_1002"/>
    <x v="783"/>
    <s v="White Mug"/>
    <n v="14"/>
    <n v="9.48"/>
    <x v="7"/>
    <n v="0.14000000000000001"/>
    <s v="Paypal"/>
    <n v="5.71"/>
    <x v="3"/>
    <x v="0"/>
    <s v="Not Returned"/>
    <s v="Royal Mail"/>
    <x v="2"/>
    <s v="High"/>
    <n v="133"/>
    <n v="19"/>
    <n v="114"/>
  </r>
  <r>
    <d v="2025-02-14T00:00:00"/>
    <s v="SKU_1770"/>
    <x v="784"/>
    <s v="T-shirt"/>
    <n v="14"/>
    <n v="54.79"/>
    <x v="5"/>
    <n v="0.06"/>
    <s v="Bank Transfer"/>
    <n v="13.06"/>
    <x v="3"/>
    <x v="0"/>
    <s v="Not Returned"/>
    <s v="DHL"/>
    <x v="3"/>
    <s v="Low"/>
    <n v="767"/>
    <n v="46"/>
    <n v="721"/>
  </r>
  <r>
    <d v="2025-02-14T00:00:00"/>
    <s v="SKU_1242"/>
    <x v="785"/>
    <s v="Blue Pen"/>
    <n v="38"/>
    <n v="96.08"/>
    <x v="4"/>
    <n v="0.02"/>
    <s v="Paypal"/>
    <n v="20.350000000000001"/>
    <x v="3"/>
    <x v="0"/>
    <s v="Returned"/>
    <s v="FedEx"/>
    <x v="2"/>
    <s v="Low"/>
    <n v="3651"/>
    <n v="73"/>
    <n v="3578"/>
  </r>
  <r>
    <d v="2025-02-15T00:00:00"/>
    <s v="SKU_1404"/>
    <x v="786"/>
    <s v="Office Chair"/>
    <n v="8"/>
    <n v="74.430000000000007"/>
    <x v="1"/>
    <n v="0.02"/>
    <s v="Credit Card"/>
    <n v="20.67"/>
    <x v="1"/>
    <x v="0"/>
    <s v="Not Returned"/>
    <s v="FedEx"/>
    <x v="0"/>
    <s v="Low"/>
    <n v="595"/>
    <n v="12"/>
    <n v="583"/>
  </r>
  <r>
    <d v="2025-02-15T00:00:00"/>
    <s v="SKU_1042"/>
    <x v="787"/>
    <s v="T-shirt"/>
    <n v="10"/>
    <n v="5.04"/>
    <x v="10"/>
    <n v="0.42"/>
    <s v="Credit Card"/>
    <n v="12.44"/>
    <x v="2"/>
    <x v="0"/>
    <s v="Returned"/>
    <s v="DHL"/>
    <x v="1"/>
    <s v="Low"/>
    <n v="50"/>
    <n v="21"/>
    <n v="29"/>
  </r>
  <r>
    <d v="2025-02-15T00:00:00"/>
    <s v="SKU_1709"/>
    <x v="788"/>
    <s v="Desk Lamp"/>
    <n v="29"/>
    <n v="24.55"/>
    <x v="7"/>
    <n v="0.35"/>
    <s v="Paypal"/>
    <n v="25.31"/>
    <x v="1"/>
    <x v="1"/>
    <s v="Not Returned"/>
    <s v="DHL"/>
    <x v="1"/>
    <s v="Low"/>
    <n v="712"/>
    <n v="249"/>
    <n v="463"/>
  </r>
  <r>
    <d v="2025-02-15T00:00:00"/>
    <s v="SKU_1600"/>
    <x v="789"/>
    <s v="Blue Pen"/>
    <n v="19"/>
    <n v="68.81"/>
    <x v="2"/>
    <n v="0.06"/>
    <s v="Paypal"/>
    <n v="18.940000000000001"/>
    <x v="3"/>
    <x v="1"/>
    <s v="Not Returned"/>
    <s v="DHL"/>
    <x v="2"/>
    <s v="Low"/>
    <n v="1307"/>
    <n v="78"/>
    <n v="1229"/>
  </r>
  <r>
    <d v="2025-02-15T00:00:00"/>
    <s v="SKU_1232"/>
    <x v="790"/>
    <s v="Office Chair"/>
    <n v="39"/>
    <n v="99.14"/>
    <x v="7"/>
    <n v="0.46"/>
    <s v="Credit Card"/>
    <n v="8.3000000000000007"/>
    <x v="2"/>
    <x v="0"/>
    <s v="Not Returned"/>
    <s v="UPS"/>
    <x v="2"/>
    <s v="Medium"/>
    <n v="3866"/>
    <n v="1779"/>
    <n v="2087"/>
  </r>
  <r>
    <d v="2025-02-15T00:00:00"/>
    <s v="SKU_1507"/>
    <x v="791"/>
    <s v="Backpack"/>
    <n v="36"/>
    <n v="80.900000000000006"/>
    <x v="10"/>
    <n v="0.32"/>
    <s v="Bank Transfer"/>
    <n v="16.600000000000001"/>
    <x v="0"/>
    <x v="1"/>
    <s v="Not Returned"/>
    <s v="Royal Mail"/>
    <x v="0"/>
    <s v="High"/>
    <n v="2912"/>
    <n v="932"/>
    <n v="1980"/>
  </r>
  <r>
    <d v="2025-02-15T00:00:00"/>
    <s v="SKU_1804"/>
    <x v="792"/>
    <s v="Headphones"/>
    <n v="49"/>
    <n v="35.71"/>
    <x v="6"/>
    <n v="0.08"/>
    <s v="Bank Transfer"/>
    <n v="8.43"/>
    <x v="3"/>
    <x v="0"/>
    <s v="Not Returned"/>
    <s v="Royal Mail"/>
    <x v="0"/>
    <s v="Low"/>
    <n v="1750"/>
    <n v="140"/>
    <n v="1610"/>
  </r>
  <r>
    <d v="2025-02-15T00:00:00"/>
    <s v="SKU_1349"/>
    <x v="793"/>
    <s v="Headphones"/>
    <n v="18"/>
    <n v="99.85"/>
    <x v="0"/>
    <n v="0.18"/>
    <s v="Paypal"/>
    <n v="28.81"/>
    <x v="1"/>
    <x v="0"/>
    <s v="Not Returned"/>
    <s v="Royal Mail"/>
    <x v="3"/>
    <s v="High"/>
    <n v="1797"/>
    <n v="324"/>
    <n v="1473"/>
  </r>
  <r>
    <d v="2025-02-15T00:00:00"/>
    <s v="SKU_1439"/>
    <x v="794"/>
    <s v="Backpack"/>
    <n v="31"/>
    <n v="20.7"/>
    <x v="4"/>
    <n v="0.15"/>
    <s v="Credit Card"/>
    <n v="10.46"/>
    <x v="1"/>
    <x v="1"/>
    <s v="Not Returned"/>
    <s v="Royal Mail"/>
    <x v="1"/>
    <s v="Medium"/>
    <n v="642"/>
    <n v="96"/>
    <n v="546"/>
  </r>
  <r>
    <d v="2025-02-15T00:00:00"/>
    <s v="SKU_1550"/>
    <x v="795"/>
    <s v="Wall Clock"/>
    <n v="44"/>
    <n v="27.67"/>
    <x v="4"/>
    <n v="0.13"/>
    <s v="Bank Transfer"/>
    <n v="10.15"/>
    <x v="3"/>
    <x v="1"/>
    <s v="Not Returned"/>
    <s v="DHL"/>
    <x v="0"/>
    <s v="High"/>
    <n v="1217"/>
    <n v="158"/>
    <n v="1059"/>
  </r>
  <r>
    <d v="2025-02-15T00:00:00"/>
    <s v="SKU_1915"/>
    <x v="796"/>
    <s v="Wall Clock"/>
    <n v="14"/>
    <n v="56.1"/>
    <x v="3"/>
    <n v="0.34"/>
    <s v="Bank Transfer"/>
    <n v="20.48"/>
    <x v="1"/>
    <x v="1"/>
    <s v="Not Returned"/>
    <s v="Royal Mail"/>
    <x v="2"/>
    <s v="Low"/>
    <n v="785"/>
    <n v="267"/>
    <n v="518"/>
  </r>
  <r>
    <d v="2025-02-15T00:00:00"/>
    <s v="SKU_1832"/>
    <x v="797"/>
    <s v="Headphones"/>
    <n v="45"/>
    <n v="28.62"/>
    <x v="1"/>
    <n v="0.42"/>
    <s v="Credit Card"/>
    <n v="6.26"/>
    <x v="0"/>
    <x v="1"/>
    <s v="Not Returned"/>
    <s v="UPS"/>
    <x v="2"/>
    <s v="High"/>
    <n v="1288"/>
    <n v="541"/>
    <n v="747"/>
  </r>
  <r>
    <d v="2025-02-15T00:00:00"/>
    <s v="SKU_1162"/>
    <x v="798"/>
    <s v="Wall Clock"/>
    <n v="40"/>
    <n v="40.93"/>
    <x v="0"/>
    <n v="0.16"/>
    <s v="Credit Card"/>
    <n v="10.68"/>
    <x v="4"/>
    <x v="1"/>
    <s v="Not Returned"/>
    <s v="Royal Mail"/>
    <x v="1"/>
    <s v="Low"/>
    <n v="1637"/>
    <n v="262"/>
    <n v="1375"/>
  </r>
  <r>
    <d v="2025-02-15T00:00:00"/>
    <s v="SKU_1298"/>
    <x v="799"/>
    <s v="Headphones"/>
    <n v="24"/>
    <n v="90.05"/>
    <x v="4"/>
    <n v="0.28999999999999998"/>
    <s v="Paypal"/>
    <n v="29.01"/>
    <x v="3"/>
    <x v="1"/>
    <s v="Not Returned"/>
    <s v="UPS"/>
    <x v="2"/>
    <s v="Medium"/>
    <n v="2161"/>
    <n v="627"/>
    <n v="1534"/>
  </r>
  <r>
    <d v="2025-02-15T00:00:00"/>
    <s v="SKU_1985"/>
    <x v="800"/>
    <s v="Wireless Mouse"/>
    <n v="47"/>
    <n v="48.2"/>
    <x v="2"/>
    <n v="0.14000000000000001"/>
    <s v="Paypal"/>
    <n v="8.15"/>
    <x v="0"/>
    <x v="1"/>
    <s v="Not Returned"/>
    <s v="DHL"/>
    <x v="1"/>
    <s v="High"/>
    <n v="2265"/>
    <n v="317"/>
    <n v="1948"/>
  </r>
  <r>
    <d v="2025-02-15T00:00:00"/>
    <s v="SKU_1020"/>
    <x v="801"/>
    <s v="Office Chair"/>
    <n v="29"/>
    <n v="82.33"/>
    <x v="1"/>
    <n v="0.2"/>
    <s v="Bank Transfer"/>
    <n v="22.07"/>
    <x v="3"/>
    <x v="1"/>
    <s v="Not Returned"/>
    <s v="DHL"/>
    <x v="1"/>
    <s v="Medium"/>
    <n v="2388"/>
    <n v="478"/>
    <n v="1910"/>
  </r>
  <r>
    <d v="2025-02-15T00:00:00"/>
    <s v="SKU_1009"/>
    <x v="802"/>
    <s v="T-shirt"/>
    <n v="34"/>
    <n v="76.2"/>
    <x v="2"/>
    <n v="0.32"/>
    <s v="Credit Card"/>
    <n v="20.29"/>
    <x v="1"/>
    <x v="1"/>
    <s v="Returned"/>
    <s v="Royal Mail"/>
    <x v="0"/>
    <s v="High"/>
    <n v="2591"/>
    <n v="829"/>
    <n v="1762"/>
  </r>
  <r>
    <d v="2025-02-15T00:00:00"/>
    <s v="SKU_1044"/>
    <x v="803"/>
    <s v="Desk Lamp"/>
    <n v="5"/>
    <n v="92.08"/>
    <x v="1"/>
    <n v="0.04"/>
    <s v="Bank Transfer"/>
    <n v="6.21"/>
    <x v="3"/>
    <x v="1"/>
    <s v="Returned"/>
    <s v="DHL"/>
    <x v="0"/>
    <s v="Low"/>
    <n v="460"/>
    <n v="18"/>
    <n v="442"/>
  </r>
  <r>
    <d v="2025-02-15T00:00:00"/>
    <s v="SKU_1604"/>
    <x v="804"/>
    <s v="Wireless Mouse"/>
    <n v="31"/>
    <n v="59.74"/>
    <x v="0"/>
    <n v="0.12"/>
    <s v="Paypal"/>
    <n v="24.35"/>
    <x v="3"/>
    <x v="0"/>
    <s v="Returned"/>
    <s v="Royal Mail"/>
    <x v="2"/>
    <s v="Medium"/>
    <n v="1852"/>
    <n v="222"/>
    <n v="1630"/>
  </r>
  <r>
    <d v="2025-02-15T00:00:00"/>
    <s v="SKU_1002"/>
    <x v="805"/>
    <s v="Headphones"/>
    <n v="7"/>
    <n v="88.69"/>
    <x v="3"/>
    <n v="0.44"/>
    <s v="Credit Card"/>
    <n v="26.69"/>
    <x v="1"/>
    <x v="0"/>
    <s v="Not Returned"/>
    <s v="DHL"/>
    <x v="3"/>
    <s v="High"/>
    <n v="621"/>
    <n v="273"/>
    <n v="348"/>
  </r>
  <r>
    <d v="2025-02-15T00:00:00"/>
    <s v="SKU_1042"/>
    <x v="806"/>
    <s v="Desk Lamp"/>
    <n v="47"/>
    <n v="57.27"/>
    <x v="2"/>
    <n v="0.38"/>
    <s v="Credit Card"/>
    <n v="23.4"/>
    <x v="2"/>
    <x v="0"/>
    <s v="Not Returned"/>
    <s v="UPS"/>
    <x v="0"/>
    <s v="High"/>
    <n v="2692"/>
    <n v="1023"/>
    <n v="1669"/>
  </r>
  <r>
    <d v="2025-02-15T00:00:00"/>
    <s v="SKU_1179"/>
    <x v="807"/>
    <s v="Desk Lamp"/>
    <n v="22"/>
    <n v="46.61"/>
    <x v="6"/>
    <n v="0.24"/>
    <s v="Bank Transfer"/>
    <n v="11.04"/>
    <x v="4"/>
    <x v="1"/>
    <s v="Not Returned"/>
    <s v="UPS"/>
    <x v="3"/>
    <s v="Low"/>
    <n v="1025"/>
    <n v="246"/>
    <n v="779"/>
  </r>
  <r>
    <d v="2025-02-15T00:00:00"/>
    <s v="SKU_1296"/>
    <x v="808"/>
    <s v="Wall Clock"/>
    <n v="17"/>
    <n v="42.22"/>
    <x v="5"/>
    <n v="0.48"/>
    <s v="Credit Card"/>
    <n v="14.28"/>
    <x v="2"/>
    <x v="1"/>
    <s v="Not Returned"/>
    <s v="FedEx"/>
    <x v="1"/>
    <s v="Low"/>
    <n v="718"/>
    <n v="345"/>
    <n v="373"/>
  </r>
  <r>
    <d v="2025-02-16T00:00:00"/>
    <s v="SKU_1106"/>
    <x v="809"/>
    <s v="Wireless Mouse"/>
    <n v="32"/>
    <n v="96.36"/>
    <x v="3"/>
    <n v="0.33"/>
    <s v="Credit Card"/>
    <n v="26.32"/>
    <x v="3"/>
    <x v="0"/>
    <s v="Not Returned"/>
    <s v="UPS"/>
    <x v="4"/>
    <s v="Low"/>
    <n v="3084"/>
    <n v="1018"/>
    <n v="2066"/>
  </r>
  <r>
    <d v="2025-02-16T00:00:00"/>
    <s v="SKU_1936"/>
    <x v="810"/>
    <s v="Wall Clock"/>
    <n v="3"/>
    <n v="3.82"/>
    <x v="5"/>
    <n v="0.02"/>
    <s v="Paypal"/>
    <n v="6.77"/>
    <x v="4"/>
    <x v="0"/>
    <s v="Not Returned"/>
    <s v="DHL"/>
    <x v="3"/>
    <s v="Medium"/>
    <n v="11"/>
    <n v="0"/>
    <n v="11"/>
  </r>
  <r>
    <d v="2025-02-16T00:00:00"/>
    <s v="SKU_1716"/>
    <x v="811"/>
    <s v="Office Chair"/>
    <n v="28"/>
    <n v="52.44"/>
    <x v="7"/>
    <n v="0.48"/>
    <s v="Bank Transfer"/>
    <n v="10.52"/>
    <x v="2"/>
    <x v="1"/>
    <s v="Not Returned"/>
    <s v="DHL"/>
    <x v="2"/>
    <s v="Low"/>
    <n v="1468"/>
    <n v="705"/>
    <n v="763"/>
  </r>
  <r>
    <d v="2025-02-16T00:00:00"/>
    <s v="SKU_1776"/>
    <x v="812"/>
    <s v="Wireless Mouse"/>
    <n v="43"/>
    <n v="68.8"/>
    <x v="5"/>
    <n v="0.41"/>
    <s v="Credit Card"/>
    <n v="21.97"/>
    <x v="4"/>
    <x v="1"/>
    <s v="Not Returned"/>
    <s v="Royal Mail"/>
    <x v="4"/>
    <s v="High"/>
    <n v="2958"/>
    <n v="1213"/>
    <n v="1745"/>
  </r>
  <r>
    <d v="2025-02-16T00:00:00"/>
    <s v="SKU_1429"/>
    <x v="813"/>
    <s v="Backpack"/>
    <n v="42"/>
    <n v="14.6"/>
    <x v="6"/>
    <n v="0.01"/>
    <s v="Paypal"/>
    <n v="12.78"/>
    <x v="4"/>
    <x v="1"/>
    <s v="Not Returned"/>
    <s v="UPS"/>
    <x v="2"/>
    <s v="Medium"/>
    <n v="613"/>
    <n v="6"/>
    <n v="607"/>
  </r>
  <r>
    <d v="2025-02-16T00:00:00"/>
    <s v="SKU_1911"/>
    <x v="814"/>
    <s v="T-shirt"/>
    <n v="15"/>
    <n v="61.68"/>
    <x v="6"/>
    <n v="0.15"/>
    <s v="Credit Card"/>
    <n v="25.72"/>
    <x v="1"/>
    <x v="1"/>
    <s v="Not Returned"/>
    <s v="DHL"/>
    <x v="2"/>
    <s v="Medium"/>
    <n v="925"/>
    <n v="139"/>
    <n v="786"/>
  </r>
  <r>
    <d v="2025-02-16T00:00:00"/>
    <s v="SKU_1635"/>
    <x v="815"/>
    <s v="Headphones"/>
    <n v="39"/>
    <n v="86.85"/>
    <x v="8"/>
    <n v="0.37"/>
    <s v="Credit Card"/>
    <n v="18"/>
    <x v="4"/>
    <x v="0"/>
    <s v="Not Returned"/>
    <s v="Royal Mail"/>
    <x v="4"/>
    <s v="Low"/>
    <n v="3387"/>
    <n v="1253"/>
    <n v="2134"/>
  </r>
  <r>
    <d v="2025-02-16T00:00:00"/>
    <s v="SKU_1112"/>
    <x v="816"/>
    <s v="Desk Lamp"/>
    <n v="40"/>
    <n v="21.34"/>
    <x v="3"/>
    <n v="0.44"/>
    <s v="Paypal"/>
    <n v="23.59"/>
    <x v="1"/>
    <x v="1"/>
    <s v="Not Returned"/>
    <s v="Royal Mail"/>
    <x v="4"/>
    <s v="Medium"/>
    <n v="854"/>
    <n v="376"/>
    <n v="478"/>
  </r>
  <r>
    <d v="2025-02-16T00:00:00"/>
    <s v="SKU_1376"/>
    <x v="817"/>
    <s v="T-shirt"/>
    <n v="22"/>
    <n v="69.34"/>
    <x v="6"/>
    <n v="0.17"/>
    <s v="Credit Card"/>
    <n v="15.15"/>
    <x v="1"/>
    <x v="1"/>
    <s v="Not Returned"/>
    <s v="UPS"/>
    <x v="3"/>
    <s v="Low"/>
    <n v="1525"/>
    <n v="259"/>
    <n v="1266"/>
  </r>
  <r>
    <d v="2025-02-16T00:00:00"/>
    <s v="SKU_1046"/>
    <x v="818"/>
    <s v="Blue Pen"/>
    <n v="19"/>
    <n v="33.380000000000003"/>
    <x v="2"/>
    <n v="0.49"/>
    <s v="Credit Card"/>
    <n v="11.14"/>
    <x v="1"/>
    <x v="0"/>
    <s v="Not Returned"/>
    <s v="FedEx"/>
    <x v="0"/>
    <s v="Medium"/>
    <n v="634"/>
    <n v="311"/>
    <n v="323"/>
  </r>
  <r>
    <d v="2025-02-16T00:00:00"/>
    <s v="SKU_1330"/>
    <x v="819"/>
    <s v="USB Cable"/>
    <n v="45"/>
    <n v="17.899999999999999"/>
    <x v="6"/>
    <n v="0.09"/>
    <s v="Paypal"/>
    <n v="18.13"/>
    <x v="0"/>
    <x v="0"/>
    <s v="Not Returned"/>
    <s v="FedEx"/>
    <x v="4"/>
    <s v="Low"/>
    <n v="806"/>
    <n v="72"/>
    <n v="734"/>
  </r>
  <r>
    <d v="2025-02-16T00:00:00"/>
    <s v="SKU_1235"/>
    <x v="820"/>
    <s v="Wireless Mouse"/>
    <n v="11"/>
    <n v="56.04"/>
    <x v="2"/>
    <n v="0.44"/>
    <s v="Credit Card"/>
    <n v="15.72"/>
    <x v="3"/>
    <x v="0"/>
    <s v="Not Returned"/>
    <s v="DHL"/>
    <x v="4"/>
    <s v="High"/>
    <n v="616"/>
    <n v="271"/>
    <n v="345"/>
  </r>
  <r>
    <d v="2025-02-16T00:00:00"/>
    <s v="SKU_1861"/>
    <x v="821"/>
    <s v="White Mug"/>
    <n v="13"/>
    <n v="19.329999999999998"/>
    <x v="5"/>
    <n v="0.22"/>
    <s v="Bank Transfer"/>
    <n v="18.670000000000002"/>
    <x v="1"/>
    <x v="0"/>
    <s v="Returned"/>
    <s v="DHL"/>
    <x v="3"/>
    <s v="High"/>
    <n v="251"/>
    <n v="55"/>
    <n v="196"/>
  </r>
  <r>
    <d v="2025-02-16T00:00:00"/>
    <s v="SKU_1650"/>
    <x v="822"/>
    <s v="T-shirt"/>
    <n v="39"/>
    <n v="6.98"/>
    <x v="2"/>
    <n v="0.46"/>
    <s v="Paypal"/>
    <n v="23.39"/>
    <x v="3"/>
    <x v="1"/>
    <s v="Not Returned"/>
    <s v="DHL"/>
    <x v="0"/>
    <s v="Medium"/>
    <n v="272"/>
    <n v="125"/>
    <n v="147"/>
  </r>
  <r>
    <d v="2025-02-16T00:00:00"/>
    <s v="SKU_1284"/>
    <x v="823"/>
    <s v="Desk Lamp"/>
    <n v="28"/>
    <n v="69.650000000000006"/>
    <x v="5"/>
    <n v="0.41"/>
    <s v="Bank Transfer"/>
    <n v="18.600000000000001"/>
    <x v="2"/>
    <x v="1"/>
    <s v="Not Returned"/>
    <s v="DHL"/>
    <x v="2"/>
    <s v="High"/>
    <n v="1950"/>
    <n v="800"/>
    <n v="1150"/>
  </r>
  <r>
    <d v="2025-02-16T00:00:00"/>
    <s v="SKU_1753"/>
    <x v="824"/>
    <s v="T-shirt"/>
    <n v="2"/>
    <n v="59.94"/>
    <x v="4"/>
    <n v="0.03"/>
    <s v="Credit Card"/>
    <n v="21.15"/>
    <x v="1"/>
    <x v="0"/>
    <s v="Not Returned"/>
    <s v="UPS"/>
    <x v="3"/>
    <s v="Medium"/>
    <n v="120"/>
    <n v="4"/>
    <n v="116"/>
  </r>
  <r>
    <d v="2025-02-16T00:00:00"/>
    <s v="SKU_1439"/>
    <x v="825"/>
    <s v="Blue Pen"/>
    <n v="45"/>
    <n v="13.22"/>
    <x v="7"/>
    <n v="0.04"/>
    <s v="Bank Transfer"/>
    <n v="22.21"/>
    <x v="0"/>
    <x v="1"/>
    <s v="Not Returned"/>
    <s v="FedEx"/>
    <x v="0"/>
    <s v="High"/>
    <n v="595"/>
    <n v="24"/>
    <n v="571"/>
  </r>
  <r>
    <d v="2025-02-16T00:00:00"/>
    <s v="SKU_1248"/>
    <x v="826"/>
    <s v="White Mug"/>
    <n v="35"/>
    <n v="53.22"/>
    <x v="9"/>
    <n v="0.34"/>
    <s v="Credit Card"/>
    <n v="6.28"/>
    <x v="3"/>
    <x v="0"/>
    <s v="Not Returned"/>
    <s v="DHL"/>
    <x v="4"/>
    <s v="Low"/>
    <n v="1863"/>
    <n v="633"/>
    <n v="1230"/>
  </r>
  <r>
    <d v="2025-02-16T00:00:00"/>
    <s v="SKU_1715"/>
    <x v="827"/>
    <s v="Office Chair"/>
    <n v="30"/>
    <n v="50.14"/>
    <x v="9"/>
    <n v="0.17"/>
    <s v="Paypal"/>
    <n v="23.25"/>
    <x v="0"/>
    <x v="1"/>
    <s v="Not Returned"/>
    <s v="Royal Mail"/>
    <x v="3"/>
    <s v="Low"/>
    <n v="1504"/>
    <n v="256"/>
    <n v="1248"/>
  </r>
  <r>
    <d v="2025-02-16T00:00:00"/>
    <s v="SKU_1711"/>
    <x v="828"/>
    <s v="T-shirt"/>
    <n v="28"/>
    <n v="82.34"/>
    <x v="6"/>
    <n v="0.15"/>
    <s v="Bank Transfer"/>
    <n v="22.64"/>
    <x v="2"/>
    <x v="1"/>
    <s v="Not Returned"/>
    <s v="Royal Mail"/>
    <x v="4"/>
    <s v="Medium"/>
    <n v="2306"/>
    <n v="346"/>
    <n v="1960"/>
  </r>
  <r>
    <d v="2025-02-16T00:00:00"/>
    <s v="SKU_1056"/>
    <x v="829"/>
    <s v="Backpack"/>
    <n v="39"/>
    <n v="95.75"/>
    <x v="6"/>
    <n v="0.04"/>
    <s v="Paypal"/>
    <n v="11.43"/>
    <x v="2"/>
    <x v="0"/>
    <s v="Not Returned"/>
    <s v="FedEx"/>
    <x v="0"/>
    <s v="Medium"/>
    <n v="3734"/>
    <n v="149"/>
    <n v="3585"/>
  </r>
  <r>
    <d v="2025-02-16T00:00:00"/>
    <s v="SKU_1436"/>
    <x v="830"/>
    <s v="USB Cable"/>
    <n v="33"/>
    <n v="24.85"/>
    <x v="11"/>
    <n v="0.39"/>
    <s v="Credit Card"/>
    <n v="6.77"/>
    <x v="0"/>
    <x v="1"/>
    <s v="Returned"/>
    <s v="FedEx"/>
    <x v="4"/>
    <s v="Low"/>
    <n v="820"/>
    <n v="320"/>
    <n v="500"/>
  </r>
  <r>
    <d v="2025-02-17T00:00:00"/>
    <s v="SKU_1073"/>
    <x v="831"/>
    <s v="Backpack"/>
    <n v="31"/>
    <n v="43.94"/>
    <x v="6"/>
    <n v="0.11"/>
    <s v="Paypal"/>
    <n v="26.43"/>
    <x v="4"/>
    <x v="1"/>
    <s v="Not Returned"/>
    <s v="Royal Mail"/>
    <x v="2"/>
    <s v="Low"/>
    <n v="1362"/>
    <n v="150"/>
    <n v="1212"/>
  </r>
  <r>
    <d v="2025-02-17T00:00:00"/>
    <s v="SKU_1118"/>
    <x v="832"/>
    <s v="T-shirt"/>
    <n v="31"/>
    <n v="96.68"/>
    <x v="0"/>
    <n v="0.14000000000000001"/>
    <s v="Bank Transfer"/>
    <n v="12.72"/>
    <x v="1"/>
    <x v="1"/>
    <s v="Not Returned"/>
    <s v="DHL"/>
    <x v="4"/>
    <s v="Low"/>
    <n v="2997"/>
    <n v="420"/>
    <n v="2577"/>
  </r>
  <r>
    <d v="2025-02-17T00:00:00"/>
    <s v="SKU_1570"/>
    <x v="833"/>
    <s v="Backpack"/>
    <n v="10"/>
    <n v="36.22"/>
    <x v="7"/>
    <n v="0.08"/>
    <s v="Credit Card"/>
    <n v="10.71"/>
    <x v="1"/>
    <x v="1"/>
    <s v="Not Returned"/>
    <s v="DHL"/>
    <x v="4"/>
    <s v="Medium"/>
    <n v="362"/>
    <n v="29"/>
    <n v="333"/>
  </r>
  <r>
    <d v="2025-02-17T00:00:00"/>
    <s v="SKU_1290"/>
    <x v="834"/>
    <s v="T-shirt"/>
    <n v="44"/>
    <n v="7.52"/>
    <x v="1"/>
    <n v="0.42"/>
    <s v="Paypal"/>
    <n v="7.6"/>
    <x v="0"/>
    <x v="0"/>
    <s v="Not Returned"/>
    <s v="DHL"/>
    <x v="0"/>
    <s v="Medium"/>
    <n v="331"/>
    <n v="139"/>
    <n v="192"/>
  </r>
  <r>
    <d v="2025-02-17T00:00:00"/>
    <s v="SKU_1947"/>
    <x v="835"/>
    <s v="Wireless Mouse"/>
    <n v="18"/>
    <n v="57.7"/>
    <x v="4"/>
    <n v="0.44"/>
    <s v="Paypal"/>
    <n v="20.76"/>
    <x v="4"/>
    <x v="0"/>
    <s v="Not Returned"/>
    <s v="DHL"/>
    <x v="2"/>
    <s v="Low"/>
    <n v="1039"/>
    <n v="457"/>
    <n v="582"/>
  </r>
  <r>
    <d v="2025-02-17T00:00:00"/>
    <s v="SKU_1803"/>
    <x v="836"/>
    <s v="Desk Lamp"/>
    <n v="31"/>
    <n v="26.63"/>
    <x v="8"/>
    <n v="0.12"/>
    <s v="Bank Transfer"/>
    <n v="21.97"/>
    <x v="1"/>
    <x v="0"/>
    <s v="Not Returned"/>
    <s v="FedEx"/>
    <x v="0"/>
    <s v="Medium"/>
    <n v="826"/>
    <n v="99"/>
    <n v="727"/>
  </r>
  <r>
    <d v="2025-02-17T00:00:00"/>
    <s v="SKU_1332"/>
    <x v="837"/>
    <s v="USB Cable"/>
    <n v="1"/>
    <n v="49.48"/>
    <x v="8"/>
    <n v="0.26"/>
    <s v="Credit Card"/>
    <n v="14.04"/>
    <x v="2"/>
    <x v="1"/>
    <s v="Not Returned"/>
    <s v="DHL"/>
    <x v="3"/>
    <s v="Medium"/>
    <n v="49"/>
    <n v="13"/>
    <n v="36"/>
  </r>
  <r>
    <d v="2025-02-17T00:00:00"/>
    <s v="SKU_1057"/>
    <x v="838"/>
    <s v="White Mug"/>
    <n v="26"/>
    <n v="11.97"/>
    <x v="11"/>
    <n v="0.26"/>
    <s v="Credit Card"/>
    <n v="22.46"/>
    <x v="4"/>
    <x v="1"/>
    <s v="Not Returned"/>
    <s v="Royal Mail"/>
    <x v="1"/>
    <s v="Low"/>
    <n v="311"/>
    <n v="81"/>
    <n v="230"/>
  </r>
  <r>
    <d v="2025-02-17T00:00:00"/>
    <s v="SKU_1730"/>
    <x v="839"/>
    <s v="USB Cable"/>
    <n v="15"/>
    <n v="17.89"/>
    <x v="9"/>
    <n v="0.49"/>
    <s v="Credit Card"/>
    <n v="16.149999999999999"/>
    <x v="3"/>
    <x v="0"/>
    <s v="Not Returned"/>
    <s v="FedEx"/>
    <x v="4"/>
    <s v="High"/>
    <n v="268"/>
    <n v="131"/>
    <n v="137"/>
  </r>
  <r>
    <d v="2025-02-17T00:00:00"/>
    <s v="SKU_1743"/>
    <x v="840"/>
    <s v="Wireless Mouse"/>
    <n v="7"/>
    <n v="91.76"/>
    <x v="7"/>
    <n v="0"/>
    <s v="Bank Transfer"/>
    <n v="8.44"/>
    <x v="3"/>
    <x v="1"/>
    <s v="Not Returned"/>
    <s v="FedEx"/>
    <x v="4"/>
    <s v="Low"/>
    <n v="642"/>
    <n v="0"/>
    <n v="642"/>
  </r>
  <r>
    <d v="2025-02-17T00:00:00"/>
    <s v="SKU_1257"/>
    <x v="841"/>
    <s v="Wall Clock"/>
    <n v="47"/>
    <n v="5.36"/>
    <x v="1"/>
    <n v="7.0000000000000007E-2"/>
    <s v="Credit Card"/>
    <n v="21.55"/>
    <x v="2"/>
    <x v="1"/>
    <s v="Not Returned"/>
    <s v="DHL"/>
    <x v="4"/>
    <s v="Medium"/>
    <n v="252"/>
    <n v="18"/>
    <n v="234"/>
  </r>
  <r>
    <d v="2025-02-17T00:00:00"/>
    <s v="SKU_1795"/>
    <x v="842"/>
    <s v="USB Cable"/>
    <n v="20"/>
    <n v="35.83"/>
    <x v="4"/>
    <n v="0.45"/>
    <s v="Credit Card"/>
    <n v="15.25"/>
    <x v="4"/>
    <x v="1"/>
    <s v="Not Returned"/>
    <s v="UPS"/>
    <x v="3"/>
    <s v="High"/>
    <n v="717"/>
    <n v="322"/>
    <n v="395"/>
  </r>
  <r>
    <d v="2025-02-17T00:00:00"/>
    <s v="SKU_1481"/>
    <x v="843"/>
    <s v="Office Chair"/>
    <n v="49"/>
    <n v="22.77"/>
    <x v="5"/>
    <n v="0.39"/>
    <s v="Credit Card"/>
    <n v="10.87"/>
    <x v="4"/>
    <x v="0"/>
    <s v="Not Returned"/>
    <s v="FedEx"/>
    <x v="1"/>
    <s v="Low"/>
    <n v="1116"/>
    <n v="435"/>
    <n v="681"/>
  </r>
  <r>
    <d v="2025-02-17T00:00:00"/>
    <s v="SKU_1468"/>
    <x v="844"/>
    <s v="T-shirt"/>
    <n v="21"/>
    <n v="87.56"/>
    <x v="0"/>
    <n v="0.24"/>
    <s v="Paypal"/>
    <n v="23.16"/>
    <x v="1"/>
    <x v="0"/>
    <s v="Not Returned"/>
    <s v="UPS"/>
    <x v="4"/>
    <s v="High"/>
    <n v="1839"/>
    <n v="441"/>
    <n v="1398"/>
  </r>
  <r>
    <d v="2025-02-17T00:00:00"/>
    <s v="SKU_1325"/>
    <x v="845"/>
    <s v="T-shirt"/>
    <n v="40"/>
    <n v="82.55"/>
    <x v="4"/>
    <n v="0.11"/>
    <s v="Credit Card"/>
    <n v="20.14"/>
    <x v="4"/>
    <x v="1"/>
    <s v="Not Returned"/>
    <s v="DHL"/>
    <x v="1"/>
    <s v="Medium"/>
    <n v="3302"/>
    <n v="363"/>
    <n v="2939"/>
  </r>
  <r>
    <d v="2025-02-17T00:00:00"/>
    <s v="SKU_1062"/>
    <x v="846"/>
    <s v="T-shirt"/>
    <n v="12"/>
    <n v="94.92"/>
    <x v="3"/>
    <n v="0.19"/>
    <s v="Bank Transfer"/>
    <n v="18.239999999999998"/>
    <x v="4"/>
    <x v="0"/>
    <s v="Not Returned"/>
    <s v="DHL"/>
    <x v="4"/>
    <s v="Medium"/>
    <n v="1139"/>
    <n v="216"/>
    <n v="923"/>
  </r>
  <r>
    <d v="2025-02-17T00:00:00"/>
    <s v="SKU_1179"/>
    <x v="847"/>
    <s v="Blue Pen"/>
    <n v="22"/>
    <n v="4"/>
    <x v="0"/>
    <n v="0.33"/>
    <s v="Bank Transfer"/>
    <n v="27.05"/>
    <x v="4"/>
    <x v="1"/>
    <s v="Not Returned"/>
    <s v="DHL"/>
    <x v="1"/>
    <s v="Low"/>
    <n v="88"/>
    <n v="29"/>
    <n v="59"/>
  </r>
  <r>
    <d v="2025-02-17T00:00:00"/>
    <s v="SKU_1827"/>
    <x v="848"/>
    <s v="Notebook"/>
    <n v="9"/>
    <n v="89.87"/>
    <x v="2"/>
    <n v="0.21"/>
    <s v="Bank Transfer"/>
    <n v="12.11"/>
    <x v="4"/>
    <x v="0"/>
    <s v="Not Returned"/>
    <s v="DHL"/>
    <x v="2"/>
    <s v="Low"/>
    <n v="809"/>
    <n v="170"/>
    <n v="639"/>
  </r>
  <r>
    <d v="2025-02-17T00:00:00"/>
    <s v="SKU_1230"/>
    <x v="849"/>
    <s v="Desk Lamp"/>
    <n v="13"/>
    <n v="28.18"/>
    <x v="1"/>
    <n v="0.06"/>
    <s v="Paypal"/>
    <n v="29.96"/>
    <x v="4"/>
    <x v="0"/>
    <s v="Not Returned"/>
    <s v="FedEx"/>
    <x v="4"/>
    <s v="Medium"/>
    <n v="366"/>
    <n v="22"/>
    <n v="344"/>
  </r>
  <r>
    <d v="2025-02-17T00:00:00"/>
    <s v="SKU_1857"/>
    <x v="850"/>
    <s v="T-shirt"/>
    <n v="35"/>
    <n v="84.49"/>
    <x v="9"/>
    <n v="0.44"/>
    <s v="Paypal"/>
    <n v="25.44"/>
    <x v="3"/>
    <x v="1"/>
    <s v="Not Returned"/>
    <s v="DHL"/>
    <x v="4"/>
    <s v="Low"/>
    <n v="2957"/>
    <n v="1301"/>
    <n v="1656"/>
  </r>
  <r>
    <d v="2025-02-17T00:00:00"/>
    <s v="SKU_1163"/>
    <x v="851"/>
    <s v="White Mug"/>
    <n v="11"/>
    <n v="76.3"/>
    <x v="11"/>
    <n v="0.13"/>
    <s v="Credit Card"/>
    <n v="12.96"/>
    <x v="0"/>
    <x v="1"/>
    <s v="Not Returned"/>
    <s v="DHL"/>
    <x v="0"/>
    <s v="Low"/>
    <n v="839"/>
    <n v="109"/>
    <n v="730"/>
  </r>
  <r>
    <d v="2025-02-17T00:00:00"/>
    <s v="SKU_1359"/>
    <x v="852"/>
    <s v="Backpack"/>
    <n v="14"/>
    <n v="42.14"/>
    <x v="11"/>
    <n v="0.16"/>
    <s v="Bank Transfer"/>
    <n v="26.12"/>
    <x v="3"/>
    <x v="1"/>
    <s v="Not Returned"/>
    <s v="Royal Mail"/>
    <x v="1"/>
    <s v="High"/>
    <n v="590"/>
    <n v="94"/>
    <n v="496"/>
  </r>
  <r>
    <d v="2025-02-17T00:00:00"/>
    <s v="SKU_1209"/>
    <x v="853"/>
    <s v="T-shirt"/>
    <n v="31"/>
    <n v="48.95"/>
    <x v="8"/>
    <n v="0.42"/>
    <s v="Bank Transfer"/>
    <n v="24.52"/>
    <x v="0"/>
    <x v="0"/>
    <s v="Not Returned"/>
    <s v="DHL"/>
    <x v="2"/>
    <s v="Medium"/>
    <n v="1517"/>
    <n v="637"/>
    <n v="880"/>
  </r>
  <r>
    <d v="2025-02-18T00:00:00"/>
    <s v="SKU_1445"/>
    <x v="854"/>
    <s v="T-shirt"/>
    <n v="3"/>
    <n v="79.81"/>
    <x v="6"/>
    <n v="0.4"/>
    <s v="Paypal"/>
    <n v="6.44"/>
    <x v="3"/>
    <x v="1"/>
    <s v="Not Returned"/>
    <s v="FedEx"/>
    <x v="2"/>
    <s v="Low"/>
    <n v="239"/>
    <n v="96"/>
    <n v="143"/>
  </r>
  <r>
    <d v="2025-02-18T00:00:00"/>
    <s v="SKU_1883"/>
    <x v="855"/>
    <s v="Headphones"/>
    <n v="43"/>
    <n v="43.43"/>
    <x v="1"/>
    <n v="0.01"/>
    <s v="Bank Transfer"/>
    <n v="12.2"/>
    <x v="1"/>
    <x v="1"/>
    <s v="Not Returned"/>
    <s v="UPS"/>
    <x v="3"/>
    <s v="Low"/>
    <n v="1867"/>
    <n v="19"/>
    <n v="1848"/>
  </r>
  <r>
    <d v="2025-02-18T00:00:00"/>
    <s v="SKU_1554"/>
    <x v="856"/>
    <s v="Wireless Mouse"/>
    <n v="36"/>
    <n v="51.28"/>
    <x v="1"/>
    <n v="0.09"/>
    <s v="Credit Card"/>
    <n v="28.51"/>
    <x v="3"/>
    <x v="0"/>
    <s v="Not Returned"/>
    <s v="FedEx"/>
    <x v="4"/>
    <s v="High"/>
    <n v="1846"/>
    <n v="166"/>
    <n v="1680"/>
  </r>
  <r>
    <d v="2025-02-18T00:00:00"/>
    <s v="SKU_1132"/>
    <x v="857"/>
    <s v="T-shirt"/>
    <n v="23"/>
    <n v="75.760000000000005"/>
    <x v="5"/>
    <n v="0.31"/>
    <s v="Credit Card"/>
    <n v="12.71"/>
    <x v="4"/>
    <x v="1"/>
    <s v="Not Returned"/>
    <s v="UPS"/>
    <x v="0"/>
    <s v="Medium"/>
    <n v="1742"/>
    <n v="540"/>
    <n v="1202"/>
  </r>
  <r>
    <d v="2025-02-18T00:00:00"/>
    <s v="SKU_1729"/>
    <x v="858"/>
    <s v="Blue Pen"/>
    <n v="22"/>
    <n v="53.07"/>
    <x v="10"/>
    <n v="0.21"/>
    <s v="Bank Transfer"/>
    <n v="21.76"/>
    <x v="3"/>
    <x v="0"/>
    <s v="Not Returned"/>
    <s v="UPS"/>
    <x v="4"/>
    <s v="High"/>
    <n v="1168"/>
    <n v="245"/>
    <n v="923"/>
  </r>
  <r>
    <d v="2025-02-18T00:00:00"/>
    <s v="SKU_1202"/>
    <x v="859"/>
    <s v="Notebook"/>
    <n v="15"/>
    <n v="36.21"/>
    <x v="3"/>
    <n v="0.18"/>
    <s v="Bank Transfer"/>
    <n v="24.05"/>
    <x v="0"/>
    <x v="0"/>
    <s v="Not Returned"/>
    <s v="FedEx"/>
    <x v="3"/>
    <s v="Low"/>
    <n v="543"/>
    <n v="98"/>
    <n v="445"/>
  </r>
  <r>
    <d v="2025-02-18T00:00:00"/>
    <s v="SKU_1689"/>
    <x v="860"/>
    <s v="USB Cable"/>
    <n v="46"/>
    <n v="66.62"/>
    <x v="8"/>
    <n v="0.23"/>
    <s v="Bank Transfer"/>
    <n v="9.18"/>
    <x v="1"/>
    <x v="0"/>
    <s v="Not Returned"/>
    <s v="FedEx"/>
    <x v="3"/>
    <s v="Medium"/>
    <n v="3065"/>
    <n v="705"/>
    <n v="2360"/>
  </r>
  <r>
    <d v="2025-02-18T00:00:00"/>
    <s v="SKU_1783"/>
    <x v="861"/>
    <s v="USB Cable"/>
    <n v="31"/>
    <n v="64"/>
    <x v="2"/>
    <n v="0.1"/>
    <s v="Credit Card"/>
    <n v="19.98"/>
    <x v="1"/>
    <x v="0"/>
    <s v="Not Returned"/>
    <s v="FedEx"/>
    <x v="3"/>
    <s v="High"/>
    <n v="1984"/>
    <n v="198"/>
    <n v="1786"/>
  </r>
  <r>
    <d v="2025-02-18T00:00:00"/>
    <s v="SKU_1466"/>
    <x v="862"/>
    <s v="Wall Clock"/>
    <n v="45"/>
    <n v="56"/>
    <x v="9"/>
    <n v="0.38"/>
    <s v="Bank Transfer"/>
    <n v="15.73"/>
    <x v="4"/>
    <x v="1"/>
    <s v="Not Returned"/>
    <s v="FedEx"/>
    <x v="1"/>
    <s v="Medium"/>
    <n v="2520"/>
    <n v="958"/>
    <n v="1562"/>
  </r>
  <r>
    <d v="2025-02-18T00:00:00"/>
    <s v="SKU_1563"/>
    <x v="863"/>
    <s v="Wireless Mouse"/>
    <n v="14"/>
    <n v="60.95"/>
    <x v="4"/>
    <n v="0.32"/>
    <s v="Bank Transfer"/>
    <n v="28.47"/>
    <x v="0"/>
    <x v="1"/>
    <s v="Not Returned"/>
    <s v="DHL"/>
    <x v="4"/>
    <s v="Low"/>
    <n v="853"/>
    <n v="273"/>
    <n v="580"/>
  </r>
  <r>
    <d v="2025-02-18T00:00:00"/>
    <s v="SKU_1452"/>
    <x v="864"/>
    <s v="USB Cable"/>
    <n v="30"/>
    <n v="39.97"/>
    <x v="8"/>
    <n v="0.38"/>
    <s v="Paypal"/>
    <n v="17.03"/>
    <x v="2"/>
    <x v="0"/>
    <s v="Not Returned"/>
    <s v="Royal Mail"/>
    <x v="3"/>
    <s v="Medium"/>
    <n v="1199"/>
    <n v="456"/>
    <n v="743"/>
  </r>
  <r>
    <d v="2025-02-18T00:00:00"/>
    <s v="SKU_1582"/>
    <x v="865"/>
    <s v="Office Chair"/>
    <n v="48"/>
    <n v="38.47"/>
    <x v="3"/>
    <n v="0.3"/>
    <s v="Paypal"/>
    <n v="6.98"/>
    <x v="2"/>
    <x v="1"/>
    <s v="Not Returned"/>
    <s v="FedEx"/>
    <x v="2"/>
    <s v="Low"/>
    <n v="1847"/>
    <n v="554"/>
    <n v="1293"/>
  </r>
  <r>
    <d v="2025-02-18T00:00:00"/>
    <s v="SKU_1088"/>
    <x v="866"/>
    <s v="T-shirt"/>
    <n v="24"/>
    <n v="85.12"/>
    <x v="2"/>
    <n v="0.34"/>
    <s v="Paypal"/>
    <n v="28.21"/>
    <x v="4"/>
    <x v="1"/>
    <s v="Returned"/>
    <s v="DHL"/>
    <x v="1"/>
    <s v="Low"/>
    <n v="2043"/>
    <n v="695"/>
    <n v="1348"/>
  </r>
  <r>
    <d v="2025-02-18T00:00:00"/>
    <s v="SKU_1905"/>
    <x v="867"/>
    <s v="Backpack"/>
    <n v="19"/>
    <n v="38.54"/>
    <x v="9"/>
    <n v="0.13"/>
    <s v="Credit Card"/>
    <n v="15.93"/>
    <x v="2"/>
    <x v="0"/>
    <s v="Not Returned"/>
    <s v="FedEx"/>
    <x v="0"/>
    <s v="High"/>
    <n v="732"/>
    <n v="95"/>
    <n v="637"/>
  </r>
  <r>
    <d v="2025-02-18T00:00:00"/>
    <s v="SKU_1050"/>
    <x v="868"/>
    <s v="T-shirt"/>
    <n v="7"/>
    <n v="74.83"/>
    <x v="4"/>
    <n v="0.28999999999999998"/>
    <s v="Credit Card"/>
    <n v="16.87"/>
    <x v="2"/>
    <x v="1"/>
    <s v="Returned"/>
    <s v="UPS"/>
    <x v="2"/>
    <s v="Low"/>
    <n v="524"/>
    <n v="152"/>
    <n v="372"/>
  </r>
  <r>
    <d v="2025-02-18T00:00:00"/>
    <s v="SKU_1452"/>
    <x v="869"/>
    <s v="Wireless Mouse"/>
    <n v="45"/>
    <n v="77.680000000000007"/>
    <x v="1"/>
    <n v="0.18"/>
    <s v="Paypal"/>
    <n v="27.18"/>
    <x v="3"/>
    <x v="1"/>
    <s v="Not Returned"/>
    <s v="FedEx"/>
    <x v="4"/>
    <s v="Medium"/>
    <n v="3496"/>
    <n v="629"/>
    <n v="2867"/>
  </r>
  <r>
    <d v="2025-02-18T00:00:00"/>
    <s v="SKU_1671"/>
    <x v="870"/>
    <s v="USB Cable"/>
    <n v="47"/>
    <n v="78.31"/>
    <x v="3"/>
    <n v="0.09"/>
    <s v="Paypal"/>
    <n v="19.77"/>
    <x v="3"/>
    <x v="1"/>
    <s v="Not Returned"/>
    <s v="Royal Mail"/>
    <x v="2"/>
    <s v="High"/>
    <n v="3681"/>
    <n v="331"/>
    <n v="3350"/>
  </r>
  <r>
    <d v="2025-02-18T00:00:00"/>
    <s v="SKU_1479"/>
    <x v="871"/>
    <s v="White Mug"/>
    <n v="18"/>
    <n v="32.86"/>
    <x v="7"/>
    <n v="0.38"/>
    <s v="Paypal"/>
    <n v="20.07"/>
    <x v="0"/>
    <x v="1"/>
    <s v="Not Returned"/>
    <s v="FedEx"/>
    <x v="2"/>
    <s v="High"/>
    <n v="591"/>
    <n v="225"/>
    <n v="366"/>
  </r>
  <r>
    <d v="2025-02-18T00:00:00"/>
    <s v="SKU_1132"/>
    <x v="872"/>
    <s v="Wall Clock"/>
    <n v="11"/>
    <n v="81.62"/>
    <x v="10"/>
    <n v="0.05"/>
    <s v="Paypal"/>
    <n v="14.82"/>
    <x v="3"/>
    <x v="0"/>
    <s v="Not Returned"/>
    <s v="DHL"/>
    <x v="4"/>
    <s v="High"/>
    <n v="898"/>
    <n v="45"/>
    <n v="853"/>
  </r>
  <r>
    <d v="2025-02-18T00:00:00"/>
    <s v="SKU_1246"/>
    <x v="873"/>
    <s v="T-shirt"/>
    <n v="25"/>
    <n v="58.02"/>
    <x v="11"/>
    <n v="0.13"/>
    <s v="Bank Transfer"/>
    <n v="25.71"/>
    <x v="1"/>
    <x v="1"/>
    <s v="Returned"/>
    <s v="FedEx"/>
    <x v="4"/>
    <s v="High"/>
    <n v="1451"/>
    <n v="189"/>
    <n v="1262"/>
  </r>
  <r>
    <d v="2025-02-18T00:00:00"/>
    <s v="SKU_1682"/>
    <x v="874"/>
    <s v="Wireless Mouse"/>
    <n v="30"/>
    <n v="10.64"/>
    <x v="3"/>
    <n v="0.27"/>
    <s v="Credit Card"/>
    <n v="24.44"/>
    <x v="0"/>
    <x v="1"/>
    <s v="Not Returned"/>
    <s v="Royal Mail"/>
    <x v="2"/>
    <s v="Medium"/>
    <n v="319"/>
    <n v="86"/>
    <n v="233"/>
  </r>
  <r>
    <d v="2025-02-19T00:00:00"/>
    <s v="SKU_1722"/>
    <x v="875"/>
    <s v="Office Chair"/>
    <n v="12"/>
    <n v="48.18"/>
    <x v="10"/>
    <n v="0.5"/>
    <s v="Credit Card"/>
    <n v="28.42"/>
    <x v="1"/>
    <x v="0"/>
    <s v="Not Returned"/>
    <s v="Royal Mail"/>
    <x v="1"/>
    <s v="High"/>
    <n v="578"/>
    <n v="289"/>
    <n v="289"/>
  </r>
  <r>
    <d v="2025-02-19T00:00:00"/>
    <s v="SKU_1395"/>
    <x v="876"/>
    <s v="USB Cable"/>
    <n v="48"/>
    <n v="90.66"/>
    <x v="5"/>
    <n v="0.24"/>
    <s v="Credit Card"/>
    <n v="28.96"/>
    <x v="4"/>
    <x v="1"/>
    <s v="Not Returned"/>
    <s v="FedEx"/>
    <x v="4"/>
    <s v="High"/>
    <n v="4352"/>
    <n v="1044"/>
    <n v="3308"/>
  </r>
  <r>
    <d v="2025-02-19T00:00:00"/>
    <s v="SKU_1158"/>
    <x v="877"/>
    <s v="Notebook"/>
    <n v="21"/>
    <n v="80.16"/>
    <x v="4"/>
    <n v="0.46"/>
    <s v="Bank Transfer"/>
    <n v="10.35"/>
    <x v="0"/>
    <x v="0"/>
    <s v="Not Returned"/>
    <s v="UPS"/>
    <x v="4"/>
    <s v="Low"/>
    <n v="1683"/>
    <n v="774"/>
    <n v="909"/>
  </r>
  <r>
    <d v="2025-02-19T00:00:00"/>
    <s v="SKU_1464"/>
    <x v="878"/>
    <s v="Desk Lamp"/>
    <n v="10"/>
    <n v="29.08"/>
    <x v="9"/>
    <n v="0.3"/>
    <s v="Bank Transfer"/>
    <n v="12.47"/>
    <x v="1"/>
    <x v="0"/>
    <s v="Not Returned"/>
    <s v="FedEx"/>
    <x v="2"/>
    <s v="High"/>
    <n v="291"/>
    <n v="87"/>
    <n v="204"/>
  </r>
  <r>
    <d v="2025-02-19T00:00:00"/>
    <s v="SKU_1149"/>
    <x v="879"/>
    <s v="Headphones"/>
    <n v="34"/>
    <n v="26.28"/>
    <x v="6"/>
    <n v="0.1"/>
    <s v="Bank Transfer"/>
    <n v="18.96"/>
    <x v="2"/>
    <x v="0"/>
    <s v="Returned"/>
    <s v="Royal Mail"/>
    <x v="3"/>
    <s v="Low"/>
    <n v="894"/>
    <n v="89"/>
    <n v="805"/>
  </r>
  <r>
    <d v="2025-02-19T00:00:00"/>
    <s v="SKU_1570"/>
    <x v="880"/>
    <s v="USB Cable"/>
    <n v="25"/>
    <n v="4.49"/>
    <x v="7"/>
    <n v="0.37"/>
    <s v="Bank Transfer"/>
    <n v="11.11"/>
    <x v="0"/>
    <x v="0"/>
    <s v="Not Returned"/>
    <s v="FedEx"/>
    <x v="2"/>
    <s v="Low"/>
    <n v="112"/>
    <n v="42"/>
    <n v="70"/>
  </r>
  <r>
    <d v="2025-02-19T00:00:00"/>
    <s v="SKU_1307"/>
    <x v="881"/>
    <s v="White Mug"/>
    <n v="45"/>
    <n v="88.28"/>
    <x v="5"/>
    <n v="0.36"/>
    <s v="Bank Transfer"/>
    <n v="21.08"/>
    <x v="0"/>
    <x v="0"/>
    <s v="Not Returned"/>
    <s v="UPS"/>
    <x v="4"/>
    <s v="Medium"/>
    <n v="3973"/>
    <n v="1430"/>
    <n v="2543"/>
  </r>
  <r>
    <d v="2025-02-19T00:00:00"/>
    <s v="SKU_1558"/>
    <x v="882"/>
    <s v="Office Chair"/>
    <n v="23"/>
    <n v="71.760000000000005"/>
    <x v="4"/>
    <n v="0.21"/>
    <s v="Bank Transfer"/>
    <n v="6.61"/>
    <x v="4"/>
    <x v="0"/>
    <s v="Not Returned"/>
    <s v="DHL"/>
    <x v="1"/>
    <s v="High"/>
    <n v="1650"/>
    <n v="347"/>
    <n v="1303"/>
  </r>
  <r>
    <d v="2025-02-19T00:00:00"/>
    <s v="SKU_1497"/>
    <x v="883"/>
    <s v="USB Cable"/>
    <n v="11"/>
    <n v="73.209999999999994"/>
    <x v="9"/>
    <n v="0.32"/>
    <s v="Bank Transfer"/>
    <n v="15.69"/>
    <x v="2"/>
    <x v="1"/>
    <s v="Not Returned"/>
    <s v="Royal Mail"/>
    <x v="2"/>
    <s v="High"/>
    <n v="805"/>
    <n v="258"/>
    <n v="547"/>
  </r>
  <r>
    <d v="2025-02-19T00:00:00"/>
    <s v="SKU_1872"/>
    <x v="884"/>
    <s v="Office Chair"/>
    <n v="33"/>
    <n v="25.57"/>
    <x v="6"/>
    <n v="0.03"/>
    <s v="Paypal"/>
    <n v="28.14"/>
    <x v="3"/>
    <x v="1"/>
    <s v="Not Returned"/>
    <s v="FedEx"/>
    <x v="0"/>
    <s v="Low"/>
    <n v="844"/>
    <n v="25"/>
    <n v="819"/>
  </r>
  <r>
    <d v="2025-02-19T00:00:00"/>
    <s v="SKU_1981"/>
    <x v="885"/>
    <s v="Notebook"/>
    <n v="37"/>
    <n v="54.76"/>
    <x v="9"/>
    <n v="0.25"/>
    <s v="Bank Transfer"/>
    <n v="17.63"/>
    <x v="3"/>
    <x v="1"/>
    <s v="Not Returned"/>
    <s v="Royal Mail"/>
    <x v="0"/>
    <s v="Medium"/>
    <n v="2026"/>
    <n v="507"/>
    <n v="1519"/>
  </r>
  <r>
    <d v="2025-02-19T00:00:00"/>
    <s v="SKU_1304"/>
    <x v="886"/>
    <s v="Backpack"/>
    <n v="21"/>
    <n v="72.27"/>
    <x v="3"/>
    <n v="0.21"/>
    <s v="Paypal"/>
    <n v="23.43"/>
    <x v="4"/>
    <x v="0"/>
    <s v="Not Returned"/>
    <s v="FedEx"/>
    <x v="1"/>
    <s v="High"/>
    <n v="1518"/>
    <n v="319"/>
    <n v="1199"/>
  </r>
  <r>
    <d v="2025-02-19T00:00:00"/>
    <s v="SKU_1311"/>
    <x v="887"/>
    <s v="Blue Pen"/>
    <n v="32"/>
    <n v="42.81"/>
    <x v="4"/>
    <n v="0.22"/>
    <s v="Paypal"/>
    <n v="14.93"/>
    <x v="1"/>
    <x v="1"/>
    <s v="Not Returned"/>
    <s v="FedEx"/>
    <x v="3"/>
    <s v="Medium"/>
    <n v="1370"/>
    <n v="301"/>
    <n v="1069"/>
  </r>
  <r>
    <d v="2025-02-19T00:00:00"/>
    <s v="SKU_1985"/>
    <x v="888"/>
    <s v="T-shirt"/>
    <n v="22"/>
    <n v="11.1"/>
    <x v="3"/>
    <n v="0.36"/>
    <s v="Credit Card"/>
    <n v="29.91"/>
    <x v="4"/>
    <x v="1"/>
    <s v="Not Returned"/>
    <s v="DHL"/>
    <x v="2"/>
    <s v="High"/>
    <n v="244"/>
    <n v="88"/>
    <n v="156"/>
  </r>
  <r>
    <d v="2025-02-19T00:00:00"/>
    <s v="SKU_1542"/>
    <x v="889"/>
    <s v="Headphones"/>
    <n v="17"/>
    <n v="33.99"/>
    <x v="7"/>
    <n v="0.44"/>
    <s v="Credit Card"/>
    <n v="7.83"/>
    <x v="3"/>
    <x v="1"/>
    <s v="Not Returned"/>
    <s v="UPS"/>
    <x v="1"/>
    <s v="Medium"/>
    <n v="578"/>
    <n v="254"/>
    <n v="324"/>
  </r>
  <r>
    <d v="2025-02-19T00:00:00"/>
    <s v="SKU_1246"/>
    <x v="890"/>
    <s v="Office Chair"/>
    <n v="44"/>
    <n v="62.05"/>
    <x v="0"/>
    <n v="0.13"/>
    <s v="Bank Transfer"/>
    <n v="15.4"/>
    <x v="0"/>
    <x v="0"/>
    <s v="Not Returned"/>
    <s v="Royal Mail"/>
    <x v="3"/>
    <s v="Low"/>
    <n v="2730"/>
    <n v="355"/>
    <n v="2375"/>
  </r>
  <r>
    <d v="2025-02-19T00:00:00"/>
    <s v="SKU_1234"/>
    <x v="891"/>
    <s v="White Mug"/>
    <n v="28"/>
    <n v="98.25"/>
    <x v="6"/>
    <n v="0.44"/>
    <s v="Credit Card"/>
    <n v="28.2"/>
    <x v="4"/>
    <x v="0"/>
    <s v="Not Returned"/>
    <s v="FedEx"/>
    <x v="3"/>
    <s v="High"/>
    <n v="2751"/>
    <n v="1210"/>
    <n v="1541"/>
  </r>
  <r>
    <d v="2025-02-19T00:00:00"/>
    <s v="SKU_1837"/>
    <x v="892"/>
    <s v="Headphones"/>
    <n v="43"/>
    <n v="80.09"/>
    <x v="5"/>
    <n v="0.17"/>
    <s v="Credit Card"/>
    <n v="27.31"/>
    <x v="1"/>
    <x v="1"/>
    <s v="Not Returned"/>
    <s v="UPS"/>
    <x v="1"/>
    <s v="Low"/>
    <n v="3444"/>
    <n v="585"/>
    <n v="2859"/>
  </r>
  <r>
    <d v="2025-02-19T00:00:00"/>
    <s v="SKU_1170"/>
    <x v="893"/>
    <s v="USB Cable"/>
    <n v="47"/>
    <n v="58.23"/>
    <x v="5"/>
    <n v="0.15"/>
    <s v="Bank Transfer"/>
    <n v="17.27"/>
    <x v="3"/>
    <x v="0"/>
    <s v="Not Returned"/>
    <s v="UPS"/>
    <x v="3"/>
    <s v="Low"/>
    <n v="2737"/>
    <n v="411"/>
    <n v="2326"/>
  </r>
  <r>
    <d v="2025-02-19T00:00:00"/>
    <s v="SKU_1474"/>
    <x v="894"/>
    <s v="Wall Clock"/>
    <n v="44"/>
    <n v="32.200000000000003"/>
    <x v="5"/>
    <n v="0.44"/>
    <s v="Paypal"/>
    <n v="27.03"/>
    <x v="4"/>
    <x v="0"/>
    <s v="Not Returned"/>
    <s v="Royal Mail"/>
    <x v="3"/>
    <s v="Low"/>
    <n v="1417"/>
    <n v="623"/>
    <n v="794"/>
  </r>
  <r>
    <d v="2025-02-19T00:00:00"/>
    <s v="SKU_1592"/>
    <x v="895"/>
    <s v="Office Chair"/>
    <n v="47"/>
    <n v="42.46"/>
    <x v="3"/>
    <n v="0.37"/>
    <s v="Bank Transfer"/>
    <n v="18.309999999999999"/>
    <x v="4"/>
    <x v="0"/>
    <s v="Not Returned"/>
    <s v="DHL"/>
    <x v="2"/>
    <s v="High"/>
    <n v="1996"/>
    <n v="738"/>
    <n v="1258"/>
  </r>
  <r>
    <d v="2025-02-20T00:00:00"/>
    <s v="SKU_1364"/>
    <x v="896"/>
    <s v="Office Chair"/>
    <n v="14"/>
    <n v="28.59"/>
    <x v="8"/>
    <n v="0.19"/>
    <s v="Bank Transfer"/>
    <n v="19.02"/>
    <x v="2"/>
    <x v="0"/>
    <s v="Not Returned"/>
    <s v="UPS"/>
    <x v="3"/>
    <s v="High"/>
    <n v="400"/>
    <n v="76"/>
    <n v="324"/>
  </r>
  <r>
    <d v="2025-02-20T00:00:00"/>
    <s v="SKU_1004"/>
    <x v="897"/>
    <s v="Blue Pen"/>
    <n v="27"/>
    <n v="44.06"/>
    <x v="10"/>
    <n v="0.14000000000000001"/>
    <s v="Bank Transfer"/>
    <n v="20.81"/>
    <x v="1"/>
    <x v="1"/>
    <s v="Not Returned"/>
    <s v="DHL"/>
    <x v="0"/>
    <s v="Medium"/>
    <n v="1190"/>
    <n v="167"/>
    <n v="1023"/>
  </r>
  <r>
    <d v="2025-02-20T00:00:00"/>
    <s v="SKU_1515"/>
    <x v="898"/>
    <s v="Headphones"/>
    <n v="7"/>
    <n v="29.72"/>
    <x v="7"/>
    <n v="0.47"/>
    <s v="Credit Card"/>
    <n v="6.36"/>
    <x v="4"/>
    <x v="1"/>
    <s v="Not Returned"/>
    <s v="DHL"/>
    <x v="0"/>
    <s v="Medium"/>
    <n v="208"/>
    <n v="98"/>
    <n v="110"/>
  </r>
  <r>
    <d v="2025-02-20T00:00:00"/>
    <s v="SKU_1486"/>
    <x v="899"/>
    <s v="Backpack"/>
    <n v="31"/>
    <n v="91.14"/>
    <x v="9"/>
    <n v="0.17"/>
    <s v="Bank Transfer"/>
    <n v="10.08"/>
    <x v="2"/>
    <x v="1"/>
    <s v="Not Returned"/>
    <s v="Royal Mail"/>
    <x v="1"/>
    <s v="Medium"/>
    <n v="2825"/>
    <n v="480"/>
    <n v="2345"/>
  </r>
  <r>
    <d v="2025-02-20T00:00:00"/>
    <s v="SKU_1897"/>
    <x v="900"/>
    <s v="White Mug"/>
    <n v="12"/>
    <n v="58.14"/>
    <x v="6"/>
    <n v="0.26"/>
    <s v="Bank Transfer"/>
    <n v="15.68"/>
    <x v="4"/>
    <x v="1"/>
    <s v="Not Returned"/>
    <s v="Royal Mail"/>
    <x v="0"/>
    <s v="High"/>
    <n v="698"/>
    <n v="181"/>
    <n v="517"/>
  </r>
  <r>
    <d v="2025-02-20T00:00:00"/>
    <s v="SKU_1432"/>
    <x v="901"/>
    <s v="Desk Lamp"/>
    <n v="2"/>
    <n v="91.6"/>
    <x v="6"/>
    <n v="0.02"/>
    <s v="Paypal"/>
    <n v="5.55"/>
    <x v="0"/>
    <x v="0"/>
    <s v="Not Returned"/>
    <s v="Royal Mail"/>
    <x v="0"/>
    <s v="Low"/>
    <n v="183"/>
    <n v="4"/>
    <n v="179"/>
  </r>
  <r>
    <d v="2025-02-20T00:00:00"/>
    <s v="SKU_1311"/>
    <x v="902"/>
    <s v="USB Cable"/>
    <n v="47"/>
    <n v="77.73"/>
    <x v="7"/>
    <n v="0.48"/>
    <s v="Paypal"/>
    <n v="10.94"/>
    <x v="0"/>
    <x v="1"/>
    <s v="Not Returned"/>
    <s v="FedEx"/>
    <x v="1"/>
    <s v="Low"/>
    <n v="3653"/>
    <n v="1754"/>
    <n v="1899"/>
  </r>
  <r>
    <d v="2025-02-20T00:00:00"/>
    <s v="SKU_1500"/>
    <x v="903"/>
    <s v="Backpack"/>
    <n v="22"/>
    <n v="78.06"/>
    <x v="5"/>
    <n v="0.34"/>
    <s v="Bank Transfer"/>
    <n v="20.43"/>
    <x v="1"/>
    <x v="1"/>
    <s v="Not Returned"/>
    <s v="Royal Mail"/>
    <x v="2"/>
    <s v="Low"/>
    <n v="1717"/>
    <n v="584"/>
    <n v="1133"/>
  </r>
  <r>
    <d v="2025-02-20T00:00:00"/>
    <s v="SKU_1647"/>
    <x v="904"/>
    <s v="Wall Clock"/>
    <n v="8"/>
    <n v="7.56"/>
    <x v="3"/>
    <n v="0.13"/>
    <s v="Paypal"/>
    <n v="6.69"/>
    <x v="2"/>
    <x v="0"/>
    <s v="Not Returned"/>
    <s v="DHL"/>
    <x v="2"/>
    <s v="Medium"/>
    <n v="60"/>
    <n v="8"/>
    <n v="52"/>
  </r>
  <r>
    <d v="2025-02-20T00:00:00"/>
    <s v="SKU_1783"/>
    <x v="905"/>
    <s v="Blue Pen"/>
    <n v="16"/>
    <n v="73.739999999999995"/>
    <x v="7"/>
    <n v="0.28999999999999998"/>
    <s v="Credit Card"/>
    <n v="26.09"/>
    <x v="4"/>
    <x v="0"/>
    <s v="Not Returned"/>
    <s v="UPS"/>
    <x v="4"/>
    <s v="Low"/>
    <n v="1180"/>
    <n v="342"/>
    <n v="838"/>
  </r>
  <r>
    <d v="2025-02-20T00:00:00"/>
    <s v="SKU_1959"/>
    <x v="906"/>
    <s v="White Mug"/>
    <n v="25"/>
    <n v="40.11"/>
    <x v="3"/>
    <n v="0.22"/>
    <s v="Paypal"/>
    <n v="18.95"/>
    <x v="2"/>
    <x v="0"/>
    <s v="Not Returned"/>
    <s v="Royal Mail"/>
    <x v="0"/>
    <s v="High"/>
    <n v="1003"/>
    <n v="221"/>
    <n v="782"/>
  </r>
  <r>
    <d v="2025-02-20T00:00:00"/>
    <s v="SKU_1254"/>
    <x v="907"/>
    <s v="Wall Clock"/>
    <n v="3"/>
    <n v="52.96"/>
    <x v="11"/>
    <n v="0.4"/>
    <s v="Credit Card"/>
    <n v="17.100000000000001"/>
    <x v="1"/>
    <x v="0"/>
    <s v="Not Returned"/>
    <s v="DHL"/>
    <x v="1"/>
    <s v="Medium"/>
    <n v="159"/>
    <n v="64"/>
    <n v="95"/>
  </r>
  <r>
    <d v="2025-02-20T00:00:00"/>
    <s v="SKU_1762"/>
    <x v="908"/>
    <s v="Desk Lamp"/>
    <n v="19"/>
    <n v="58.34"/>
    <x v="1"/>
    <n v="0.12"/>
    <s v="Credit Card"/>
    <n v="23.3"/>
    <x v="3"/>
    <x v="0"/>
    <s v="Not Returned"/>
    <s v="UPS"/>
    <x v="0"/>
    <s v="Low"/>
    <n v="1108"/>
    <n v="133"/>
    <n v="975"/>
  </r>
  <r>
    <d v="2025-02-20T00:00:00"/>
    <s v="SKU_1994"/>
    <x v="909"/>
    <s v="Backpack"/>
    <n v="29"/>
    <n v="32.9"/>
    <x v="8"/>
    <n v="0.04"/>
    <s v="Bank Transfer"/>
    <n v="11.36"/>
    <x v="0"/>
    <x v="1"/>
    <s v="Not Returned"/>
    <s v="UPS"/>
    <x v="0"/>
    <s v="Low"/>
    <n v="954"/>
    <n v="38"/>
    <n v="916"/>
  </r>
  <r>
    <d v="2025-02-20T00:00:00"/>
    <s v="SKU_1310"/>
    <x v="910"/>
    <s v="USB Cable"/>
    <n v="5"/>
    <n v="52.11"/>
    <x v="2"/>
    <n v="0.43"/>
    <s v="Bank Transfer"/>
    <n v="24.15"/>
    <x v="4"/>
    <x v="0"/>
    <s v="Not Returned"/>
    <s v="FedEx"/>
    <x v="0"/>
    <s v="Low"/>
    <n v="261"/>
    <n v="112"/>
    <n v="149"/>
  </r>
  <r>
    <d v="2025-02-20T00:00:00"/>
    <s v="SKU_1693"/>
    <x v="911"/>
    <s v="Backpack"/>
    <n v="20"/>
    <n v="5.51"/>
    <x v="0"/>
    <n v="0.23"/>
    <s v="Bank Transfer"/>
    <n v="22.63"/>
    <x v="2"/>
    <x v="1"/>
    <s v="Not Returned"/>
    <s v="Royal Mail"/>
    <x v="4"/>
    <s v="Medium"/>
    <n v="110"/>
    <n v="25"/>
    <n v="85"/>
  </r>
  <r>
    <d v="2025-02-20T00:00:00"/>
    <s v="SKU_1208"/>
    <x v="912"/>
    <s v="Office Chair"/>
    <n v="33"/>
    <n v="39.04"/>
    <x v="2"/>
    <n v="0.12"/>
    <s v="Paypal"/>
    <n v="8.01"/>
    <x v="3"/>
    <x v="1"/>
    <s v="Not Returned"/>
    <s v="Royal Mail"/>
    <x v="0"/>
    <s v="Medium"/>
    <n v="1288"/>
    <n v="155"/>
    <n v="1133"/>
  </r>
  <r>
    <d v="2025-02-20T00:00:00"/>
    <s v="SKU_1324"/>
    <x v="913"/>
    <s v="Desk Lamp"/>
    <n v="1"/>
    <n v="48.17"/>
    <x v="0"/>
    <n v="0.3"/>
    <s v="Credit Card"/>
    <n v="15.26"/>
    <x v="1"/>
    <x v="1"/>
    <s v="Not Returned"/>
    <s v="FedEx"/>
    <x v="4"/>
    <s v="Medium"/>
    <n v="48"/>
    <n v="14"/>
    <n v="34"/>
  </r>
  <r>
    <d v="2025-02-20T00:00:00"/>
    <s v="SKU_1973"/>
    <x v="914"/>
    <s v="Backpack"/>
    <n v="32"/>
    <n v="41.14"/>
    <x v="9"/>
    <n v="0.34"/>
    <s v="Bank Transfer"/>
    <n v="22.67"/>
    <x v="3"/>
    <x v="0"/>
    <s v="Not Returned"/>
    <s v="FedEx"/>
    <x v="2"/>
    <s v="Low"/>
    <n v="1316"/>
    <n v="448"/>
    <n v="868"/>
  </r>
  <r>
    <d v="2025-02-20T00:00:00"/>
    <s v="SKU_1717"/>
    <x v="915"/>
    <s v="Wall Clock"/>
    <n v="29"/>
    <n v="48.89"/>
    <x v="1"/>
    <n v="0.41"/>
    <s v="Paypal"/>
    <n v="29.4"/>
    <x v="3"/>
    <x v="0"/>
    <s v="Not Returned"/>
    <s v="FedEx"/>
    <x v="2"/>
    <s v="High"/>
    <n v="1418"/>
    <n v="581"/>
    <n v="837"/>
  </r>
  <r>
    <d v="2025-02-20T00:00:00"/>
    <s v="SKU_1749"/>
    <x v="916"/>
    <s v="Desk Lamp"/>
    <n v="38"/>
    <n v="31.25"/>
    <x v="2"/>
    <n v="0.43"/>
    <s v="Paypal"/>
    <n v="19.53"/>
    <x v="4"/>
    <x v="1"/>
    <s v="Not Returned"/>
    <s v="FedEx"/>
    <x v="4"/>
    <s v="Low"/>
    <n v="1188"/>
    <n v="511"/>
    <n v="677"/>
  </r>
  <r>
    <d v="2025-02-21T00:00:00"/>
    <s v="SKU_1490"/>
    <x v="917"/>
    <s v="Headphones"/>
    <n v="23"/>
    <n v="91.36"/>
    <x v="4"/>
    <n v="0.32"/>
    <s v="Bank Transfer"/>
    <n v="24.4"/>
    <x v="3"/>
    <x v="1"/>
    <s v="Not Returned"/>
    <s v="Royal Mail"/>
    <x v="3"/>
    <s v="High"/>
    <n v="2101"/>
    <n v="672"/>
    <n v="1429"/>
  </r>
  <r>
    <d v="2025-02-21T00:00:00"/>
    <s v="SKU_1827"/>
    <x v="918"/>
    <s v="USB Cable"/>
    <n v="10"/>
    <n v="98.02"/>
    <x v="2"/>
    <n v="0.36"/>
    <s v="Credit Card"/>
    <n v="15.99"/>
    <x v="1"/>
    <x v="0"/>
    <s v="Not Returned"/>
    <s v="FedEx"/>
    <x v="0"/>
    <s v="High"/>
    <n v="980"/>
    <n v="353"/>
    <n v="627"/>
  </r>
  <r>
    <d v="2025-02-21T00:00:00"/>
    <s v="SKU_1158"/>
    <x v="919"/>
    <s v="Backpack"/>
    <n v="12"/>
    <n v="29.65"/>
    <x v="1"/>
    <n v="0.17"/>
    <s v="Credit Card"/>
    <n v="28.19"/>
    <x v="3"/>
    <x v="1"/>
    <s v="Not Returned"/>
    <s v="FedEx"/>
    <x v="0"/>
    <s v="Low"/>
    <n v="356"/>
    <n v="60"/>
    <n v="296"/>
  </r>
  <r>
    <d v="2025-02-21T00:00:00"/>
    <s v="SKU_1531"/>
    <x v="920"/>
    <s v="Backpack"/>
    <n v="35"/>
    <n v="73.55"/>
    <x v="9"/>
    <n v="0.28000000000000003"/>
    <s v="Bank Transfer"/>
    <n v="25.66"/>
    <x v="2"/>
    <x v="1"/>
    <s v="Not Returned"/>
    <s v="FedEx"/>
    <x v="4"/>
    <s v="Low"/>
    <n v="2574"/>
    <n v="721"/>
    <n v="1853"/>
  </r>
  <r>
    <d v="2025-02-21T00:00:00"/>
    <s v="SKU_1460"/>
    <x v="921"/>
    <s v="Blue Pen"/>
    <n v="47"/>
    <n v="90.15"/>
    <x v="6"/>
    <n v="0.48"/>
    <s v="Credit Card"/>
    <n v="8.1"/>
    <x v="1"/>
    <x v="0"/>
    <s v="Not Returned"/>
    <s v="DHL"/>
    <x v="4"/>
    <s v="Low"/>
    <n v="4237"/>
    <n v="2034"/>
    <n v="2203"/>
  </r>
  <r>
    <d v="2025-02-21T00:00:00"/>
    <s v="SKU_1053"/>
    <x v="922"/>
    <s v="White Mug"/>
    <n v="9"/>
    <n v="33.83"/>
    <x v="5"/>
    <n v="0.35"/>
    <s v="Paypal"/>
    <n v="29.29"/>
    <x v="3"/>
    <x v="0"/>
    <s v="Returned"/>
    <s v="DHL"/>
    <x v="3"/>
    <s v="Low"/>
    <n v="304"/>
    <n v="107"/>
    <n v="197"/>
  </r>
  <r>
    <d v="2025-02-21T00:00:00"/>
    <s v="SKU_1392"/>
    <x v="923"/>
    <s v="USB Cable"/>
    <n v="11"/>
    <n v="49.12"/>
    <x v="2"/>
    <n v="0.11"/>
    <s v="Paypal"/>
    <n v="21.8"/>
    <x v="2"/>
    <x v="1"/>
    <s v="Not Returned"/>
    <s v="FedEx"/>
    <x v="0"/>
    <s v="High"/>
    <n v="540"/>
    <n v="59"/>
    <n v="481"/>
  </r>
  <r>
    <d v="2025-02-21T00:00:00"/>
    <s v="SKU_1673"/>
    <x v="924"/>
    <s v="Office Chair"/>
    <n v="38"/>
    <n v="82.21"/>
    <x v="2"/>
    <n v="0.49"/>
    <s v="Credit Card"/>
    <n v="6.14"/>
    <x v="2"/>
    <x v="0"/>
    <s v="Returned"/>
    <s v="FedEx"/>
    <x v="2"/>
    <s v="Low"/>
    <n v="3124"/>
    <n v="1531"/>
    <n v="1593"/>
  </r>
  <r>
    <d v="2025-02-21T00:00:00"/>
    <s v="SKU_1715"/>
    <x v="925"/>
    <s v="Headphones"/>
    <n v="4"/>
    <n v="84.49"/>
    <x v="9"/>
    <n v="0.2"/>
    <s v="Credit Card"/>
    <n v="26.84"/>
    <x v="3"/>
    <x v="0"/>
    <s v="Returned"/>
    <s v="Royal Mail"/>
    <x v="3"/>
    <s v="Medium"/>
    <n v="338"/>
    <n v="68"/>
    <n v="270"/>
  </r>
  <r>
    <d v="2025-02-21T00:00:00"/>
    <s v="SKU_1743"/>
    <x v="926"/>
    <s v="Backpack"/>
    <n v="19"/>
    <n v="25.01"/>
    <x v="1"/>
    <n v="0.04"/>
    <s v="Bank Transfer"/>
    <n v="21.59"/>
    <x v="2"/>
    <x v="1"/>
    <s v="Not Returned"/>
    <s v="FedEx"/>
    <x v="4"/>
    <s v="High"/>
    <n v="475"/>
    <n v="19"/>
    <n v="456"/>
  </r>
  <r>
    <d v="2025-02-21T00:00:00"/>
    <s v="SKU_1335"/>
    <x v="927"/>
    <s v="Office Chair"/>
    <n v="21"/>
    <n v="34.979999999999997"/>
    <x v="9"/>
    <n v="0.38"/>
    <s v="Credit Card"/>
    <n v="6.27"/>
    <x v="2"/>
    <x v="1"/>
    <s v="Returned"/>
    <s v="Royal Mail"/>
    <x v="3"/>
    <s v="Low"/>
    <n v="735"/>
    <n v="279"/>
    <n v="456"/>
  </r>
  <r>
    <d v="2025-02-21T00:00:00"/>
    <s v="SKU_1192"/>
    <x v="928"/>
    <s v="Wall Clock"/>
    <n v="6"/>
    <n v="47.46"/>
    <x v="3"/>
    <n v="0.48"/>
    <s v="Credit Card"/>
    <n v="27.6"/>
    <x v="3"/>
    <x v="1"/>
    <s v="Returned"/>
    <s v="UPS"/>
    <x v="2"/>
    <s v="Medium"/>
    <n v="285"/>
    <n v="137"/>
    <n v="148"/>
  </r>
  <r>
    <d v="2025-02-21T00:00:00"/>
    <s v="SKU_1837"/>
    <x v="929"/>
    <s v="Wall Clock"/>
    <n v="44"/>
    <n v="94.77"/>
    <x v="11"/>
    <n v="0.2"/>
    <s v="Credit Card"/>
    <n v="17.45"/>
    <x v="0"/>
    <x v="0"/>
    <s v="Not Returned"/>
    <s v="UPS"/>
    <x v="2"/>
    <s v="High"/>
    <n v="4170"/>
    <n v="834"/>
    <n v="3336"/>
  </r>
  <r>
    <d v="2025-02-21T00:00:00"/>
    <s v="SKU_1211"/>
    <x v="930"/>
    <s v="T-shirt"/>
    <n v="39"/>
    <n v="40.57"/>
    <x v="1"/>
    <n v="0.39"/>
    <s v="Credit Card"/>
    <n v="26.94"/>
    <x v="4"/>
    <x v="0"/>
    <s v="Not Returned"/>
    <s v="UPS"/>
    <x v="0"/>
    <s v="Low"/>
    <n v="1582"/>
    <n v="617"/>
    <n v="965"/>
  </r>
  <r>
    <d v="2025-02-21T00:00:00"/>
    <s v="SKU_1901"/>
    <x v="931"/>
    <s v="Notebook"/>
    <n v="7"/>
    <n v="33.82"/>
    <x v="3"/>
    <n v="0.38"/>
    <s v="Credit Card"/>
    <n v="12.31"/>
    <x v="3"/>
    <x v="0"/>
    <s v="Not Returned"/>
    <s v="DHL"/>
    <x v="1"/>
    <s v="High"/>
    <n v="237"/>
    <n v="90"/>
    <n v="147"/>
  </r>
  <r>
    <d v="2025-02-21T00:00:00"/>
    <s v="SKU_1290"/>
    <x v="932"/>
    <s v="T-shirt"/>
    <n v="45"/>
    <n v="2.44"/>
    <x v="10"/>
    <n v="0.48"/>
    <s v="Bank Transfer"/>
    <n v="16.93"/>
    <x v="3"/>
    <x v="1"/>
    <s v="Not Returned"/>
    <s v="Royal Mail"/>
    <x v="4"/>
    <s v="High"/>
    <n v="110"/>
    <n v="53"/>
    <n v="57"/>
  </r>
  <r>
    <d v="2025-02-21T00:00:00"/>
    <s v="SKU_1616"/>
    <x v="933"/>
    <s v="Wall Clock"/>
    <n v="36"/>
    <n v="50.62"/>
    <x v="8"/>
    <n v="0.08"/>
    <s v="Paypal"/>
    <n v="6.82"/>
    <x v="3"/>
    <x v="1"/>
    <s v="Not Returned"/>
    <s v="UPS"/>
    <x v="2"/>
    <s v="Low"/>
    <n v="1822"/>
    <n v="146"/>
    <n v="1676"/>
  </r>
  <r>
    <d v="2025-02-21T00:00:00"/>
    <s v="SKU_1498"/>
    <x v="934"/>
    <s v="Notebook"/>
    <n v="39"/>
    <n v="89.21"/>
    <x v="0"/>
    <n v="0.34"/>
    <s v="Credit Card"/>
    <n v="26.81"/>
    <x v="1"/>
    <x v="1"/>
    <s v="Not Returned"/>
    <s v="Royal Mail"/>
    <x v="3"/>
    <s v="High"/>
    <n v="3479"/>
    <n v="1183"/>
    <n v="2296"/>
  </r>
  <r>
    <d v="2025-02-21T00:00:00"/>
    <s v="SKU_1130"/>
    <x v="935"/>
    <s v="Blue Pen"/>
    <n v="15"/>
    <n v="68.260000000000005"/>
    <x v="3"/>
    <n v="0.35"/>
    <s v="Bank Transfer"/>
    <n v="21.44"/>
    <x v="2"/>
    <x v="0"/>
    <s v="Returned"/>
    <s v="FedEx"/>
    <x v="4"/>
    <s v="Medium"/>
    <n v="1024"/>
    <n v="358"/>
    <n v="666"/>
  </r>
  <r>
    <d v="2025-02-21T00:00:00"/>
    <s v="SKU_1276"/>
    <x v="936"/>
    <s v="White Mug"/>
    <n v="9"/>
    <n v="24.45"/>
    <x v="9"/>
    <n v="0.35"/>
    <s v="Paypal"/>
    <n v="27.69"/>
    <x v="3"/>
    <x v="0"/>
    <s v="Not Returned"/>
    <s v="DHL"/>
    <x v="0"/>
    <s v="High"/>
    <n v="220"/>
    <n v="77"/>
    <n v="143"/>
  </r>
  <r>
    <d v="2025-02-21T00:00:00"/>
    <s v="SKU_1390"/>
    <x v="937"/>
    <s v="T-shirt"/>
    <n v="47"/>
    <n v="12.24"/>
    <x v="5"/>
    <n v="0.14000000000000001"/>
    <s v="Paypal"/>
    <n v="20.190000000000001"/>
    <x v="0"/>
    <x v="1"/>
    <s v="Not Returned"/>
    <s v="Royal Mail"/>
    <x v="2"/>
    <s v="High"/>
    <n v="575"/>
    <n v="81"/>
    <n v="494"/>
  </r>
  <r>
    <d v="2025-02-21T00:00:00"/>
    <s v="SKU_1333"/>
    <x v="938"/>
    <s v="USB Cable"/>
    <n v="22"/>
    <n v="37.89"/>
    <x v="1"/>
    <n v="0"/>
    <s v="Bank Transfer"/>
    <n v="16.18"/>
    <x v="3"/>
    <x v="1"/>
    <s v="Not Returned"/>
    <s v="UPS"/>
    <x v="3"/>
    <s v="Low"/>
    <n v="834"/>
    <n v="0"/>
    <n v="834"/>
  </r>
  <r>
    <d v="2025-02-22T00:00:00"/>
    <s v="SKU_1925"/>
    <x v="939"/>
    <s v="Desk Lamp"/>
    <n v="11"/>
    <n v="73.45"/>
    <x v="6"/>
    <n v="0.47"/>
    <s v="Bank Transfer"/>
    <n v="20.85"/>
    <x v="1"/>
    <x v="0"/>
    <s v="Not Returned"/>
    <s v="UPS"/>
    <x v="1"/>
    <s v="Medium"/>
    <n v="808"/>
    <n v="380"/>
    <n v="428"/>
  </r>
  <r>
    <d v="2025-02-22T00:00:00"/>
    <s v="SKU_1277"/>
    <x v="940"/>
    <s v="Backpack"/>
    <n v="35"/>
    <n v="94.4"/>
    <x v="9"/>
    <n v="0.2"/>
    <s v="Paypal"/>
    <n v="5.13"/>
    <x v="4"/>
    <x v="1"/>
    <s v="Returned"/>
    <s v="Royal Mail"/>
    <x v="4"/>
    <s v="Low"/>
    <n v="3304"/>
    <n v="661"/>
    <n v="2643"/>
  </r>
  <r>
    <d v="2025-02-22T00:00:00"/>
    <s v="SKU_1141"/>
    <x v="941"/>
    <s v="Headphones"/>
    <n v="17"/>
    <n v="39.29"/>
    <x v="6"/>
    <n v="0.3"/>
    <s v="Credit Card"/>
    <n v="7.4"/>
    <x v="4"/>
    <x v="0"/>
    <s v="Not Returned"/>
    <s v="DHL"/>
    <x v="0"/>
    <s v="Low"/>
    <n v="668"/>
    <n v="200"/>
    <n v="468"/>
  </r>
  <r>
    <d v="2025-02-22T00:00:00"/>
    <s v="SKU_1950"/>
    <x v="942"/>
    <s v="USB Cable"/>
    <n v="9"/>
    <n v="75.69"/>
    <x v="6"/>
    <n v="0.21"/>
    <s v="Credit Card"/>
    <n v="8.2799999999999994"/>
    <x v="2"/>
    <x v="0"/>
    <s v="Returned"/>
    <s v="Royal Mail"/>
    <x v="2"/>
    <s v="Medium"/>
    <n v="681"/>
    <n v="143"/>
    <n v="538"/>
  </r>
  <r>
    <d v="2025-02-22T00:00:00"/>
    <s v="SKU_1856"/>
    <x v="943"/>
    <s v="USB Cable"/>
    <n v="34"/>
    <n v="51.13"/>
    <x v="9"/>
    <n v="0.21"/>
    <s v="Credit Card"/>
    <n v="20.95"/>
    <x v="3"/>
    <x v="0"/>
    <s v="Not Returned"/>
    <s v="FedEx"/>
    <x v="2"/>
    <s v="Low"/>
    <n v="1738"/>
    <n v="365"/>
    <n v="1373"/>
  </r>
  <r>
    <d v="2025-02-22T00:00:00"/>
    <s v="SKU_1066"/>
    <x v="944"/>
    <s v="Wireless Mouse"/>
    <n v="46"/>
    <n v="53.87"/>
    <x v="5"/>
    <n v="0.17"/>
    <s v="Bank Transfer"/>
    <n v="10.41"/>
    <x v="1"/>
    <x v="1"/>
    <s v="Not Returned"/>
    <s v="FedEx"/>
    <x v="3"/>
    <s v="Medium"/>
    <n v="2478"/>
    <n v="421"/>
    <n v="2057"/>
  </r>
  <r>
    <d v="2025-02-22T00:00:00"/>
    <s v="SKU_1708"/>
    <x v="945"/>
    <s v="USB Cable"/>
    <n v="40"/>
    <n v="27.85"/>
    <x v="8"/>
    <n v="0.38"/>
    <s v="Credit Card"/>
    <n v="22.42"/>
    <x v="3"/>
    <x v="1"/>
    <s v="Returned"/>
    <s v="Royal Mail"/>
    <x v="2"/>
    <s v="Low"/>
    <n v="1114"/>
    <n v="423"/>
    <n v="691"/>
  </r>
  <r>
    <d v="2025-02-22T00:00:00"/>
    <s v="SKU_1882"/>
    <x v="946"/>
    <s v="Desk Lamp"/>
    <n v="30"/>
    <n v="28.41"/>
    <x v="2"/>
    <n v="0.21"/>
    <s v="Bank Transfer"/>
    <n v="22.16"/>
    <x v="3"/>
    <x v="0"/>
    <s v="Not Returned"/>
    <s v="UPS"/>
    <x v="2"/>
    <s v="Low"/>
    <n v="852"/>
    <n v="179"/>
    <n v="673"/>
  </r>
  <r>
    <d v="2025-02-22T00:00:00"/>
    <s v="SKU_1058"/>
    <x v="947"/>
    <s v="USB Cable"/>
    <n v="22"/>
    <n v="58.35"/>
    <x v="7"/>
    <n v="0.39"/>
    <s v="Paypal"/>
    <n v="21.92"/>
    <x v="4"/>
    <x v="0"/>
    <s v="Not Returned"/>
    <s v="UPS"/>
    <x v="3"/>
    <s v="Medium"/>
    <n v="1284"/>
    <n v="501"/>
    <n v="783"/>
  </r>
  <r>
    <d v="2025-02-22T00:00:00"/>
    <s v="SKU_1745"/>
    <x v="948"/>
    <s v="T-shirt"/>
    <n v="26"/>
    <n v="40.28"/>
    <x v="1"/>
    <n v="0.41"/>
    <s v="Credit Card"/>
    <n v="21.02"/>
    <x v="2"/>
    <x v="0"/>
    <s v="Not Returned"/>
    <s v="DHL"/>
    <x v="3"/>
    <s v="High"/>
    <n v="1047"/>
    <n v="429"/>
    <n v="618"/>
  </r>
  <r>
    <d v="2025-02-22T00:00:00"/>
    <s v="SKU_1392"/>
    <x v="949"/>
    <s v="Backpack"/>
    <n v="30"/>
    <n v="30.92"/>
    <x v="1"/>
    <n v="0.17"/>
    <s v="Credit Card"/>
    <n v="5.1100000000000003"/>
    <x v="4"/>
    <x v="1"/>
    <s v="Not Returned"/>
    <s v="UPS"/>
    <x v="2"/>
    <s v="Low"/>
    <n v="928"/>
    <n v="158"/>
    <n v="770"/>
  </r>
  <r>
    <d v="2025-02-22T00:00:00"/>
    <s v="SKU_1508"/>
    <x v="950"/>
    <s v="Backpack"/>
    <n v="12"/>
    <n v="68.66"/>
    <x v="1"/>
    <n v="0.28999999999999998"/>
    <s v="Bank Transfer"/>
    <n v="29.74"/>
    <x v="1"/>
    <x v="0"/>
    <s v="Not Returned"/>
    <s v="UPS"/>
    <x v="3"/>
    <s v="Medium"/>
    <n v="824"/>
    <n v="239"/>
    <n v="585"/>
  </r>
  <r>
    <d v="2025-02-22T00:00:00"/>
    <s v="SKU_1175"/>
    <x v="951"/>
    <s v="USB Cable"/>
    <n v="36"/>
    <n v="8.01"/>
    <x v="0"/>
    <n v="7.0000000000000007E-2"/>
    <s v="Credit Card"/>
    <n v="22.84"/>
    <x v="1"/>
    <x v="0"/>
    <s v="Not Returned"/>
    <s v="UPS"/>
    <x v="1"/>
    <s v="Low"/>
    <n v="288"/>
    <n v="20"/>
    <n v="268"/>
  </r>
  <r>
    <d v="2025-02-22T00:00:00"/>
    <s v="SKU_1101"/>
    <x v="952"/>
    <s v="Wall Clock"/>
    <n v="7"/>
    <n v="14.63"/>
    <x v="1"/>
    <n v="0.04"/>
    <s v="Paypal"/>
    <n v="20.46"/>
    <x v="1"/>
    <x v="0"/>
    <s v="Not Returned"/>
    <s v="DHL"/>
    <x v="0"/>
    <s v="Medium"/>
    <n v="102"/>
    <n v="4"/>
    <n v="98"/>
  </r>
  <r>
    <d v="2025-02-22T00:00:00"/>
    <s v="SKU_1036"/>
    <x v="953"/>
    <s v="USB Cable"/>
    <n v="41"/>
    <n v="15.86"/>
    <x v="1"/>
    <n v="0.32"/>
    <s v="Credit Card"/>
    <n v="15.48"/>
    <x v="4"/>
    <x v="1"/>
    <s v="Not Returned"/>
    <s v="FedEx"/>
    <x v="0"/>
    <s v="Medium"/>
    <n v="650"/>
    <n v="208"/>
    <n v="442"/>
  </r>
  <r>
    <d v="2025-02-22T00:00:00"/>
    <s v="SKU_1323"/>
    <x v="954"/>
    <s v="Notebook"/>
    <n v="2"/>
    <n v="38.04"/>
    <x v="7"/>
    <n v="0.17"/>
    <s v="Paypal"/>
    <n v="27.94"/>
    <x v="2"/>
    <x v="1"/>
    <s v="Not Returned"/>
    <s v="FedEx"/>
    <x v="4"/>
    <s v="Low"/>
    <n v="76"/>
    <n v="13"/>
    <n v="63"/>
  </r>
  <r>
    <d v="2025-02-22T00:00:00"/>
    <s v="SKU_1915"/>
    <x v="955"/>
    <s v="Backpack"/>
    <n v="21"/>
    <n v="91.56"/>
    <x v="2"/>
    <n v="0.37"/>
    <s v="Paypal"/>
    <n v="19.05"/>
    <x v="3"/>
    <x v="0"/>
    <s v="Not Returned"/>
    <s v="UPS"/>
    <x v="1"/>
    <s v="High"/>
    <n v="1923"/>
    <n v="711"/>
    <n v="1212"/>
  </r>
  <r>
    <d v="2025-02-22T00:00:00"/>
    <s v="SKU_1596"/>
    <x v="956"/>
    <s v="Desk Lamp"/>
    <n v="27"/>
    <n v="92.38"/>
    <x v="9"/>
    <n v="0.08"/>
    <s v="Bank Transfer"/>
    <n v="21.68"/>
    <x v="2"/>
    <x v="0"/>
    <s v="Not Returned"/>
    <s v="UPS"/>
    <x v="2"/>
    <s v="Medium"/>
    <n v="2494"/>
    <n v="200"/>
    <n v="2294"/>
  </r>
  <r>
    <d v="2025-02-22T00:00:00"/>
    <s v="SKU_1433"/>
    <x v="957"/>
    <s v="White Mug"/>
    <n v="1"/>
    <n v="47.9"/>
    <x v="7"/>
    <n v="0.11"/>
    <s v="Bank Transfer"/>
    <n v="11.22"/>
    <x v="1"/>
    <x v="0"/>
    <s v="Not Returned"/>
    <s v="Royal Mail"/>
    <x v="0"/>
    <s v="High"/>
    <n v="48"/>
    <n v="5"/>
    <n v="43"/>
  </r>
  <r>
    <d v="2025-02-22T00:00:00"/>
    <s v="SKU_1495"/>
    <x v="958"/>
    <s v="Backpack"/>
    <n v="14"/>
    <n v="2.78"/>
    <x v="5"/>
    <n v="0.2"/>
    <s v="Credit Card"/>
    <n v="23.09"/>
    <x v="2"/>
    <x v="1"/>
    <s v="Not Returned"/>
    <s v="UPS"/>
    <x v="1"/>
    <s v="High"/>
    <n v="39"/>
    <n v="8"/>
    <n v="31"/>
  </r>
  <r>
    <d v="2025-02-22T00:00:00"/>
    <s v="SKU_1535"/>
    <x v="959"/>
    <s v="Headphones"/>
    <n v="49"/>
    <n v="38.22"/>
    <x v="7"/>
    <n v="0.46"/>
    <s v="Bank Transfer"/>
    <n v="9.61"/>
    <x v="4"/>
    <x v="1"/>
    <s v="Not Returned"/>
    <s v="UPS"/>
    <x v="2"/>
    <s v="Low"/>
    <n v="1873"/>
    <n v="861"/>
    <n v="1012"/>
  </r>
  <r>
    <d v="2025-02-22T00:00:00"/>
    <s v="SKU_1891"/>
    <x v="960"/>
    <s v="Headphones"/>
    <n v="2"/>
    <n v="81.39"/>
    <x v="3"/>
    <n v="0.06"/>
    <s v="Bank Transfer"/>
    <n v="12"/>
    <x v="4"/>
    <x v="0"/>
    <s v="Not Returned"/>
    <s v="DHL"/>
    <x v="0"/>
    <s v="Medium"/>
    <n v="163"/>
    <n v="10"/>
    <n v="153"/>
  </r>
  <r>
    <d v="2025-02-22T00:00:00"/>
    <s v="SKU_1710"/>
    <x v="961"/>
    <s v="Desk Lamp"/>
    <n v="23"/>
    <n v="19.670000000000002"/>
    <x v="4"/>
    <n v="0.37"/>
    <s v="Credit Card"/>
    <n v="12.92"/>
    <x v="2"/>
    <x v="1"/>
    <s v="Not Returned"/>
    <s v="DHL"/>
    <x v="3"/>
    <s v="High"/>
    <n v="452"/>
    <n v="167"/>
    <n v="285"/>
  </r>
  <r>
    <d v="2025-02-23T00:00:00"/>
    <s v="SKU_1125"/>
    <x v="962"/>
    <s v="Desk Lamp"/>
    <n v="26"/>
    <n v="79.849999999999994"/>
    <x v="9"/>
    <n v="0.48"/>
    <s v="Paypal"/>
    <n v="9.86"/>
    <x v="1"/>
    <x v="0"/>
    <s v="Not Returned"/>
    <s v="Royal Mail"/>
    <x v="2"/>
    <s v="High"/>
    <n v="2076"/>
    <n v="997"/>
    <n v="1079"/>
  </r>
  <r>
    <d v="2025-02-23T00:00:00"/>
    <s v="SKU_1304"/>
    <x v="963"/>
    <s v="Headphones"/>
    <n v="25"/>
    <n v="92.61"/>
    <x v="2"/>
    <n v="0.03"/>
    <s v="Credit Card"/>
    <n v="7.46"/>
    <x v="4"/>
    <x v="0"/>
    <s v="Not Returned"/>
    <s v="UPS"/>
    <x v="4"/>
    <s v="Medium"/>
    <n v="2315"/>
    <n v="69"/>
    <n v="2246"/>
  </r>
  <r>
    <d v="2025-02-23T00:00:00"/>
    <s v="SKU_1255"/>
    <x v="964"/>
    <s v="USB Cable"/>
    <n v="15"/>
    <n v="84.36"/>
    <x v="4"/>
    <n v="0.42"/>
    <s v="Paypal"/>
    <n v="20.86"/>
    <x v="3"/>
    <x v="0"/>
    <s v="Not Returned"/>
    <s v="FedEx"/>
    <x v="3"/>
    <s v="Medium"/>
    <n v="1265"/>
    <n v="531"/>
    <n v="734"/>
  </r>
  <r>
    <d v="2025-02-23T00:00:00"/>
    <s v="SKU_1391"/>
    <x v="965"/>
    <s v="Office Chair"/>
    <n v="29"/>
    <n v="3.93"/>
    <x v="10"/>
    <n v="0.38"/>
    <s v="Bank Transfer"/>
    <n v="22.4"/>
    <x v="4"/>
    <x v="0"/>
    <s v="Not Returned"/>
    <s v="DHL"/>
    <x v="0"/>
    <s v="Medium"/>
    <n v="114"/>
    <n v="43"/>
    <n v="71"/>
  </r>
  <r>
    <d v="2025-02-23T00:00:00"/>
    <s v="SKU_1586"/>
    <x v="966"/>
    <s v="Wall Clock"/>
    <n v="28"/>
    <n v="80.510000000000005"/>
    <x v="4"/>
    <n v="0.27"/>
    <s v="Bank Transfer"/>
    <n v="8.3800000000000008"/>
    <x v="3"/>
    <x v="1"/>
    <s v="Not Returned"/>
    <s v="DHL"/>
    <x v="3"/>
    <s v="Medium"/>
    <n v="2254"/>
    <n v="609"/>
    <n v="1645"/>
  </r>
  <r>
    <d v="2025-02-23T00:00:00"/>
    <s v="SKU_1496"/>
    <x v="967"/>
    <s v="White Mug"/>
    <n v="39"/>
    <n v="77.77"/>
    <x v="8"/>
    <n v="0.31"/>
    <s v="Bank Transfer"/>
    <n v="10.98"/>
    <x v="3"/>
    <x v="1"/>
    <s v="Not Returned"/>
    <s v="FedEx"/>
    <x v="3"/>
    <s v="High"/>
    <n v="3033"/>
    <n v="940"/>
    <n v="2093"/>
  </r>
  <r>
    <d v="2025-02-23T00:00:00"/>
    <s v="SKU_1621"/>
    <x v="968"/>
    <s v="Backpack"/>
    <n v="48"/>
    <n v="24.25"/>
    <x v="0"/>
    <n v="0.36"/>
    <s v="Bank Transfer"/>
    <n v="18.34"/>
    <x v="2"/>
    <x v="0"/>
    <s v="Not Returned"/>
    <s v="FedEx"/>
    <x v="0"/>
    <s v="High"/>
    <n v="1164"/>
    <n v="419"/>
    <n v="745"/>
  </r>
  <r>
    <d v="2025-02-23T00:00:00"/>
    <s v="SKU_1456"/>
    <x v="969"/>
    <s v="USB Cable"/>
    <n v="4"/>
    <n v="56.93"/>
    <x v="5"/>
    <n v="0.06"/>
    <s v="Bank Transfer"/>
    <n v="15.61"/>
    <x v="1"/>
    <x v="1"/>
    <s v="Returned"/>
    <s v="UPS"/>
    <x v="0"/>
    <s v="High"/>
    <n v="228"/>
    <n v="14"/>
    <n v="214"/>
  </r>
  <r>
    <d v="2025-02-23T00:00:00"/>
    <s v="SKU_1005"/>
    <x v="970"/>
    <s v="Wall Clock"/>
    <n v="30"/>
    <n v="28.9"/>
    <x v="5"/>
    <n v="0.34"/>
    <s v="Paypal"/>
    <n v="10.93"/>
    <x v="0"/>
    <x v="1"/>
    <s v="Not Returned"/>
    <s v="DHL"/>
    <x v="4"/>
    <s v="Low"/>
    <n v="867"/>
    <n v="295"/>
    <n v="572"/>
  </r>
  <r>
    <d v="2025-02-23T00:00:00"/>
    <s v="SKU_1551"/>
    <x v="971"/>
    <s v="Office Chair"/>
    <n v="47"/>
    <n v="36.57"/>
    <x v="2"/>
    <n v="0.16"/>
    <s v="Bank Transfer"/>
    <n v="24.07"/>
    <x v="2"/>
    <x v="0"/>
    <s v="Not Returned"/>
    <s v="UPS"/>
    <x v="4"/>
    <s v="Medium"/>
    <n v="1719"/>
    <n v="275"/>
    <n v="1444"/>
  </r>
  <r>
    <d v="2025-02-23T00:00:00"/>
    <s v="SKU_1848"/>
    <x v="972"/>
    <s v="Headphones"/>
    <n v="10"/>
    <n v="2.6"/>
    <x v="8"/>
    <n v="0.05"/>
    <s v="Paypal"/>
    <n v="19.010000000000002"/>
    <x v="3"/>
    <x v="0"/>
    <s v="Not Returned"/>
    <s v="FedEx"/>
    <x v="0"/>
    <s v="Low"/>
    <n v="26"/>
    <n v="1"/>
    <n v="25"/>
  </r>
  <r>
    <d v="2025-02-23T00:00:00"/>
    <s v="SKU_1949"/>
    <x v="973"/>
    <s v="Blue Pen"/>
    <n v="42"/>
    <n v="35.18"/>
    <x v="10"/>
    <n v="0.2"/>
    <s v="Credit Card"/>
    <n v="7.96"/>
    <x v="3"/>
    <x v="0"/>
    <s v="Not Returned"/>
    <s v="UPS"/>
    <x v="1"/>
    <s v="Low"/>
    <n v="1478"/>
    <n v="296"/>
    <n v="1182"/>
  </r>
  <r>
    <d v="2025-02-23T00:00:00"/>
    <s v="SKU_1716"/>
    <x v="974"/>
    <s v="Desk Lamp"/>
    <n v="10"/>
    <n v="13.85"/>
    <x v="4"/>
    <n v="0.43"/>
    <s v="Bank Transfer"/>
    <n v="12.71"/>
    <x v="2"/>
    <x v="0"/>
    <s v="Not Returned"/>
    <s v="FedEx"/>
    <x v="3"/>
    <s v="High"/>
    <n v="139"/>
    <n v="60"/>
    <n v="79"/>
  </r>
  <r>
    <d v="2025-02-23T00:00:00"/>
    <s v="SKU_1364"/>
    <x v="975"/>
    <s v="USB Cable"/>
    <n v="22"/>
    <n v="92.26"/>
    <x v="1"/>
    <n v="0.47"/>
    <s v="Credit Card"/>
    <n v="15.86"/>
    <x v="3"/>
    <x v="0"/>
    <s v="Not Returned"/>
    <s v="Royal Mail"/>
    <x v="3"/>
    <s v="Medium"/>
    <n v="2030"/>
    <n v="954"/>
    <n v="1076"/>
  </r>
  <r>
    <d v="2025-02-23T00:00:00"/>
    <s v="SKU_1306"/>
    <x v="976"/>
    <s v="Headphones"/>
    <n v="39"/>
    <n v="9.93"/>
    <x v="7"/>
    <n v="0.44"/>
    <s v="Paypal"/>
    <n v="20.65"/>
    <x v="3"/>
    <x v="1"/>
    <s v="Not Returned"/>
    <s v="Royal Mail"/>
    <x v="4"/>
    <s v="Low"/>
    <n v="387"/>
    <n v="170"/>
    <n v="217"/>
  </r>
  <r>
    <d v="2025-02-23T00:00:00"/>
    <s v="SKU_1157"/>
    <x v="977"/>
    <s v="Backpack"/>
    <n v="43"/>
    <n v="80.650000000000006"/>
    <x v="4"/>
    <n v="0.3"/>
    <s v="Credit Card"/>
    <n v="26.77"/>
    <x v="4"/>
    <x v="1"/>
    <s v="Not Returned"/>
    <s v="DHL"/>
    <x v="2"/>
    <s v="Low"/>
    <n v="3468"/>
    <n v="1040"/>
    <n v="2428"/>
  </r>
  <r>
    <d v="2025-02-23T00:00:00"/>
    <s v="SKU_1927"/>
    <x v="978"/>
    <s v="Desk Lamp"/>
    <n v="13"/>
    <n v="14.29"/>
    <x v="9"/>
    <n v="0.04"/>
    <s v="Credit Card"/>
    <n v="7.12"/>
    <x v="2"/>
    <x v="0"/>
    <s v="Not Returned"/>
    <s v="FedEx"/>
    <x v="0"/>
    <s v="High"/>
    <n v="186"/>
    <n v="7"/>
    <n v="179"/>
  </r>
  <r>
    <d v="2025-02-23T00:00:00"/>
    <s v="SKU_1227"/>
    <x v="979"/>
    <s v="T-shirt"/>
    <n v="30"/>
    <n v="69.290000000000006"/>
    <x v="6"/>
    <n v="0.04"/>
    <s v="Paypal"/>
    <n v="29.28"/>
    <x v="0"/>
    <x v="1"/>
    <s v="Not Returned"/>
    <s v="Royal Mail"/>
    <x v="2"/>
    <s v="Medium"/>
    <n v="2079"/>
    <n v="83"/>
    <n v="1996"/>
  </r>
  <r>
    <d v="2025-02-23T00:00:00"/>
    <s v="SKU_1198"/>
    <x v="980"/>
    <s v="Headphones"/>
    <n v="13"/>
    <n v="56.67"/>
    <x v="11"/>
    <n v="0.26"/>
    <s v="Paypal"/>
    <n v="24.32"/>
    <x v="1"/>
    <x v="0"/>
    <s v="Not Returned"/>
    <s v="DHL"/>
    <x v="4"/>
    <s v="Low"/>
    <n v="737"/>
    <n v="192"/>
    <n v="545"/>
  </r>
  <r>
    <d v="2025-02-23T00:00:00"/>
    <s v="SKU_1763"/>
    <x v="981"/>
    <s v="Office Chair"/>
    <n v="42"/>
    <n v="26.16"/>
    <x v="3"/>
    <n v="0.01"/>
    <s v="Paypal"/>
    <n v="23.84"/>
    <x v="2"/>
    <x v="1"/>
    <s v="Not Returned"/>
    <s v="UPS"/>
    <x v="2"/>
    <s v="High"/>
    <n v="1099"/>
    <n v="11"/>
    <n v="1088"/>
  </r>
  <r>
    <d v="2025-02-23T00:00:00"/>
    <s v="SKU_1399"/>
    <x v="982"/>
    <s v="T-shirt"/>
    <n v="26"/>
    <n v="35.549999999999997"/>
    <x v="7"/>
    <n v="0.35"/>
    <s v="Credit Card"/>
    <n v="29.84"/>
    <x v="2"/>
    <x v="1"/>
    <s v="Not Returned"/>
    <s v="DHL"/>
    <x v="0"/>
    <s v="High"/>
    <n v="924"/>
    <n v="324"/>
    <n v="600"/>
  </r>
  <r>
    <d v="2025-02-24T00:00:00"/>
    <s v="SKU_1974"/>
    <x v="983"/>
    <s v="Wireless Mouse"/>
    <n v="39"/>
    <n v="92.52"/>
    <x v="1"/>
    <n v="0.28999999999999998"/>
    <s v="Credit Card"/>
    <n v="8.43"/>
    <x v="1"/>
    <x v="0"/>
    <s v="Not Returned"/>
    <s v="DHL"/>
    <x v="3"/>
    <s v="Medium"/>
    <n v="3608"/>
    <n v="1046"/>
    <n v="2562"/>
  </r>
  <r>
    <d v="2025-02-24T00:00:00"/>
    <s v="SKU_1438"/>
    <x v="984"/>
    <s v="White Mug"/>
    <n v="27"/>
    <n v="23.37"/>
    <x v="10"/>
    <n v="0.11"/>
    <s v="Credit Card"/>
    <n v="5.76"/>
    <x v="4"/>
    <x v="1"/>
    <s v="Not Returned"/>
    <s v="Royal Mail"/>
    <x v="1"/>
    <s v="Medium"/>
    <n v="631"/>
    <n v="69"/>
    <n v="562"/>
  </r>
  <r>
    <d v="2025-02-24T00:00:00"/>
    <s v="SKU_1440"/>
    <x v="985"/>
    <s v="Office Chair"/>
    <n v="4"/>
    <n v="9.31"/>
    <x v="8"/>
    <n v="0.46"/>
    <s v="Bank Transfer"/>
    <n v="17.920000000000002"/>
    <x v="2"/>
    <x v="1"/>
    <s v="Not Returned"/>
    <s v="DHL"/>
    <x v="4"/>
    <s v="Low"/>
    <n v="37"/>
    <n v="17"/>
    <n v="20"/>
  </r>
  <r>
    <d v="2025-02-24T00:00:00"/>
    <s v="SKU_1461"/>
    <x v="986"/>
    <s v="USB Cable"/>
    <n v="48"/>
    <n v="14.55"/>
    <x v="0"/>
    <n v="0.05"/>
    <s v="Credit Card"/>
    <n v="22.75"/>
    <x v="0"/>
    <x v="1"/>
    <s v="Not Returned"/>
    <s v="UPS"/>
    <x v="4"/>
    <s v="Medium"/>
    <n v="698"/>
    <n v="35"/>
    <n v="663"/>
  </r>
  <r>
    <d v="2025-02-24T00:00:00"/>
    <s v="SKU_1044"/>
    <x v="987"/>
    <s v="Blue Pen"/>
    <n v="12"/>
    <n v="37.81"/>
    <x v="2"/>
    <n v="0.36"/>
    <s v="Paypal"/>
    <n v="11.78"/>
    <x v="0"/>
    <x v="0"/>
    <s v="Not Returned"/>
    <s v="Royal Mail"/>
    <x v="1"/>
    <s v="Low"/>
    <n v="454"/>
    <n v="163"/>
    <n v="291"/>
  </r>
  <r>
    <d v="2025-02-24T00:00:00"/>
    <s v="SKU_1435"/>
    <x v="988"/>
    <s v="Wall Clock"/>
    <n v="35"/>
    <n v="34.93"/>
    <x v="1"/>
    <n v="0.35"/>
    <s v="Credit Card"/>
    <n v="18"/>
    <x v="1"/>
    <x v="0"/>
    <s v="Not Returned"/>
    <s v="DHL"/>
    <x v="1"/>
    <s v="Low"/>
    <n v="1223"/>
    <n v="428"/>
    <n v="795"/>
  </r>
  <r>
    <d v="2025-02-24T00:00:00"/>
    <s v="SKU_1710"/>
    <x v="989"/>
    <s v="White Mug"/>
    <n v="39"/>
    <n v="1.78"/>
    <x v="3"/>
    <n v="0.37"/>
    <s v="Credit Card"/>
    <n v="15.63"/>
    <x v="4"/>
    <x v="1"/>
    <s v="Not Returned"/>
    <s v="FedEx"/>
    <x v="3"/>
    <s v="High"/>
    <n v="69"/>
    <n v="26"/>
    <n v="43"/>
  </r>
  <r>
    <d v="2025-02-24T00:00:00"/>
    <s v="SKU_1174"/>
    <x v="990"/>
    <s v="Desk Lamp"/>
    <n v="1"/>
    <n v="73.650000000000006"/>
    <x v="11"/>
    <n v="0.03"/>
    <s v="Paypal"/>
    <n v="26.31"/>
    <x v="1"/>
    <x v="1"/>
    <s v="Not Returned"/>
    <s v="Royal Mail"/>
    <x v="1"/>
    <s v="Medium"/>
    <n v="74"/>
    <n v="2"/>
    <n v="72"/>
  </r>
  <r>
    <d v="2025-02-24T00:00:00"/>
    <s v="SKU_1544"/>
    <x v="991"/>
    <s v="Blue Pen"/>
    <n v="16"/>
    <n v="61.94"/>
    <x v="2"/>
    <n v="7.0000000000000007E-2"/>
    <s v="Bank Transfer"/>
    <n v="26.63"/>
    <x v="3"/>
    <x v="0"/>
    <s v="Not Returned"/>
    <s v="DHL"/>
    <x v="0"/>
    <s v="High"/>
    <n v="991"/>
    <n v="69"/>
    <n v="922"/>
  </r>
  <r>
    <d v="2025-02-24T00:00:00"/>
    <s v="SKU_1383"/>
    <x v="992"/>
    <s v="Wall Clock"/>
    <n v="22"/>
    <n v="94.71"/>
    <x v="4"/>
    <n v="0.04"/>
    <s v="Bank Transfer"/>
    <n v="14.85"/>
    <x v="2"/>
    <x v="0"/>
    <s v="Not Returned"/>
    <s v="Royal Mail"/>
    <x v="2"/>
    <s v="Medium"/>
    <n v="2084"/>
    <n v="83"/>
    <n v="2001"/>
  </r>
  <r>
    <d v="2025-02-24T00:00:00"/>
    <s v="SKU_1865"/>
    <x v="993"/>
    <s v="Desk Lamp"/>
    <n v="45"/>
    <n v="4.03"/>
    <x v="11"/>
    <n v="0.28000000000000003"/>
    <s v="Bank Transfer"/>
    <n v="9.86"/>
    <x v="3"/>
    <x v="1"/>
    <s v="Not Returned"/>
    <s v="UPS"/>
    <x v="2"/>
    <s v="Medium"/>
    <n v="181"/>
    <n v="51"/>
    <n v="130"/>
  </r>
  <r>
    <d v="2025-02-24T00:00:00"/>
    <s v="SKU_1407"/>
    <x v="994"/>
    <s v="USB Cable"/>
    <n v="36"/>
    <n v="43.93"/>
    <x v="0"/>
    <n v="0.18"/>
    <s v="Paypal"/>
    <n v="19.46"/>
    <x v="0"/>
    <x v="0"/>
    <s v="Not Returned"/>
    <s v="Royal Mail"/>
    <x v="3"/>
    <s v="Medium"/>
    <n v="1581"/>
    <n v="285"/>
    <n v="12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">
  <r>
    <x v="0"/>
    <s v="SKU_1756"/>
    <n v="91428"/>
    <s v="Office Chair"/>
    <n v="33"/>
    <n v="85.88"/>
    <x v="0"/>
    <n v="0.05"/>
    <s v="Bank Transfer"/>
    <n v="11"/>
    <x v="0"/>
    <s v="Online"/>
    <s v="Not Returned"/>
    <s v="FedEx"/>
    <x v="0"/>
    <s v="Low"/>
    <n v="2834"/>
    <n v="142"/>
    <n v="2692"/>
  </r>
  <r>
    <x v="0"/>
    <s v="SKU_1982"/>
    <n v="41508"/>
    <s v="White Mug"/>
    <n v="47"/>
    <n v="75.47"/>
    <x v="1"/>
    <n v="0.28000000000000003"/>
    <s v="Credit Card"/>
    <n v="14.92"/>
    <x v="1"/>
    <s v="In-store"/>
    <s v="Not Returned"/>
    <s v="UPS"/>
    <x v="1"/>
    <s v="High"/>
    <n v="3547"/>
    <n v="993"/>
    <n v="2554"/>
  </r>
  <r>
    <x v="0"/>
    <s v="SKU_1206"/>
    <n v="68247"/>
    <s v="Office Chair"/>
    <n v="18"/>
    <n v="67.849999999999994"/>
    <x v="2"/>
    <n v="0.36"/>
    <s v="Credit Card"/>
    <n v="16.41"/>
    <x v="2"/>
    <s v="Online"/>
    <s v="Not Returned"/>
    <s v="Royal Mail"/>
    <x v="2"/>
    <s v="Low"/>
    <n v="1221"/>
    <n v="440"/>
    <n v="781"/>
  </r>
  <r>
    <x v="0"/>
    <s v="SKU_1913"/>
    <n v="92584"/>
    <s v="Blue Pen"/>
    <n v="45"/>
    <n v="98.3"/>
    <x v="3"/>
    <n v="0.06"/>
    <s v="Credit Card"/>
    <n v="25.36"/>
    <x v="3"/>
    <s v="In-store"/>
    <s v="Not Returned"/>
    <s v="UPS"/>
    <x v="0"/>
    <s v="High"/>
    <n v="4424"/>
    <n v="265"/>
    <n v="4159"/>
  </r>
  <r>
    <x v="1"/>
    <s v="SKU_1993"/>
    <n v="84531"/>
    <s v="Backpack"/>
    <n v="23"/>
    <n v="14.19"/>
    <x v="4"/>
    <n v="0.35"/>
    <s v="Credit Card"/>
    <n v="27.15"/>
    <x v="3"/>
    <s v="In-store"/>
    <s v="Not Returned"/>
    <s v="UPS"/>
    <x v="0"/>
    <s v="Medium"/>
    <n v="326"/>
    <n v="114"/>
    <n v="212"/>
  </r>
  <r>
    <x v="1"/>
    <s v="SKU_1077"/>
    <n v="48304"/>
    <s v="Wall Clock"/>
    <n v="47"/>
    <n v="36.71"/>
    <x v="2"/>
    <n v="0.37"/>
    <s v="Credit Card"/>
    <n v="29.11"/>
    <x v="4"/>
    <s v="In-store"/>
    <s v="Not Returned"/>
    <s v="FedEx"/>
    <x v="2"/>
    <s v="Medium"/>
    <n v="1725"/>
    <n v="638"/>
    <n v="1087"/>
  </r>
  <r>
    <x v="1"/>
    <s v="SKU_1069"/>
    <n v="67068"/>
    <s v="Blue Pen"/>
    <n v="33"/>
    <n v="70.69"/>
    <x v="5"/>
    <n v="0.41"/>
    <s v="Credit Card"/>
    <n v="29.36"/>
    <x v="0"/>
    <s v="Online"/>
    <s v="Not Returned"/>
    <s v="DHL"/>
    <x v="1"/>
    <s v="Low"/>
    <n v="2333"/>
    <n v="956"/>
    <n v="1377"/>
  </r>
  <r>
    <x v="1"/>
    <s v="SKU_1934"/>
    <n v="57761"/>
    <s v="Blue Pen"/>
    <n v="23"/>
    <n v="28.54"/>
    <x v="6"/>
    <n v="0.02"/>
    <s v="Bank Transfer"/>
    <n v="19.82"/>
    <x v="2"/>
    <s v="Online"/>
    <s v="Not Returned"/>
    <s v="Royal Mail"/>
    <x v="0"/>
    <s v="High"/>
    <n v="656"/>
    <n v="13"/>
    <n v="643"/>
  </r>
  <r>
    <x v="1"/>
    <s v="SKU_1273"/>
    <n v="31295"/>
    <s v="USB Cable"/>
    <n v="21"/>
    <n v="28.96"/>
    <x v="7"/>
    <n v="0.18"/>
    <s v="Bank Transfer"/>
    <n v="13.81"/>
    <x v="2"/>
    <s v="Online"/>
    <s v="Not Returned"/>
    <s v="UPS"/>
    <x v="3"/>
    <s v="Medium"/>
    <n v="608"/>
    <n v="109"/>
    <n v="499"/>
  </r>
  <r>
    <x v="1"/>
    <s v="SKU_1104"/>
    <n v="69770"/>
    <s v="USB Cable"/>
    <n v="10"/>
    <n v="24.81"/>
    <x v="5"/>
    <n v="0.38"/>
    <s v="Paypal"/>
    <n v="11.17"/>
    <x v="4"/>
    <s v="In-store"/>
    <s v="Not Returned"/>
    <s v="Royal Mail"/>
    <x v="1"/>
    <s v="High"/>
    <n v="248"/>
    <n v="94"/>
    <n v="154"/>
  </r>
  <r>
    <x v="1"/>
    <s v="SKU_1347"/>
    <n v="12422"/>
    <s v="Office Chair"/>
    <n v="22"/>
    <n v="68.180000000000007"/>
    <x v="4"/>
    <n v="0.33"/>
    <s v="Paypal"/>
    <n v="29.3"/>
    <x v="0"/>
    <s v="Online"/>
    <s v="Not Returned"/>
    <s v="UPS"/>
    <x v="1"/>
    <s v="Low"/>
    <n v="1500"/>
    <n v="495"/>
    <n v="1005"/>
  </r>
  <r>
    <x v="1"/>
    <s v="SKU_1307"/>
    <n v="11001"/>
    <s v="Wall Clock"/>
    <n v="11"/>
    <n v="3.34"/>
    <x v="0"/>
    <n v="0.2"/>
    <s v="Paypal"/>
    <n v="6.62"/>
    <x v="3"/>
    <s v="Online"/>
    <s v="Not Returned"/>
    <s v="UPS"/>
    <x v="3"/>
    <s v="Low"/>
    <n v="37"/>
    <n v="7"/>
    <n v="30"/>
  </r>
  <r>
    <x v="1"/>
    <s v="SKU_1257"/>
    <n v="57754"/>
    <s v="Blue Pen"/>
    <n v="5"/>
    <m/>
    <x v="5"/>
    <n v="0.24"/>
    <s v="Bank Transfer"/>
    <n v="8.1300000000000008"/>
    <x v="0"/>
    <s v="Online"/>
    <s v="Not Returned"/>
    <s v="FedEx"/>
    <x v="0"/>
    <s v="High"/>
    <n v="265"/>
    <n v="64"/>
    <n v="201"/>
  </r>
  <r>
    <x v="2"/>
    <s v="SKU_1356"/>
    <n v="27463"/>
    <s v="Headphones"/>
    <n v="14"/>
    <n v="95.17"/>
    <x v="1"/>
    <n v="0.39"/>
    <s v="Paypal"/>
    <n v="7.75"/>
    <x v="1"/>
    <s v="Online"/>
    <s v="Not Returned"/>
    <s v="DHL"/>
    <x v="0"/>
    <s v="Low"/>
    <n v="1332"/>
    <n v="520"/>
    <n v="812"/>
  </r>
  <r>
    <x v="2"/>
    <s v="SKU_1232"/>
    <n v="47833"/>
    <s v="Desk Lamp"/>
    <n v="4"/>
    <n v="5.66"/>
    <x v="4"/>
    <n v="0"/>
    <s v="Bank Transfer"/>
    <n v="22.14"/>
    <x v="0"/>
    <s v="Online"/>
    <s v="Not Returned"/>
    <s v="DHL"/>
    <x v="0"/>
    <s v="High"/>
    <n v="23"/>
    <n v="0"/>
    <n v="23"/>
  </r>
  <r>
    <x v="2"/>
    <s v="SKU_1163"/>
    <n v="98264"/>
    <s v="T-shirt"/>
    <n v="19"/>
    <n v="32.94"/>
    <x v="2"/>
    <n v="0.19"/>
    <s v="Paypal"/>
    <n v="8.5399999999999991"/>
    <x v="0"/>
    <s v="In-store"/>
    <s v="Not Returned"/>
    <s v="DHL"/>
    <x v="2"/>
    <s v="High"/>
    <n v="626"/>
    <n v="119"/>
    <n v="507"/>
  </r>
  <r>
    <x v="2"/>
    <s v="SKU_1303"/>
    <n v="79379"/>
    <s v="Headphones"/>
    <n v="44"/>
    <n v="55.26"/>
    <x v="8"/>
    <n v="0.44"/>
    <s v="Paypal"/>
    <n v="19.690000000000001"/>
    <x v="4"/>
    <s v="In-store"/>
    <s v="Not Returned"/>
    <s v="UPS"/>
    <x v="0"/>
    <s v="High"/>
    <n v="2431"/>
    <n v="1070"/>
    <n v="1361"/>
  </r>
  <r>
    <x v="2"/>
    <s v="SKU_1884"/>
    <n v="25664"/>
    <s v="White Mug"/>
    <n v="25"/>
    <n v="75.5"/>
    <x v="7"/>
    <n v="0.42"/>
    <s v="Paypal"/>
    <n v="15.13"/>
    <x v="3"/>
    <s v="In-store"/>
    <s v="Not Returned"/>
    <s v="Royal Mail"/>
    <x v="1"/>
    <s v="High"/>
    <n v="1888"/>
    <n v="793"/>
    <n v="1095"/>
  </r>
  <r>
    <x v="2"/>
    <s v="SKU_1855"/>
    <n v="54248"/>
    <s v="Notebook"/>
    <n v="30"/>
    <n v="67.510000000000005"/>
    <x v="9"/>
    <n v="0.06"/>
    <s v="Credit Card"/>
    <n v="9.43"/>
    <x v="1"/>
    <s v="Online"/>
    <s v="Not Returned"/>
    <s v="Royal Mail"/>
    <x v="3"/>
    <s v="Low"/>
    <n v="2025"/>
    <n v="122"/>
    <n v="1903"/>
  </r>
  <r>
    <x v="2"/>
    <s v="SKU_1802"/>
    <n v="88442"/>
    <s v="Blue Pen"/>
    <n v="39"/>
    <n v="88.31"/>
    <x v="8"/>
    <n v="0.11"/>
    <s v="Credit Card"/>
    <n v="29.61"/>
    <x v="1"/>
    <s v="Online"/>
    <s v="Not Returned"/>
    <s v="DHL"/>
    <x v="2"/>
    <s v="High"/>
    <n v="3444"/>
    <n v="379"/>
    <n v="3065"/>
  </r>
  <r>
    <x v="2"/>
    <s v="SKU_1848"/>
    <n v="48575"/>
    <s v="Desk Lamp"/>
    <n v="24"/>
    <m/>
    <x v="5"/>
    <n v="0.26"/>
    <s v="Paypal"/>
    <n v="24.88"/>
    <x v="0"/>
    <s v="In-store"/>
    <s v="Not Returned"/>
    <s v="FedEx"/>
    <x v="2"/>
    <s v="Medium"/>
    <n v="1272"/>
    <n v="331"/>
    <n v="941"/>
  </r>
  <r>
    <x v="2"/>
    <s v="SKU_1605"/>
    <n v="95235"/>
    <s v="Wall Clock"/>
    <n v="10"/>
    <n v="23"/>
    <x v="0"/>
    <n v="0.36"/>
    <s v="Credit Card"/>
    <n v="15.01"/>
    <x v="0"/>
    <s v="In-store"/>
    <s v="Not Returned"/>
    <s v="UPS"/>
    <x v="0"/>
    <s v="High"/>
    <n v="230"/>
    <n v="83"/>
    <n v="147"/>
  </r>
  <r>
    <x v="2"/>
    <s v="SKU_1071"/>
    <n v="93319"/>
    <s v="Notebook"/>
    <n v="22"/>
    <n v="25.51"/>
    <x v="1"/>
    <n v="0.41"/>
    <s v="Bank Transfer"/>
    <n v="14.61"/>
    <x v="3"/>
    <s v="In-store"/>
    <s v="Not Returned"/>
    <s v="DHL"/>
    <x v="4"/>
    <s v="Low"/>
    <n v="561"/>
    <n v="230"/>
    <n v="331"/>
  </r>
  <r>
    <x v="2"/>
    <s v="SKU_1937"/>
    <n v="22140"/>
    <s v="Headphones"/>
    <n v="25"/>
    <n v="69.17"/>
    <x v="0"/>
    <n v="0.28000000000000003"/>
    <s v="Paypal"/>
    <n v="27.77"/>
    <x v="3"/>
    <s v="Online"/>
    <s v="Not Returned"/>
    <s v="Royal Mail"/>
    <x v="1"/>
    <s v="Medium"/>
    <n v="1729"/>
    <n v="484"/>
    <n v="1245"/>
  </r>
  <r>
    <x v="2"/>
    <s v="SKU_1969"/>
    <n v="64716"/>
    <s v="Blue Pen"/>
    <n v="24"/>
    <n v="17.09"/>
    <x v="10"/>
    <n v="0.33"/>
    <s v="Paypal"/>
    <n v="10.14"/>
    <x v="3"/>
    <s v="Online"/>
    <s v="Not Returned"/>
    <s v="UPS"/>
    <x v="1"/>
    <s v="Medium"/>
    <n v="410"/>
    <n v="135"/>
    <n v="275"/>
  </r>
  <r>
    <x v="2"/>
    <s v="SKU_1847"/>
    <n v="44880"/>
    <s v="T-shirt"/>
    <n v="33"/>
    <n v="35.74"/>
    <x v="8"/>
    <n v="0.14000000000000001"/>
    <s v="Paypal"/>
    <n v="8.39"/>
    <x v="1"/>
    <s v="Online"/>
    <s v="Not Returned"/>
    <s v="DHL"/>
    <x v="3"/>
    <s v="High"/>
    <n v="1179"/>
    <n v="165"/>
    <n v="1014"/>
  </r>
  <r>
    <x v="2"/>
    <s v="SKU_1805"/>
    <n v="70644"/>
    <s v="Blue Pen"/>
    <n v="32"/>
    <n v="58.11"/>
    <x v="1"/>
    <n v="0.1"/>
    <s v="Paypal"/>
    <n v="14.91"/>
    <x v="0"/>
    <s v="In-store"/>
    <s v="Not Returned"/>
    <s v="UPS"/>
    <x v="4"/>
    <s v="Medium"/>
    <n v="1860"/>
    <n v="186"/>
    <n v="1674"/>
  </r>
  <r>
    <x v="2"/>
    <s v="SKU_1153"/>
    <n v="96877"/>
    <s v="Backpack"/>
    <n v="37"/>
    <n v="20.309999999999999"/>
    <x v="1"/>
    <n v="7.0000000000000007E-2"/>
    <s v="Credit Card"/>
    <n v="29.01"/>
    <x v="2"/>
    <s v="In-store"/>
    <s v="Not Returned"/>
    <s v="UPS"/>
    <x v="2"/>
    <s v="Medium"/>
    <n v="751"/>
    <n v="53"/>
    <n v="698"/>
  </r>
  <r>
    <x v="2"/>
    <s v="SKU_1286"/>
    <n v="98824"/>
    <s v="Wireless Mouse"/>
    <n v="45"/>
    <n v="89.64"/>
    <x v="5"/>
    <n v="0.26"/>
    <s v="Paypal"/>
    <n v="20.82"/>
    <x v="2"/>
    <s v="In-store"/>
    <s v="Not Returned"/>
    <s v="UPS"/>
    <x v="4"/>
    <s v="Low"/>
    <n v="4034"/>
    <n v="1049"/>
    <n v="2985"/>
  </r>
  <r>
    <x v="2"/>
    <s v="SKU_1253"/>
    <n v="73837"/>
    <s v="Backpack"/>
    <n v="14"/>
    <m/>
    <x v="9"/>
    <n v="0.38"/>
    <s v="Paypal"/>
    <n v="26.49"/>
    <x v="1"/>
    <s v="Online"/>
    <s v="Not Returned"/>
    <s v="Royal Mail"/>
    <x v="4"/>
    <s v="Medium"/>
    <n v="742"/>
    <n v="282"/>
    <n v="460"/>
  </r>
  <r>
    <x v="2"/>
    <s v="SKU_1691"/>
    <n v="59939"/>
    <s v="Wireless Mouse"/>
    <n v="39"/>
    <n v="65.16"/>
    <x v="4"/>
    <n v="0.32"/>
    <s v="Paypal"/>
    <n v="22.18"/>
    <x v="1"/>
    <s v="In-store"/>
    <s v="Not Returned"/>
    <s v="FedEx"/>
    <x v="1"/>
    <s v="High"/>
    <n v="2541"/>
    <n v="813"/>
    <n v="17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11">
  <location ref="A3:B8" firstHeaderRow="1" firstDataRow="1" firstDataCol="1"/>
  <pivotFields count="19">
    <pivotField numFmtId="14" showAll="0"/>
    <pivotField showAll="0"/>
    <pivotField showAll="0">
      <items count="996">
        <item x="674"/>
        <item x="560"/>
        <item x="910"/>
        <item x="790"/>
        <item x="699"/>
        <item x="525"/>
        <item x="602"/>
        <item x="11"/>
        <item x="785"/>
        <item x="568"/>
        <item x="593"/>
        <item x="165"/>
        <item x="604"/>
        <item x="835"/>
        <item x="933"/>
        <item x="272"/>
        <item x="254"/>
        <item x="207"/>
        <item x="650"/>
        <item x="381"/>
        <item x="10"/>
        <item x="401"/>
        <item x="361"/>
        <item x="697"/>
        <item x="474"/>
        <item x="847"/>
        <item x="709"/>
        <item x="480"/>
        <item x="240"/>
        <item x="553"/>
        <item x="408"/>
        <item x="314"/>
        <item x="643"/>
        <item x="409"/>
        <item x="166"/>
        <item x="795"/>
        <item x="57"/>
        <item x="101"/>
        <item x="460"/>
        <item x="515"/>
        <item x="65"/>
        <item x="792"/>
        <item x="720"/>
        <item x="394"/>
        <item x="951"/>
        <item x="846"/>
        <item x="321"/>
        <item x="562"/>
        <item x="921"/>
        <item x="123"/>
        <item x="287"/>
        <item x="339"/>
        <item x="107"/>
        <item x="784"/>
        <item x="477"/>
        <item x="167"/>
        <item x="64"/>
        <item x="619"/>
        <item x="922"/>
        <item x="765"/>
        <item x="482"/>
        <item x="180"/>
        <item x="895"/>
        <item x="188"/>
        <item x="748"/>
        <item x="864"/>
        <item x="594"/>
        <item x="158"/>
        <item x="977"/>
        <item x="250"/>
        <item x="415"/>
        <item x="536"/>
        <item x="874"/>
        <item x="827"/>
        <item x="346"/>
        <item x="611"/>
        <item x="609"/>
        <item x="467"/>
        <item x="345"/>
        <item x="897"/>
        <item x="173"/>
        <item x="828"/>
        <item x="388"/>
        <item x="606"/>
        <item x="834"/>
        <item x="589"/>
        <item x="870"/>
        <item x="43"/>
        <item x="522"/>
        <item x="658"/>
        <item x="340"/>
        <item x="734"/>
        <item x="387"/>
        <item x="532"/>
        <item x="939"/>
        <item x="413"/>
        <item x="400"/>
        <item x="330"/>
        <item x="479"/>
        <item x="928"/>
        <item x="309"/>
        <item x="907"/>
        <item x="286"/>
        <item x="62"/>
        <item x="96"/>
        <item x="871"/>
        <item x="384"/>
        <item x="431"/>
        <item x="390"/>
        <item x="228"/>
        <item x="575"/>
        <item x="366"/>
        <item x="299"/>
        <item x="85"/>
        <item x="266"/>
        <item x="521"/>
        <item x="518"/>
        <item x="496"/>
        <item x="885"/>
        <item x="729"/>
        <item x="706"/>
        <item x="573"/>
        <item x="635"/>
        <item x="737"/>
        <item x="125"/>
        <item x="386"/>
        <item x="931"/>
        <item x="259"/>
        <item x="903"/>
        <item x="494"/>
        <item x="868"/>
        <item x="603"/>
        <item x="767"/>
        <item x="133"/>
        <item x="217"/>
        <item x="817"/>
        <item x="808"/>
        <item x="23"/>
        <item x="579"/>
        <item x="745"/>
        <item x="665"/>
        <item x="952"/>
        <item x="355"/>
        <item x="222"/>
        <item x="363"/>
        <item x="958"/>
        <item x="80"/>
        <item x="52"/>
        <item x="423"/>
        <item x="818"/>
        <item x="664"/>
        <item x="738"/>
        <item x="54"/>
        <item x="197"/>
        <item x="211"/>
        <item x="862"/>
        <item x="612"/>
        <item x="425"/>
        <item x="484"/>
        <item x="774"/>
        <item x="732"/>
        <item x="692"/>
        <item x="379"/>
        <item x="888"/>
        <item x="915"/>
        <item x="736"/>
        <item x="443"/>
        <item x="142"/>
        <item x="890"/>
        <item x="569"/>
        <item x="530"/>
        <item x="557"/>
        <item x="599"/>
        <item x="901"/>
        <item x="219"/>
        <item x="362"/>
        <item x="755"/>
        <item x="102"/>
        <item x="56"/>
        <item x="17"/>
        <item x="241"/>
        <item x="726"/>
        <item x="320"/>
        <item x="349"/>
        <item x="566"/>
        <item x="99"/>
        <item x="967"/>
        <item x="150"/>
        <item x="592"/>
        <item x="962"/>
        <item x="181"/>
        <item x="459"/>
        <item x="932"/>
        <item x="160"/>
        <item x="378"/>
        <item x="759"/>
        <item x="136"/>
        <item x="292"/>
        <item x="88"/>
        <item x="544"/>
        <item x="517"/>
        <item x="13"/>
        <item x="225"/>
        <item x="446"/>
        <item x="766"/>
        <item x="176"/>
        <item x="728"/>
        <item x="580"/>
        <item x="583"/>
        <item x="523"/>
        <item x="198"/>
        <item x="950"/>
        <item x="616"/>
        <item x="265"/>
        <item x="434"/>
        <item x="50"/>
        <item x="966"/>
        <item x="129"/>
        <item x="373"/>
        <item x="74"/>
        <item x="899"/>
        <item x="570"/>
        <item x="126"/>
        <item x="48"/>
        <item x="476"/>
        <item x="941"/>
        <item x="294"/>
        <item x="36"/>
        <item x="273"/>
        <item x="690"/>
        <item x="949"/>
        <item x="938"/>
        <item x="218"/>
        <item x="545"/>
        <item x="414"/>
        <item x="139"/>
        <item x="701"/>
        <item x="450"/>
        <item x="490"/>
        <item x="614"/>
        <item x="556"/>
        <item x="403"/>
        <item x="350"/>
        <item x="794"/>
        <item x="669"/>
        <item x="561"/>
        <item x="550"/>
        <item x="8"/>
        <item x="182"/>
        <item x="787"/>
        <item x="407"/>
        <item x="264"/>
        <item x="213"/>
        <item x="802"/>
        <item x="810"/>
        <item x="332"/>
        <item x="857"/>
        <item x="117"/>
        <item x="887"/>
        <item x="648"/>
        <item x="672"/>
        <item x="884"/>
        <item x="742"/>
        <item x="481"/>
        <item x="58"/>
        <item x="754"/>
        <item x="95"/>
        <item x="338"/>
        <item x="963"/>
        <item x="565"/>
        <item x="620"/>
        <item x="223"/>
        <item x="946"/>
        <item x="31"/>
        <item x="934"/>
        <item x="84"/>
        <item x="291"/>
        <item x="39"/>
        <item x="333"/>
        <item x="135"/>
        <item x="764"/>
        <item x="703"/>
        <item x="262"/>
        <item x="959"/>
        <item x="955"/>
        <item x="712"/>
        <item x="383"/>
        <item x="763"/>
        <item x="799"/>
        <item x="841"/>
        <item x="498"/>
        <item x="91"/>
        <item x="591"/>
        <item x="978"/>
        <item x="833"/>
        <item x="590"/>
        <item x="926"/>
        <item x="538"/>
        <item x="714"/>
        <item x="444"/>
        <item x="127"/>
        <item x="312"/>
        <item x="426"/>
        <item x="245"/>
        <item x="574"/>
        <item x="990"/>
        <item x="704"/>
        <item x="238"/>
        <item x="812"/>
        <item x="46"/>
        <item x="325"/>
        <item x="985"/>
        <item x="541"/>
        <item x="779"/>
        <item x="631"/>
        <item x="832"/>
        <item x="412"/>
        <item x="529"/>
        <item x="716"/>
        <item x="718"/>
        <item x="813"/>
        <item x="700"/>
        <item x="626"/>
        <item x="456"/>
        <item x="468"/>
        <item x="190"/>
        <item x="762"/>
        <item x="548"/>
        <item x="507"/>
        <item x="38"/>
        <item x="411"/>
        <item x="717"/>
        <item x="607"/>
        <item x="761"/>
        <item x="753"/>
        <item x="919"/>
        <item x="686"/>
        <item x="112"/>
        <item x="186"/>
        <item x="419"/>
        <item x="248"/>
        <item x="743"/>
        <item x="277"/>
        <item x="535"/>
        <item x="863"/>
        <item x="1"/>
        <item x="882"/>
        <item x="322"/>
        <item x="208"/>
        <item x="367"/>
        <item x="945"/>
        <item x="803"/>
        <item x="483"/>
        <item x="727"/>
        <item x="891"/>
        <item x="961"/>
        <item x="526"/>
        <item x="464"/>
        <item x="671"/>
        <item x="555"/>
        <item x="343"/>
        <item x="710"/>
        <item x="651"/>
        <item x="143"/>
        <item x="514"/>
        <item x="172"/>
        <item x="540"/>
        <item x="364"/>
        <item x="377"/>
        <item x="47"/>
        <item x="659"/>
        <item x="866"/>
        <item x="608"/>
        <item x="715"/>
        <item x="713"/>
        <item x="984"/>
        <item x="276"/>
        <item x="707"/>
        <item x="775"/>
        <item x="513"/>
        <item x="25"/>
        <item x="877"/>
        <item x="478"/>
        <item x="554"/>
        <item x="229"/>
        <item x="138"/>
        <item x="164"/>
        <item x="416"/>
        <item x="943"/>
        <item x="83"/>
        <item x="776"/>
        <item x="733"/>
        <item x="689"/>
        <item x="773"/>
        <item x="295"/>
        <item x="237"/>
        <item x="61"/>
        <item x="660"/>
        <item x="397"/>
        <item x="205"/>
        <item x="308"/>
        <item x="825"/>
        <item x="811"/>
        <item x="806"/>
        <item x="499"/>
        <item x="855"/>
        <item x="192"/>
        <item x="380"/>
        <item x="872"/>
        <item x="601"/>
        <item x="395"/>
        <item x="655"/>
        <item x="964"/>
        <item x="195"/>
        <item x="462"/>
        <item x="512"/>
        <item x="315"/>
        <item x="14"/>
        <item x="359"/>
        <item x="968"/>
        <item x="162"/>
        <item x="842"/>
        <item x="140"/>
        <item x="200"/>
        <item x="757"/>
        <item x="821"/>
        <item x="5"/>
        <item x="281"/>
        <item x="881"/>
        <item x="20"/>
        <item x="336"/>
        <item x="495"/>
        <item x="257"/>
        <item x="693"/>
        <item x="610"/>
        <item x="505"/>
        <item x="153"/>
        <item x="51"/>
        <item x="121"/>
        <item x="519"/>
        <item x="730"/>
        <item x="681"/>
        <item x="492"/>
        <item x="141"/>
        <item x="838"/>
        <item x="42"/>
        <item x="987"/>
        <item x="191"/>
        <item x="889"/>
        <item x="300"/>
        <item x="369"/>
        <item x="854"/>
        <item x="582"/>
        <item x="178"/>
        <item x="169"/>
        <item x="458"/>
        <item x="679"/>
        <item x="965"/>
        <item x="848"/>
        <item x="489"/>
        <item x="979"/>
        <item x="466"/>
        <item x="853"/>
        <item x="644"/>
        <item x="948"/>
        <item x="913"/>
        <item x="778"/>
        <item x="255"/>
        <item x="470"/>
        <item x="815"/>
        <item x="163"/>
        <item x="432"/>
        <item x="777"/>
        <item x="231"/>
        <item x="168"/>
        <item x="405"/>
        <item x="673"/>
        <item x="925"/>
        <item x="581"/>
        <item x="398"/>
        <item x="410"/>
        <item x="876"/>
        <item x="844"/>
        <item x="746"/>
        <item x="33"/>
        <item x="883"/>
        <item x="348"/>
        <item x="528"/>
        <item x="953"/>
        <item x="886"/>
        <item x="100"/>
        <item x="18"/>
        <item x="879"/>
        <item x="55"/>
        <item x="908"/>
        <item x="119"/>
        <item x="473"/>
        <item x="306"/>
        <item x="105"/>
        <item x="201"/>
        <item x="914"/>
        <item x="781"/>
        <item x="576"/>
        <item x="935"/>
        <item x="636"/>
        <item x="850"/>
        <item x="585"/>
        <item x="493"/>
        <item x="212"/>
        <item x="900"/>
        <item x="694"/>
        <item x="696"/>
        <item x="652"/>
        <item x="860"/>
        <item x="623"/>
        <item x="786"/>
        <item x="595"/>
        <item x="988"/>
        <item x="992"/>
        <item x="185"/>
        <item x="688"/>
        <item x="839"/>
        <item x="183"/>
        <item x="531"/>
        <item x="280"/>
        <item x="840"/>
        <item x="805"/>
        <item x="749"/>
        <item x="533"/>
        <item x="313"/>
        <item x="41"/>
        <item x="251"/>
        <item x="371"/>
        <item x="567"/>
        <item x="89"/>
        <item x="337"/>
        <item x="823"/>
        <item x="316"/>
        <item x="12"/>
        <item x="7"/>
        <item x="617"/>
        <item x="285"/>
        <item x="114"/>
        <item x="82"/>
        <item x="239"/>
        <item x="471"/>
        <item x="640"/>
        <item x="270"/>
        <item x="210"/>
        <item x="969"/>
        <item x="788"/>
        <item x="260"/>
        <item x="740"/>
        <item x="586"/>
        <item x="236"/>
        <item x="663"/>
        <item x="916"/>
        <item x="747"/>
        <item x="584"/>
        <item x="667"/>
        <item x="668"/>
        <item x="391"/>
        <item x="572"/>
        <item x="771"/>
        <item x="234"/>
        <item x="30"/>
        <item x="326"/>
        <item x="220"/>
        <item x="193"/>
        <item x="956"/>
        <item x="399"/>
        <item x="449"/>
        <item x="34"/>
        <item x="437"/>
        <item x="892"/>
        <item x="203"/>
        <item x="253"/>
        <item x="175"/>
        <item x="75"/>
        <item x="424"/>
        <item x="324"/>
        <item x="303"/>
        <item x="861"/>
        <item x="677"/>
        <item x="772"/>
        <item x="282"/>
        <item x="571"/>
        <item x="547"/>
        <item x="288"/>
        <item x="269"/>
        <item x="131"/>
        <item x="233"/>
        <item x="448"/>
        <item x="942"/>
        <item x="856"/>
        <item x="682"/>
        <item x="741"/>
        <item x="680"/>
        <item x="657"/>
        <item x="90"/>
        <item x="232"/>
        <item x="455"/>
        <item x="37"/>
        <item x="816"/>
        <item x="24"/>
        <item x="924"/>
        <item x="70"/>
        <item x="797"/>
        <item x="758"/>
        <item x="991"/>
        <item x="974"/>
        <item x="824"/>
        <item x="353"/>
        <item x="226"/>
        <item x="904"/>
        <item x="298"/>
        <item x="261"/>
        <item x="78"/>
        <item x="683"/>
        <item x="937"/>
        <item x="335"/>
        <item x="461"/>
        <item x="504"/>
        <item x="68"/>
        <item x="735"/>
        <item x="375"/>
        <item x="801"/>
        <item x="843"/>
        <item x="936"/>
        <item x="284"/>
        <item x="6"/>
        <item x="814"/>
        <item x="128"/>
        <item x="79"/>
        <item x="296"/>
        <item x="402"/>
        <item x="174"/>
        <item x="627"/>
        <item x="323"/>
        <item x="145"/>
        <item x="878"/>
        <item x="2"/>
        <item x="793"/>
        <item x="768"/>
        <item x="149"/>
        <item x="301"/>
        <item x="721"/>
        <item x="113"/>
        <item x="983"/>
        <item x="278"/>
        <item x="32"/>
        <item x="289"/>
        <item x="124"/>
        <item x="852"/>
        <item x="488"/>
        <item x="656"/>
        <item x="954"/>
        <item x="873"/>
        <item x="360"/>
        <item x="970"/>
        <item x="106"/>
        <item x="9"/>
        <item x="302"/>
        <item x="597"/>
        <item x="678"/>
        <item x="436"/>
        <item x="630"/>
        <item x="209"/>
        <item x="918"/>
        <item x="638"/>
        <item x="26"/>
        <item x="347"/>
        <item x="598"/>
        <item x="73"/>
        <item x="986"/>
        <item x="433"/>
        <item x="475"/>
        <item x="960"/>
        <item x="438"/>
        <item x="520"/>
        <item x="849"/>
        <item x="869"/>
        <item x="44"/>
        <item x="319"/>
        <item x="157"/>
        <item x="189"/>
        <item x="826"/>
        <item x="76"/>
        <item x="662"/>
        <item x="170"/>
        <item x="472"/>
        <item x="327"/>
        <item x="242"/>
        <item x="60"/>
        <item x="647"/>
        <item x="618"/>
        <item x="98"/>
        <item x="702"/>
        <item x="224"/>
        <item x="508"/>
        <item x="633"/>
        <item x="341"/>
        <item x="770"/>
        <item x="845"/>
        <item x="53"/>
        <item x="501"/>
        <item x="374"/>
        <item x="675"/>
        <item x="187"/>
        <item x="637"/>
        <item x="632"/>
        <item x="404"/>
        <item x="534"/>
        <item x="486"/>
        <item x="392"/>
        <item x="246"/>
        <item x="92"/>
        <item x="859"/>
        <item x="577"/>
        <item x="263"/>
        <item x="552"/>
        <item x="719"/>
        <item x="29"/>
        <item x="551"/>
        <item x="791"/>
        <item x="441"/>
        <item x="909"/>
        <item x="917"/>
        <item x="629"/>
        <item x="807"/>
        <item x="723"/>
        <item x="451"/>
        <item x="454"/>
        <item x="206"/>
        <item x="196"/>
        <item x="275"/>
        <item x="898"/>
        <item x="867"/>
        <item x="752"/>
        <item x="506"/>
        <item x="357"/>
        <item x="510"/>
        <item x="152"/>
        <item x="148"/>
        <item x="256"/>
        <item x="750"/>
        <item x="318"/>
        <item x="171"/>
        <item x="304"/>
        <item x="385"/>
        <item x="957"/>
        <item x="382"/>
        <item x="789"/>
        <item x="243"/>
        <item x="334"/>
        <item x="40"/>
        <item x="559"/>
        <item x="279"/>
        <item x="283"/>
        <item x="328"/>
        <item x="258"/>
        <item x="930"/>
        <item x="317"/>
        <item x="923"/>
        <item x="722"/>
        <item x="976"/>
        <item x="342"/>
        <item x="980"/>
        <item x="469"/>
        <item x="684"/>
        <item x="642"/>
        <item x="661"/>
        <item x="109"/>
        <item x="912"/>
        <item x="502"/>
        <item x="199"/>
        <item x="214"/>
        <item x="45"/>
        <item x="16"/>
        <item x="524"/>
        <item x="247"/>
        <item x="430"/>
        <item x="800"/>
        <item x="453"/>
        <item x="297"/>
        <item x="653"/>
        <item x="49"/>
        <item x="305"/>
        <item x="975"/>
        <item x="940"/>
        <item x="63"/>
        <item x="35"/>
        <item x="564"/>
        <item x="822"/>
        <item x="271"/>
        <item x="389"/>
        <item x="365"/>
        <item x="427"/>
        <item x="497"/>
        <item x="67"/>
        <item x="649"/>
        <item x="927"/>
        <item x="179"/>
        <item x="457"/>
        <item x="155"/>
        <item x="235"/>
        <item x="376"/>
        <item x="268"/>
        <item x="993"/>
        <item x="796"/>
        <item x="972"/>
        <item x="893"/>
        <item x="628"/>
        <item x="358"/>
        <item x="87"/>
        <item x="981"/>
        <item x="104"/>
        <item x="344"/>
        <item x="676"/>
        <item x="587"/>
        <item x="837"/>
        <item x="782"/>
        <item x="819"/>
        <item x="77"/>
        <item x="539"/>
        <item x="370"/>
        <item x="537"/>
        <item x="230"/>
        <item x="111"/>
        <item x="4"/>
        <item x="739"/>
        <item x="695"/>
        <item x="368"/>
        <item x="134"/>
        <item x="549"/>
        <item x="929"/>
        <item x="691"/>
        <item x="994"/>
        <item x="356"/>
        <item x="184"/>
        <item x="487"/>
        <item x="588"/>
        <item x="982"/>
        <item x="605"/>
        <item x="417"/>
        <item x="120"/>
        <item x="310"/>
        <item x="756"/>
        <item x="252"/>
        <item x="420"/>
        <item x="902"/>
        <item x="666"/>
        <item x="798"/>
        <item x="439"/>
        <item x="351"/>
        <item x="215"/>
        <item x="94"/>
        <item x="406"/>
        <item x="875"/>
        <item x="447"/>
        <item x="698"/>
        <item x="783"/>
        <item x="905"/>
        <item x="440"/>
        <item x="69"/>
        <item x="249"/>
        <item x="865"/>
        <item x="724"/>
        <item x="19"/>
        <item x="159"/>
        <item x="156"/>
        <item x="731"/>
        <item x="463"/>
        <item x="711"/>
        <item x="442"/>
        <item x="896"/>
        <item x="435"/>
        <item x="645"/>
        <item x="81"/>
        <item x="194"/>
        <item x="829"/>
        <item x="621"/>
        <item x="615"/>
        <item x="500"/>
        <item x="527"/>
        <item x="154"/>
        <item x="204"/>
        <item x="751"/>
        <item x="769"/>
        <item x="639"/>
        <item x="418"/>
        <item x="944"/>
        <item x="59"/>
        <item x="708"/>
        <item x="511"/>
        <item x="906"/>
        <item x="0"/>
        <item x="132"/>
        <item x="428"/>
        <item x="329"/>
        <item x="622"/>
        <item x="744"/>
        <item x="596"/>
        <item x="836"/>
        <item x="654"/>
        <item x="809"/>
        <item x="989"/>
        <item x="3"/>
        <item x="267"/>
        <item x="421"/>
        <item x="244"/>
        <item x="147"/>
        <item x="103"/>
        <item x="543"/>
        <item x="911"/>
        <item x="429"/>
        <item x="947"/>
        <item x="546"/>
        <item x="115"/>
        <item x="290"/>
        <item x="491"/>
        <item x="22"/>
        <item x="354"/>
        <item x="634"/>
        <item x="130"/>
        <item x="625"/>
        <item x="971"/>
        <item x="445"/>
        <item x="646"/>
        <item x="880"/>
        <item x="670"/>
        <item x="71"/>
        <item x="920"/>
        <item x="705"/>
        <item x="86"/>
        <item x="685"/>
        <item x="202"/>
        <item x="396"/>
        <item x="851"/>
        <item x="331"/>
        <item x="558"/>
        <item x="485"/>
        <item x="452"/>
        <item x="563"/>
        <item x="97"/>
        <item x="820"/>
        <item x="227"/>
        <item x="516"/>
        <item x="613"/>
        <item x="108"/>
        <item x="21"/>
        <item x="221"/>
        <item x="307"/>
        <item x="144"/>
        <item x="177"/>
        <item x="161"/>
        <item x="93"/>
        <item x="858"/>
        <item x="973"/>
        <item x="422"/>
        <item x="146"/>
        <item x="393"/>
        <item x="542"/>
        <item x="27"/>
        <item x="760"/>
        <item x="725"/>
        <item x="830"/>
        <item x="311"/>
        <item x="137"/>
        <item x="216"/>
        <item x="641"/>
        <item x="15"/>
        <item x="110"/>
        <item x="831"/>
        <item x="578"/>
        <item x="122"/>
        <item x="894"/>
        <item x="28"/>
        <item x="274"/>
        <item x="804"/>
        <item x="465"/>
        <item x="66"/>
        <item x="509"/>
        <item x="72"/>
        <item x="687"/>
        <item x="116"/>
        <item x="118"/>
        <item x="151"/>
        <item x="600"/>
        <item x="624"/>
        <item x="293"/>
        <item x="372"/>
        <item x="780"/>
        <item x="503"/>
        <item x="352"/>
        <item t="default"/>
      </items>
    </pivotField>
    <pivotField showAll="0"/>
    <pivotField showAll="0"/>
    <pivotField showAll="0"/>
    <pivotField showAll="0">
      <items count="13">
        <item x="4"/>
        <item x="11"/>
        <item x="7"/>
        <item x="6"/>
        <item x="8"/>
        <item x="0"/>
        <item x="10"/>
        <item x="1"/>
        <item x="3"/>
        <item x="5"/>
        <item x="9"/>
        <item x="2"/>
        <item t="default"/>
      </items>
    </pivotField>
    <pivotField numFmtId="9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NetSales " fld="18" baseField="0" baseItem="0"/>
  </dataFields>
  <chartFormats count="2"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14">
  <location ref="A3:D8" firstHeaderRow="0" firstDataRow="1" firstDataCol="1"/>
  <pivotFields count="19">
    <pivotField numFmtId="14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Sales " fld="18" baseField="0" baseItem="0"/>
    <dataField name="Sum of Gross Sales" fld="16" baseField="0" baseItem="0"/>
    <dataField name="Sum of DiscountAmount" fld="17" baseField="0" baseItem="0"/>
  </dataFields>
  <chartFormats count="2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2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B1000" totalsRowShown="0">
  <tableColumns count="2">
    <tableColumn id="1" name="Quantity"/>
    <tableColumn id="2" name="Proper Quantity" dataDxfId="2">
      <calculatedColumnFormula>IF(A2="",ROUNDUP(AVERAGE($A$2:$A$1000),0),A2)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G1000" totalsRowShown="0">
  <tableColumns count="2">
    <tableColumn id="1" name="UnitPrice"/>
    <tableColumn id="2" name="Proper Unit Price">
      <calculatedColumnFormula>IF(F2="",ROUNDUP(AVERAGE($F$2:$F$1000),0),F2)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J1:K1000" totalsRowShown="0">
  <autoFilter ref="J1:K1000"/>
  <tableColumns count="2">
    <tableColumn id="1" name="ReturnStatus"/>
    <tableColumn id="2" name="Proper Return Status">
      <calculatedColumnFormula>IF(J2="","Unknown",J2)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N1:O1000" totalsRowShown="0">
  <autoFilter ref="N1:O1000"/>
  <tableColumns count="2">
    <tableColumn id="1" name="OrderPriority"/>
    <tableColumn id="2" name="Proper Order Priority">
      <calculatedColumnFormula>IF(N2="",INDEX({"Low","Medium","High"},MATCH(MAX(COUNTIF($N$2:$N$1000,{"Low","Medium","High"})),COUNTIF($N$2:$N$1000,{"Low","Medium","High"}),0)),N2)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C4:D1003" totalsRowShown="0">
  <autoFilter ref="C4:D1003"/>
  <tableColumns count="2">
    <tableColumn id="1" name="Category"/>
    <tableColumn id="2" name="Proper Category">
      <calculatedColumnFormula>PROPER(C5)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I4:J1003" totalsRowShown="0">
  <autoFilter ref="I4:J1003"/>
  <tableColumns count="2">
    <tableColumn id="1" name="WarehouseLocation"/>
    <tableColumn id="2" name="Proper Warehouse Location">
      <calculatedColumnFormula>PROPER(I5)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N4:O1003" totalsRowShown="0">
  <autoFilter ref="N4:O1003"/>
  <tableColumns count="2">
    <tableColumn id="1" name="PaymentMethod"/>
    <tableColumn id="2" name="Payment Method">
      <calculatedColumnFormula>IF(N5="paypall","Paypal",N5)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1000" totalsRowShown="0">
  <autoFilter ref="A1:C1000"/>
  <tableColumns count="3">
    <tableColumn id="1" name="Proper Quantity"/>
    <tableColumn id="2" name="Proper Unit Price"/>
    <tableColumn id="3" name="Gross Sales">
      <calculatedColumnFormula>A2*B2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H1:K1000" totalsRowShown="0">
  <autoFilter ref="H1:K1000"/>
  <tableColumns count="4">
    <tableColumn id="1" name="Proper Quantity"/>
    <tableColumn id="2" name="Proper Unit Price"/>
    <tableColumn id="3" name="Discount" dataDxfId="1" dataCellStyle="Percent"/>
    <tableColumn id="4" name="DiscountAmount">
      <calculatedColumnFormula>H2*I2*J2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N1:P1000" totalsRowShown="0">
  <autoFilter ref="N1:P1000"/>
  <tableColumns count="3">
    <tableColumn id="1" name="Gross Sales"/>
    <tableColumn id="2" name="DiscountAmount"/>
    <tableColumn id="3" name="NetSales " dataDxfId="0">
      <calculatedColumnFormula>N2-O2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J6" sqref="J6"/>
    </sheetView>
  </sheetViews>
  <sheetFormatPr defaultRowHeight="15" x14ac:dyDescent="0.25"/>
  <cols>
    <col min="1" max="1" width="13.28515625" customWidth="1"/>
    <col min="2" max="2" width="13.42578125" customWidth="1"/>
    <col min="3" max="3" width="11.85546875" customWidth="1"/>
    <col min="4" max="4" width="14.140625" customWidth="1"/>
    <col min="5" max="5" width="13.42578125" customWidth="1"/>
    <col min="6" max="6" width="14.5703125" customWidth="1"/>
    <col min="7" max="7" width="14.85546875" customWidth="1"/>
    <col min="8" max="8" width="11.140625" customWidth="1"/>
    <col min="9" max="9" width="20" customWidth="1"/>
    <col min="10" max="10" width="14.42578125" customWidth="1"/>
    <col min="11" max="11" width="14.85546875" customWidth="1"/>
    <col min="13" max="13" width="15.7109375" customWidth="1"/>
    <col min="14" max="14" width="21" customWidth="1"/>
    <col min="15" max="15" width="17.28515625" customWidth="1"/>
    <col min="16" max="16" width="22.28515625" customWidth="1"/>
    <col min="17" max="17" width="12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45658</v>
      </c>
      <c r="B2" t="s">
        <v>16</v>
      </c>
      <c r="C2">
        <v>91428</v>
      </c>
      <c r="D2" t="s">
        <v>17</v>
      </c>
      <c r="E2">
        <v>33</v>
      </c>
      <c r="F2">
        <v>85.88</v>
      </c>
      <c r="G2" t="s">
        <v>18</v>
      </c>
      <c r="H2">
        <v>0.05</v>
      </c>
      <c r="I2" t="s">
        <v>19</v>
      </c>
      <c r="J2">
        <v>11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s="1">
        <v>45658</v>
      </c>
      <c r="B3" t="s">
        <v>26</v>
      </c>
      <c r="C3">
        <v>41508</v>
      </c>
      <c r="D3" t="s">
        <v>27</v>
      </c>
      <c r="E3">
        <v>47</v>
      </c>
      <c r="F3">
        <v>75.47</v>
      </c>
      <c r="G3" t="s">
        <v>28</v>
      </c>
      <c r="H3">
        <v>0.28000000000000003</v>
      </c>
      <c r="I3" t="s">
        <v>29</v>
      </c>
      <c r="J3">
        <v>14.92</v>
      </c>
      <c r="K3" t="s">
        <v>30</v>
      </c>
      <c r="L3" t="s">
        <v>31</v>
      </c>
      <c r="M3" t="s">
        <v>22</v>
      </c>
      <c r="N3" t="s">
        <v>32</v>
      </c>
      <c r="O3" t="s">
        <v>723</v>
      </c>
      <c r="P3" t="s">
        <v>34</v>
      </c>
    </row>
    <row r="4" spans="1:16" x14ac:dyDescent="0.25">
      <c r="A4" s="1">
        <v>45658</v>
      </c>
      <c r="B4" t="s">
        <v>35</v>
      </c>
      <c r="C4">
        <v>68247</v>
      </c>
      <c r="D4" t="s">
        <v>17</v>
      </c>
      <c r="E4">
        <v>18</v>
      </c>
      <c r="F4">
        <v>67.849999999999994</v>
      </c>
      <c r="G4" t="s">
        <v>36</v>
      </c>
      <c r="H4">
        <v>0.36</v>
      </c>
      <c r="I4" t="s">
        <v>29</v>
      </c>
      <c r="J4">
        <v>16.41</v>
      </c>
      <c r="K4" t="s">
        <v>37</v>
      </c>
      <c r="L4" t="s">
        <v>21</v>
      </c>
      <c r="M4" t="s">
        <v>22</v>
      </c>
      <c r="N4" t="s">
        <v>38</v>
      </c>
      <c r="O4" t="s">
        <v>39</v>
      </c>
    </row>
    <row r="5" spans="1:16" x14ac:dyDescent="0.25">
      <c r="A5" s="1">
        <v>45658</v>
      </c>
      <c r="B5" t="s">
        <v>41</v>
      </c>
      <c r="C5">
        <v>92584</v>
      </c>
      <c r="D5" t="s">
        <v>42</v>
      </c>
      <c r="E5">
        <v>45</v>
      </c>
      <c r="F5">
        <v>98.3</v>
      </c>
      <c r="G5" t="s">
        <v>43</v>
      </c>
      <c r="H5">
        <v>0.06</v>
      </c>
      <c r="I5" t="s">
        <v>29</v>
      </c>
      <c r="J5">
        <v>25.36</v>
      </c>
      <c r="K5" t="s">
        <v>44</v>
      </c>
      <c r="L5" t="s">
        <v>31</v>
      </c>
      <c r="M5" t="s">
        <v>22</v>
      </c>
      <c r="N5" t="s">
        <v>32</v>
      </c>
      <c r="O5" t="s">
        <v>24</v>
      </c>
      <c r="P5" t="s">
        <v>34</v>
      </c>
    </row>
    <row r="6" spans="1:16" x14ac:dyDescent="0.25">
      <c r="A6" s="1">
        <v>45659</v>
      </c>
      <c r="B6" t="s">
        <v>45</v>
      </c>
      <c r="C6">
        <v>84531</v>
      </c>
      <c r="D6" t="s">
        <v>46</v>
      </c>
      <c r="E6">
        <v>23</v>
      </c>
      <c r="F6">
        <v>14.19</v>
      </c>
      <c r="G6" t="s">
        <v>47</v>
      </c>
      <c r="H6">
        <v>0.35</v>
      </c>
      <c r="I6" t="s">
        <v>29</v>
      </c>
      <c r="J6">
        <v>27.15</v>
      </c>
      <c r="K6" t="s">
        <v>44</v>
      </c>
      <c r="L6" t="s">
        <v>31</v>
      </c>
      <c r="M6" t="s">
        <v>22</v>
      </c>
      <c r="N6" t="s">
        <v>32</v>
      </c>
      <c r="O6" t="s">
        <v>24</v>
      </c>
      <c r="P6" t="s">
        <v>40</v>
      </c>
    </row>
    <row r="7" spans="1:16" x14ac:dyDescent="0.25">
      <c r="A7" s="1">
        <v>45659</v>
      </c>
      <c r="B7" t="s">
        <v>48</v>
      </c>
      <c r="C7">
        <v>48304</v>
      </c>
      <c r="D7" t="s">
        <v>49</v>
      </c>
      <c r="E7">
        <v>47</v>
      </c>
      <c r="F7">
        <v>36.71</v>
      </c>
      <c r="G7" t="s">
        <v>36</v>
      </c>
      <c r="H7">
        <v>0.37</v>
      </c>
      <c r="I7" t="s">
        <v>29</v>
      </c>
      <c r="J7">
        <v>29.11</v>
      </c>
      <c r="K7" t="s">
        <v>50</v>
      </c>
      <c r="L7" t="s">
        <v>31</v>
      </c>
      <c r="M7" t="s">
        <v>22</v>
      </c>
      <c r="N7" t="s">
        <v>23</v>
      </c>
      <c r="O7" t="s">
        <v>39</v>
      </c>
      <c r="P7" t="s">
        <v>40</v>
      </c>
    </row>
    <row r="8" spans="1:16" x14ac:dyDescent="0.25">
      <c r="A8" s="1">
        <v>45659</v>
      </c>
      <c r="B8" t="s">
        <v>51</v>
      </c>
      <c r="C8">
        <v>67068</v>
      </c>
      <c r="D8" t="s">
        <v>42</v>
      </c>
      <c r="E8">
        <v>33</v>
      </c>
      <c r="F8">
        <v>70.69</v>
      </c>
      <c r="G8" t="s">
        <v>52</v>
      </c>
      <c r="H8">
        <v>0.41</v>
      </c>
      <c r="I8" t="s">
        <v>29</v>
      </c>
      <c r="J8">
        <v>29.36</v>
      </c>
      <c r="K8" t="s">
        <v>20</v>
      </c>
      <c r="L8" t="s">
        <v>21</v>
      </c>
      <c r="M8" t="s">
        <v>22</v>
      </c>
      <c r="N8" t="s">
        <v>53</v>
      </c>
      <c r="O8" t="s">
        <v>33</v>
      </c>
      <c r="P8" t="s">
        <v>25</v>
      </c>
    </row>
    <row r="9" spans="1:16" x14ac:dyDescent="0.25">
      <c r="A9" s="1">
        <v>45659</v>
      </c>
      <c r="B9" t="s">
        <v>54</v>
      </c>
      <c r="C9">
        <v>57761</v>
      </c>
      <c r="D9" t="s">
        <v>42</v>
      </c>
      <c r="E9">
        <v>23</v>
      </c>
      <c r="F9">
        <v>28.54</v>
      </c>
      <c r="G9" t="s">
        <v>55</v>
      </c>
      <c r="H9">
        <v>0.02</v>
      </c>
      <c r="I9" t="s">
        <v>19</v>
      </c>
      <c r="J9">
        <v>19.82</v>
      </c>
      <c r="K9" t="s">
        <v>37</v>
      </c>
      <c r="L9" t="s">
        <v>21</v>
      </c>
      <c r="M9" t="s">
        <v>22</v>
      </c>
      <c r="N9" t="s">
        <v>38</v>
      </c>
      <c r="O9" t="s">
        <v>24</v>
      </c>
      <c r="P9" t="s">
        <v>34</v>
      </c>
    </row>
    <row r="10" spans="1:16" x14ac:dyDescent="0.25">
      <c r="A10" s="1">
        <v>45659</v>
      </c>
      <c r="B10" t="s">
        <v>56</v>
      </c>
      <c r="C10">
        <v>31295</v>
      </c>
      <c r="D10" t="s">
        <v>57</v>
      </c>
      <c r="E10">
        <v>21</v>
      </c>
      <c r="F10">
        <v>28.96</v>
      </c>
      <c r="G10" t="s">
        <v>58</v>
      </c>
      <c r="H10">
        <v>0.18</v>
      </c>
      <c r="I10" t="s">
        <v>19</v>
      </c>
      <c r="J10">
        <v>13.81</v>
      </c>
      <c r="K10" t="s">
        <v>37</v>
      </c>
      <c r="L10" t="s">
        <v>21</v>
      </c>
      <c r="M10" t="s">
        <v>22</v>
      </c>
      <c r="N10" t="s">
        <v>32</v>
      </c>
      <c r="O10" t="s">
        <v>59</v>
      </c>
      <c r="P10" t="s">
        <v>40</v>
      </c>
    </row>
    <row r="11" spans="1:16" x14ac:dyDescent="0.25">
      <c r="A11" s="1">
        <v>45659</v>
      </c>
      <c r="B11" t="s">
        <v>60</v>
      </c>
      <c r="C11">
        <v>69770</v>
      </c>
      <c r="D11" t="s">
        <v>57</v>
      </c>
      <c r="E11">
        <v>10</v>
      </c>
      <c r="F11">
        <v>24.81</v>
      </c>
      <c r="G11" t="s">
        <v>52</v>
      </c>
      <c r="H11">
        <v>0.38</v>
      </c>
      <c r="I11" t="s">
        <v>61</v>
      </c>
      <c r="J11">
        <v>11.17</v>
      </c>
      <c r="K11" t="s">
        <v>50</v>
      </c>
      <c r="L11" t="s">
        <v>31</v>
      </c>
      <c r="M11" t="s">
        <v>22</v>
      </c>
      <c r="N11" t="s">
        <v>38</v>
      </c>
      <c r="O11" t="s">
        <v>33</v>
      </c>
      <c r="P11" t="s">
        <v>34</v>
      </c>
    </row>
    <row r="12" spans="1:16" x14ac:dyDescent="0.25">
      <c r="A12" s="1">
        <v>45659</v>
      </c>
      <c r="B12" t="s">
        <v>62</v>
      </c>
      <c r="C12">
        <v>12422</v>
      </c>
      <c r="D12" t="s">
        <v>17</v>
      </c>
      <c r="E12">
        <v>22</v>
      </c>
      <c r="F12">
        <v>68.180000000000007</v>
      </c>
      <c r="G12" t="s">
        <v>47</v>
      </c>
      <c r="H12">
        <v>0.33</v>
      </c>
      <c r="I12" t="s">
        <v>61</v>
      </c>
      <c r="J12">
        <v>29.3</v>
      </c>
      <c r="K12" t="s">
        <v>20</v>
      </c>
      <c r="L12" t="s">
        <v>21</v>
      </c>
      <c r="M12" t="s">
        <v>22</v>
      </c>
      <c r="N12" t="s">
        <v>32</v>
      </c>
      <c r="O12" t="s">
        <v>33</v>
      </c>
    </row>
    <row r="13" spans="1:16" x14ac:dyDescent="0.25">
      <c r="A13" s="1">
        <v>45659</v>
      </c>
      <c r="B13" t="s">
        <v>63</v>
      </c>
      <c r="C13">
        <v>11001</v>
      </c>
      <c r="D13" t="s">
        <v>49</v>
      </c>
      <c r="E13">
        <v>11</v>
      </c>
      <c r="F13">
        <v>3.34</v>
      </c>
      <c r="G13" t="s">
        <v>18</v>
      </c>
      <c r="H13">
        <v>0.2</v>
      </c>
      <c r="I13" t="s">
        <v>61</v>
      </c>
      <c r="J13">
        <v>6.62</v>
      </c>
      <c r="K13" t="s">
        <v>44</v>
      </c>
      <c r="L13" t="s">
        <v>21</v>
      </c>
      <c r="M13" t="s">
        <v>22</v>
      </c>
      <c r="N13" t="s">
        <v>32</v>
      </c>
      <c r="O13" t="s">
        <v>59</v>
      </c>
      <c r="P13" t="s">
        <v>25</v>
      </c>
    </row>
    <row r="14" spans="1:16" x14ac:dyDescent="0.25">
      <c r="A14" s="1">
        <v>45659</v>
      </c>
      <c r="B14" t="s">
        <v>64</v>
      </c>
      <c r="C14">
        <v>57754</v>
      </c>
      <c r="D14" t="s">
        <v>42</v>
      </c>
      <c r="E14">
        <v>5</v>
      </c>
      <c r="G14" t="s">
        <v>52</v>
      </c>
      <c r="H14">
        <v>0.24</v>
      </c>
      <c r="I14" t="s">
        <v>19</v>
      </c>
      <c r="J14">
        <v>8.1300000000000008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  <c r="P14" t="s">
        <v>34</v>
      </c>
    </row>
    <row r="15" spans="1:16" x14ac:dyDescent="0.25">
      <c r="A15" s="1">
        <v>45660</v>
      </c>
      <c r="B15" t="s">
        <v>65</v>
      </c>
      <c r="C15">
        <v>27463</v>
      </c>
      <c r="D15" t="s">
        <v>66</v>
      </c>
      <c r="E15">
        <v>14</v>
      </c>
      <c r="F15">
        <v>95.17</v>
      </c>
      <c r="G15" t="s">
        <v>28</v>
      </c>
      <c r="H15">
        <v>0.39</v>
      </c>
      <c r="I15" t="s">
        <v>61</v>
      </c>
      <c r="J15">
        <v>7.75</v>
      </c>
      <c r="K15" t="s">
        <v>30</v>
      </c>
      <c r="L15" t="s">
        <v>21</v>
      </c>
      <c r="M15" t="s">
        <v>22</v>
      </c>
      <c r="N15" t="s">
        <v>53</v>
      </c>
      <c r="O15" s="4" t="s">
        <v>725</v>
      </c>
      <c r="P15" t="s">
        <v>25</v>
      </c>
    </row>
    <row r="16" spans="1:16" x14ac:dyDescent="0.25">
      <c r="A16" s="1">
        <v>45660</v>
      </c>
      <c r="B16" t="s">
        <v>67</v>
      </c>
      <c r="C16">
        <v>47833</v>
      </c>
      <c r="D16" t="s">
        <v>68</v>
      </c>
      <c r="E16">
        <v>4</v>
      </c>
      <c r="F16">
        <v>5.66</v>
      </c>
      <c r="G16" t="s">
        <v>47</v>
      </c>
      <c r="H16">
        <v>0</v>
      </c>
      <c r="I16" t="s">
        <v>19</v>
      </c>
      <c r="J16">
        <v>22.14</v>
      </c>
      <c r="K16" t="s">
        <v>20</v>
      </c>
      <c r="L16" t="s">
        <v>21</v>
      </c>
      <c r="M16" t="s">
        <v>22</v>
      </c>
      <c r="N16" t="s">
        <v>53</v>
      </c>
      <c r="O16" t="s">
        <v>24</v>
      </c>
      <c r="P16" t="s">
        <v>34</v>
      </c>
    </row>
    <row r="17" spans="1:16" x14ac:dyDescent="0.25">
      <c r="A17" s="1">
        <v>45660</v>
      </c>
      <c r="B17" t="s">
        <v>69</v>
      </c>
      <c r="C17">
        <v>98264</v>
      </c>
      <c r="D17" t="s">
        <v>70</v>
      </c>
      <c r="E17">
        <v>19</v>
      </c>
      <c r="F17">
        <v>32.94</v>
      </c>
      <c r="G17" t="s">
        <v>36</v>
      </c>
      <c r="H17">
        <v>0.19</v>
      </c>
      <c r="I17" t="s">
        <v>61</v>
      </c>
      <c r="J17">
        <v>8.5399999999999991</v>
      </c>
      <c r="K17" t="s">
        <v>20</v>
      </c>
      <c r="L17" t="s">
        <v>31</v>
      </c>
      <c r="M17" t="s">
        <v>22</v>
      </c>
      <c r="N17" t="s">
        <v>53</v>
      </c>
      <c r="O17" t="s">
        <v>722</v>
      </c>
      <c r="P17" t="s">
        <v>34</v>
      </c>
    </row>
    <row r="18" spans="1:16" x14ac:dyDescent="0.25">
      <c r="A18" s="1">
        <v>45660</v>
      </c>
      <c r="B18" t="s">
        <v>71</v>
      </c>
      <c r="C18">
        <v>79379</v>
      </c>
      <c r="D18" t="s">
        <v>66</v>
      </c>
      <c r="E18">
        <v>44</v>
      </c>
      <c r="F18">
        <v>55.26</v>
      </c>
      <c r="G18" t="s">
        <v>72</v>
      </c>
      <c r="H18">
        <v>0.44</v>
      </c>
      <c r="I18" t="s">
        <v>61</v>
      </c>
      <c r="J18">
        <v>19.690000000000001</v>
      </c>
      <c r="K18" t="s">
        <v>50</v>
      </c>
      <c r="L18" t="s">
        <v>31</v>
      </c>
      <c r="M18" t="s">
        <v>22</v>
      </c>
      <c r="N18" t="s">
        <v>32</v>
      </c>
      <c r="O18" t="s">
        <v>24</v>
      </c>
      <c r="P18" t="s">
        <v>34</v>
      </c>
    </row>
    <row r="19" spans="1:16" x14ac:dyDescent="0.25">
      <c r="A19" s="1">
        <v>45660</v>
      </c>
      <c r="B19" t="s">
        <v>73</v>
      </c>
      <c r="C19">
        <v>25664</v>
      </c>
      <c r="D19" t="s">
        <v>27</v>
      </c>
      <c r="E19">
        <v>25</v>
      </c>
      <c r="F19">
        <v>75.5</v>
      </c>
      <c r="G19" t="s">
        <v>58</v>
      </c>
      <c r="H19">
        <v>0.42</v>
      </c>
      <c r="I19" t="s">
        <v>61</v>
      </c>
      <c r="J19">
        <v>15.13</v>
      </c>
      <c r="K19" t="s">
        <v>44</v>
      </c>
      <c r="L19" t="s">
        <v>31</v>
      </c>
      <c r="M19" t="s">
        <v>22</v>
      </c>
      <c r="N19" t="s">
        <v>38</v>
      </c>
      <c r="O19" t="s">
        <v>723</v>
      </c>
      <c r="P19" t="s">
        <v>34</v>
      </c>
    </row>
    <row r="20" spans="1:16" x14ac:dyDescent="0.25">
      <c r="A20" s="1">
        <v>45660</v>
      </c>
      <c r="B20" t="s">
        <v>74</v>
      </c>
      <c r="C20">
        <v>54248</v>
      </c>
      <c r="D20" t="s">
        <v>75</v>
      </c>
      <c r="E20">
        <v>30</v>
      </c>
      <c r="F20">
        <v>67.510000000000005</v>
      </c>
      <c r="G20" t="s">
        <v>76</v>
      </c>
      <c r="H20">
        <v>0.06</v>
      </c>
      <c r="I20" t="s">
        <v>29</v>
      </c>
      <c r="J20">
        <v>9.43</v>
      </c>
      <c r="K20" t="s">
        <v>30</v>
      </c>
      <c r="L20" t="s">
        <v>21</v>
      </c>
      <c r="M20" t="s">
        <v>22</v>
      </c>
      <c r="N20" t="s">
        <v>38</v>
      </c>
      <c r="O20" t="s">
        <v>59</v>
      </c>
    </row>
    <row r="21" spans="1:16" x14ac:dyDescent="0.25">
      <c r="A21" s="1">
        <v>45660</v>
      </c>
      <c r="B21" t="s">
        <v>77</v>
      </c>
      <c r="C21">
        <v>88442</v>
      </c>
      <c r="D21" t="s">
        <v>42</v>
      </c>
      <c r="E21">
        <v>39</v>
      </c>
      <c r="F21">
        <v>88.31</v>
      </c>
      <c r="G21" t="s">
        <v>72</v>
      </c>
      <c r="H21">
        <v>0.11</v>
      </c>
      <c r="I21" t="s">
        <v>29</v>
      </c>
      <c r="J21">
        <v>29.61</v>
      </c>
      <c r="K21" t="s">
        <v>30</v>
      </c>
      <c r="L21" t="s">
        <v>21</v>
      </c>
      <c r="M21" t="s">
        <v>22</v>
      </c>
      <c r="N21" t="s">
        <v>53</v>
      </c>
      <c r="O21" t="s">
        <v>39</v>
      </c>
      <c r="P21" t="s">
        <v>34</v>
      </c>
    </row>
    <row r="22" spans="1:16" x14ac:dyDescent="0.25">
      <c r="A22" s="1">
        <v>45660</v>
      </c>
      <c r="B22" t="s">
        <v>78</v>
      </c>
      <c r="C22">
        <v>48575</v>
      </c>
      <c r="D22" t="s">
        <v>68</v>
      </c>
      <c r="E22">
        <v>24</v>
      </c>
      <c r="G22" t="s">
        <v>52</v>
      </c>
      <c r="H22">
        <v>0.26</v>
      </c>
      <c r="I22" t="s">
        <v>61</v>
      </c>
      <c r="J22">
        <v>24.88</v>
      </c>
      <c r="K22" t="s">
        <v>20</v>
      </c>
      <c r="L22" t="s">
        <v>31</v>
      </c>
      <c r="M22" t="s">
        <v>22</v>
      </c>
      <c r="N22" t="s">
        <v>23</v>
      </c>
      <c r="O22" t="s">
        <v>722</v>
      </c>
      <c r="P22" t="s">
        <v>40</v>
      </c>
    </row>
    <row r="23" spans="1:16" x14ac:dyDescent="0.25">
      <c r="A23" s="1">
        <v>45660</v>
      </c>
      <c r="B23" t="s">
        <v>79</v>
      </c>
      <c r="C23">
        <v>95235</v>
      </c>
      <c r="D23" t="s">
        <v>49</v>
      </c>
      <c r="E23">
        <v>10</v>
      </c>
      <c r="F23">
        <v>23</v>
      </c>
      <c r="G23" t="s">
        <v>18</v>
      </c>
      <c r="H23">
        <v>0.36</v>
      </c>
      <c r="I23" t="s">
        <v>29</v>
      </c>
      <c r="J23">
        <v>15.01</v>
      </c>
      <c r="K23" t="s">
        <v>20</v>
      </c>
      <c r="L23" t="s">
        <v>31</v>
      </c>
      <c r="M23" t="s">
        <v>22</v>
      </c>
      <c r="N23" t="s">
        <v>32</v>
      </c>
      <c r="O23" s="4" t="s">
        <v>725</v>
      </c>
      <c r="P23" t="s">
        <v>34</v>
      </c>
    </row>
    <row r="24" spans="1:16" x14ac:dyDescent="0.25">
      <c r="A24" s="1">
        <v>45660</v>
      </c>
      <c r="B24" t="s">
        <v>80</v>
      </c>
      <c r="C24">
        <v>93319</v>
      </c>
      <c r="D24" t="s">
        <v>75</v>
      </c>
      <c r="E24">
        <v>22</v>
      </c>
      <c r="F24">
        <v>25.51</v>
      </c>
      <c r="G24" t="s">
        <v>28</v>
      </c>
      <c r="H24">
        <v>0.41</v>
      </c>
      <c r="I24" t="s">
        <v>19</v>
      </c>
      <c r="J24">
        <v>14.61</v>
      </c>
      <c r="K24" t="s">
        <v>44</v>
      </c>
      <c r="L24" t="s">
        <v>31</v>
      </c>
      <c r="M24" t="s">
        <v>22</v>
      </c>
      <c r="N24" t="s">
        <v>53</v>
      </c>
      <c r="O24" t="s">
        <v>81</v>
      </c>
      <c r="P24" t="s">
        <v>25</v>
      </c>
    </row>
    <row r="25" spans="1:16" x14ac:dyDescent="0.25">
      <c r="A25" s="1">
        <v>45660</v>
      </c>
      <c r="B25" t="s">
        <v>82</v>
      </c>
      <c r="C25">
        <v>22140</v>
      </c>
      <c r="D25" t="s">
        <v>66</v>
      </c>
      <c r="E25">
        <v>25</v>
      </c>
      <c r="F25">
        <v>69.17</v>
      </c>
      <c r="G25" t="s">
        <v>18</v>
      </c>
      <c r="H25">
        <v>0.28000000000000003</v>
      </c>
      <c r="I25" t="s">
        <v>61</v>
      </c>
      <c r="J25">
        <v>27.77</v>
      </c>
      <c r="K25" t="s">
        <v>44</v>
      </c>
      <c r="L25" t="s">
        <v>21</v>
      </c>
      <c r="M25" t="s">
        <v>22</v>
      </c>
      <c r="N25" t="s">
        <v>38</v>
      </c>
      <c r="O25" t="s">
        <v>33</v>
      </c>
      <c r="P25" t="s">
        <v>40</v>
      </c>
    </row>
    <row r="26" spans="1:16" x14ac:dyDescent="0.25">
      <c r="A26" s="1">
        <v>45660</v>
      </c>
      <c r="B26" t="s">
        <v>83</v>
      </c>
      <c r="C26">
        <v>64716</v>
      </c>
      <c r="D26" t="s">
        <v>42</v>
      </c>
      <c r="E26">
        <v>24</v>
      </c>
      <c r="F26">
        <v>17.09</v>
      </c>
      <c r="G26" t="s">
        <v>84</v>
      </c>
      <c r="H26">
        <v>0.33</v>
      </c>
      <c r="I26" t="s">
        <v>61</v>
      </c>
      <c r="J26">
        <v>10.14</v>
      </c>
      <c r="K26" t="s">
        <v>44</v>
      </c>
      <c r="L26" t="s">
        <v>21</v>
      </c>
      <c r="M26" t="s">
        <v>22</v>
      </c>
      <c r="N26" t="s">
        <v>32</v>
      </c>
      <c r="O26" t="s">
        <v>33</v>
      </c>
      <c r="P26" t="s">
        <v>40</v>
      </c>
    </row>
    <row r="27" spans="1:16" x14ac:dyDescent="0.25">
      <c r="A27" s="1">
        <v>45660</v>
      </c>
      <c r="B27" t="s">
        <v>85</v>
      </c>
      <c r="C27">
        <v>44880</v>
      </c>
      <c r="D27" t="s">
        <v>70</v>
      </c>
      <c r="E27">
        <v>33</v>
      </c>
      <c r="F27">
        <v>35.74</v>
      </c>
      <c r="G27" t="s">
        <v>72</v>
      </c>
      <c r="H27">
        <v>0.14000000000000001</v>
      </c>
      <c r="I27" t="s">
        <v>61</v>
      </c>
      <c r="J27">
        <v>8.39</v>
      </c>
      <c r="K27" t="s">
        <v>30</v>
      </c>
      <c r="L27" t="s">
        <v>21</v>
      </c>
      <c r="M27" t="s">
        <v>22</v>
      </c>
      <c r="N27" t="s">
        <v>53</v>
      </c>
      <c r="O27" t="s">
        <v>59</v>
      </c>
      <c r="P27" t="s">
        <v>34</v>
      </c>
    </row>
    <row r="28" spans="1:16" x14ac:dyDescent="0.25">
      <c r="A28" s="1">
        <v>45660</v>
      </c>
      <c r="B28" t="s">
        <v>86</v>
      </c>
      <c r="C28">
        <v>70644</v>
      </c>
      <c r="D28" t="s">
        <v>42</v>
      </c>
      <c r="E28">
        <v>32</v>
      </c>
      <c r="F28">
        <v>58.11</v>
      </c>
      <c r="G28" t="s">
        <v>28</v>
      </c>
      <c r="H28">
        <v>0.1</v>
      </c>
      <c r="I28" t="s">
        <v>61</v>
      </c>
      <c r="J28">
        <v>14.91</v>
      </c>
      <c r="K28" t="s">
        <v>20</v>
      </c>
      <c r="L28" t="s">
        <v>31</v>
      </c>
      <c r="M28" t="s">
        <v>22</v>
      </c>
      <c r="N28" t="s">
        <v>32</v>
      </c>
      <c r="O28" t="s">
        <v>81</v>
      </c>
      <c r="P28" t="s">
        <v>40</v>
      </c>
    </row>
    <row r="29" spans="1:16" x14ac:dyDescent="0.25">
      <c r="A29" s="1">
        <v>45660</v>
      </c>
      <c r="B29" t="s">
        <v>87</v>
      </c>
      <c r="C29">
        <v>96877</v>
      </c>
      <c r="D29" t="s">
        <v>46</v>
      </c>
      <c r="E29">
        <v>37</v>
      </c>
      <c r="F29">
        <v>20.309999999999999</v>
      </c>
      <c r="G29" t="s">
        <v>28</v>
      </c>
      <c r="H29">
        <v>7.0000000000000007E-2</v>
      </c>
      <c r="I29" t="s">
        <v>29</v>
      </c>
      <c r="J29">
        <v>29.01</v>
      </c>
      <c r="K29" t="s">
        <v>37</v>
      </c>
      <c r="L29" t="s">
        <v>31</v>
      </c>
      <c r="M29" t="s">
        <v>22</v>
      </c>
      <c r="N29" t="s">
        <v>32</v>
      </c>
      <c r="O29" t="s">
        <v>39</v>
      </c>
      <c r="P29" t="s">
        <v>40</v>
      </c>
    </row>
    <row r="30" spans="1:16" x14ac:dyDescent="0.25">
      <c r="A30" s="1">
        <v>45660</v>
      </c>
      <c r="B30" t="s">
        <v>88</v>
      </c>
      <c r="C30">
        <v>98824</v>
      </c>
      <c r="D30" t="s">
        <v>89</v>
      </c>
      <c r="E30">
        <v>45</v>
      </c>
      <c r="F30">
        <v>89.64</v>
      </c>
      <c r="G30" t="s">
        <v>52</v>
      </c>
      <c r="H30">
        <v>0.26</v>
      </c>
      <c r="I30" t="s">
        <v>61</v>
      </c>
      <c r="J30">
        <v>20.82</v>
      </c>
      <c r="K30" t="s">
        <v>37</v>
      </c>
      <c r="L30" t="s">
        <v>31</v>
      </c>
      <c r="M30" t="s">
        <v>22</v>
      </c>
      <c r="N30" t="s">
        <v>32</v>
      </c>
      <c r="O30" t="s">
        <v>81</v>
      </c>
    </row>
    <row r="31" spans="1:16" x14ac:dyDescent="0.25">
      <c r="A31" s="1">
        <v>45660</v>
      </c>
      <c r="B31" t="s">
        <v>90</v>
      </c>
      <c r="C31">
        <v>73837</v>
      </c>
      <c r="D31" t="s">
        <v>46</v>
      </c>
      <c r="E31">
        <v>14</v>
      </c>
      <c r="G31" t="s">
        <v>76</v>
      </c>
      <c r="H31">
        <v>0.38</v>
      </c>
      <c r="I31" t="s">
        <v>61</v>
      </c>
      <c r="J31">
        <v>26.49</v>
      </c>
      <c r="K31" t="s">
        <v>30</v>
      </c>
      <c r="L31" t="s">
        <v>21</v>
      </c>
      <c r="M31" t="s">
        <v>22</v>
      </c>
      <c r="N31" t="s">
        <v>38</v>
      </c>
      <c r="O31" t="s">
        <v>81</v>
      </c>
      <c r="P31" t="s">
        <v>40</v>
      </c>
    </row>
    <row r="32" spans="1:16" x14ac:dyDescent="0.25">
      <c r="A32" s="1">
        <v>45660</v>
      </c>
      <c r="B32" t="s">
        <v>91</v>
      </c>
      <c r="C32">
        <v>59939</v>
      </c>
      <c r="D32" t="s">
        <v>89</v>
      </c>
      <c r="E32">
        <v>39</v>
      </c>
      <c r="F32">
        <v>65.16</v>
      </c>
      <c r="G32" t="s">
        <v>47</v>
      </c>
      <c r="H32">
        <v>0.32</v>
      </c>
      <c r="I32" t="s">
        <v>61</v>
      </c>
      <c r="J32">
        <v>22.18</v>
      </c>
      <c r="K32" t="s">
        <v>30</v>
      </c>
      <c r="L32" t="s">
        <v>31</v>
      </c>
      <c r="M32" t="s">
        <v>22</v>
      </c>
      <c r="N32" t="s">
        <v>23</v>
      </c>
      <c r="O32" t="s">
        <v>33</v>
      </c>
      <c r="P32" t="s">
        <v>34</v>
      </c>
    </row>
    <row r="33" spans="1:16" x14ac:dyDescent="0.25">
      <c r="A33" s="1">
        <v>45660</v>
      </c>
      <c r="B33" t="s">
        <v>92</v>
      </c>
      <c r="C33">
        <v>34512</v>
      </c>
      <c r="D33" t="s">
        <v>57</v>
      </c>
      <c r="E33">
        <v>4</v>
      </c>
      <c r="F33">
        <v>14.89</v>
      </c>
      <c r="G33" t="s">
        <v>18</v>
      </c>
      <c r="H33">
        <v>0.37</v>
      </c>
      <c r="I33" t="s">
        <v>29</v>
      </c>
      <c r="J33">
        <v>24.2</v>
      </c>
      <c r="K33" t="s">
        <v>37</v>
      </c>
      <c r="L33" t="s">
        <v>31</v>
      </c>
      <c r="M33" t="s">
        <v>22</v>
      </c>
      <c r="N33" t="s">
        <v>32</v>
      </c>
      <c r="O33" t="s">
        <v>24</v>
      </c>
      <c r="P33" t="s">
        <v>25</v>
      </c>
    </row>
    <row r="34" spans="1:16" x14ac:dyDescent="0.25">
      <c r="A34" s="1">
        <v>45660</v>
      </c>
      <c r="B34" t="s">
        <v>93</v>
      </c>
      <c r="C34">
        <v>68953</v>
      </c>
      <c r="D34" t="s">
        <v>27</v>
      </c>
      <c r="E34">
        <v>5</v>
      </c>
      <c r="F34">
        <v>31.1</v>
      </c>
      <c r="G34" t="s">
        <v>72</v>
      </c>
      <c r="H34">
        <v>7.0000000000000007E-2</v>
      </c>
      <c r="I34" t="s">
        <v>29</v>
      </c>
      <c r="J34">
        <v>21.93</v>
      </c>
      <c r="K34" t="s">
        <v>50</v>
      </c>
      <c r="L34" t="s">
        <v>31</v>
      </c>
      <c r="M34" t="s">
        <v>22</v>
      </c>
      <c r="N34" t="s">
        <v>38</v>
      </c>
      <c r="O34" t="s">
        <v>33</v>
      </c>
      <c r="P34" t="s">
        <v>40</v>
      </c>
    </row>
    <row r="35" spans="1:16" x14ac:dyDescent="0.25">
      <c r="A35" s="1">
        <v>45660</v>
      </c>
      <c r="B35" t="s">
        <v>94</v>
      </c>
      <c r="C35">
        <v>53599</v>
      </c>
      <c r="D35" t="s">
        <v>17</v>
      </c>
      <c r="F35">
        <v>7.66</v>
      </c>
      <c r="G35" t="s">
        <v>18</v>
      </c>
      <c r="H35">
        <v>0.06</v>
      </c>
      <c r="I35" t="s">
        <v>61</v>
      </c>
      <c r="J35">
        <v>25.01</v>
      </c>
      <c r="K35" t="s">
        <v>30</v>
      </c>
      <c r="L35" t="s">
        <v>31</v>
      </c>
      <c r="M35" t="s">
        <v>22</v>
      </c>
      <c r="N35" t="s">
        <v>23</v>
      </c>
      <c r="O35" t="s">
        <v>24</v>
      </c>
      <c r="P35" t="s">
        <v>25</v>
      </c>
    </row>
    <row r="36" spans="1:16" x14ac:dyDescent="0.25">
      <c r="A36" s="1">
        <v>45661</v>
      </c>
      <c r="B36" t="s">
        <v>95</v>
      </c>
      <c r="C36">
        <v>61362</v>
      </c>
      <c r="D36" t="s">
        <v>68</v>
      </c>
      <c r="E36">
        <v>19</v>
      </c>
      <c r="F36">
        <v>88.78</v>
      </c>
      <c r="G36" t="s">
        <v>43</v>
      </c>
      <c r="H36">
        <v>0.18</v>
      </c>
      <c r="I36" t="s">
        <v>19</v>
      </c>
      <c r="J36">
        <v>5.23</v>
      </c>
      <c r="K36" t="s">
        <v>20</v>
      </c>
      <c r="L36" t="s">
        <v>21</v>
      </c>
      <c r="M36" t="s">
        <v>22</v>
      </c>
      <c r="N36" t="s">
        <v>32</v>
      </c>
      <c r="O36" t="s">
        <v>59</v>
      </c>
      <c r="P36" t="s">
        <v>34</v>
      </c>
    </row>
    <row r="37" spans="1:16" x14ac:dyDescent="0.25">
      <c r="A37" s="1">
        <v>45661</v>
      </c>
      <c r="B37" t="s">
        <v>96</v>
      </c>
      <c r="C37">
        <v>80747</v>
      </c>
      <c r="D37" t="s">
        <v>49</v>
      </c>
      <c r="E37">
        <v>40</v>
      </c>
      <c r="F37">
        <v>33.42</v>
      </c>
      <c r="G37" t="s">
        <v>55</v>
      </c>
      <c r="H37">
        <v>0.5</v>
      </c>
      <c r="I37" t="s">
        <v>19</v>
      </c>
      <c r="J37">
        <v>12.85</v>
      </c>
      <c r="K37" t="s">
        <v>30</v>
      </c>
      <c r="L37" t="s">
        <v>31</v>
      </c>
      <c r="M37" t="s">
        <v>22</v>
      </c>
      <c r="N37" t="s">
        <v>38</v>
      </c>
      <c r="O37" t="s">
        <v>724</v>
      </c>
      <c r="P37" t="s">
        <v>34</v>
      </c>
    </row>
    <row r="38" spans="1:16" x14ac:dyDescent="0.25">
      <c r="A38" s="1">
        <v>45661</v>
      </c>
      <c r="B38" t="s">
        <v>97</v>
      </c>
      <c r="C38">
        <v>29963</v>
      </c>
      <c r="D38" t="s">
        <v>57</v>
      </c>
      <c r="E38">
        <v>43</v>
      </c>
      <c r="F38">
        <v>80.63</v>
      </c>
      <c r="G38" t="s">
        <v>76</v>
      </c>
      <c r="H38">
        <v>0.15</v>
      </c>
      <c r="I38" t="s">
        <v>19</v>
      </c>
      <c r="J38">
        <v>27.56</v>
      </c>
      <c r="K38" t="s">
        <v>30</v>
      </c>
      <c r="L38" t="s">
        <v>21</v>
      </c>
      <c r="N38" t="s">
        <v>23</v>
      </c>
      <c r="O38" t="s">
        <v>33</v>
      </c>
      <c r="P38" t="s">
        <v>40</v>
      </c>
    </row>
    <row r="39" spans="1:16" x14ac:dyDescent="0.25">
      <c r="A39" s="1">
        <v>45661</v>
      </c>
      <c r="B39" t="s">
        <v>98</v>
      </c>
      <c r="C39">
        <v>64425</v>
      </c>
      <c r="D39" t="s">
        <v>66</v>
      </c>
      <c r="E39">
        <v>15</v>
      </c>
      <c r="F39">
        <v>29.56</v>
      </c>
      <c r="G39" t="s">
        <v>99</v>
      </c>
      <c r="H39">
        <v>0.28999999999999998</v>
      </c>
      <c r="I39" t="s">
        <v>29</v>
      </c>
      <c r="J39">
        <v>20.04</v>
      </c>
      <c r="K39" t="s">
        <v>37</v>
      </c>
      <c r="L39" t="s">
        <v>31</v>
      </c>
      <c r="M39" t="s">
        <v>22</v>
      </c>
      <c r="N39" t="s">
        <v>38</v>
      </c>
      <c r="O39" t="s">
        <v>33</v>
      </c>
      <c r="P39" t="s">
        <v>25</v>
      </c>
    </row>
    <row r="40" spans="1:16" x14ac:dyDescent="0.25">
      <c r="A40" s="1">
        <v>45661</v>
      </c>
      <c r="B40" t="s">
        <v>63</v>
      </c>
      <c r="C40">
        <v>39467</v>
      </c>
      <c r="D40" t="s">
        <v>75</v>
      </c>
      <c r="E40">
        <v>8</v>
      </c>
      <c r="F40">
        <v>96.18</v>
      </c>
      <c r="G40" t="s">
        <v>84</v>
      </c>
      <c r="H40">
        <v>0.39</v>
      </c>
      <c r="I40" t="s">
        <v>29</v>
      </c>
      <c r="J40">
        <v>12.68</v>
      </c>
      <c r="K40" t="s">
        <v>44</v>
      </c>
      <c r="L40" t="s">
        <v>31</v>
      </c>
      <c r="M40" t="s">
        <v>22</v>
      </c>
      <c r="N40" t="s">
        <v>23</v>
      </c>
      <c r="O40" t="s">
        <v>39</v>
      </c>
      <c r="P40" t="s">
        <v>25</v>
      </c>
    </row>
    <row r="41" spans="1:16" x14ac:dyDescent="0.25">
      <c r="A41" s="1">
        <v>45661</v>
      </c>
      <c r="B41" t="s">
        <v>100</v>
      </c>
      <c r="C41">
        <v>34686</v>
      </c>
      <c r="D41" t="s">
        <v>42</v>
      </c>
      <c r="E41">
        <v>21</v>
      </c>
      <c r="F41">
        <v>26.41</v>
      </c>
      <c r="G41" t="s">
        <v>58</v>
      </c>
      <c r="H41">
        <v>0.31</v>
      </c>
      <c r="I41" t="s">
        <v>29</v>
      </c>
      <c r="J41">
        <v>27.71</v>
      </c>
      <c r="K41" t="s">
        <v>20</v>
      </c>
      <c r="L41" t="s">
        <v>31</v>
      </c>
      <c r="M41" t="s">
        <v>22</v>
      </c>
      <c r="N41" t="s">
        <v>23</v>
      </c>
      <c r="O41" t="s">
        <v>722</v>
      </c>
      <c r="P41" t="s">
        <v>40</v>
      </c>
    </row>
    <row r="42" spans="1:16" x14ac:dyDescent="0.25">
      <c r="A42" s="1">
        <v>45661</v>
      </c>
      <c r="B42" t="s">
        <v>101</v>
      </c>
      <c r="C42">
        <v>77001</v>
      </c>
      <c r="D42" t="s">
        <v>46</v>
      </c>
      <c r="E42">
        <v>17</v>
      </c>
      <c r="G42" t="s">
        <v>43</v>
      </c>
      <c r="H42">
        <v>0.17</v>
      </c>
      <c r="I42" t="s">
        <v>61</v>
      </c>
      <c r="J42">
        <v>8.09</v>
      </c>
      <c r="K42" t="s">
        <v>20</v>
      </c>
      <c r="L42" t="s">
        <v>31</v>
      </c>
      <c r="M42" t="s">
        <v>22</v>
      </c>
      <c r="N42" t="s">
        <v>23</v>
      </c>
      <c r="O42" t="s">
        <v>81</v>
      </c>
      <c r="P42" t="s">
        <v>25</v>
      </c>
    </row>
    <row r="43" spans="1:16" x14ac:dyDescent="0.25">
      <c r="A43" s="1">
        <v>45661</v>
      </c>
      <c r="B43" t="s">
        <v>102</v>
      </c>
      <c r="C43">
        <v>57351</v>
      </c>
      <c r="D43" t="s">
        <v>75</v>
      </c>
      <c r="E43">
        <v>5</v>
      </c>
      <c r="F43">
        <v>32.6</v>
      </c>
      <c r="G43" t="s">
        <v>76</v>
      </c>
      <c r="H43">
        <v>0.11</v>
      </c>
      <c r="I43" t="s">
        <v>19</v>
      </c>
      <c r="J43">
        <v>21.94</v>
      </c>
      <c r="K43" t="s">
        <v>50</v>
      </c>
      <c r="L43" t="s">
        <v>31</v>
      </c>
      <c r="M43" t="s">
        <v>22</v>
      </c>
      <c r="N43" t="s">
        <v>23</v>
      </c>
      <c r="O43" t="s">
        <v>39</v>
      </c>
    </row>
    <row r="44" spans="1:16" x14ac:dyDescent="0.25">
      <c r="A44" s="1">
        <v>45661</v>
      </c>
      <c r="B44" t="s">
        <v>103</v>
      </c>
      <c r="C44">
        <v>50141</v>
      </c>
      <c r="D44" t="s">
        <v>42</v>
      </c>
      <c r="E44">
        <v>28</v>
      </c>
      <c r="F44">
        <v>25.98</v>
      </c>
      <c r="G44" t="s">
        <v>84</v>
      </c>
      <c r="H44">
        <v>0.24</v>
      </c>
      <c r="I44" t="s">
        <v>19</v>
      </c>
      <c r="J44">
        <v>28.13</v>
      </c>
      <c r="K44" t="s">
        <v>44</v>
      </c>
      <c r="L44" t="s">
        <v>31</v>
      </c>
      <c r="M44" t="s">
        <v>22</v>
      </c>
      <c r="N44" t="s">
        <v>32</v>
      </c>
      <c r="O44" t="s">
        <v>24</v>
      </c>
      <c r="P44" t="s">
        <v>40</v>
      </c>
    </row>
    <row r="45" spans="1:16" x14ac:dyDescent="0.25">
      <c r="A45" s="1">
        <v>45661</v>
      </c>
      <c r="B45" t="s">
        <v>104</v>
      </c>
      <c r="C45">
        <v>18733</v>
      </c>
      <c r="D45" t="s">
        <v>66</v>
      </c>
      <c r="E45">
        <v>31</v>
      </c>
      <c r="F45">
        <v>9.4</v>
      </c>
      <c r="G45" t="s">
        <v>84</v>
      </c>
      <c r="H45">
        <v>0.28000000000000003</v>
      </c>
      <c r="I45" t="s">
        <v>29</v>
      </c>
      <c r="J45">
        <v>23.21</v>
      </c>
      <c r="K45" t="s">
        <v>20</v>
      </c>
      <c r="L45" t="s">
        <v>31</v>
      </c>
      <c r="M45" t="s">
        <v>22</v>
      </c>
      <c r="N45" t="s">
        <v>23</v>
      </c>
      <c r="O45" t="s">
        <v>24</v>
      </c>
      <c r="P45" t="s">
        <v>25</v>
      </c>
    </row>
    <row r="46" spans="1:16" x14ac:dyDescent="0.25">
      <c r="A46" s="1">
        <v>45661</v>
      </c>
      <c r="B46" t="s">
        <v>105</v>
      </c>
      <c r="C46">
        <v>71488</v>
      </c>
      <c r="D46" t="s">
        <v>17</v>
      </c>
      <c r="E46">
        <v>10</v>
      </c>
      <c r="F46">
        <v>10.83</v>
      </c>
      <c r="G46" t="s">
        <v>43</v>
      </c>
      <c r="H46">
        <v>0.11</v>
      </c>
      <c r="I46" t="s">
        <v>19</v>
      </c>
      <c r="J46">
        <v>7.02</v>
      </c>
      <c r="K46" t="s">
        <v>37</v>
      </c>
      <c r="L46" t="s">
        <v>31</v>
      </c>
      <c r="N46" t="s">
        <v>38</v>
      </c>
      <c r="O46" s="4" t="s">
        <v>726</v>
      </c>
      <c r="P46" t="s">
        <v>34</v>
      </c>
    </row>
    <row r="47" spans="1:16" x14ac:dyDescent="0.25">
      <c r="A47" s="1">
        <v>45661</v>
      </c>
      <c r="B47" t="s">
        <v>106</v>
      </c>
      <c r="C47">
        <v>79262</v>
      </c>
      <c r="D47" t="s">
        <v>89</v>
      </c>
      <c r="E47">
        <v>49</v>
      </c>
      <c r="F47">
        <v>37.18</v>
      </c>
      <c r="G47" t="s">
        <v>52</v>
      </c>
      <c r="H47">
        <v>0.11</v>
      </c>
      <c r="I47" t="s">
        <v>61</v>
      </c>
      <c r="J47">
        <v>12.06</v>
      </c>
      <c r="K47" t="s">
        <v>37</v>
      </c>
      <c r="L47" t="s">
        <v>21</v>
      </c>
      <c r="M47" t="s">
        <v>22</v>
      </c>
      <c r="N47" t="s">
        <v>23</v>
      </c>
      <c r="O47" t="s">
        <v>24</v>
      </c>
      <c r="P47" t="s">
        <v>40</v>
      </c>
    </row>
    <row r="48" spans="1:16" x14ac:dyDescent="0.25">
      <c r="A48" s="1">
        <v>45661</v>
      </c>
      <c r="B48" t="s">
        <v>107</v>
      </c>
      <c r="C48">
        <v>37588</v>
      </c>
      <c r="D48" t="s">
        <v>42</v>
      </c>
      <c r="E48">
        <v>10</v>
      </c>
      <c r="F48">
        <v>43.24</v>
      </c>
      <c r="G48" t="s">
        <v>99</v>
      </c>
      <c r="H48">
        <v>0.49</v>
      </c>
      <c r="I48" t="s">
        <v>61</v>
      </c>
      <c r="J48">
        <v>6.86</v>
      </c>
      <c r="K48" t="s">
        <v>30</v>
      </c>
      <c r="L48" t="s">
        <v>21</v>
      </c>
      <c r="M48" t="s">
        <v>22</v>
      </c>
      <c r="N48" t="s">
        <v>53</v>
      </c>
      <c r="O48" t="s">
        <v>722</v>
      </c>
      <c r="P48" t="s">
        <v>34</v>
      </c>
    </row>
    <row r="49" spans="1:16" x14ac:dyDescent="0.25">
      <c r="A49" s="1">
        <v>45661</v>
      </c>
      <c r="B49" t="s">
        <v>108</v>
      </c>
      <c r="C49">
        <v>43844</v>
      </c>
      <c r="D49" t="s">
        <v>42</v>
      </c>
      <c r="E49">
        <v>2</v>
      </c>
      <c r="F49">
        <v>56.8</v>
      </c>
      <c r="G49" t="s">
        <v>52</v>
      </c>
      <c r="H49">
        <v>0.33</v>
      </c>
      <c r="I49" t="s">
        <v>19</v>
      </c>
      <c r="J49">
        <v>12.94</v>
      </c>
      <c r="K49" t="s">
        <v>30</v>
      </c>
      <c r="L49" t="s">
        <v>21</v>
      </c>
      <c r="M49" t="s">
        <v>22</v>
      </c>
      <c r="N49" t="s">
        <v>32</v>
      </c>
      <c r="O49" t="s">
        <v>33</v>
      </c>
      <c r="P49" t="s">
        <v>25</v>
      </c>
    </row>
    <row r="50" spans="1:16" x14ac:dyDescent="0.25">
      <c r="A50" s="1">
        <v>45661</v>
      </c>
      <c r="B50" t="s">
        <v>109</v>
      </c>
      <c r="C50">
        <v>29459</v>
      </c>
      <c r="D50" t="s">
        <v>27</v>
      </c>
      <c r="E50">
        <v>31</v>
      </c>
      <c r="F50">
        <v>38.39</v>
      </c>
      <c r="G50" t="s">
        <v>58</v>
      </c>
      <c r="H50">
        <v>0.09</v>
      </c>
      <c r="I50" t="s">
        <v>29</v>
      </c>
      <c r="J50">
        <v>14.71</v>
      </c>
      <c r="K50" t="s">
        <v>44</v>
      </c>
      <c r="L50" t="s">
        <v>21</v>
      </c>
      <c r="M50" t="s">
        <v>22</v>
      </c>
      <c r="N50" t="s">
        <v>53</v>
      </c>
      <c r="O50" t="s">
        <v>81</v>
      </c>
      <c r="P50" t="s">
        <v>40</v>
      </c>
    </row>
    <row r="51" spans="1:16" x14ac:dyDescent="0.25">
      <c r="A51" s="1">
        <v>45661</v>
      </c>
      <c r="B51" t="s">
        <v>110</v>
      </c>
      <c r="C51">
        <v>80061</v>
      </c>
      <c r="D51" t="s">
        <v>17</v>
      </c>
      <c r="E51">
        <v>40</v>
      </c>
      <c r="F51">
        <v>30.76</v>
      </c>
      <c r="G51" t="s">
        <v>47</v>
      </c>
      <c r="H51">
        <v>0.37</v>
      </c>
      <c r="I51" t="s">
        <v>61</v>
      </c>
      <c r="J51">
        <v>25.96</v>
      </c>
      <c r="K51" t="s">
        <v>30</v>
      </c>
      <c r="L51" t="s">
        <v>31</v>
      </c>
      <c r="M51" t="s">
        <v>111</v>
      </c>
      <c r="N51" t="s">
        <v>23</v>
      </c>
      <c r="O51" t="s">
        <v>24</v>
      </c>
      <c r="P51" t="s">
        <v>34</v>
      </c>
    </row>
    <row r="52" spans="1:16" x14ac:dyDescent="0.25">
      <c r="A52" s="1">
        <v>45661</v>
      </c>
      <c r="B52" t="s">
        <v>112</v>
      </c>
      <c r="C52">
        <v>28703</v>
      </c>
      <c r="D52" t="s">
        <v>70</v>
      </c>
      <c r="E52">
        <v>4</v>
      </c>
      <c r="F52">
        <v>83.85</v>
      </c>
      <c r="G52" t="s">
        <v>84</v>
      </c>
      <c r="H52">
        <v>0.28999999999999998</v>
      </c>
      <c r="I52" t="s">
        <v>29</v>
      </c>
      <c r="J52">
        <v>25.53</v>
      </c>
      <c r="K52" t="s">
        <v>44</v>
      </c>
      <c r="L52" t="s">
        <v>21</v>
      </c>
      <c r="M52" t="s">
        <v>22</v>
      </c>
      <c r="N52" t="s">
        <v>23</v>
      </c>
      <c r="O52" t="s">
        <v>81</v>
      </c>
    </row>
    <row r="53" spans="1:16" x14ac:dyDescent="0.25">
      <c r="A53" s="1">
        <v>45661</v>
      </c>
      <c r="B53" t="s">
        <v>113</v>
      </c>
      <c r="C53">
        <v>48954</v>
      </c>
      <c r="D53" t="s">
        <v>70</v>
      </c>
      <c r="E53">
        <v>10</v>
      </c>
      <c r="F53">
        <v>80.58</v>
      </c>
      <c r="G53" t="s">
        <v>36</v>
      </c>
      <c r="H53">
        <v>0.37</v>
      </c>
      <c r="I53" t="s">
        <v>29</v>
      </c>
      <c r="J53">
        <v>5.49</v>
      </c>
      <c r="K53" t="s">
        <v>44</v>
      </c>
      <c r="L53" t="s">
        <v>31</v>
      </c>
      <c r="M53" t="s">
        <v>22</v>
      </c>
      <c r="N53" t="s">
        <v>23</v>
      </c>
      <c r="O53" s="4" t="s">
        <v>724</v>
      </c>
      <c r="P53" t="s">
        <v>40</v>
      </c>
    </row>
    <row r="54" spans="1:16" x14ac:dyDescent="0.25">
      <c r="A54" s="1">
        <v>45661</v>
      </c>
      <c r="B54" t="s">
        <v>114</v>
      </c>
      <c r="C54">
        <v>23270</v>
      </c>
      <c r="D54" t="s">
        <v>49</v>
      </c>
      <c r="E54">
        <v>12</v>
      </c>
      <c r="F54">
        <v>96.44</v>
      </c>
      <c r="G54" t="s">
        <v>76</v>
      </c>
      <c r="H54">
        <v>0.04</v>
      </c>
      <c r="I54" t="s">
        <v>61</v>
      </c>
      <c r="J54">
        <v>26.77</v>
      </c>
      <c r="K54" t="s">
        <v>20</v>
      </c>
      <c r="L54" t="s">
        <v>21</v>
      </c>
      <c r="M54" t="s">
        <v>22</v>
      </c>
      <c r="N54" t="s">
        <v>38</v>
      </c>
      <c r="O54" t="s">
        <v>24</v>
      </c>
      <c r="P54" t="s">
        <v>34</v>
      </c>
    </row>
    <row r="55" spans="1:16" x14ac:dyDescent="0.25">
      <c r="A55" s="1">
        <v>45661</v>
      </c>
      <c r="B55" t="s">
        <v>115</v>
      </c>
      <c r="C55">
        <v>72813</v>
      </c>
      <c r="D55" t="s">
        <v>70</v>
      </c>
      <c r="E55">
        <v>23</v>
      </c>
      <c r="F55">
        <v>35.85</v>
      </c>
      <c r="G55" t="s">
        <v>72</v>
      </c>
      <c r="H55">
        <v>0.26</v>
      </c>
      <c r="I55" t="s">
        <v>19</v>
      </c>
      <c r="J55">
        <v>16.579999999999998</v>
      </c>
      <c r="K55" t="s">
        <v>20</v>
      </c>
      <c r="L55" t="s">
        <v>21</v>
      </c>
      <c r="M55" t="s">
        <v>22</v>
      </c>
      <c r="N55" t="s">
        <v>38</v>
      </c>
      <c r="O55" t="s">
        <v>33</v>
      </c>
      <c r="P55" t="s">
        <v>25</v>
      </c>
    </row>
    <row r="56" spans="1:16" x14ac:dyDescent="0.25">
      <c r="A56" s="1">
        <v>45661</v>
      </c>
      <c r="B56" t="s">
        <v>116</v>
      </c>
      <c r="C56">
        <v>23776</v>
      </c>
      <c r="D56" t="s">
        <v>27</v>
      </c>
      <c r="G56" t="s">
        <v>55</v>
      </c>
      <c r="H56">
        <v>0.33</v>
      </c>
      <c r="I56" t="s">
        <v>61</v>
      </c>
      <c r="J56">
        <v>24.95</v>
      </c>
      <c r="K56" t="s">
        <v>44</v>
      </c>
      <c r="L56" t="s">
        <v>31</v>
      </c>
      <c r="M56" t="s">
        <v>22</v>
      </c>
      <c r="N56" t="s">
        <v>23</v>
      </c>
      <c r="O56" t="s">
        <v>39</v>
      </c>
    </row>
    <row r="57" spans="1:16" x14ac:dyDescent="0.25">
      <c r="A57" s="1">
        <v>45661</v>
      </c>
      <c r="B57" t="s">
        <v>117</v>
      </c>
      <c r="C57">
        <v>54591</v>
      </c>
      <c r="D57" t="s">
        <v>57</v>
      </c>
      <c r="E57">
        <v>28</v>
      </c>
      <c r="F57">
        <v>54.88</v>
      </c>
      <c r="G57" t="s">
        <v>18</v>
      </c>
      <c r="H57">
        <v>0.3</v>
      </c>
      <c r="I57" t="s">
        <v>19</v>
      </c>
      <c r="J57">
        <v>22.48</v>
      </c>
      <c r="K57" t="s">
        <v>20</v>
      </c>
      <c r="L57" t="s">
        <v>31</v>
      </c>
      <c r="M57" t="s">
        <v>22</v>
      </c>
      <c r="N57" t="s">
        <v>38</v>
      </c>
      <c r="O57" t="s">
        <v>59</v>
      </c>
      <c r="P57" t="s">
        <v>25</v>
      </c>
    </row>
    <row r="58" spans="1:16" x14ac:dyDescent="0.25">
      <c r="A58" s="1">
        <v>45662</v>
      </c>
      <c r="B58" t="s">
        <v>118</v>
      </c>
      <c r="C58">
        <v>25591</v>
      </c>
      <c r="D58" t="s">
        <v>46</v>
      </c>
      <c r="E58">
        <v>20</v>
      </c>
      <c r="F58">
        <v>68.569999999999993</v>
      </c>
      <c r="G58" t="s">
        <v>84</v>
      </c>
      <c r="H58">
        <v>0.26</v>
      </c>
      <c r="I58" t="s">
        <v>29</v>
      </c>
      <c r="J58">
        <v>16.53</v>
      </c>
      <c r="K58" t="s">
        <v>37</v>
      </c>
      <c r="L58" t="s">
        <v>21</v>
      </c>
      <c r="M58" t="s">
        <v>22</v>
      </c>
      <c r="N58" t="s">
        <v>23</v>
      </c>
      <c r="O58" t="s">
        <v>39</v>
      </c>
      <c r="P58" t="s">
        <v>34</v>
      </c>
    </row>
    <row r="59" spans="1:16" x14ac:dyDescent="0.25">
      <c r="A59" s="1">
        <v>45662</v>
      </c>
      <c r="B59" t="s">
        <v>119</v>
      </c>
      <c r="C59">
        <v>13836</v>
      </c>
      <c r="D59" t="s">
        <v>17</v>
      </c>
      <c r="E59">
        <v>5</v>
      </c>
      <c r="F59">
        <v>95.89</v>
      </c>
      <c r="G59" t="s">
        <v>43</v>
      </c>
      <c r="H59">
        <v>0.14000000000000001</v>
      </c>
      <c r="I59" t="s">
        <v>29</v>
      </c>
      <c r="J59">
        <v>23.54</v>
      </c>
      <c r="K59" t="s">
        <v>44</v>
      </c>
      <c r="L59" t="s">
        <v>31</v>
      </c>
      <c r="M59" t="s">
        <v>22</v>
      </c>
      <c r="N59" t="s">
        <v>23</v>
      </c>
      <c r="O59" t="s">
        <v>24</v>
      </c>
      <c r="P59" t="s">
        <v>34</v>
      </c>
    </row>
    <row r="60" spans="1:16" x14ac:dyDescent="0.25">
      <c r="A60" s="1">
        <v>45662</v>
      </c>
      <c r="B60" t="s">
        <v>120</v>
      </c>
      <c r="C60">
        <v>33206</v>
      </c>
      <c r="D60" t="s">
        <v>17</v>
      </c>
      <c r="E60">
        <v>10</v>
      </c>
      <c r="F60">
        <v>47.35</v>
      </c>
      <c r="G60" t="s">
        <v>36</v>
      </c>
      <c r="H60">
        <v>0.17</v>
      </c>
      <c r="I60" t="s">
        <v>29</v>
      </c>
      <c r="J60">
        <v>18.95</v>
      </c>
      <c r="K60" t="s">
        <v>50</v>
      </c>
      <c r="L60" t="s">
        <v>21</v>
      </c>
      <c r="M60" t="s">
        <v>22</v>
      </c>
      <c r="N60" t="s">
        <v>32</v>
      </c>
      <c r="O60" t="s">
        <v>33</v>
      </c>
      <c r="P60" t="s">
        <v>25</v>
      </c>
    </row>
    <row r="61" spans="1:16" x14ac:dyDescent="0.25">
      <c r="A61" s="1">
        <v>45662</v>
      </c>
      <c r="B61" t="s">
        <v>121</v>
      </c>
      <c r="C61">
        <v>90636</v>
      </c>
      <c r="D61" t="s">
        <v>89</v>
      </c>
      <c r="E61">
        <v>9</v>
      </c>
      <c r="F61">
        <v>8.2899999999999991</v>
      </c>
      <c r="G61" t="s">
        <v>76</v>
      </c>
      <c r="H61">
        <v>0.08</v>
      </c>
      <c r="I61" t="s">
        <v>61</v>
      </c>
      <c r="J61">
        <v>12.66</v>
      </c>
      <c r="K61" t="s">
        <v>30</v>
      </c>
      <c r="L61" t="s">
        <v>31</v>
      </c>
      <c r="M61" t="s">
        <v>22</v>
      </c>
      <c r="N61" t="s">
        <v>38</v>
      </c>
      <c r="O61" t="s">
        <v>81</v>
      </c>
      <c r="P61" t="s">
        <v>25</v>
      </c>
    </row>
    <row r="62" spans="1:16" x14ac:dyDescent="0.25">
      <c r="A62" s="1">
        <v>45662</v>
      </c>
      <c r="B62" t="s">
        <v>122</v>
      </c>
      <c r="C62">
        <v>72201</v>
      </c>
      <c r="D62" t="s">
        <v>66</v>
      </c>
      <c r="E62">
        <v>1</v>
      </c>
      <c r="F62">
        <v>71.87</v>
      </c>
      <c r="G62" t="s">
        <v>43</v>
      </c>
      <c r="H62">
        <v>0.08</v>
      </c>
      <c r="I62" t="s">
        <v>61</v>
      </c>
      <c r="J62">
        <v>12.73</v>
      </c>
      <c r="K62" t="s">
        <v>20</v>
      </c>
      <c r="L62" t="s">
        <v>31</v>
      </c>
      <c r="M62" t="s">
        <v>111</v>
      </c>
      <c r="N62" t="s">
        <v>38</v>
      </c>
      <c r="O62" t="s">
        <v>81</v>
      </c>
      <c r="P62" t="s">
        <v>25</v>
      </c>
    </row>
    <row r="63" spans="1:16" x14ac:dyDescent="0.25">
      <c r="A63" s="1">
        <v>45662</v>
      </c>
      <c r="B63" t="s">
        <v>123</v>
      </c>
      <c r="C63">
        <v>46223</v>
      </c>
      <c r="D63" t="s">
        <v>27</v>
      </c>
      <c r="E63">
        <v>33</v>
      </c>
      <c r="F63">
        <v>70.89</v>
      </c>
      <c r="G63" t="s">
        <v>58</v>
      </c>
      <c r="H63">
        <v>0.09</v>
      </c>
      <c r="I63" t="s">
        <v>19</v>
      </c>
      <c r="J63">
        <v>18.09</v>
      </c>
      <c r="K63" t="s">
        <v>37</v>
      </c>
      <c r="L63" t="s">
        <v>21</v>
      </c>
      <c r="M63" t="s">
        <v>22</v>
      </c>
      <c r="N63" t="s">
        <v>38</v>
      </c>
      <c r="O63" t="s">
        <v>59</v>
      </c>
      <c r="P63" t="s">
        <v>25</v>
      </c>
    </row>
    <row r="64" spans="1:16" x14ac:dyDescent="0.25">
      <c r="A64" s="1">
        <v>45662</v>
      </c>
      <c r="B64" t="s">
        <v>124</v>
      </c>
      <c r="C64">
        <v>19484</v>
      </c>
      <c r="D64" t="s">
        <v>57</v>
      </c>
      <c r="E64">
        <v>16</v>
      </c>
      <c r="F64">
        <v>78.33</v>
      </c>
      <c r="G64" t="s">
        <v>58</v>
      </c>
      <c r="H64">
        <v>0.2</v>
      </c>
      <c r="I64" t="s">
        <v>61</v>
      </c>
      <c r="J64">
        <v>10.8</v>
      </c>
      <c r="K64" t="s">
        <v>37</v>
      </c>
      <c r="L64" t="s">
        <v>21</v>
      </c>
      <c r="M64" t="s">
        <v>22</v>
      </c>
      <c r="N64" t="s">
        <v>53</v>
      </c>
      <c r="O64" t="s">
        <v>59</v>
      </c>
      <c r="P64" t="s">
        <v>25</v>
      </c>
    </row>
    <row r="65" spans="1:16" x14ac:dyDescent="0.25">
      <c r="A65" s="1">
        <v>45662</v>
      </c>
      <c r="B65" t="s">
        <v>74</v>
      </c>
      <c r="C65">
        <v>80718</v>
      </c>
      <c r="D65" t="s">
        <v>68</v>
      </c>
      <c r="E65">
        <v>2</v>
      </c>
      <c r="F65">
        <v>38.07</v>
      </c>
      <c r="G65" t="s">
        <v>55</v>
      </c>
      <c r="H65">
        <v>0.34</v>
      </c>
      <c r="I65" t="s">
        <v>29</v>
      </c>
      <c r="J65">
        <v>10.15</v>
      </c>
      <c r="K65" t="s">
        <v>44</v>
      </c>
      <c r="L65" t="s">
        <v>31</v>
      </c>
      <c r="M65" t="s">
        <v>22</v>
      </c>
      <c r="N65" t="s">
        <v>23</v>
      </c>
      <c r="O65" t="s">
        <v>24</v>
      </c>
      <c r="P65" t="s">
        <v>25</v>
      </c>
    </row>
    <row r="66" spans="1:16" x14ac:dyDescent="0.25">
      <c r="A66" s="1">
        <v>45662</v>
      </c>
      <c r="B66" t="s">
        <v>125</v>
      </c>
      <c r="C66">
        <v>15751</v>
      </c>
      <c r="D66" t="s">
        <v>89</v>
      </c>
      <c r="E66">
        <v>39</v>
      </c>
      <c r="F66">
        <v>71.94</v>
      </c>
      <c r="G66" t="s">
        <v>58</v>
      </c>
      <c r="H66">
        <v>0.02</v>
      </c>
      <c r="I66" t="s">
        <v>29</v>
      </c>
      <c r="J66">
        <v>23</v>
      </c>
      <c r="K66" t="s">
        <v>44</v>
      </c>
      <c r="L66" t="s">
        <v>31</v>
      </c>
      <c r="M66" t="s">
        <v>22</v>
      </c>
      <c r="N66" t="s">
        <v>53</v>
      </c>
      <c r="O66" t="s">
        <v>81</v>
      </c>
      <c r="P66" t="s">
        <v>34</v>
      </c>
    </row>
    <row r="67" spans="1:16" x14ac:dyDescent="0.25">
      <c r="A67" s="1">
        <v>45662</v>
      </c>
      <c r="B67" t="s">
        <v>126</v>
      </c>
      <c r="C67">
        <v>14246</v>
      </c>
      <c r="D67" t="s">
        <v>70</v>
      </c>
      <c r="E67">
        <v>47</v>
      </c>
      <c r="F67">
        <v>82.94</v>
      </c>
      <c r="G67" t="s">
        <v>18</v>
      </c>
      <c r="H67">
        <v>0.39</v>
      </c>
      <c r="I67" t="s">
        <v>61</v>
      </c>
      <c r="J67">
        <v>7.53</v>
      </c>
      <c r="K67" t="s">
        <v>30</v>
      </c>
      <c r="L67" t="s">
        <v>21</v>
      </c>
      <c r="M67" t="s">
        <v>22</v>
      </c>
      <c r="N67" t="s">
        <v>23</v>
      </c>
      <c r="O67" t="s">
        <v>81</v>
      </c>
      <c r="P67" t="s">
        <v>34</v>
      </c>
    </row>
    <row r="68" spans="1:16" x14ac:dyDescent="0.25">
      <c r="A68" s="1">
        <v>45663</v>
      </c>
      <c r="B68" t="s">
        <v>127</v>
      </c>
      <c r="C68">
        <v>99047</v>
      </c>
      <c r="D68" t="s">
        <v>17</v>
      </c>
      <c r="E68">
        <v>26</v>
      </c>
      <c r="F68">
        <v>37.479999999999997</v>
      </c>
      <c r="G68" t="s">
        <v>36</v>
      </c>
      <c r="H68">
        <v>0.16</v>
      </c>
      <c r="I68" t="s">
        <v>61</v>
      </c>
      <c r="J68">
        <v>22.54</v>
      </c>
      <c r="K68" t="s">
        <v>20</v>
      </c>
      <c r="L68" t="s">
        <v>31</v>
      </c>
      <c r="M68" t="s">
        <v>22</v>
      </c>
      <c r="N68" t="s">
        <v>53</v>
      </c>
      <c r="O68" t="s">
        <v>24</v>
      </c>
    </row>
    <row r="69" spans="1:16" x14ac:dyDescent="0.25">
      <c r="A69" s="1">
        <v>45663</v>
      </c>
      <c r="B69" t="s">
        <v>128</v>
      </c>
      <c r="C69">
        <v>81766</v>
      </c>
      <c r="D69" t="s">
        <v>27</v>
      </c>
      <c r="E69">
        <v>18</v>
      </c>
      <c r="F69">
        <v>88.56</v>
      </c>
      <c r="G69" t="s">
        <v>47</v>
      </c>
      <c r="H69">
        <v>0.08</v>
      </c>
      <c r="I69" t="s">
        <v>29</v>
      </c>
      <c r="J69">
        <v>6.1</v>
      </c>
      <c r="K69" t="s">
        <v>50</v>
      </c>
      <c r="L69" t="s">
        <v>21</v>
      </c>
      <c r="M69" t="s">
        <v>22</v>
      </c>
      <c r="N69" t="s">
        <v>23</v>
      </c>
      <c r="O69" t="s">
        <v>59</v>
      </c>
      <c r="P69" t="s">
        <v>40</v>
      </c>
    </row>
    <row r="70" spans="1:16" x14ac:dyDescent="0.25">
      <c r="A70" s="1">
        <v>45663</v>
      </c>
      <c r="B70" t="s">
        <v>129</v>
      </c>
      <c r="C70">
        <v>66550</v>
      </c>
      <c r="D70" t="s">
        <v>89</v>
      </c>
      <c r="E70">
        <v>31</v>
      </c>
      <c r="F70">
        <v>74.2</v>
      </c>
      <c r="G70" t="s">
        <v>84</v>
      </c>
      <c r="H70">
        <v>0.14000000000000001</v>
      </c>
      <c r="I70" t="s">
        <v>29</v>
      </c>
      <c r="J70">
        <v>7.89</v>
      </c>
      <c r="K70" t="s">
        <v>44</v>
      </c>
      <c r="L70" t="s">
        <v>21</v>
      </c>
      <c r="N70" t="s">
        <v>53</v>
      </c>
      <c r="O70" t="s">
        <v>723</v>
      </c>
      <c r="P70" t="s">
        <v>34</v>
      </c>
    </row>
    <row r="71" spans="1:16" x14ac:dyDescent="0.25">
      <c r="A71" s="1">
        <v>45663</v>
      </c>
      <c r="B71" t="s">
        <v>130</v>
      </c>
      <c r="C71">
        <v>88028</v>
      </c>
      <c r="D71" t="s">
        <v>66</v>
      </c>
      <c r="E71">
        <v>32</v>
      </c>
      <c r="F71">
        <v>39.68</v>
      </c>
      <c r="G71" t="s">
        <v>84</v>
      </c>
      <c r="H71">
        <v>0.38</v>
      </c>
      <c r="I71" t="s">
        <v>61</v>
      </c>
      <c r="J71">
        <v>27.11</v>
      </c>
      <c r="K71" t="s">
        <v>30</v>
      </c>
      <c r="L71" t="s">
        <v>21</v>
      </c>
      <c r="M71" t="s">
        <v>22</v>
      </c>
      <c r="N71" t="s">
        <v>38</v>
      </c>
      <c r="O71" t="s">
        <v>33</v>
      </c>
      <c r="P71" t="s">
        <v>34</v>
      </c>
    </row>
    <row r="72" spans="1:16" x14ac:dyDescent="0.25">
      <c r="A72" s="1">
        <v>45663</v>
      </c>
      <c r="B72" t="s">
        <v>131</v>
      </c>
      <c r="C72">
        <v>65380</v>
      </c>
      <c r="D72" t="s">
        <v>46</v>
      </c>
      <c r="E72">
        <v>23</v>
      </c>
      <c r="F72">
        <v>53.65</v>
      </c>
      <c r="G72" t="s">
        <v>84</v>
      </c>
      <c r="H72">
        <v>0.49</v>
      </c>
      <c r="I72" t="s">
        <v>19</v>
      </c>
      <c r="J72">
        <v>27.75</v>
      </c>
      <c r="K72" t="s">
        <v>20</v>
      </c>
      <c r="L72" t="s">
        <v>31</v>
      </c>
      <c r="M72" t="s">
        <v>22</v>
      </c>
      <c r="N72" t="s">
        <v>32</v>
      </c>
      <c r="O72" t="s">
        <v>726</v>
      </c>
      <c r="P72" t="s">
        <v>40</v>
      </c>
    </row>
    <row r="73" spans="1:16" x14ac:dyDescent="0.25">
      <c r="A73" s="1">
        <v>45663</v>
      </c>
      <c r="B73" t="s">
        <v>132</v>
      </c>
      <c r="C73">
        <v>93932</v>
      </c>
      <c r="D73" t="s">
        <v>70</v>
      </c>
      <c r="E73">
        <v>15</v>
      </c>
      <c r="G73" t="s">
        <v>18</v>
      </c>
      <c r="H73">
        <v>0.36</v>
      </c>
      <c r="I73" t="s">
        <v>61</v>
      </c>
      <c r="J73">
        <v>8.69</v>
      </c>
      <c r="K73" t="s">
        <v>50</v>
      </c>
      <c r="L73" t="s">
        <v>31</v>
      </c>
      <c r="M73" t="s">
        <v>22</v>
      </c>
      <c r="N73" t="s">
        <v>38</v>
      </c>
      <c r="O73" t="s">
        <v>81</v>
      </c>
      <c r="P73" t="s">
        <v>25</v>
      </c>
    </row>
    <row r="74" spans="1:16" x14ac:dyDescent="0.25">
      <c r="A74" s="1">
        <v>45663</v>
      </c>
      <c r="B74" t="s">
        <v>97</v>
      </c>
      <c r="C74">
        <v>99241</v>
      </c>
      <c r="D74" t="s">
        <v>27</v>
      </c>
      <c r="E74">
        <v>24</v>
      </c>
      <c r="F74">
        <v>1.34</v>
      </c>
      <c r="G74" t="s">
        <v>43</v>
      </c>
      <c r="H74">
        <v>0.13</v>
      </c>
      <c r="I74" t="s">
        <v>19</v>
      </c>
      <c r="J74">
        <v>29.88</v>
      </c>
      <c r="K74" t="s">
        <v>20</v>
      </c>
      <c r="L74" t="s">
        <v>21</v>
      </c>
      <c r="M74" t="s">
        <v>22</v>
      </c>
      <c r="N74" t="s">
        <v>32</v>
      </c>
      <c r="O74" t="s">
        <v>24</v>
      </c>
      <c r="P74" t="s">
        <v>34</v>
      </c>
    </row>
    <row r="75" spans="1:16" x14ac:dyDescent="0.25">
      <c r="A75" s="1">
        <v>45663</v>
      </c>
      <c r="B75" t="s">
        <v>133</v>
      </c>
      <c r="C75">
        <v>70895</v>
      </c>
      <c r="D75" t="s">
        <v>27</v>
      </c>
      <c r="E75">
        <v>21</v>
      </c>
      <c r="F75">
        <v>90.37</v>
      </c>
      <c r="G75" t="s">
        <v>84</v>
      </c>
      <c r="H75">
        <v>0.08</v>
      </c>
      <c r="I75" t="s">
        <v>61</v>
      </c>
      <c r="J75">
        <v>18.82</v>
      </c>
      <c r="K75" t="s">
        <v>50</v>
      </c>
      <c r="L75" t="s">
        <v>31</v>
      </c>
      <c r="M75" t="s">
        <v>22</v>
      </c>
      <c r="N75" t="s">
        <v>38</v>
      </c>
      <c r="O75" t="s">
        <v>59</v>
      </c>
      <c r="P75" t="s">
        <v>40</v>
      </c>
    </row>
    <row r="76" spans="1:16" x14ac:dyDescent="0.25">
      <c r="A76" s="1">
        <v>45663</v>
      </c>
      <c r="B76" t="s">
        <v>134</v>
      </c>
      <c r="C76">
        <v>28924</v>
      </c>
      <c r="D76" t="s">
        <v>27</v>
      </c>
      <c r="E76">
        <v>1</v>
      </c>
      <c r="F76">
        <v>27.12</v>
      </c>
      <c r="G76" t="s">
        <v>55</v>
      </c>
      <c r="H76">
        <v>0.01</v>
      </c>
      <c r="I76" t="s">
        <v>29</v>
      </c>
      <c r="J76">
        <v>13.58</v>
      </c>
      <c r="K76" t="s">
        <v>37</v>
      </c>
      <c r="L76" t="s">
        <v>31</v>
      </c>
      <c r="M76" t="s">
        <v>22</v>
      </c>
      <c r="N76" t="s">
        <v>53</v>
      </c>
      <c r="O76" t="s">
        <v>39</v>
      </c>
      <c r="P76" t="s">
        <v>25</v>
      </c>
    </row>
    <row r="77" spans="1:16" x14ac:dyDescent="0.25">
      <c r="A77" s="1">
        <v>45663</v>
      </c>
      <c r="B77" t="s">
        <v>135</v>
      </c>
      <c r="C77">
        <v>62316</v>
      </c>
      <c r="D77" t="s">
        <v>75</v>
      </c>
      <c r="E77">
        <v>21</v>
      </c>
      <c r="F77">
        <v>77.22</v>
      </c>
      <c r="G77" t="s">
        <v>43</v>
      </c>
      <c r="H77">
        <v>0.03</v>
      </c>
      <c r="I77" t="s">
        <v>29</v>
      </c>
      <c r="J77">
        <v>13.56</v>
      </c>
      <c r="K77" t="s">
        <v>37</v>
      </c>
      <c r="L77" t="s">
        <v>31</v>
      </c>
      <c r="M77" t="s">
        <v>22</v>
      </c>
      <c r="N77" t="s">
        <v>32</v>
      </c>
      <c r="O77" t="s">
        <v>33</v>
      </c>
      <c r="P77" t="s">
        <v>40</v>
      </c>
    </row>
    <row r="78" spans="1:16" x14ac:dyDescent="0.25">
      <c r="A78" s="1">
        <v>45663</v>
      </c>
      <c r="B78" t="s">
        <v>136</v>
      </c>
      <c r="C78">
        <v>72044</v>
      </c>
      <c r="D78" t="s">
        <v>17</v>
      </c>
      <c r="E78">
        <v>14</v>
      </c>
      <c r="F78">
        <v>15.36</v>
      </c>
      <c r="G78" t="s">
        <v>55</v>
      </c>
      <c r="H78">
        <v>0.26</v>
      </c>
      <c r="I78" t="s">
        <v>19</v>
      </c>
      <c r="J78">
        <v>7.86</v>
      </c>
      <c r="K78" t="s">
        <v>44</v>
      </c>
      <c r="L78" t="s">
        <v>31</v>
      </c>
      <c r="M78" t="s">
        <v>22</v>
      </c>
      <c r="N78" t="s">
        <v>53</v>
      </c>
      <c r="O78" t="s">
        <v>24</v>
      </c>
      <c r="P78" t="s">
        <v>25</v>
      </c>
    </row>
    <row r="79" spans="1:16" x14ac:dyDescent="0.25">
      <c r="A79" s="1">
        <v>45663</v>
      </c>
      <c r="B79" t="s">
        <v>137</v>
      </c>
      <c r="C79">
        <v>83705</v>
      </c>
      <c r="D79" t="s">
        <v>89</v>
      </c>
      <c r="E79">
        <v>18</v>
      </c>
      <c r="F79">
        <v>81.540000000000006</v>
      </c>
      <c r="G79" t="s">
        <v>52</v>
      </c>
      <c r="H79">
        <v>0.42</v>
      </c>
      <c r="I79" t="s">
        <v>29</v>
      </c>
      <c r="J79">
        <v>19.64</v>
      </c>
      <c r="K79" t="s">
        <v>30</v>
      </c>
      <c r="L79" t="s">
        <v>21</v>
      </c>
      <c r="M79" t="s">
        <v>22</v>
      </c>
      <c r="N79" t="s">
        <v>32</v>
      </c>
      <c r="O79" t="s">
        <v>24</v>
      </c>
      <c r="P79" t="s">
        <v>40</v>
      </c>
    </row>
    <row r="80" spans="1:16" x14ac:dyDescent="0.25">
      <c r="A80" s="1">
        <v>45663</v>
      </c>
      <c r="B80" t="s">
        <v>138</v>
      </c>
      <c r="C80">
        <v>65949</v>
      </c>
      <c r="D80" t="s">
        <v>66</v>
      </c>
      <c r="E80">
        <v>29</v>
      </c>
      <c r="F80">
        <v>63.02</v>
      </c>
      <c r="G80" t="s">
        <v>84</v>
      </c>
      <c r="H80">
        <v>0.08</v>
      </c>
      <c r="I80" t="s">
        <v>19</v>
      </c>
      <c r="J80">
        <v>16.03</v>
      </c>
      <c r="K80" t="s">
        <v>37</v>
      </c>
      <c r="L80" t="s">
        <v>31</v>
      </c>
      <c r="M80" t="s">
        <v>22</v>
      </c>
      <c r="N80" t="s">
        <v>32</v>
      </c>
      <c r="O80" t="s">
        <v>33</v>
      </c>
      <c r="P80" t="s">
        <v>25</v>
      </c>
    </row>
    <row r="81" spans="1:16" x14ac:dyDescent="0.25">
      <c r="A81" s="1">
        <v>45663</v>
      </c>
      <c r="B81" t="s">
        <v>114</v>
      </c>
      <c r="C81">
        <v>67424</v>
      </c>
      <c r="D81" t="s">
        <v>66</v>
      </c>
      <c r="E81">
        <v>35</v>
      </c>
      <c r="F81">
        <v>9.94</v>
      </c>
      <c r="G81" t="s">
        <v>55</v>
      </c>
      <c r="H81">
        <v>0.09</v>
      </c>
      <c r="I81" t="s">
        <v>29</v>
      </c>
      <c r="J81">
        <v>26.08</v>
      </c>
      <c r="K81" t="s">
        <v>30</v>
      </c>
      <c r="L81" t="s">
        <v>21</v>
      </c>
      <c r="M81" t="s">
        <v>22</v>
      </c>
      <c r="N81" t="s">
        <v>53</v>
      </c>
      <c r="O81" t="s">
        <v>81</v>
      </c>
      <c r="P81" t="s">
        <v>40</v>
      </c>
    </row>
    <row r="82" spans="1:16" x14ac:dyDescent="0.25">
      <c r="A82" s="1">
        <v>45663</v>
      </c>
      <c r="B82" t="s">
        <v>139</v>
      </c>
      <c r="C82">
        <v>23010</v>
      </c>
      <c r="D82" t="s">
        <v>42</v>
      </c>
      <c r="E82">
        <v>25</v>
      </c>
      <c r="F82">
        <v>22.54</v>
      </c>
      <c r="G82" t="s">
        <v>99</v>
      </c>
      <c r="H82">
        <v>0.5</v>
      </c>
      <c r="I82" t="s">
        <v>61</v>
      </c>
      <c r="J82">
        <v>23.82</v>
      </c>
      <c r="K82" t="s">
        <v>37</v>
      </c>
      <c r="L82" t="s">
        <v>31</v>
      </c>
      <c r="M82" t="s">
        <v>22</v>
      </c>
      <c r="N82" t="s">
        <v>38</v>
      </c>
      <c r="O82" t="s">
        <v>81</v>
      </c>
    </row>
    <row r="83" spans="1:16" x14ac:dyDescent="0.25">
      <c r="A83" s="1">
        <v>45663</v>
      </c>
      <c r="B83" t="s">
        <v>107</v>
      </c>
      <c r="C83">
        <v>89857</v>
      </c>
      <c r="D83" t="s">
        <v>89</v>
      </c>
      <c r="E83">
        <v>1</v>
      </c>
      <c r="F83">
        <v>73.650000000000006</v>
      </c>
      <c r="G83" t="s">
        <v>47</v>
      </c>
      <c r="H83">
        <v>0.02</v>
      </c>
      <c r="I83" t="s">
        <v>29</v>
      </c>
      <c r="J83">
        <v>5.0999999999999996</v>
      </c>
      <c r="K83" t="s">
        <v>20</v>
      </c>
      <c r="L83" t="s">
        <v>31</v>
      </c>
      <c r="M83" t="s">
        <v>22</v>
      </c>
      <c r="N83" t="s">
        <v>53</v>
      </c>
      <c r="O83" t="s">
        <v>59</v>
      </c>
      <c r="P83" t="s">
        <v>34</v>
      </c>
    </row>
    <row r="84" spans="1:16" x14ac:dyDescent="0.25">
      <c r="A84" s="1">
        <v>45663</v>
      </c>
      <c r="B84" t="s">
        <v>140</v>
      </c>
      <c r="C84">
        <v>58016</v>
      </c>
      <c r="D84" t="s">
        <v>17</v>
      </c>
      <c r="F84">
        <v>93.04</v>
      </c>
      <c r="G84" t="s">
        <v>72</v>
      </c>
      <c r="H84">
        <v>0.2</v>
      </c>
      <c r="I84" t="s">
        <v>61</v>
      </c>
      <c r="J84">
        <v>18.920000000000002</v>
      </c>
      <c r="K84" t="s">
        <v>44</v>
      </c>
      <c r="L84" t="s">
        <v>21</v>
      </c>
      <c r="M84" t="s">
        <v>22</v>
      </c>
      <c r="N84" t="s">
        <v>38</v>
      </c>
      <c r="O84" t="s">
        <v>39</v>
      </c>
      <c r="P84" t="s">
        <v>25</v>
      </c>
    </row>
    <row r="85" spans="1:16" x14ac:dyDescent="0.25">
      <c r="A85" s="1">
        <v>45663</v>
      </c>
      <c r="B85" t="s">
        <v>114</v>
      </c>
      <c r="C85">
        <v>45448</v>
      </c>
      <c r="D85" t="s">
        <v>70</v>
      </c>
      <c r="E85">
        <v>30</v>
      </c>
      <c r="F85">
        <v>9.68</v>
      </c>
      <c r="G85" t="s">
        <v>55</v>
      </c>
      <c r="H85">
        <v>0.41</v>
      </c>
      <c r="I85" t="s">
        <v>61</v>
      </c>
      <c r="J85">
        <v>15.4</v>
      </c>
      <c r="K85" t="s">
        <v>50</v>
      </c>
      <c r="L85" t="s">
        <v>21</v>
      </c>
      <c r="M85" t="s">
        <v>22</v>
      </c>
      <c r="N85" t="s">
        <v>32</v>
      </c>
      <c r="O85" t="s">
        <v>24</v>
      </c>
      <c r="P85" t="s">
        <v>25</v>
      </c>
    </row>
    <row r="86" spans="1:16" x14ac:dyDescent="0.25">
      <c r="A86" s="1">
        <v>45663</v>
      </c>
      <c r="B86" t="s">
        <v>141</v>
      </c>
      <c r="C86">
        <v>34587</v>
      </c>
      <c r="D86" t="s">
        <v>46</v>
      </c>
      <c r="E86">
        <v>7</v>
      </c>
      <c r="F86">
        <v>81.52</v>
      </c>
      <c r="G86" t="s">
        <v>84</v>
      </c>
      <c r="H86">
        <v>0.04</v>
      </c>
      <c r="I86" t="s">
        <v>29</v>
      </c>
      <c r="J86">
        <v>23.06</v>
      </c>
      <c r="K86" t="s">
        <v>44</v>
      </c>
      <c r="L86" t="s">
        <v>31</v>
      </c>
      <c r="M86" t="s">
        <v>22</v>
      </c>
      <c r="N86" t="s">
        <v>23</v>
      </c>
      <c r="O86" t="s">
        <v>24</v>
      </c>
      <c r="P86" t="s">
        <v>34</v>
      </c>
    </row>
    <row r="87" spans="1:16" x14ac:dyDescent="0.25">
      <c r="A87" s="1">
        <v>45663</v>
      </c>
      <c r="B87" t="s">
        <v>142</v>
      </c>
      <c r="C87">
        <v>19986</v>
      </c>
      <c r="D87" t="s">
        <v>46</v>
      </c>
      <c r="E87">
        <v>13</v>
      </c>
      <c r="F87">
        <v>85.65</v>
      </c>
      <c r="G87" t="s">
        <v>72</v>
      </c>
      <c r="H87">
        <v>0.24</v>
      </c>
      <c r="I87" t="s">
        <v>61</v>
      </c>
      <c r="J87">
        <v>20.34</v>
      </c>
      <c r="K87" t="s">
        <v>30</v>
      </c>
      <c r="L87" t="s">
        <v>31</v>
      </c>
      <c r="M87" t="s">
        <v>22</v>
      </c>
      <c r="N87" t="s">
        <v>23</v>
      </c>
      <c r="O87" t="s">
        <v>33</v>
      </c>
      <c r="P87" t="s">
        <v>40</v>
      </c>
    </row>
    <row r="88" spans="1:16" x14ac:dyDescent="0.25">
      <c r="A88" s="1">
        <v>45663</v>
      </c>
      <c r="B88" t="s">
        <v>143</v>
      </c>
      <c r="C88">
        <v>94171</v>
      </c>
      <c r="D88" t="s">
        <v>75</v>
      </c>
      <c r="E88">
        <v>40</v>
      </c>
      <c r="G88" t="s">
        <v>72</v>
      </c>
      <c r="H88">
        <v>0.37</v>
      </c>
      <c r="I88" t="s">
        <v>19</v>
      </c>
      <c r="J88">
        <v>26.65</v>
      </c>
      <c r="K88" t="s">
        <v>30</v>
      </c>
      <c r="L88" t="s">
        <v>31</v>
      </c>
      <c r="N88" t="s">
        <v>53</v>
      </c>
      <c r="O88" t="s">
        <v>81</v>
      </c>
      <c r="P88" t="s">
        <v>25</v>
      </c>
    </row>
    <row r="89" spans="1:16" x14ac:dyDescent="0.25">
      <c r="A89" s="1">
        <v>45663</v>
      </c>
      <c r="B89" t="s">
        <v>144</v>
      </c>
      <c r="C89">
        <v>82934</v>
      </c>
      <c r="D89" t="s">
        <v>66</v>
      </c>
      <c r="E89">
        <v>18</v>
      </c>
      <c r="F89">
        <v>98.2</v>
      </c>
      <c r="G89" t="s">
        <v>47</v>
      </c>
      <c r="H89">
        <v>0.17</v>
      </c>
      <c r="I89" t="s">
        <v>61</v>
      </c>
      <c r="J89">
        <v>29.12</v>
      </c>
      <c r="K89" t="s">
        <v>20</v>
      </c>
      <c r="L89" t="s">
        <v>31</v>
      </c>
      <c r="M89" t="s">
        <v>22</v>
      </c>
      <c r="N89" t="s">
        <v>32</v>
      </c>
      <c r="O89" t="s">
        <v>722</v>
      </c>
      <c r="P89" t="s">
        <v>40</v>
      </c>
    </row>
    <row r="90" spans="1:16" x14ac:dyDescent="0.25">
      <c r="A90" s="1">
        <v>45664</v>
      </c>
      <c r="B90" t="s">
        <v>145</v>
      </c>
      <c r="C90">
        <v>27289</v>
      </c>
      <c r="D90" t="s">
        <v>46</v>
      </c>
      <c r="E90">
        <v>47</v>
      </c>
      <c r="F90">
        <v>79.33</v>
      </c>
      <c r="G90" t="s">
        <v>84</v>
      </c>
      <c r="H90">
        <v>0.23</v>
      </c>
      <c r="I90" t="s">
        <v>19</v>
      </c>
      <c r="J90">
        <v>12.5</v>
      </c>
      <c r="K90" t="s">
        <v>50</v>
      </c>
      <c r="L90" t="s">
        <v>21</v>
      </c>
      <c r="M90" t="s">
        <v>22</v>
      </c>
      <c r="N90" t="s">
        <v>38</v>
      </c>
      <c r="O90" t="s">
        <v>24</v>
      </c>
      <c r="P90" t="s">
        <v>40</v>
      </c>
    </row>
    <row r="91" spans="1:16" x14ac:dyDescent="0.25">
      <c r="A91" s="1">
        <v>45664</v>
      </c>
      <c r="B91" t="s">
        <v>146</v>
      </c>
      <c r="C91">
        <v>57608</v>
      </c>
      <c r="D91" t="s">
        <v>89</v>
      </c>
      <c r="E91">
        <v>43</v>
      </c>
      <c r="F91">
        <v>88.49</v>
      </c>
      <c r="G91" t="s">
        <v>58</v>
      </c>
      <c r="H91">
        <v>0.33</v>
      </c>
      <c r="I91" t="s">
        <v>29</v>
      </c>
      <c r="J91">
        <v>27.94</v>
      </c>
      <c r="K91" t="s">
        <v>20</v>
      </c>
      <c r="L91" t="s">
        <v>31</v>
      </c>
      <c r="M91" t="s">
        <v>22</v>
      </c>
      <c r="N91" t="s">
        <v>23</v>
      </c>
      <c r="O91" t="s">
        <v>39</v>
      </c>
      <c r="P91" t="s">
        <v>34</v>
      </c>
    </row>
    <row r="92" spans="1:16" x14ac:dyDescent="0.25">
      <c r="A92" s="1">
        <v>45664</v>
      </c>
      <c r="B92" t="s">
        <v>147</v>
      </c>
      <c r="C92">
        <v>64209</v>
      </c>
      <c r="D92" t="s">
        <v>70</v>
      </c>
      <c r="E92">
        <v>43</v>
      </c>
      <c r="F92">
        <v>48.72</v>
      </c>
      <c r="G92" t="s">
        <v>36</v>
      </c>
      <c r="H92">
        <v>0.05</v>
      </c>
      <c r="I92" t="s">
        <v>61</v>
      </c>
      <c r="J92">
        <v>12.54</v>
      </c>
      <c r="K92" t="s">
        <v>37</v>
      </c>
      <c r="L92" t="s">
        <v>21</v>
      </c>
      <c r="M92" t="s">
        <v>22</v>
      </c>
      <c r="N92" t="s">
        <v>23</v>
      </c>
      <c r="O92" t="s">
        <v>59</v>
      </c>
      <c r="P92" t="s">
        <v>34</v>
      </c>
    </row>
    <row r="93" spans="1:16" x14ac:dyDescent="0.25">
      <c r="A93" s="1">
        <v>45664</v>
      </c>
      <c r="B93" t="s">
        <v>148</v>
      </c>
      <c r="C93">
        <v>36008</v>
      </c>
      <c r="D93" t="s">
        <v>46</v>
      </c>
      <c r="E93">
        <v>43</v>
      </c>
      <c r="F93">
        <v>61.11</v>
      </c>
      <c r="G93" t="s">
        <v>28</v>
      </c>
      <c r="H93">
        <v>0.25</v>
      </c>
      <c r="I93" t="s">
        <v>19</v>
      </c>
      <c r="J93">
        <v>13.76</v>
      </c>
      <c r="K93" t="s">
        <v>37</v>
      </c>
      <c r="L93" t="s">
        <v>31</v>
      </c>
      <c r="M93" t="s">
        <v>22</v>
      </c>
      <c r="N93" t="s">
        <v>53</v>
      </c>
      <c r="O93" t="s">
        <v>81</v>
      </c>
      <c r="P93" t="s">
        <v>34</v>
      </c>
    </row>
    <row r="94" spans="1:16" x14ac:dyDescent="0.25">
      <c r="A94" s="1">
        <v>45664</v>
      </c>
      <c r="B94" t="s">
        <v>149</v>
      </c>
      <c r="C94">
        <v>73531</v>
      </c>
      <c r="D94" t="s">
        <v>66</v>
      </c>
      <c r="E94">
        <v>10</v>
      </c>
      <c r="F94">
        <v>16.079999999999998</v>
      </c>
      <c r="G94" t="s">
        <v>76</v>
      </c>
      <c r="H94">
        <v>0.37</v>
      </c>
      <c r="I94" t="s">
        <v>19</v>
      </c>
      <c r="J94">
        <v>27.78</v>
      </c>
      <c r="K94" t="s">
        <v>44</v>
      </c>
      <c r="L94" t="s">
        <v>21</v>
      </c>
      <c r="M94" t="s">
        <v>22</v>
      </c>
      <c r="N94" t="s">
        <v>23</v>
      </c>
      <c r="O94" t="s">
        <v>59</v>
      </c>
      <c r="P94" t="s">
        <v>25</v>
      </c>
    </row>
    <row r="95" spans="1:16" x14ac:dyDescent="0.25">
      <c r="A95" s="1">
        <v>45664</v>
      </c>
      <c r="B95" t="s">
        <v>150</v>
      </c>
      <c r="C95">
        <v>95902</v>
      </c>
      <c r="D95" t="s">
        <v>57</v>
      </c>
      <c r="E95">
        <v>39</v>
      </c>
      <c r="F95">
        <v>28.42</v>
      </c>
      <c r="G95" t="s">
        <v>99</v>
      </c>
      <c r="H95">
        <v>0.28999999999999998</v>
      </c>
      <c r="I95" t="s">
        <v>29</v>
      </c>
      <c r="J95">
        <v>13.04</v>
      </c>
      <c r="K95" t="s">
        <v>20</v>
      </c>
      <c r="L95" t="s">
        <v>31</v>
      </c>
      <c r="M95" t="s">
        <v>22</v>
      </c>
      <c r="N95" t="s">
        <v>23</v>
      </c>
      <c r="O95" t="s">
        <v>81</v>
      </c>
      <c r="P95" t="s">
        <v>34</v>
      </c>
    </row>
    <row r="96" spans="1:16" x14ac:dyDescent="0.25">
      <c r="A96" s="1">
        <v>45664</v>
      </c>
      <c r="B96" t="s">
        <v>151</v>
      </c>
      <c r="C96">
        <v>87182</v>
      </c>
      <c r="D96" t="s">
        <v>66</v>
      </c>
      <c r="E96">
        <v>35</v>
      </c>
      <c r="F96">
        <v>66.760000000000005</v>
      </c>
      <c r="G96" t="s">
        <v>84</v>
      </c>
      <c r="H96">
        <v>0.04</v>
      </c>
      <c r="I96" t="s">
        <v>19</v>
      </c>
      <c r="J96">
        <v>7.49</v>
      </c>
      <c r="K96" t="s">
        <v>30</v>
      </c>
      <c r="L96" t="s">
        <v>31</v>
      </c>
      <c r="M96" t="s">
        <v>22</v>
      </c>
      <c r="N96" t="s">
        <v>53</v>
      </c>
      <c r="O96" t="s">
        <v>81</v>
      </c>
      <c r="P96" t="s">
        <v>25</v>
      </c>
    </row>
    <row r="97" spans="1:16" x14ac:dyDescent="0.25">
      <c r="A97" s="1">
        <v>45665</v>
      </c>
      <c r="B97" t="s">
        <v>152</v>
      </c>
      <c r="C97">
        <v>33999</v>
      </c>
      <c r="D97" t="s">
        <v>89</v>
      </c>
      <c r="E97">
        <v>14</v>
      </c>
      <c r="F97">
        <v>7.33</v>
      </c>
      <c r="G97" t="s">
        <v>28</v>
      </c>
      <c r="H97">
        <v>0.09</v>
      </c>
      <c r="I97" t="s">
        <v>61</v>
      </c>
      <c r="J97">
        <v>23.87</v>
      </c>
      <c r="K97" t="s">
        <v>30</v>
      </c>
      <c r="L97" t="s">
        <v>31</v>
      </c>
      <c r="M97" t="s">
        <v>111</v>
      </c>
      <c r="N97" t="s">
        <v>53</v>
      </c>
      <c r="O97" t="s">
        <v>81</v>
      </c>
      <c r="P97" t="s">
        <v>25</v>
      </c>
    </row>
    <row r="98" spans="1:16" x14ac:dyDescent="0.25">
      <c r="A98" s="1">
        <v>45665</v>
      </c>
      <c r="B98" t="s">
        <v>153</v>
      </c>
      <c r="C98">
        <v>19551</v>
      </c>
      <c r="D98" t="s">
        <v>70</v>
      </c>
      <c r="E98">
        <v>19</v>
      </c>
      <c r="F98">
        <v>95.06</v>
      </c>
      <c r="G98" t="s">
        <v>76</v>
      </c>
      <c r="H98">
        <v>0.08</v>
      </c>
      <c r="I98" t="s">
        <v>61</v>
      </c>
      <c r="J98">
        <v>25.16</v>
      </c>
      <c r="K98" t="s">
        <v>37</v>
      </c>
      <c r="L98" t="s">
        <v>21</v>
      </c>
      <c r="M98" t="s">
        <v>22</v>
      </c>
      <c r="N98" t="s">
        <v>38</v>
      </c>
      <c r="O98" s="4" t="s">
        <v>726</v>
      </c>
      <c r="P98" t="s">
        <v>40</v>
      </c>
    </row>
    <row r="99" spans="1:16" x14ac:dyDescent="0.25">
      <c r="A99" s="1">
        <v>45665</v>
      </c>
      <c r="B99" t="s">
        <v>154</v>
      </c>
      <c r="C99">
        <v>94953</v>
      </c>
      <c r="D99" t="s">
        <v>66</v>
      </c>
      <c r="E99">
        <v>35</v>
      </c>
      <c r="F99">
        <v>68.569999999999993</v>
      </c>
      <c r="G99" t="s">
        <v>99</v>
      </c>
      <c r="H99">
        <v>0.37</v>
      </c>
      <c r="I99" t="s">
        <v>29</v>
      </c>
      <c r="J99">
        <v>5.64</v>
      </c>
      <c r="K99" t="s">
        <v>50</v>
      </c>
      <c r="L99" t="s">
        <v>31</v>
      </c>
      <c r="M99" t="s">
        <v>22</v>
      </c>
      <c r="N99" t="s">
        <v>32</v>
      </c>
      <c r="O99" t="s">
        <v>24</v>
      </c>
    </row>
    <row r="100" spans="1:16" x14ac:dyDescent="0.25">
      <c r="A100" s="1">
        <v>45665</v>
      </c>
      <c r="B100" t="s">
        <v>112</v>
      </c>
      <c r="C100">
        <v>72448</v>
      </c>
      <c r="D100" t="s">
        <v>70</v>
      </c>
      <c r="E100">
        <v>34</v>
      </c>
      <c r="F100">
        <v>17.75</v>
      </c>
      <c r="G100" t="s">
        <v>55</v>
      </c>
      <c r="H100">
        <v>0.08</v>
      </c>
      <c r="I100" t="s">
        <v>61</v>
      </c>
      <c r="J100">
        <v>23.51</v>
      </c>
      <c r="K100" t="s">
        <v>30</v>
      </c>
      <c r="L100" t="s">
        <v>21</v>
      </c>
      <c r="M100" t="s">
        <v>22</v>
      </c>
      <c r="N100" t="s">
        <v>53</v>
      </c>
      <c r="O100" t="s">
        <v>39</v>
      </c>
    </row>
    <row r="101" spans="1:16" x14ac:dyDescent="0.25">
      <c r="A101" s="1">
        <v>45665</v>
      </c>
      <c r="B101" t="s">
        <v>155</v>
      </c>
      <c r="C101">
        <v>26202</v>
      </c>
      <c r="D101" t="s">
        <v>57</v>
      </c>
      <c r="E101">
        <v>8</v>
      </c>
      <c r="F101">
        <v>42.98</v>
      </c>
      <c r="G101" t="s">
        <v>58</v>
      </c>
      <c r="H101">
        <v>0.12</v>
      </c>
      <c r="I101" t="s">
        <v>61</v>
      </c>
      <c r="J101">
        <v>26.37</v>
      </c>
      <c r="K101" t="s">
        <v>20</v>
      </c>
      <c r="L101" t="s">
        <v>21</v>
      </c>
      <c r="M101" t="s">
        <v>22</v>
      </c>
      <c r="N101" t="s">
        <v>23</v>
      </c>
      <c r="O101" t="s">
        <v>59</v>
      </c>
      <c r="P101" t="s">
        <v>25</v>
      </c>
    </row>
    <row r="102" spans="1:16" x14ac:dyDescent="0.25">
      <c r="A102" s="1">
        <v>45665</v>
      </c>
      <c r="B102" t="s">
        <v>100</v>
      </c>
      <c r="C102">
        <v>54223</v>
      </c>
      <c r="D102" t="s">
        <v>57</v>
      </c>
      <c r="E102">
        <v>13</v>
      </c>
      <c r="F102">
        <v>61.05</v>
      </c>
      <c r="G102" t="s">
        <v>28</v>
      </c>
      <c r="H102">
        <v>0.01</v>
      </c>
      <c r="I102" t="s">
        <v>19</v>
      </c>
      <c r="J102">
        <v>10.74</v>
      </c>
      <c r="K102" t="s">
        <v>30</v>
      </c>
      <c r="L102" t="s">
        <v>21</v>
      </c>
      <c r="M102" t="s">
        <v>22</v>
      </c>
      <c r="N102" t="s">
        <v>38</v>
      </c>
      <c r="O102" t="s">
        <v>81</v>
      </c>
      <c r="P102" t="s">
        <v>25</v>
      </c>
    </row>
    <row r="103" spans="1:16" x14ac:dyDescent="0.25">
      <c r="A103" s="1">
        <v>45665</v>
      </c>
      <c r="B103" t="s">
        <v>156</v>
      </c>
      <c r="C103">
        <v>13899</v>
      </c>
      <c r="D103" t="s">
        <v>75</v>
      </c>
      <c r="E103">
        <v>36</v>
      </c>
      <c r="G103" t="s">
        <v>72</v>
      </c>
      <c r="H103">
        <v>0.3</v>
      </c>
      <c r="I103" t="s">
        <v>29</v>
      </c>
      <c r="J103">
        <v>15.28</v>
      </c>
      <c r="K103" t="s">
        <v>20</v>
      </c>
      <c r="L103" t="s">
        <v>31</v>
      </c>
      <c r="M103" t="s">
        <v>22</v>
      </c>
      <c r="N103" t="s">
        <v>32</v>
      </c>
      <c r="O103" t="s">
        <v>81</v>
      </c>
      <c r="P103" t="s">
        <v>40</v>
      </c>
    </row>
    <row r="104" spans="1:16" x14ac:dyDescent="0.25">
      <c r="A104" s="1">
        <v>45666</v>
      </c>
      <c r="B104" t="s">
        <v>157</v>
      </c>
      <c r="C104">
        <v>25548</v>
      </c>
      <c r="D104" t="s">
        <v>70</v>
      </c>
      <c r="E104">
        <v>41</v>
      </c>
      <c r="F104">
        <v>20.64</v>
      </c>
      <c r="G104" t="s">
        <v>76</v>
      </c>
      <c r="H104">
        <v>0.13</v>
      </c>
      <c r="I104" t="s">
        <v>61</v>
      </c>
      <c r="J104">
        <v>18.07</v>
      </c>
      <c r="K104" t="s">
        <v>50</v>
      </c>
      <c r="L104" t="s">
        <v>31</v>
      </c>
      <c r="M104" t="s">
        <v>22</v>
      </c>
      <c r="N104" t="s">
        <v>32</v>
      </c>
      <c r="O104" t="s">
        <v>722</v>
      </c>
      <c r="P104" t="s">
        <v>25</v>
      </c>
    </row>
    <row r="105" spans="1:16" x14ac:dyDescent="0.25">
      <c r="A105" s="1">
        <v>45666</v>
      </c>
      <c r="B105" t="s">
        <v>158</v>
      </c>
      <c r="C105">
        <v>92754</v>
      </c>
      <c r="D105" t="s">
        <v>42</v>
      </c>
      <c r="E105">
        <v>26</v>
      </c>
      <c r="F105">
        <v>84.46</v>
      </c>
      <c r="G105" t="s">
        <v>18</v>
      </c>
      <c r="H105">
        <v>0.35</v>
      </c>
      <c r="I105" t="s">
        <v>61</v>
      </c>
      <c r="J105">
        <v>24.12</v>
      </c>
      <c r="K105" t="s">
        <v>20</v>
      </c>
      <c r="L105" t="s">
        <v>21</v>
      </c>
      <c r="M105" t="s">
        <v>22</v>
      </c>
      <c r="N105" t="s">
        <v>38</v>
      </c>
      <c r="O105" t="s">
        <v>59</v>
      </c>
      <c r="P105" t="s">
        <v>25</v>
      </c>
    </row>
    <row r="106" spans="1:16" x14ac:dyDescent="0.25">
      <c r="A106" s="1">
        <v>45666</v>
      </c>
      <c r="B106" t="s">
        <v>159</v>
      </c>
      <c r="C106">
        <v>83134</v>
      </c>
      <c r="D106" t="s">
        <v>89</v>
      </c>
      <c r="E106">
        <v>9</v>
      </c>
      <c r="F106">
        <v>68.72</v>
      </c>
      <c r="G106" t="s">
        <v>36</v>
      </c>
      <c r="H106">
        <v>0.21</v>
      </c>
      <c r="I106" t="s">
        <v>19</v>
      </c>
      <c r="J106">
        <v>23.72</v>
      </c>
      <c r="K106" t="s">
        <v>44</v>
      </c>
      <c r="L106" t="s">
        <v>21</v>
      </c>
      <c r="M106" t="s">
        <v>22</v>
      </c>
      <c r="N106" t="s">
        <v>32</v>
      </c>
      <c r="O106" t="s">
        <v>39</v>
      </c>
      <c r="P106" t="s">
        <v>34</v>
      </c>
    </row>
    <row r="107" spans="1:16" x14ac:dyDescent="0.25">
      <c r="A107" s="1">
        <v>45666</v>
      </c>
      <c r="B107" t="s">
        <v>160</v>
      </c>
      <c r="C107">
        <v>55038</v>
      </c>
      <c r="D107" t="s">
        <v>89</v>
      </c>
      <c r="E107">
        <v>23</v>
      </c>
      <c r="F107">
        <v>72.98</v>
      </c>
      <c r="G107" t="s">
        <v>99</v>
      </c>
      <c r="H107">
        <v>0.49</v>
      </c>
      <c r="I107" t="s">
        <v>29</v>
      </c>
      <c r="J107">
        <v>15.19</v>
      </c>
      <c r="K107" t="s">
        <v>44</v>
      </c>
      <c r="L107" t="s">
        <v>31</v>
      </c>
      <c r="M107" t="s">
        <v>22</v>
      </c>
      <c r="N107" t="s">
        <v>23</v>
      </c>
      <c r="O107" t="s">
        <v>24</v>
      </c>
      <c r="P107" t="s">
        <v>25</v>
      </c>
    </row>
    <row r="108" spans="1:16" x14ac:dyDescent="0.25">
      <c r="A108" s="1">
        <v>45666</v>
      </c>
      <c r="B108" t="s">
        <v>161</v>
      </c>
      <c r="C108">
        <v>69554</v>
      </c>
      <c r="D108" t="s">
        <v>89</v>
      </c>
      <c r="F108">
        <v>50.17</v>
      </c>
      <c r="G108" t="s">
        <v>72</v>
      </c>
      <c r="H108">
        <v>0.1</v>
      </c>
      <c r="I108" t="s">
        <v>19</v>
      </c>
      <c r="J108">
        <v>27.5</v>
      </c>
      <c r="K108" t="s">
        <v>20</v>
      </c>
      <c r="L108" t="s">
        <v>31</v>
      </c>
      <c r="M108" t="s">
        <v>22</v>
      </c>
      <c r="N108" t="s">
        <v>53</v>
      </c>
      <c r="O108" t="s">
        <v>33</v>
      </c>
      <c r="P108" t="s">
        <v>34</v>
      </c>
    </row>
    <row r="109" spans="1:16" x14ac:dyDescent="0.25">
      <c r="A109" s="1">
        <v>45666</v>
      </c>
      <c r="B109" t="s">
        <v>162</v>
      </c>
      <c r="C109">
        <v>15417</v>
      </c>
      <c r="D109" t="s">
        <v>46</v>
      </c>
      <c r="E109">
        <v>1</v>
      </c>
      <c r="F109">
        <v>22.97</v>
      </c>
      <c r="G109" t="s">
        <v>76</v>
      </c>
      <c r="H109">
        <v>0.34</v>
      </c>
      <c r="I109" t="s">
        <v>61</v>
      </c>
      <c r="J109">
        <v>21.19</v>
      </c>
      <c r="K109" t="s">
        <v>50</v>
      </c>
      <c r="L109" t="s">
        <v>31</v>
      </c>
      <c r="M109" t="s">
        <v>22</v>
      </c>
      <c r="N109" t="s">
        <v>38</v>
      </c>
      <c r="O109" t="s">
        <v>33</v>
      </c>
      <c r="P109" t="s">
        <v>25</v>
      </c>
    </row>
    <row r="110" spans="1:16" x14ac:dyDescent="0.25">
      <c r="A110" s="1">
        <v>45666</v>
      </c>
      <c r="B110" t="s">
        <v>163</v>
      </c>
      <c r="C110">
        <v>95209</v>
      </c>
      <c r="D110" t="s">
        <v>70</v>
      </c>
      <c r="E110">
        <v>19</v>
      </c>
      <c r="F110">
        <v>62.79</v>
      </c>
      <c r="G110" t="s">
        <v>58</v>
      </c>
      <c r="H110">
        <v>0.2</v>
      </c>
      <c r="I110" t="s">
        <v>19</v>
      </c>
      <c r="J110">
        <v>17</v>
      </c>
      <c r="K110" t="s">
        <v>50</v>
      </c>
      <c r="L110" t="s">
        <v>31</v>
      </c>
      <c r="M110" t="s">
        <v>22</v>
      </c>
      <c r="N110" t="s">
        <v>53</v>
      </c>
      <c r="O110" t="s">
        <v>33</v>
      </c>
      <c r="P110" t="s">
        <v>40</v>
      </c>
    </row>
    <row r="111" spans="1:16" x14ac:dyDescent="0.25">
      <c r="A111" s="1">
        <v>45666</v>
      </c>
      <c r="B111" t="s">
        <v>164</v>
      </c>
      <c r="C111">
        <v>78378</v>
      </c>
      <c r="D111" t="s">
        <v>42</v>
      </c>
      <c r="E111">
        <v>1</v>
      </c>
      <c r="F111">
        <v>3.09</v>
      </c>
      <c r="G111" t="s">
        <v>84</v>
      </c>
      <c r="H111">
        <v>0.06</v>
      </c>
      <c r="I111" t="s">
        <v>29</v>
      </c>
      <c r="J111">
        <v>11.34</v>
      </c>
      <c r="K111" s="4" t="s">
        <v>729</v>
      </c>
      <c r="L111" t="s">
        <v>21</v>
      </c>
      <c r="M111" t="s">
        <v>22</v>
      </c>
      <c r="N111" t="s">
        <v>23</v>
      </c>
      <c r="O111" t="s">
        <v>59</v>
      </c>
    </row>
    <row r="112" spans="1:16" x14ac:dyDescent="0.25">
      <c r="A112" s="1">
        <v>45666</v>
      </c>
      <c r="B112" t="s">
        <v>165</v>
      </c>
      <c r="C112">
        <v>98374</v>
      </c>
      <c r="D112" t="s">
        <v>49</v>
      </c>
      <c r="E112">
        <v>37</v>
      </c>
      <c r="F112">
        <v>52.3</v>
      </c>
      <c r="G112" t="s">
        <v>76</v>
      </c>
      <c r="H112">
        <v>0.28999999999999998</v>
      </c>
      <c r="I112" t="s">
        <v>19</v>
      </c>
      <c r="J112">
        <v>11.39</v>
      </c>
      <c r="K112" t="s">
        <v>20</v>
      </c>
      <c r="L112" t="s">
        <v>21</v>
      </c>
      <c r="M112" t="s">
        <v>22</v>
      </c>
      <c r="N112" t="s">
        <v>32</v>
      </c>
      <c r="O112" t="s">
        <v>59</v>
      </c>
      <c r="P112" t="s">
        <v>34</v>
      </c>
    </row>
    <row r="113" spans="1:16" x14ac:dyDescent="0.25">
      <c r="A113" s="1">
        <v>45667</v>
      </c>
      <c r="B113" t="s">
        <v>166</v>
      </c>
      <c r="C113">
        <v>84203</v>
      </c>
      <c r="D113" t="s">
        <v>42</v>
      </c>
      <c r="E113">
        <v>26</v>
      </c>
      <c r="F113">
        <v>91.26</v>
      </c>
      <c r="G113" t="s">
        <v>72</v>
      </c>
      <c r="H113">
        <v>0.14000000000000001</v>
      </c>
      <c r="I113" t="s">
        <v>29</v>
      </c>
      <c r="J113">
        <v>29.19</v>
      </c>
      <c r="K113" t="s">
        <v>37</v>
      </c>
      <c r="L113" t="s">
        <v>31</v>
      </c>
      <c r="M113" t="s">
        <v>22</v>
      </c>
      <c r="N113" t="s">
        <v>32</v>
      </c>
      <c r="O113" t="s">
        <v>81</v>
      </c>
      <c r="P113" t="s">
        <v>40</v>
      </c>
    </row>
    <row r="114" spans="1:16" x14ac:dyDescent="0.25">
      <c r="A114" s="1">
        <v>45667</v>
      </c>
      <c r="B114" t="s">
        <v>51</v>
      </c>
      <c r="C114">
        <v>40346</v>
      </c>
      <c r="D114" t="s">
        <v>49</v>
      </c>
      <c r="E114">
        <v>35</v>
      </c>
      <c r="F114">
        <v>87.47</v>
      </c>
      <c r="G114" t="s">
        <v>58</v>
      </c>
      <c r="H114">
        <v>0.22</v>
      </c>
      <c r="I114" t="s">
        <v>61</v>
      </c>
      <c r="J114">
        <v>7.79</v>
      </c>
      <c r="K114" t="s">
        <v>44</v>
      </c>
      <c r="L114" t="s">
        <v>31</v>
      </c>
      <c r="M114" t="s">
        <v>22</v>
      </c>
      <c r="N114" t="s">
        <v>32</v>
      </c>
      <c r="O114" t="s">
        <v>24</v>
      </c>
      <c r="P114" t="s">
        <v>34</v>
      </c>
    </row>
    <row r="115" spans="1:16" x14ac:dyDescent="0.25">
      <c r="A115" s="1">
        <v>45667</v>
      </c>
      <c r="B115" t="s">
        <v>167</v>
      </c>
      <c r="C115">
        <v>68776</v>
      </c>
      <c r="D115" t="s">
        <v>17</v>
      </c>
      <c r="E115">
        <v>12</v>
      </c>
      <c r="G115" t="s">
        <v>52</v>
      </c>
      <c r="H115">
        <v>0.37</v>
      </c>
      <c r="I115" t="s">
        <v>19</v>
      </c>
      <c r="J115">
        <v>23.07</v>
      </c>
      <c r="K115" t="s">
        <v>50</v>
      </c>
      <c r="L115" t="s">
        <v>21</v>
      </c>
      <c r="M115" t="s">
        <v>22</v>
      </c>
      <c r="N115" t="s">
        <v>38</v>
      </c>
      <c r="O115" t="s">
        <v>24</v>
      </c>
      <c r="P115" t="s">
        <v>34</v>
      </c>
    </row>
    <row r="116" spans="1:16" x14ac:dyDescent="0.25">
      <c r="A116" s="1">
        <v>45667</v>
      </c>
      <c r="B116" t="s">
        <v>168</v>
      </c>
      <c r="C116">
        <v>57937</v>
      </c>
      <c r="D116" t="s">
        <v>42</v>
      </c>
      <c r="E116">
        <v>2</v>
      </c>
      <c r="F116">
        <v>22.94</v>
      </c>
      <c r="G116" t="s">
        <v>18</v>
      </c>
      <c r="H116">
        <v>0.23</v>
      </c>
      <c r="I116" t="s">
        <v>61</v>
      </c>
      <c r="J116">
        <v>28.82</v>
      </c>
      <c r="K116" t="s">
        <v>50</v>
      </c>
      <c r="L116" t="s">
        <v>31</v>
      </c>
      <c r="M116" t="s">
        <v>22</v>
      </c>
      <c r="N116" t="s">
        <v>53</v>
      </c>
      <c r="O116" t="s">
        <v>24</v>
      </c>
      <c r="P116" t="s">
        <v>34</v>
      </c>
    </row>
    <row r="117" spans="1:16" x14ac:dyDescent="0.25">
      <c r="A117" s="1">
        <v>45667</v>
      </c>
      <c r="B117" t="s">
        <v>169</v>
      </c>
      <c r="C117">
        <v>93067</v>
      </c>
      <c r="D117" t="s">
        <v>70</v>
      </c>
      <c r="E117">
        <v>38</v>
      </c>
      <c r="F117">
        <v>38.08</v>
      </c>
      <c r="G117" t="s">
        <v>99</v>
      </c>
      <c r="H117">
        <v>0.23</v>
      </c>
      <c r="I117" t="s">
        <v>29</v>
      </c>
      <c r="J117">
        <v>26.32</v>
      </c>
      <c r="K117" t="s">
        <v>37</v>
      </c>
      <c r="L117" t="s">
        <v>21</v>
      </c>
      <c r="M117" t="s">
        <v>22</v>
      </c>
      <c r="N117" t="s">
        <v>53</v>
      </c>
      <c r="O117" t="s">
        <v>59</v>
      </c>
      <c r="P117" t="s">
        <v>40</v>
      </c>
    </row>
    <row r="118" spans="1:16" x14ac:dyDescent="0.25">
      <c r="A118" s="1">
        <v>45667</v>
      </c>
      <c r="B118" t="s">
        <v>170</v>
      </c>
      <c r="C118">
        <v>99360</v>
      </c>
      <c r="D118" t="s">
        <v>75</v>
      </c>
      <c r="E118">
        <v>4</v>
      </c>
      <c r="F118">
        <v>5.75</v>
      </c>
      <c r="G118" t="s">
        <v>84</v>
      </c>
      <c r="H118">
        <v>0.4</v>
      </c>
      <c r="I118" t="s">
        <v>29</v>
      </c>
      <c r="J118">
        <v>23.42</v>
      </c>
      <c r="K118" t="s">
        <v>30</v>
      </c>
      <c r="L118" t="s">
        <v>31</v>
      </c>
      <c r="M118" t="s">
        <v>22</v>
      </c>
      <c r="N118" t="s">
        <v>38</v>
      </c>
      <c r="O118" t="s">
        <v>24</v>
      </c>
      <c r="P118" t="s">
        <v>25</v>
      </c>
    </row>
    <row r="119" spans="1:16" x14ac:dyDescent="0.25">
      <c r="A119" s="1">
        <v>45667</v>
      </c>
      <c r="B119" t="s">
        <v>171</v>
      </c>
      <c r="C119">
        <v>32142</v>
      </c>
      <c r="D119" t="s">
        <v>49</v>
      </c>
      <c r="E119">
        <v>44</v>
      </c>
      <c r="F119">
        <v>45.18</v>
      </c>
      <c r="G119" t="s">
        <v>99</v>
      </c>
      <c r="H119">
        <v>0.1</v>
      </c>
      <c r="I119" t="s">
        <v>19</v>
      </c>
      <c r="J119">
        <v>25.98</v>
      </c>
      <c r="K119" t="s">
        <v>50</v>
      </c>
      <c r="L119" t="s">
        <v>21</v>
      </c>
      <c r="M119" t="s">
        <v>22</v>
      </c>
      <c r="N119" t="s">
        <v>23</v>
      </c>
      <c r="O119" t="s">
        <v>81</v>
      </c>
      <c r="P119" t="s">
        <v>25</v>
      </c>
    </row>
    <row r="120" spans="1:16" x14ac:dyDescent="0.25">
      <c r="A120" s="1">
        <v>45667</v>
      </c>
      <c r="B120" t="s">
        <v>121</v>
      </c>
      <c r="C120">
        <v>99365</v>
      </c>
      <c r="D120" t="s">
        <v>27</v>
      </c>
      <c r="E120">
        <v>47</v>
      </c>
      <c r="F120">
        <v>45.76</v>
      </c>
      <c r="G120" t="s">
        <v>43</v>
      </c>
      <c r="H120">
        <v>0.47</v>
      </c>
      <c r="I120" t="s">
        <v>19</v>
      </c>
      <c r="J120">
        <v>9.2200000000000006</v>
      </c>
      <c r="K120" t="s">
        <v>37</v>
      </c>
      <c r="L120" t="s">
        <v>21</v>
      </c>
      <c r="M120" t="s">
        <v>22</v>
      </c>
      <c r="N120" t="s">
        <v>53</v>
      </c>
      <c r="O120" t="s">
        <v>81</v>
      </c>
      <c r="P120" t="s">
        <v>34</v>
      </c>
    </row>
    <row r="121" spans="1:16" x14ac:dyDescent="0.25">
      <c r="A121" s="1">
        <v>45667</v>
      </c>
      <c r="B121" t="s">
        <v>172</v>
      </c>
      <c r="C121">
        <v>54769</v>
      </c>
      <c r="D121" t="s">
        <v>66</v>
      </c>
      <c r="E121">
        <v>21</v>
      </c>
      <c r="F121">
        <v>65.760000000000005</v>
      </c>
      <c r="G121" t="s">
        <v>18</v>
      </c>
      <c r="H121">
        <v>0.11</v>
      </c>
      <c r="I121" t="s">
        <v>61</v>
      </c>
      <c r="J121">
        <v>28.53</v>
      </c>
      <c r="K121" t="s">
        <v>20</v>
      </c>
      <c r="L121" t="s">
        <v>31</v>
      </c>
      <c r="M121" t="s">
        <v>22</v>
      </c>
      <c r="N121" t="s">
        <v>23</v>
      </c>
      <c r="O121" t="s">
        <v>24</v>
      </c>
      <c r="P121" t="s">
        <v>25</v>
      </c>
    </row>
    <row r="122" spans="1:16" x14ac:dyDescent="0.25">
      <c r="A122" s="1">
        <v>45668</v>
      </c>
      <c r="B122" t="s">
        <v>173</v>
      </c>
      <c r="C122">
        <v>86089</v>
      </c>
      <c r="D122" t="s">
        <v>17</v>
      </c>
      <c r="E122">
        <v>7</v>
      </c>
      <c r="G122" t="s">
        <v>84</v>
      </c>
      <c r="H122">
        <v>0.14000000000000001</v>
      </c>
      <c r="I122" t="s">
        <v>19</v>
      </c>
      <c r="J122">
        <v>17.43</v>
      </c>
      <c r="K122" t="s">
        <v>20</v>
      </c>
      <c r="L122" t="s">
        <v>31</v>
      </c>
      <c r="N122" t="s">
        <v>38</v>
      </c>
      <c r="O122" t="s">
        <v>39</v>
      </c>
      <c r="P122" t="s">
        <v>25</v>
      </c>
    </row>
    <row r="123" spans="1:16" x14ac:dyDescent="0.25">
      <c r="A123" s="1">
        <v>45668</v>
      </c>
      <c r="B123" t="s">
        <v>51</v>
      </c>
      <c r="C123">
        <v>49156</v>
      </c>
      <c r="D123" t="s">
        <v>49</v>
      </c>
      <c r="E123">
        <v>42</v>
      </c>
      <c r="F123">
        <v>34.700000000000003</v>
      </c>
      <c r="G123" t="s">
        <v>36</v>
      </c>
      <c r="H123">
        <v>0.33</v>
      </c>
      <c r="I123" t="s">
        <v>29</v>
      </c>
      <c r="J123">
        <v>27.53</v>
      </c>
      <c r="K123" t="s">
        <v>37</v>
      </c>
      <c r="L123" t="s">
        <v>21</v>
      </c>
      <c r="M123" t="s">
        <v>22</v>
      </c>
      <c r="N123" t="s">
        <v>23</v>
      </c>
      <c r="O123" t="s">
        <v>81</v>
      </c>
      <c r="P123" t="s">
        <v>40</v>
      </c>
    </row>
    <row r="124" spans="1:16" x14ac:dyDescent="0.25">
      <c r="A124" s="1">
        <v>45668</v>
      </c>
      <c r="B124" t="s">
        <v>174</v>
      </c>
      <c r="C124">
        <v>98568</v>
      </c>
      <c r="D124" t="s">
        <v>70</v>
      </c>
      <c r="E124">
        <v>15</v>
      </c>
      <c r="F124">
        <v>79.27</v>
      </c>
      <c r="G124" t="s">
        <v>99</v>
      </c>
      <c r="H124">
        <v>0.44</v>
      </c>
      <c r="I124" t="s">
        <v>61</v>
      </c>
      <c r="J124">
        <v>22.39</v>
      </c>
      <c r="K124" t="s">
        <v>37</v>
      </c>
      <c r="L124" t="s">
        <v>21</v>
      </c>
      <c r="M124" t="s">
        <v>22</v>
      </c>
      <c r="N124" t="s">
        <v>38</v>
      </c>
      <c r="O124" t="s">
        <v>24</v>
      </c>
      <c r="P124" t="s">
        <v>25</v>
      </c>
    </row>
    <row r="125" spans="1:16" x14ac:dyDescent="0.25">
      <c r="A125" s="1">
        <v>45668</v>
      </c>
      <c r="B125" t="s">
        <v>142</v>
      </c>
      <c r="C125">
        <v>15216</v>
      </c>
      <c r="D125" t="s">
        <v>42</v>
      </c>
      <c r="F125">
        <v>71.91</v>
      </c>
      <c r="G125" t="s">
        <v>43</v>
      </c>
      <c r="H125">
        <v>0.24</v>
      </c>
      <c r="I125" t="s">
        <v>19</v>
      </c>
      <c r="J125">
        <v>16.260000000000002</v>
      </c>
      <c r="K125" t="s">
        <v>20</v>
      </c>
      <c r="L125" t="s">
        <v>21</v>
      </c>
      <c r="M125" t="s">
        <v>22</v>
      </c>
      <c r="N125" t="s">
        <v>32</v>
      </c>
      <c r="O125" t="s">
        <v>81</v>
      </c>
      <c r="P125" t="s">
        <v>34</v>
      </c>
    </row>
    <row r="126" spans="1:16" x14ac:dyDescent="0.25">
      <c r="A126" s="1">
        <v>45668</v>
      </c>
      <c r="B126" t="s">
        <v>175</v>
      </c>
      <c r="C126">
        <v>69068</v>
      </c>
      <c r="D126" t="s">
        <v>17</v>
      </c>
      <c r="E126">
        <v>21</v>
      </c>
      <c r="F126">
        <v>75.41</v>
      </c>
      <c r="G126" t="s">
        <v>43</v>
      </c>
      <c r="H126">
        <v>0.09</v>
      </c>
      <c r="I126" t="s">
        <v>19</v>
      </c>
      <c r="J126">
        <v>27.24</v>
      </c>
      <c r="K126" t="s">
        <v>50</v>
      </c>
      <c r="L126" t="s">
        <v>31</v>
      </c>
      <c r="N126" t="s">
        <v>38</v>
      </c>
      <c r="O126" t="s">
        <v>24</v>
      </c>
      <c r="P126" t="s">
        <v>34</v>
      </c>
    </row>
    <row r="127" spans="1:16" x14ac:dyDescent="0.25">
      <c r="A127" s="1">
        <v>45668</v>
      </c>
      <c r="B127" t="s">
        <v>176</v>
      </c>
      <c r="C127">
        <v>20919</v>
      </c>
      <c r="D127" t="s">
        <v>27</v>
      </c>
      <c r="E127">
        <v>32</v>
      </c>
      <c r="F127">
        <v>87.88</v>
      </c>
      <c r="G127" t="s">
        <v>36</v>
      </c>
      <c r="H127">
        <v>0.01</v>
      </c>
      <c r="I127" t="s">
        <v>19</v>
      </c>
      <c r="J127">
        <v>13.74</v>
      </c>
      <c r="K127" t="s">
        <v>50</v>
      </c>
      <c r="L127" t="s">
        <v>21</v>
      </c>
      <c r="M127" t="s">
        <v>22</v>
      </c>
      <c r="N127" t="s">
        <v>32</v>
      </c>
      <c r="O127" t="s">
        <v>81</v>
      </c>
      <c r="P127" t="s">
        <v>34</v>
      </c>
    </row>
    <row r="128" spans="1:16" x14ac:dyDescent="0.25">
      <c r="A128" s="1">
        <v>45668</v>
      </c>
      <c r="B128" t="s">
        <v>177</v>
      </c>
      <c r="C128">
        <v>29341</v>
      </c>
      <c r="D128" t="s">
        <v>75</v>
      </c>
      <c r="E128">
        <v>25</v>
      </c>
      <c r="F128">
        <v>71.66</v>
      </c>
      <c r="G128" t="s">
        <v>76</v>
      </c>
      <c r="H128">
        <v>0.01</v>
      </c>
      <c r="I128" t="s">
        <v>19</v>
      </c>
      <c r="J128">
        <v>21.49</v>
      </c>
      <c r="K128" t="s">
        <v>30</v>
      </c>
      <c r="L128" t="s">
        <v>31</v>
      </c>
      <c r="M128" t="s">
        <v>22</v>
      </c>
      <c r="N128" t="s">
        <v>38</v>
      </c>
      <c r="O128" t="s">
        <v>59</v>
      </c>
      <c r="P128" t="s">
        <v>40</v>
      </c>
    </row>
    <row r="129" spans="1:16" x14ac:dyDescent="0.25">
      <c r="A129" s="1">
        <v>45668</v>
      </c>
      <c r="B129" t="s">
        <v>178</v>
      </c>
      <c r="C129">
        <v>36709</v>
      </c>
      <c r="D129" t="s">
        <v>66</v>
      </c>
      <c r="E129">
        <v>2</v>
      </c>
      <c r="F129">
        <v>22.54</v>
      </c>
      <c r="G129" t="s">
        <v>55</v>
      </c>
      <c r="H129">
        <v>0.05</v>
      </c>
      <c r="I129" t="s">
        <v>61</v>
      </c>
      <c r="J129">
        <v>9.56</v>
      </c>
      <c r="K129" t="s">
        <v>37</v>
      </c>
      <c r="L129" t="s">
        <v>21</v>
      </c>
      <c r="M129" t="s">
        <v>22</v>
      </c>
      <c r="N129" t="s">
        <v>23</v>
      </c>
      <c r="O129" t="s">
        <v>24</v>
      </c>
      <c r="P129" t="s">
        <v>40</v>
      </c>
    </row>
    <row r="130" spans="1:16" x14ac:dyDescent="0.25">
      <c r="A130" s="1">
        <v>45669</v>
      </c>
      <c r="B130" t="s">
        <v>179</v>
      </c>
      <c r="C130">
        <v>67290</v>
      </c>
      <c r="D130" t="s">
        <v>27</v>
      </c>
      <c r="E130">
        <v>9</v>
      </c>
      <c r="F130">
        <v>42.51</v>
      </c>
      <c r="G130" t="s">
        <v>43</v>
      </c>
      <c r="H130">
        <v>0.41</v>
      </c>
      <c r="I130" t="s">
        <v>61</v>
      </c>
      <c r="J130">
        <v>22.09</v>
      </c>
      <c r="K130" t="s">
        <v>44</v>
      </c>
      <c r="L130" t="s">
        <v>21</v>
      </c>
      <c r="M130" t="s">
        <v>22</v>
      </c>
      <c r="N130" t="s">
        <v>23</v>
      </c>
      <c r="O130" t="s">
        <v>81</v>
      </c>
      <c r="P130" t="s">
        <v>25</v>
      </c>
    </row>
    <row r="131" spans="1:16" x14ac:dyDescent="0.25">
      <c r="A131" s="1">
        <v>45669</v>
      </c>
      <c r="B131" t="s">
        <v>180</v>
      </c>
      <c r="C131">
        <v>28811</v>
      </c>
      <c r="D131" t="s">
        <v>27</v>
      </c>
      <c r="E131">
        <v>34</v>
      </c>
      <c r="G131" t="s">
        <v>52</v>
      </c>
      <c r="H131">
        <v>0.17</v>
      </c>
      <c r="I131" t="s">
        <v>29</v>
      </c>
      <c r="J131">
        <v>6.48</v>
      </c>
      <c r="K131" t="s">
        <v>37</v>
      </c>
      <c r="L131" t="s">
        <v>21</v>
      </c>
      <c r="M131" t="s">
        <v>22</v>
      </c>
      <c r="N131" t="s">
        <v>32</v>
      </c>
      <c r="O131" t="s">
        <v>59</v>
      </c>
      <c r="P131" t="s">
        <v>34</v>
      </c>
    </row>
    <row r="132" spans="1:16" x14ac:dyDescent="0.25">
      <c r="A132" s="1">
        <v>45669</v>
      </c>
      <c r="B132" t="s">
        <v>181</v>
      </c>
      <c r="C132">
        <v>93451</v>
      </c>
      <c r="D132" t="s">
        <v>89</v>
      </c>
      <c r="E132">
        <v>16</v>
      </c>
      <c r="F132">
        <v>96.77</v>
      </c>
      <c r="G132" t="s">
        <v>76</v>
      </c>
      <c r="H132">
        <v>0.38</v>
      </c>
      <c r="I132" t="s">
        <v>19</v>
      </c>
      <c r="J132">
        <v>10.58</v>
      </c>
      <c r="K132" t="s">
        <v>37</v>
      </c>
      <c r="L132" t="s">
        <v>21</v>
      </c>
      <c r="M132" t="s">
        <v>22</v>
      </c>
      <c r="N132" t="s">
        <v>53</v>
      </c>
      <c r="O132" t="s">
        <v>24</v>
      </c>
      <c r="P132" t="s">
        <v>34</v>
      </c>
    </row>
    <row r="133" spans="1:16" x14ac:dyDescent="0.25">
      <c r="A133" s="1">
        <v>45669</v>
      </c>
      <c r="B133" t="s">
        <v>182</v>
      </c>
      <c r="C133">
        <v>63559</v>
      </c>
      <c r="D133" t="s">
        <v>89</v>
      </c>
      <c r="E133">
        <v>32</v>
      </c>
      <c r="F133">
        <v>65.23</v>
      </c>
      <c r="G133" t="s">
        <v>18</v>
      </c>
      <c r="H133">
        <v>0.23</v>
      </c>
      <c r="I133" t="s">
        <v>61</v>
      </c>
      <c r="J133">
        <v>13.05</v>
      </c>
      <c r="K133" t="s">
        <v>50</v>
      </c>
      <c r="L133" t="s">
        <v>31</v>
      </c>
      <c r="M133" t="s">
        <v>22</v>
      </c>
      <c r="N133" t="s">
        <v>53</v>
      </c>
      <c r="O133" t="s">
        <v>33</v>
      </c>
      <c r="P133" t="s">
        <v>34</v>
      </c>
    </row>
    <row r="134" spans="1:16" x14ac:dyDescent="0.25">
      <c r="A134" s="1">
        <v>45669</v>
      </c>
      <c r="B134" t="s">
        <v>183</v>
      </c>
      <c r="C134">
        <v>91445</v>
      </c>
      <c r="D134" t="s">
        <v>70</v>
      </c>
      <c r="E134">
        <v>47</v>
      </c>
      <c r="F134">
        <v>82.16</v>
      </c>
      <c r="G134" t="s">
        <v>58</v>
      </c>
      <c r="H134">
        <v>0.13</v>
      </c>
      <c r="I134" t="s">
        <v>61</v>
      </c>
      <c r="J134">
        <v>20.68</v>
      </c>
      <c r="K134" t="s">
        <v>50</v>
      </c>
      <c r="L134" t="s">
        <v>21</v>
      </c>
      <c r="M134" t="s">
        <v>111</v>
      </c>
      <c r="N134" t="s">
        <v>38</v>
      </c>
      <c r="O134" t="s">
        <v>33</v>
      </c>
      <c r="P134" t="s">
        <v>34</v>
      </c>
    </row>
    <row r="135" spans="1:16" x14ac:dyDescent="0.25">
      <c r="A135" s="1">
        <v>45671</v>
      </c>
      <c r="B135" t="s">
        <v>184</v>
      </c>
      <c r="C135">
        <v>21660</v>
      </c>
      <c r="D135" t="s">
        <v>42</v>
      </c>
      <c r="E135">
        <v>19</v>
      </c>
      <c r="F135">
        <v>59.26</v>
      </c>
      <c r="G135" t="s">
        <v>55</v>
      </c>
      <c r="H135">
        <v>0.28999999999999998</v>
      </c>
      <c r="I135" t="s">
        <v>19</v>
      </c>
      <c r="J135">
        <v>5.42</v>
      </c>
      <c r="K135" t="s">
        <v>44</v>
      </c>
      <c r="L135" t="s">
        <v>31</v>
      </c>
      <c r="M135" t="s">
        <v>22</v>
      </c>
      <c r="N135" t="s">
        <v>32</v>
      </c>
      <c r="O135" t="s">
        <v>24</v>
      </c>
    </row>
    <row r="136" spans="1:16" x14ac:dyDescent="0.25">
      <c r="A136" s="1">
        <v>45671</v>
      </c>
      <c r="B136" t="s">
        <v>185</v>
      </c>
      <c r="C136">
        <v>85397</v>
      </c>
      <c r="D136" t="s">
        <v>42</v>
      </c>
      <c r="E136">
        <v>47</v>
      </c>
      <c r="F136">
        <v>80.900000000000006</v>
      </c>
      <c r="G136" t="s">
        <v>76</v>
      </c>
      <c r="H136">
        <v>0.4</v>
      </c>
      <c r="I136" t="s">
        <v>19</v>
      </c>
      <c r="J136">
        <v>15.75</v>
      </c>
      <c r="K136" t="s">
        <v>37</v>
      </c>
      <c r="L136" t="s">
        <v>31</v>
      </c>
      <c r="M136" t="s">
        <v>22</v>
      </c>
      <c r="N136" t="s">
        <v>53</v>
      </c>
      <c r="O136" t="s">
        <v>81</v>
      </c>
      <c r="P136" t="s">
        <v>34</v>
      </c>
    </row>
    <row r="137" spans="1:16" x14ac:dyDescent="0.25">
      <c r="A137" s="1">
        <v>45671</v>
      </c>
      <c r="B137" t="s">
        <v>186</v>
      </c>
      <c r="C137">
        <v>35013</v>
      </c>
      <c r="D137" t="s">
        <v>75</v>
      </c>
      <c r="E137">
        <v>2</v>
      </c>
      <c r="F137">
        <v>59.49</v>
      </c>
      <c r="G137" t="s">
        <v>99</v>
      </c>
      <c r="H137">
        <v>0.24</v>
      </c>
      <c r="I137" t="s">
        <v>19</v>
      </c>
      <c r="J137">
        <v>14.09</v>
      </c>
      <c r="K137" t="s">
        <v>37</v>
      </c>
      <c r="L137" t="s">
        <v>21</v>
      </c>
      <c r="M137" t="s">
        <v>22</v>
      </c>
      <c r="N137" t="s">
        <v>53</v>
      </c>
      <c r="O137" t="s">
        <v>24</v>
      </c>
      <c r="P137" t="s">
        <v>40</v>
      </c>
    </row>
    <row r="138" spans="1:16" x14ac:dyDescent="0.25">
      <c r="A138" s="1">
        <v>45671</v>
      </c>
      <c r="B138" t="s">
        <v>187</v>
      </c>
      <c r="C138">
        <v>27166</v>
      </c>
      <c r="D138" t="s">
        <v>27</v>
      </c>
      <c r="E138">
        <v>32</v>
      </c>
      <c r="F138">
        <v>2.2200000000000002</v>
      </c>
      <c r="G138" t="s">
        <v>36</v>
      </c>
      <c r="H138">
        <v>0.01</v>
      </c>
      <c r="I138" t="s">
        <v>19</v>
      </c>
      <c r="J138">
        <v>8.2100000000000009</v>
      </c>
      <c r="K138" t="s">
        <v>30</v>
      </c>
      <c r="L138" t="s">
        <v>31</v>
      </c>
      <c r="M138" t="s">
        <v>22</v>
      </c>
      <c r="N138" t="s">
        <v>32</v>
      </c>
      <c r="O138" t="s">
        <v>24</v>
      </c>
      <c r="P138" t="s">
        <v>34</v>
      </c>
    </row>
    <row r="139" spans="1:16" x14ac:dyDescent="0.25">
      <c r="A139" s="1">
        <v>45671</v>
      </c>
      <c r="B139" t="s">
        <v>109</v>
      </c>
      <c r="C139">
        <v>97755</v>
      </c>
      <c r="D139" t="s">
        <v>68</v>
      </c>
      <c r="E139">
        <v>33</v>
      </c>
      <c r="F139">
        <v>39.369999999999997</v>
      </c>
      <c r="G139" t="s">
        <v>52</v>
      </c>
      <c r="H139">
        <v>0.1</v>
      </c>
      <c r="I139" t="s">
        <v>19</v>
      </c>
      <c r="J139">
        <v>19.98</v>
      </c>
      <c r="K139" t="s">
        <v>20</v>
      </c>
      <c r="L139" t="s">
        <v>31</v>
      </c>
      <c r="M139" t="s">
        <v>22</v>
      </c>
      <c r="N139" t="s">
        <v>38</v>
      </c>
      <c r="O139" t="s">
        <v>39</v>
      </c>
      <c r="P139" t="s">
        <v>25</v>
      </c>
    </row>
    <row r="140" spans="1:16" x14ac:dyDescent="0.25">
      <c r="A140" s="1">
        <v>45671</v>
      </c>
      <c r="B140" t="s">
        <v>188</v>
      </c>
      <c r="C140">
        <v>45089</v>
      </c>
      <c r="D140" t="s">
        <v>57</v>
      </c>
      <c r="E140">
        <v>28</v>
      </c>
      <c r="F140">
        <v>36.31</v>
      </c>
      <c r="G140" t="s">
        <v>47</v>
      </c>
      <c r="H140">
        <v>0.04</v>
      </c>
      <c r="I140" t="s">
        <v>29</v>
      </c>
      <c r="J140">
        <v>21.39</v>
      </c>
      <c r="K140" t="s">
        <v>20</v>
      </c>
      <c r="L140" t="s">
        <v>21</v>
      </c>
      <c r="M140" t="s">
        <v>22</v>
      </c>
      <c r="N140" t="s">
        <v>23</v>
      </c>
      <c r="O140" t="s">
        <v>24</v>
      </c>
      <c r="P140" t="s">
        <v>34</v>
      </c>
    </row>
    <row r="141" spans="1:16" x14ac:dyDescent="0.25">
      <c r="A141" s="1">
        <v>45671</v>
      </c>
      <c r="B141" t="s">
        <v>86</v>
      </c>
      <c r="C141">
        <v>30463</v>
      </c>
      <c r="D141" t="s">
        <v>57</v>
      </c>
      <c r="E141">
        <v>37</v>
      </c>
      <c r="F141">
        <v>83.84</v>
      </c>
      <c r="G141" t="s">
        <v>55</v>
      </c>
      <c r="H141">
        <v>0.03</v>
      </c>
      <c r="I141" t="s">
        <v>19</v>
      </c>
      <c r="J141">
        <v>15.34</v>
      </c>
      <c r="K141" t="s">
        <v>37</v>
      </c>
      <c r="L141" t="s">
        <v>31</v>
      </c>
      <c r="M141" t="s">
        <v>22</v>
      </c>
      <c r="N141" t="s">
        <v>38</v>
      </c>
      <c r="O141" t="s">
        <v>24</v>
      </c>
      <c r="P141" t="s">
        <v>34</v>
      </c>
    </row>
    <row r="142" spans="1:16" x14ac:dyDescent="0.25">
      <c r="A142" s="1">
        <v>45671</v>
      </c>
      <c r="B142" t="s">
        <v>189</v>
      </c>
      <c r="C142">
        <v>48196</v>
      </c>
      <c r="D142" t="s">
        <v>57</v>
      </c>
      <c r="E142">
        <v>2</v>
      </c>
      <c r="F142">
        <v>11.9</v>
      </c>
      <c r="G142" t="s">
        <v>55</v>
      </c>
      <c r="H142">
        <v>0.21</v>
      </c>
      <c r="I142" t="s">
        <v>61</v>
      </c>
      <c r="J142">
        <v>10.7</v>
      </c>
      <c r="K142" t="s">
        <v>30</v>
      </c>
      <c r="L142" t="s">
        <v>31</v>
      </c>
      <c r="N142" t="s">
        <v>53</v>
      </c>
      <c r="O142" t="s">
        <v>59</v>
      </c>
      <c r="P142" t="s">
        <v>34</v>
      </c>
    </row>
    <row r="143" spans="1:16" x14ac:dyDescent="0.25">
      <c r="A143" s="1">
        <v>45671</v>
      </c>
      <c r="B143" t="s">
        <v>190</v>
      </c>
      <c r="C143">
        <v>49699</v>
      </c>
      <c r="D143" t="s">
        <v>27</v>
      </c>
      <c r="E143">
        <v>22</v>
      </c>
      <c r="F143">
        <v>6.65</v>
      </c>
      <c r="G143" t="s">
        <v>18</v>
      </c>
      <c r="H143">
        <v>0.46</v>
      </c>
      <c r="I143" t="s">
        <v>19</v>
      </c>
      <c r="J143">
        <v>7.14</v>
      </c>
      <c r="K143" t="s">
        <v>44</v>
      </c>
      <c r="L143" t="s">
        <v>31</v>
      </c>
      <c r="M143" t="s">
        <v>111</v>
      </c>
      <c r="N143" t="s">
        <v>23</v>
      </c>
      <c r="O143" t="s">
        <v>81</v>
      </c>
      <c r="P143" t="s">
        <v>25</v>
      </c>
    </row>
    <row r="144" spans="1:16" x14ac:dyDescent="0.25">
      <c r="A144" s="1">
        <v>45672</v>
      </c>
      <c r="B144" t="s">
        <v>65</v>
      </c>
      <c r="C144">
        <v>24430</v>
      </c>
      <c r="D144" t="s">
        <v>89</v>
      </c>
      <c r="E144">
        <v>14</v>
      </c>
      <c r="F144">
        <v>78.7</v>
      </c>
      <c r="G144" t="s">
        <v>55</v>
      </c>
      <c r="H144">
        <v>0.39</v>
      </c>
      <c r="I144" t="s">
        <v>61</v>
      </c>
      <c r="J144">
        <v>23.23</v>
      </c>
      <c r="K144" t="s">
        <v>20</v>
      </c>
      <c r="L144" t="s">
        <v>31</v>
      </c>
      <c r="M144" t="s">
        <v>22</v>
      </c>
      <c r="N144" t="s">
        <v>53</v>
      </c>
      <c r="O144" t="s">
        <v>24</v>
      </c>
      <c r="P144" t="s">
        <v>40</v>
      </c>
    </row>
    <row r="145" spans="1:16" x14ac:dyDescent="0.25">
      <c r="A145" s="1">
        <v>45672</v>
      </c>
      <c r="B145" t="s">
        <v>191</v>
      </c>
      <c r="C145">
        <v>43191</v>
      </c>
      <c r="D145" t="s">
        <v>66</v>
      </c>
      <c r="E145">
        <v>47</v>
      </c>
      <c r="F145">
        <v>28.54</v>
      </c>
      <c r="G145" t="s">
        <v>99</v>
      </c>
      <c r="H145">
        <v>0.3</v>
      </c>
      <c r="I145" t="s">
        <v>61</v>
      </c>
      <c r="J145">
        <v>28.83</v>
      </c>
      <c r="K145" t="s">
        <v>30</v>
      </c>
      <c r="L145" t="s">
        <v>31</v>
      </c>
      <c r="M145" t="s">
        <v>22</v>
      </c>
      <c r="N145" t="s">
        <v>53</v>
      </c>
      <c r="O145" t="s">
        <v>722</v>
      </c>
      <c r="P145" t="s">
        <v>25</v>
      </c>
    </row>
    <row r="146" spans="1:16" x14ac:dyDescent="0.25">
      <c r="A146" s="1">
        <v>45672</v>
      </c>
      <c r="B146" t="s">
        <v>101</v>
      </c>
      <c r="C146">
        <v>95810</v>
      </c>
      <c r="D146" t="s">
        <v>70</v>
      </c>
      <c r="E146">
        <v>18</v>
      </c>
      <c r="F146">
        <v>96.12</v>
      </c>
      <c r="G146" t="s">
        <v>84</v>
      </c>
      <c r="H146">
        <v>0.28999999999999998</v>
      </c>
      <c r="I146" t="s">
        <v>61</v>
      </c>
      <c r="J146">
        <v>5.05</v>
      </c>
      <c r="K146" t="s">
        <v>50</v>
      </c>
      <c r="L146" t="s">
        <v>31</v>
      </c>
      <c r="M146" t="s">
        <v>22</v>
      </c>
      <c r="N146" t="s">
        <v>32</v>
      </c>
      <c r="O146" t="s">
        <v>24</v>
      </c>
      <c r="P146" t="s">
        <v>34</v>
      </c>
    </row>
    <row r="147" spans="1:16" x14ac:dyDescent="0.25">
      <c r="A147" s="1">
        <v>45672</v>
      </c>
      <c r="B147" t="s">
        <v>192</v>
      </c>
      <c r="C147">
        <v>67823</v>
      </c>
      <c r="D147" t="s">
        <v>75</v>
      </c>
      <c r="E147">
        <v>34</v>
      </c>
      <c r="G147" t="s">
        <v>47</v>
      </c>
      <c r="H147">
        <v>0.44</v>
      </c>
      <c r="I147" t="s">
        <v>19</v>
      </c>
      <c r="J147">
        <v>11.58</v>
      </c>
      <c r="K147" t="s">
        <v>37</v>
      </c>
      <c r="L147" t="s">
        <v>21</v>
      </c>
      <c r="M147" t="s">
        <v>22</v>
      </c>
      <c r="N147" t="s">
        <v>38</v>
      </c>
      <c r="O147" t="s">
        <v>81</v>
      </c>
      <c r="P147" t="s">
        <v>40</v>
      </c>
    </row>
    <row r="148" spans="1:16" x14ac:dyDescent="0.25">
      <c r="A148" s="1">
        <v>45672</v>
      </c>
      <c r="B148" t="s">
        <v>193</v>
      </c>
      <c r="C148">
        <v>96274</v>
      </c>
      <c r="D148" t="s">
        <v>57</v>
      </c>
      <c r="E148">
        <v>36</v>
      </c>
      <c r="F148">
        <v>35.229999999999997</v>
      </c>
      <c r="G148" t="s">
        <v>72</v>
      </c>
      <c r="H148">
        <v>0.23</v>
      </c>
      <c r="I148" t="s">
        <v>61</v>
      </c>
      <c r="J148">
        <v>12.59</v>
      </c>
      <c r="K148" t="s">
        <v>50</v>
      </c>
      <c r="L148" t="s">
        <v>31</v>
      </c>
      <c r="M148" t="s">
        <v>22</v>
      </c>
      <c r="N148" t="s">
        <v>23</v>
      </c>
      <c r="O148" t="s">
        <v>59</v>
      </c>
      <c r="P148" t="s">
        <v>25</v>
      </c>
    </row>
    <row r="149" spans="1:16" x14ac:dyDescent="0.25">
      <c r="A149" s="1">
        <v>45672</v>
      </c>
      <c r="B149" t="s">
        <v>194</v>
      </c>
      <c r="C149">
        <v>92731</v>
      </c>
      <c r="D149" t="s">
        <v>75</v>
      </c>
      <c r="F149">
        <v>94.9</v>
      </c>
      <c r="G149" t="s">
        <v>58</v>
      </c>
      <c r="H149">
        <v>0.39</v>
      </c>
      <c r="I149" t="s">
        <v>29</v>
      </c>
      <c r="J149">
        <v>8.51</v>
      </c>
      <c r="K149" t="s">
        <v>30</v>
      </c>
      <c r="L149" t="s">
        <v>31</v>
      </c>
      <c r="M149" t="s">
        <v>22</v>
      </c>
      <c r="N149" t="s">
        <v>23</v>
      </c>
      <c r="O149" t="s">
        <v>24</v>
      </c>
      <c r="P149" t="s">
        <v>34</v>
      </c>
    </row>
    <row r="150" spans="1:16" x14ac:dyDescent="0.25">
      <c r="A150" s="1">
        <v>45672</v>
      </c>
      <c r="B150" t="s">
        <v>195</v>
      </c>
      <c r="C150">
        <v>75366</v>
      </c>
      <c r="D150" t="s">
        <v>68</v>
      </c>
      <c r="E150">
        <v>41</v>
      </c>
      <c r="F150">
        <v>97.84</v>
      </c>
      <c r="G150" t="s">
        <v>84</v>
      </c>
      <c r="H150">
        <v>0.1</v>
      </c>
      <c r="I150" t="s">
        <v>61</v>
      </c>
      <c r="J150">
        <v>23</v>
      </c>
      <c r="K150" t="s">
        <v>50</v>
      </c>
      <c r="L150" t="s">
        <v>21</v>
      </c>
      <c r="M150" t="s">
        <v>22</v>
      </c>
      <c r="N150" t="s">
        <v>23</v>
      </c>
      <c r="O150" t="s">
        <v>81</v>
      </c>
    </row>
    <row r="151" spans="1:16" x14ac:dyDescent="0.25">
      <c r="A151" s="1">
        <v>45672</v>
      </c>
      <c r="B151" t="s">
        <v>196</v>
      </c>
      <c r="C151">
        <v>68621</v>
      </c>
      <c r="D151" t="s">
        <v>66</v>
      </c>
      <c r="E151">
        <v>36</v>
      </c>
      <c r="F151">
        <v>97.22</v>
      </c>
      <c r="G151" t="s">
        <v>76</v>
      </c>
      <c r="H151">
        <v>0.05</v>
      </c>
      <c r="I151" t="s">
        <v>19</v>
      </c>
      <c r="J151">
        <v>23.11</v>
      </c>
      <c r="K151" t="s">
        <v>50</v>
      </c>
      <c r="L151" t="s">
        <v>21</v>
      </c>
      <c r="M151" t="s">
        <v>111</v>
      </c>
      <c r="N151" t="s">
        <v>23</v>
      </c>
      <c r="O151" t="s">
        <v>24</v>
      </c>
      <c r="P151" t="s">
        <v>34</v>
      </c>
    </row>
    <row r="152" spans="1:16" x14ac:dyDescent="0.25">
      <c r="A152" s="1">
        <v>45672</v>
      </c>
      <c r="B152" t="s">
        <v>185</v>
      </c>
      <c r="C152">
        <v>26317</v>
      </c>
      <c r="D152" t="s">
        <v>27</v>
      </c>
      <c r="E152">
        <v>16</v>
      </c>
      <c r="F152">
        <v>57.75</v>
      </c>
      <c r="G152" t="s">
        <v>18</v>
      </c>
      <c r="H152">
        <v>0.32</v>
      </c>
      <c r="I152" t="s">
        <v>61</v>
      </c>
      <c r="J152">
        <v>8.33</v>
      </c>
      <c r="K152" t="s">
        <v>44</v>
      </c>
      <c r="L152" t="s">
        <v>21</v>
      </c>
      <c r="M152" t="s">
        <v>22</v>
      </c>
      <c r="N152" t="s">
        <v>23</v>
      </c>
      <c r="O152" t="s">
        <v>59</v>
      </c>
      <c r="P152" t="s">
        <v>25</v>
      </c>
    </row>
    <row r="153" spans="1:16" x14ac:dyDescent="0.25">
      <c r="A153" s="1">
        <v>45672</v>
      </c>
      <c r="B153" t="s">
        <v>197</v>
      </c>
      <c r="C153">
        <v>99417</v>
      </c>
      <c r="D153" t="s">
        <v>57</v>
      </c>
      <c r="E153">
        <v>25</v>
      </c>
      <c r="F153">
        <v>37.71</v>
      </c>
      <c r="G153" t="s">
        <v>99</v>
      </c>
      <c r="H153">
        <v>0.11</v>
      </c>
      <c r="I153" t="s">
        <v>61</v>
      </c>
      <c r="J153">
        <v>10.119999999999999</v>
      </c>
      <c r="K153" t="s">
        <v>20</v>
      </c>
      <c r="L153" t="s">
        <v>31</v>
      </c>
      <c r="M153" t="s">
        <v>22</v>
      </c>
      <c r="N153" t="s">
        <v>53</v>
      </c>
      <c r="O153" t="s">
        <v>81</v>
      </c>
      <c r="P153" t="s">
        <v>34</v>
      </c>
    </row>
    <row r="154" spans="1:16" x14ac:dyDescent="0.25">
      <c r="A154" s="1">
        <v>45672</v>
      </c>
      <c r="B154" t="s">
        <v>198</v>
      </c>
      <c r="C154">
        <v>75353</v>
      </c>
      <c r="D154" t="s">
        <v>75</v>
      </c>
      <c r="E154">
        <v>41</v>
      </c>
      <c r="F154">
        <v>98.23</v>
      </c>
      <c r="G154" t="s">
        <v>43</v>
      </c>
      <c r="H154">
        <v>0.47</v>
      </c>
      <c r="I154" t="s">
        <v>61</v>
      </c>
      <c r="J154">
        <v>9.01</v>
      </c>
      <c r="K154" t="s">
        <v>50</v>
      </c>
      <c r="L154" t="s">
        <v>21</v>
      </c>
      <c r="N154" t="s">
        <v>23</v>
      </c>
      <c r="O154" t="s">
        <v>39</v>
      </c>
      <c r="P154" t="s">
        <v>34</v>
      </c>
    </row>
    <row r="155" spans="1:16" x14ac:dyDescent="0.25">
      <c r="A155" s="1">
        <v>45672</v>
      </c>
      <c r="B155" t="s">
        <v>199</v>
      </c>
      <c r="C155">
        <v>48900</v>
      </c>
      <c r="D155" t="s">
        <v>75</v>
      </c>
      <c r="E155">
        <v>32</v>
      </c>
      <c r="F155">
        <v>98.83</v>
      </c>
      <c r="G155" t="s">
        <v>18</v>
      </c>
      <c r="H155">
        <v>0.15</v>
      </c>
      <c r="I155" t="s">
        <v>19</v>
      </c>
      <c r="J155">
        <v>16.170000000000002</v>
      </c>
      <c r="K155" t="s">
        <v>44</v>
      </c>
      <c r="L155" t="s">
        <v>31</v>
      </c>
      <c r="M155" t="s">
        <v>22</v>
      </c>
      <c r="N155" t="s">
        <v>23</v>
      </c>
      <c r="O155" t="s">
        <v>39</v>
      </c>
    </row>
    <row r="156" spans="1:16" x14ac:dyDescent="0.25">
      <c r="A156" s="1">
        <v>45672</v>
      </c>
      <c r="B156" t="s">
        <v>200</v>
      </c>
      <c r="C156">
        <v>90369</v>
      </c>
      <c r="D156" t="s">
        <v>49</v>
      </c>
      <c r="E156">
        <v>30</v>
      </c>
      <c r="F156">
        <v>93.51</v>
      </c>
      <c r="G156" t="s">
        <v>58</v>
      </c>
      <c r="H156">
        <v>0.15</v>
      </c>
      <c r="I156" t="s">
        <v>29</v>
      </c>
      <c r="J156">
        <v>12.16</v>
      </c>
      <c r="K156" t="s">
        <v>20</v>
      </c>
      <c r="L156" t="s">
        <v>31</v>
      </c>
      <c r="M156" t="s">
        <v>22</v>
      </c>
      <c r="N156" t="s">
        <v>23</v>
      </c>
      <c r="O156" t="s">
        <v>39</v>
      </c>
      <c r="P156" t="s">
        <v>40</v>
      </c>
    </row>
    <row r="157" spans="1:16" x14ac:dyDescent="0.25">
      <c r="A157" s="1">
        <v>45672</v>
      </c>
      <c r="B157" t="s">
        <v>119</v>
      </c>
      <c r="C157">
        <v>82177</v>
      </c>
      <c r="D157" t="s">
        <v>49</v>
      </c>
      <c r="E157">
        <v>42</v>
      </c>
      <c r="F157">
        <v>42.61</v>
      </c>
      <c r="G157" t="s">
        <v>58</v>
      </c>
      <c r="H157">
        <v>0.37</v>
      </c>
      <c r="I157" t="s">
        <v>29</v>
      </c>
      <c r="J157">
        <v>14.31</v>
      </c>
      <c r="K157" t="s">
        <v>44</v>
      </c>
      <c r="L157" t="s">
        <v>31</v>
      </c>
      <c r="M157" t="s">
        <v>22</v>
      </c>
      <c r="N157" t="s">
        <v>53</v>
      </c>
      <c r="O157" t="s">
        <v>81</v>
      </c>
      <c r="P157" t="s">
        <v>34</v>
      </c>
    </row>
    <row r="158" spans="1:16" x14ac:dyDescent="0.25">
      <c r="A158" s="1">
        <v>45672</v>
      </c>
      <c r="B158" t="s">
        <v>201</v>
      </c>
      <c r="C158">
        <v>88686</v>
      </c>
      <c r="D158" t="s">
        <v>46</v>
      </c>
      <c r="E158">
        <v>22</v>
      </c>
      <c r="F158">
        <v>79.34</v>
      </c>
      <c r="G158" t="s">
        <v>99</v>
      </c>
      <c r="H158">
        <v>0.26</v>
      </c>
      <c r="I158" t="s">
        <v>61</v>
      </c>
      <c r="J158">
        <v>20.66</v>
      </c>
      <c r="K158" t="s">
        <v>44</v>
      </c>
      <c r="L158" t="s">
        <v>21</v>
      </c>
      <c r="M158" t="s">
        <v>22</v>
      </c>
      <c r="N158" t="s">
        <v>38</v>
      </c>
      <c r="O158" t="s">
        <v>39</v>
      </c>
      <c r="P158" t="s">
        <v>25</v>
      </c>
    </row>
    <row r="159" spans="1:16" x14ac:dyDescent="0.25">
      <c r="A159" s="1">
        <v>45672</v>
      </c>
      <c r="B159" t="s">
        <v>202</v>
      </c>
      <c r="C159">
        <v>71918</v>
      </c>
      <c r="D159" t="s">
        <v>75</v>
      </c>
      <c r="E159">
        <v>28</v>
      </c>
      <c r="G159" t="s">
        <v>58</v>
      </c>
      <c r="H159">
        <v>0.38</v>
      </c>
      <c r="I159" t="s">
        <v>61</v>
      </c>
      <c r="J159">
        <v>12.26</v>
      </c>
      <c r="K159" t="s">
        <v>44</v>
      </c>
      <c r="L159" t="s">
        <v>21</v>
      </c>
      <c r="M159" t="s">
        <v>22</v>
      </c>
      <c r="N159" t="s">
        <v>53</v>
      </c>
      <c r="O159" t="s">
        <v>59</v>
      </c>
      <c r="P159" t="s">
        <v>34</v>
      </c>
    </row>
    <row r="160" spans="1:16" x14ac:dyDescent="0.25">
      <c r="A160" s="1">
        <v>45672</v>
      </c>
      <c r="B160" t="s">
        <v>203</v>
      </c>
      <c r="C160">
        <v>16717</v>
      </c>
      <c r="D160" t="s">
        <v>66</v>
      </c>
      <c r="E160">
        <v>37</v>
      </c>
      <c r="F160">
        <v>10.96</v>
      </c>
      <c r="G160" t="s">
        <v>58</v>
      </c>
      <c r="H160">
        <v>0.45</v>
      </c>
      <c r="I160" t="s">
        <v>19</v>
      </c>
      <c r="J160">
        <v>15.62</v>
      </c>
      <c r="K160" t="s">
        <v>50</v>
      </c>
      <c r="L160" t="s">
        <v>21</v>
      </c>
      <c r="M160" t="s">
        <v>22</v>
      </c>
      <c r="N160" t="s">
        <v>23</v>
      </c>
      <c r="O160" t="s">
        <v>24</v>
      </c>
      <c r="P160" t="s">
        <v>25</v>
      </c>
    </row>
    <row r="161" spans="1:16" x14ac:dyDescent="0.25">
      <c r="A161" s="1">
        <v>45672</v>
      </c>
      <c r="B161" t="s">
        <v>204</v>
      </c>
      <c r="C161">
        <v>88527</v>
      </c>
      <c r="D161" t="s">
        <v>17</v>
      </c>
      <c r="E161">
        <v>44</v>
      </c>
      <c r="F161">
        <v>17.32</v>
      </c>
      <c r="G161" t="s">
        <v>28</v>
      </c>
      <c r="H161">
        <v>0.1</v>
      </c>
      <c r="I161" t="s">
        <v>19</v>
      </c>
      <c r="J161">
        <v>25.64</v>
      </c>
      <c r="K161" t="s">
        <v>44</v>
      </c>
      <c r="L161" t="s">
        <v>31</v>
      </c>
      <c r="M161" t="s">
        <v>22</v>
      </c>
      <c r="N161" t="s">
        <v>23</v>
      </c>
      <c r="O161" t="s">
        <v>81</v>
      </c>
      <c r="P161" t="s">
        <v>40</v>
      </c>
    </row>
    <row r="162" spans="1:16" x14ac:dyDescent="0.25">
      <c r="A162" s="1">
        <v>45672</v>
      </c>
      <c r="B162" t="s">
        <v>205</v>
      </c>
      <c r="C162">
        <v>26888</v>
      </c>
      <c r="D162" t="s">
        <v>46</v>
      </c>
      <c r="E162">
        <v>39</v>
      </c>
      <c r="F162">
        <v>14.51</v>
      </c>
      <c r="G162" t="s">
        <v>72</v>
      </c>
      <c r="H162">
        <v>0.3</v>
      </c>
      <c r="I162" t="s">
        <v>61</v>
      </c>
      <c r="J162">
        <v>6.49</v>
      </c>
      <c r="K162" t="s">
        <v>37</v>
      </c>
      <c r="L162" t="s">
        <v>31</v>
      </c>
      <c r="M162" t="s">
        <v>22</v>
      </c>
      <c r="N162" t="s">
        <v>23</v>
      </c>
      <c r="O162" t="s">
        <v>59</v>
      </c>
      <c r="P162" t="s">
        <v>25</v>
      </c>
    </row>
    <row r="163" spans="1:16" x14ac:dyDescent="0.25">
      <c r="A163" s="1">
        <v>45672</v>
      </c>
      <c r="B163" t="s">
        <v>206</v>
      </c>
      <c r="C163">
        <v>95868</v>
      </c>
      <c r="D163" t="s">
        <v>89</v>
      </c>
      <c r="E163">
        <v>22</v>
      </c>
      <c r="F163">
        <v>34.31</v>
      </c>
      <c r="G163" t="s">
        <v>76</v>
      </c>
      <c r="H163">
        <v>0.15</v>
      </c>
      <c r="I163" t="s">
        <v>19</v>
      </c>
      <c r="J163">
        <v>23.76</v>
      </c>
      <c r="K163" t="s">
        <v>44</v>
      </c>
      <c r="L163" t="s">
        <v>31</v>
      </c>
      <c r="M163" t="s">
        <v>22</v>
      </c>
      <c r="N163" t="s">
        <v>53</v>
      </c>
      <c r="O163" t="s">
        <v>59</v>
      </c>
      <c r="P163" t="s">
        <v>25</v>
      </c>
    </row>
    <row r="164" spans="1:16" x14ac:dyDescent="0.25">
      <c r="A164" s="1">
        <v>45672</v>
      </c>
      <c r="B164" t="s">
        <v>167</v>
      </c>
      <c r="C164">
        <v>47982</v>
      </c>
      <c r="D164" t="s">
        <v>68</v>
      </c>
      <c r="E164">
        <v>8</v>
      </c>
      <c r="F164">
        <v>14.69</v>
      </c>
      <c r="G164" t="s">
        <v>52</v>
      </c>
      <c r="H164">
        <v>0.49</v>
      </c>
      <c r="I164" t="s">
        <v>29</v>
      </c>
      <c r="J164">
        <v>25.68</v>
      </c>
      <c r="K164" t="s">
        <v>44</v>
      </c>
      <c r="L164" t="s">
        <v>31</v>
      </c>
      <c r="M164" t="s">
        <v>22</v>
      </c>
      <c r="N164" t="s">
        <v>38</v>
      </c>
      <c r="O164" t="s">
        <v>81</v>
      </c>
      <c r="P164" t="s">
        <v>40</v>
      </c>
    </row>
    <row r="165" spans="1:16" x14ac:dyDescent="0.25">
      <c r="A165" s="1">
        <v>45672</v>
      </c>
      <c r="B165" t="s">
        <v>207</v>
      </c>
      <c r="C165">
        <v>52418</v>
      </c>
      <c r="D165" t="s">
        <v>66</v>
      </c>
      <c r="E165">
        <v>7</v>
      </c>
      <c r="F165">
        <v>92.89</v>
      </c>
      <c r="G165" t="s">
        <v>84</v>
      </c>
      <c r="H165">
        <v>0.32</v>
      </c>
      <c r="I165" t="s">
        <v>19</v>
      </c>
      <c r="J165">
        <v>14.5</v>
      </c>
      <c r="K165" t="s">
        <v>44</v>
      </c>
      <c r="L165" t="s">
        <v>31</v>
      </c>
      <c r="M165" t="s">
        <v>111</v>
      </c>
      <c r="N165" t="s">
        <v>53</v>
      </c>
      <c r="O165" t="s">
        <v>59</v>
      </c>
    </row>
    <row r="166" spans="1:16" x14ac:dyDescent="0.25">
      <c r="A166" s="1">
        <v>45673</v>
      </c>
      <c r="B166" t="s">
        <v>208</v>
      </c>
      <c r="C166">
        <v>45210</v>
      </c>
      <c r="D166" t="s">
        <v>17</v>
      </c>
      <c r="E166">
        <v>47</v>
      </c>
      <c r="F166">
        <v>49.95</v>
      </c>
      <c r="G166" t="s">
        <v>28</v>
      </c>
      <c r="H166">
        <v>0.06</v>
      </c>
      <c r="I166" t="s">
        <v>19</v>
      </c>
      <c r="J166">
        <v>27.99</v>
      </c>
      <c r="K166" t="s">
        <v>37</v>
      </c>
      <c r="L166" t="s">
        <v>31</v>
      </c>
      <c r="M166" t="s">
        <v>22</v>
      </c>
      <c r="N166" t="s">
        <v>32</v>
      </c>
      <c r="O166" t="s">
        <v>722</v>
      </c>
      <c r="P166" t="s">
        <v>34</v>
      </c>
    </row>
    <row r="167" spans="1:16" x14ac:dyDescent="0.25">
      <c r="A167" s="1">
        <v>45673</v>
      </c>
      <c r="B167" t="s">
        <v>209</v>
      </c>
      <c r="C167">
        <v>11175</v>
      </c>
      <c r="D167" t="s">
        <v>89</v>
      </c>
      <c r="E167">
        <v>10</v>
      </c>
      <c r="F167">
        <v>50.57</v>
      </c>
      <c r="G167" t="s">
        <v>43</v>
      </c>
      <c r="H167">
        <v>0.23</v>
      </c>
      <c r="I167" t="s">
        <v>19</v>
      </c>
      <c r="J167">
        <v>23.73</v>
      </c>
      <c r="K167" t="s">
        <v>50</v>
      </c>
      <c r="L167" t="s">
        <v>31</v>
      </c>
      <c r="M167" t="s">
        <v>22</v>
      </c>
      <c r="N167" t="s">
        <v>53</v>
      </c>
      <c r="O167" t="s">
        <v>24</v>
      </c>
      <c r="P167" t="s">
        <v>25</v>
      </c>
    </row>
    <row r="168" spans="1:16" x14ac:dyDescent="0.25">
      <c r="A168" s="1">
        <v>45673</v>
      </c>
      <c r="B168" t="s">
        <v>210</v>
      </c>
      <c r="C168">
        <v>13520</v>
      </c>
      <c r="D168" t="s">
        <v>57</v>
      </c>
      <c r="F168">
        <v>72</v>
      </c>
      <c r="G168" t="s">
        <v>55</v>
      </c>
      <c r="H168">
        <v>0.28999999999999998</v>
      </c>
      <c r="I168" t="s">
        <v>29</v>
      </c>
      <c r="J168">
        <v>16.64</v>
      </c>
      <c r="K168" t="s">
        <v>37</v>
      </c>
      <c r="L168" t="s">
        <v>31</v>
      </c>
      <c r="M168" t="s">
        <v>22</v>
      </c>
      <c r="N168" t="s">
        <v>53</v>
      </c>
      <c r="O168" t="s">
        <v>81</v>
      </c>
      <c r="P168" t="s">
        <v>40</v>
      </c>
    </row>
    <row r="169" spans="1:16" x14ac:dyDescent="0.25">
      <c r="A169" s="1">
        <v>45673</v>
      </c>
      <c r="B169" t="s">
        <v>211</v>
      </c>
      <c r="C169">
        <v>15635</v>
      </c>
      <c r="D169" t="s">
        <v>42</v>
      </c>
      <c r="E169">
        <v>34</v>
      </c>
      <c r="F169">
        <v>92.63</v>
      </c>
      <c r="G169" t="s">
        <v>52</v>
      </c>
      <c r="H169">
        <v>0.39</v>
      </c>
      <c r="I169" t="s">
        <v>29</v>
      </c>
      <c r="J169">
        <v>16.899999999999999</v>
      </c>
      <c r="K169" t="s">
        <v>44</v>
      </c>
      <c r="L169" t="s">
        <v>21</v>
      </c>
      <c r="M169" t="s">
        <v>22</v>
      </c>
      <c r="N169" t="s">
        <v>53</v>
      </c>
      <c r="O169" t="s">
        <v>81</v>
      </c>
      <c r="P169" t="s">
        <v>25</v>
      </c>
    </row>
    <row r="170" spans="1:16" x14ac:dyDescent="0.25">
      <c r="A170" s="1">
        <v>45673</v>
      </c>
      <c r="B170" t="s">
        <v>212</v>
      </c>
      <c r="C170">
        <v>52618</v>
      </c>
      <c r="D170" t="s">
        <v>46</v>
      </c>
      <c r="E170">
        <v>7</v>
      </c>
      <c r="F170">
        <v>31.91</v>
      </c>
      <c r="G170" t="s">
        <v>43</v>
      </c>
      <c r="H170">
        <v>0.41</v>
      </c>
      <c r="I170" t="s">
        <v>29</v>
      </c>
      <c r="J170">
        <v>16.329999999999998</v>
      </c>
      <c r="K170" t="s">
        <v>50</v>
      </c>
      <c r="L170" t="s">
        <v>21</v>
      </c>
      <c r="N170" t="s">
        <v>53</v>
      </c>
      <c r="O170" t="s">
        <v>39</v>
      </c>
      <c r="P170" t="s">
        <v>34</v>
      </c>
    </row>
    <row r="171" spans="1:16" x14ac:dyDescent="0.25">
      <c r="A171" s="1">
        <v>45673</v>
      </c>
      <c r="B171" t="s">
        <v>213</v>
      </c>
      <c r="C171">
        <v>50849</v>
      </c>
      <c r="D171" t="s">
        <v>70</v>
      </c>
      <c r="E171">
        <v>24</v>
      </c>
      <c r="F171">
        <v>46.02</v>
      </c>
      <c r="G171" t="s">
        <v>52</v>
      </c>
      <c r="H171">
        <v>0.09</v>
      </c>
      <c r="I171" t="s">
        <v>61</v>
      </c>
      <c r="J171">
        <v>12.8</v>
      </c>
      <c r="K171" t="s">
        <v>20</v>
      </c>
      <c r="L171" t="s">
        <v>21</v>
      </c>
      <c r="M171" t="s">
        <v>22</v>
      </c>
      <c r="N171" t="s">
        <v>53</v>
      </c>
      <c r="O171" t="s">
        <v>59</v>
      </c>
      <c r="P171" t="s">
        <v>25</v>
      </c>
    </row>
    <row r="172" spans="1:16" x14ac:dyDescent="0.25">
      <c r="A172" s="1">
        <v>45673</v>
      </c>
      <c r="B172" t="s">
        <v>214</v>
      </c>
      <c r="C172">
        <v>72056</v>
      </c>
      <c r="D172" t="s">
        <v>89</v>
      </c>
      <c r="E172">
        <v>12</v>
      </c>
      <c r="F172">
        <v>61.98</v>
      </c>
      <c r="G172" t="s">
        <v>72</v>
      </c>
      <c r="H172">
        <v>0.15</v>
      </c>
      <c r="I172" t="s">
        <v>29</v>
      </c>
      <c r="J172">
        <v>10.08</v>
      </c>
      <c r="K172" t="s">
        <v>30</v>
      </c>
      <c r="L172" t="s">
        <v>31</v>
      </c>
      <c r="M172" t="s">
        <v>22</v>
      </c>
      <c r="N172" t="s">
        <v>32</v>
      </c>
      <c r="O172" t="s">
        <v>39</v>
      </c>
      <c r="P172" t="s">
        <v>34</v>
      </c>
    </row>
    <row r="173" spans="1:16" x14ac:dyDescent="0.25">
      <c r="A173" s="1">
        <v>45673</v>
      </c>
      <c r="B173" t="s">
        <v>215</v>
      </c>
      <c r="C173">
        <v>75820</v>
      </c>
      <c r="D173" t="s">
        <v>42</v>
      </c>
      <c r="E173">
        <v>47</v>
      </c>
      <c r="G173" t="s">
        <v>58</v>
      </c>
      <c r="H173">
        <v>0.45</v>
      </c>
      <c r="I173" t="s">
        <v>61</v>
      </c>
      <c r="J173">
        <v>20.82</v>
      </c>
      <c r="K173" t="s">
        <v>37</v>
      </c>
      <c r="L173" t="s">
        <v>21</v>
      </c>
      <c r="M173" t="s">
        <v>22</v>
      </c>
      <c r="N173" t="s">
        <v>53</v>
      </c>
      <c r="O173" t="s">
        <v>59</v>
      </c>
      <c r="P173" t="s">
        <v>25</v>
      </c>
    </row>
    <row r="174" spans="1:16" x14ac:dyDescent="0.25">
      <c r="A174" s="1">
        <v>45673</v>
      </c>
      <c r="B174" t="s">
        <v>216</v>
      </c>
      <c r="C174">
        <v>43388</v>
      </c>
      <c r="D174" t="s">
        <v>89</v>
      </c>
      <c r="E174">
        <v>2</v>
      </c>
      <c r="F174">
        <v>78.72</v>
      </c>
      <c r="G174" t="s">
        <v>84</v>
      </c>
      <c r="H174">
        <v>0.18</v>
      </c>
      <c r="I174" t="s">
        <v>61</v>
      </c>
      <c r="J174">
        <v>14.27</v>
      </c>
      <c r="K174" t="s">
        <v>44</v>
      </c>
      <c r="L174" t="s">
        <v>21</v>
      </c>
      <c r="M174" t="s">
        <v>22</v>
      </c>
      <c r="N174" t="s">
        <v>23</v>
      </c>
      <c r="O174" t="s">
        <v>81</v>
      </c>
      <c r="P174" t="s">
        <v>34</v>
      </c>
    </row>
    <row r="175" spans="1:16" x14ac:dyDescent="0.25">
      <c r="A175" s="1">
        <v>45673</v>
      </c>
      <c r="B175" t="s">
        <v>217</v>
      </c>
      <c r="C175">
        <v>18325</v>
      </c>
      <c r="D175" t="s">
        <v>42</v>
      </c>
      <c r="E175">
        <v>8</v>
      </c>
      <c r="F175">
        <v>56.75</v>
      </c>
      <c r="G175" t="s">
        <v>52</v>
      </c>
      <c r="H175">
        <v>0.38</v>
      </c>
      <c r="I175" t="s">
        <v>19</v>
      </c>
      <c r="J175">
        <v>8.65</v>
      </c>
      <c r="K175" t="s">
        <v>37</v>
      </c>
      <c r="L175" t="s">
        <v>21</v>
      </c>
      <c r="M175" t="s">
        <v>22</v>
      </c>
      <c r="N175" t="s">
        <v>38</v>
      </c>
      <c r="O175" t="s">
        <v>24</v>
      </c>
      <c r="P175" t="s">
        <v>34</v>
      </c>
    </row>
    <row r="176" spans="1:16" x14ac:dyDescent="0.25">
      <c r="A176" s="1">
        <v>45673</v>
      </c>
      <c r="B176" t="s">
        <v>218</v>
      </c>
      <c r="C176">
        <v>67667</v>
      </c>
      <c r="D176" t="s">
        <v>27</v>
      </c>
      <c r="E176">
        <v>41</v>
      </c>
      <c r="F176">
        <v>77.45</v>
      </c>
      <c r="G176" t="s">
        <v>18</v>
      </c>
      <c r="H176">
        <v>0.15</v>
      </c>
      <c r="I176" t="s">
        <v>19</v>
      </c>
      <c r="J176">
        <v>18.420000000000002</v>
      </c>
      <c r="K176" t="s">
        <v>20</v>
      </c>
      <c r="L176" t="s">
        <v>31</v>
      </c>
      <c r="M176" t="s">
        <v>22</v>
      </c>
      <c r="N176" t="s">
        <v>53</v>
      </c>
      <c r="O176" t="s">
        <v>81</v>
      </c>
      <c r="P176" t="s">
        <v>34</v>
      </c>
    </row>
    <row r="177" spans="1:16" x14ac:dyDescent="0.25">
      <c r="A177" s="1">
        <v>45673</v>
      </c>
      <c r="B177" t="s">
        <v>219</v>
      </c>
      <c r="C177">
        <v>62103</v>
      </c>
      <c r="D177" t="s">
        <v>57</v>
      </c>
      <c r="E177">
        <v>18</v>
      </c>
      <c r="F177">
        <v>36.99</v>
      </c>
      <c r="G177" t="s">
        <v>72</v>
      </c>
      <c r="H177">
        <v>0.33</v>
      </c>
      <c r="I177" t="s">
        <v>29</v>
      </c>
      <c r="J177">
        <v>28.34</v>
      </c>
      <c r="K177" t="s">
        <v>50</v>
      </c>
      <c r="L177" t="s">
        <v>31</v>
      </c>
      <c r="M177" t="s">
        <v>111</v>
      </c>
      <c r="N177" t="s">
        <v>53</v>
      </c>
      <c r="O177" t="s">
        <v>24</v>
      </c>
      <c r="P177" t="s">
        <v>25</v>
      </c>
    </row>
    <row r="178" spans="1:16" x14ac:dyDescent="0.25">
      <c r="A178" s="1">
        <v>45673</v>
      </c>
      <c r="B178" t="s">
        <v>220</v>
      </c>
      <c r="C178">
        <v>28209</v>
      </c>
      <c r="D178" t="s">
        <v>68</v>
      </c>
      <c r="E178">
        <v>31</v>
      </c>
      <c r="F178">
        <v>43.72</v>
      </c>
      <c r="G178" t="s">
        <v>99</v>
      </c>
      <c r="H178">
        <v>0.33</v>
      </c>
      <c r="I178" t="s">
        <v>19</v>
      </c>
      <c r="J178">
        <v>22.11</v>
      </c>
      <c r="K178" t="s">
        <v>44</v>
      </c>
      <c r="L178" t="s">
        <v>31</v>
      </c>
      <c r="M178" t="s">
        <v>22</v>
      </c>
      <c r="N178" t="s">
        <v>38</v>
      </c>
      <c r="O178" t="s">
        <v>39</v>
      </c>
      <c r="P178" t="s">
        <v>40</v>
      </c>
    </row>
    <row r="179" spans="1:16" x14ac:dyDescent="0.25">
      <c r="A179" s="1">
        <v>45673</v>
      </c>
      <c r="B179" t="s">
        <v>221</v>
      </c>
      <c r="C179">
        <v>95819</v>
      </c>
      <c r="D179" t="s">
        <v>70</v>
      </c>
      <c r="E179">
        <v>43</v>
      </c>
      <c r="F179">
        <v>49.97</v>
      </c>
      <c r="G179" t="s">
        <v>36</v>
      </c>
      <c r="H179">
        <v>0.05</v>
      </c>
      <c r="I179" t="s">
        <v>61</v>
      </c>
      <c r="J179">
        <v>28.51</v>
      </c>
      <c r="K179" t="s">
        <v>30</v>
      </c>
      <c r="L179" t="s">
        <v>31</v>
      </c>
      <c r="M179" t="s">
        <v>22</v>
      </c>
      <c r="N179" t="s">
        <v>53</v>
      </c>
      <c r="O179" t="s">
        <v>33</v>
      </c>
      <c r="P179" t="s">
        <v>34</v>
      </c>
    </row>
    <row r="180" spans="1:16" x14ac:dyDescent="0.25">
      <c r="A180" s="1">
        <v>45673</v>
      </c>
      <c r="B180" t="s">
        <v>222</v>
      </c>
      <c r="C180">
        <v>50769</v>
      </c>
      <c r="D180" t="s">
        <v>57</v>
      </c>
      <c r="E180">
        <v>20</v>
      </c>
      <c r="F180">
        <v>91.39</v>
      </c>
      <c r="G180" t="s">
        <v>36</v>
      </c>
      <c r="H180">
        <v>0.43</v>
      </c>
      <c r="I180" t="s">
        <v>61</v>
      </c>
      <c r="J180">
        <v>23.32</v>
      </c>
      <c r="K180" t="s">
        <v>37</v>
      </c>
      <c r="L180" t="s">
        <v>31</v>
      </c>
      <c r="N180" t="s">
        <v>38</v>
      </c>
      <c r="O180" t="s">
        <v>39</v>
      </c>
      <c r="P180" t="s">
        <v>34</v>
      </c>
    </row>
    <row r="181" spans="1:16" x14ac:dyDescent="0.25">
      <c r="A181" s="1">
        <v>45673</v>
      </c>
      <c r="B181" t="s">
        <v>223</v>
      </c>
      <c r="C181">
        <v>82134</v>
      </c>
      <c r="D181" t="s">
        <v>70</v>
      </c>
      <c r="E181">
        <v>20</v>
      </c>
      <c r="F181">
        <v>23.44</v>
      </c>
      <c r="G181" t="s">
        <v>58</v>
      </c>
      <c r="H181">
        <v>0.35</v>
      </c>
      <c r="I181" t="s">
        <v>29</v>
      </c>
      <c r="J181">
        <v>22.73</v>
      </c>
      <c r="K181" t="s">
        <v>20</v>
      </c>
      <c r="L181" t="s">
        <v>21</v>
      </c>
      <c r="M181" t="s">
        <v>22</v>
      </c>
      <c r="N181" t="s">
        <v>38</v>
      </c>
      <c r="O181" t="s">
        <v>39</v>
      </c>
      <c r="P181" t="s">
        <v>25</v>
      </c>
    </row>
    <row r="182" spans="1:16" x14ac:dyDescent="0.25">
      <c r="A182" s="1">
        <v>45673</v>
      </c>
      <c r="B182" t="s">
        <v>224</v>
      </c>
      <c r="C182">
        <v>16291</v>
      </c>
      <c r="D182" t="s">
        <v>27</v>
      </c>
      <c r="E182">
        <v>12</v>
      </c>
      <c r="F182">
        <v>66.099999999999994</v>
      </c>
      <c r="G182" t="s">
        <v>58</v>
      </c>
      <c r="H182">
        <v>0.02</v>
      </c>
      <c r="I182" t="s">
        <v>19</v>
      </c>
      <c r="J182">
        <v>23.11</v>
      </c>
      <c r="K182" t="s">
        <v>50</v>
      </c>
      <c r="L182" t="s">
        <v>31</v>
      </c>
      <c r="M182" t="s">
        <v>22</v>
      </c>
      <c r="N182" t="s">
        <v>32</v>
      </c>
      <c r="O182" t="s">
        <v>81</v>
      </c>
    </row>
    <row r="183" spans="1:16" x14ac:dyDescent="0.25">
      <c r="A183" s="1">
        <v>45673</v>
      </c>
      <c r="B183" t="s">
        <v>159</v>
      </c>
      <c r="C183">
        <v>26526</v>
      </c>
      <c r="D183" t="s">
        <v>57</v>
      </c>
      <c r="E183">
        <v>6</v>
      </c>
      <c r="F183">
        <v>75.98</v>
      </c>
      <c r="G183" t="s">
        <v>84</v>
      </c>
      <c r="H183">
        <v>0.34</v>
      </c>
      <c r="I183" t="s">
        <v>19</v>
      </c>
      <c r="J183">
        <v>14.12</v>
      </c>
      <c r="K183" t="s">
        <v>37</v>
      </c>
      <c r="L183" t="s">
        <v>21</v>
      </c>
      <c r="M183" t="s">
        <v>22</v>
      </c>
      <c r="N183" t="s">
        <v>23</v>
      </c>
      <c r="O183" t="s">
        <v>81</v>
      </c>
      <c r="P183" t="s">
        <v>25</v>
      </c>
    </row>
    <row r="184" spans="1:16" x14ac:dyDescent="0.25">
      <c r="A184" s="1">
        <v>45673</v>
      </c>
      <c r="B184" t="s">
        <v>225</v>
      </c>
      <c r="C184">
        <v>31320</v>
      </c>
      <c r="D184" t="s">
        <v>46</v>
      </c>
      <c r="E184">
        <v>3</v>
      </c>
      <c r="F184">
        <v>87.15</v>
      </c>
      <c r="G184" t="s">
        <v>99</v>
      </c>
      <c r="H184">
        <v>0.49</v>
      </c>
      <c r="I184" t="s">
        <v>61</v>
      </c>
      <c r="J184">
        <v>26.04</v>
      </c>
      <c r="K184" t="s">
        <v>50</v>
      </c>
      <c r="L184" t="s">
        <v>31</v>
      </c>
      <c r="M184" t="s">
        <v>22</v>
      </c>
      <c r="N184" t="s">
        <v>53</v>
      </c>
      <c r="O184" t="s">
        <v>81</v>
      </c>
      <c r="P184" t="s">
        <v>25</v>
      </c>
    </row>
    <row r="185" spans="1:16" x14ac:dyDescent="0.25">
      <c r="A185" s="1">
        <v>45673</v>
      </c>
      <c r="B185" t="s">
        <v>129</v>
      </c>
      <c r="C185">
        <v>56972</v>
      </c>
      <c r="D185" t="s">
        <v>27</v>
      </c>
      <c r="E185">
        <v>30</v>
      </c>
      <c r="F185">
        <v>2.57</v>
      </c>
      <c r="G185" t="s">
        <v>47</v>
      </c>
      <c r="H185">
        <v>0.08</v>
      </c>
      <c r="I185" t="s">
        <v>29</v>
      </c>
      <c r="J185">
        <v>14.9</v>
      </c>
      <c r="K185" t="s">
        <v>44</v>
      </c>
      <c r="L185" t="s">
        <v>31</v>
      </c>
      <c r="M185" t="s">
        <v>22</v>
      </c>
      <c r="N185" t="s">
        <v>32</v>
      </c>
      <c r="O185" s="4" t="s">
        <v>726</v>
      </c>
      <c r="P185" t="s">
        <v>25</v>
      </c>
    </row>
    <row r="186" spans="1:16" x14ac:dyDescent="0.25">
      <c r="A186" s="1">
        <v>45673</v>
      </c>
      <c r="B186" t="s">
        <v>226</v>
      </c>
      <c r="C186">
        <v>85664</v>
      </c>
      <c r="D186" t="s">
        <v>68</v>
      </c>
      <c r="E186">
        <v>24</v>
      </c>
      <c r="F186">
        <v>36.69</v>
      </c>
      <c r="G186" t="s">
        <v>52</v>
      </c>
      <c r="H186">
        <v>0.19</v>
      </c>
      <c r="I186" t="s">
        <v>61</v>
      </c>
      <c r="J186">
        <v>7.24</v>
      </c>
      <c r="K186" t="s">
        <v>20</v>
      </c>
      <c r="L186" t="s">
        <v>21</v>
      </c>
      <c r="M186" t="s">
        <v>111</v>
      </c>
      <c r="N186" t="s">
        <v>38</v>
      </c>
      <c r="O186" t="s">
        <v>33</v>
      </c>
      <c r="P186" t="s">
        <v>25</v>
      </c>
    </row>
    <row r="187" spans="1:16" x14ac:dyDescent="0.25">
      <c r="A187" s="1">
        <v>45673</v>
      </c>
      <c r="B187" t="s">
        <v>227</v>
      </c>
      <c r="C187">
        <v>56819</v>
      </c>
      <c r="D187" t="s">
        <v>57</v>
      </c>
      <c r="E187">
        <v>48</v>
      </c>
      <c r="G187" t="s">
        <v>55</v>
      </c>
      <c r="H187">
        <v>0.46</v>
      </c>
      <c r="I187" t="s">
        <v>19</v>
      </c>
      <c r="J187">
        <v>27.45</v>
      </c>
      <c r="K187" t="s">
        <v>50</v>
      </c>
      <c r="L187" t="s">
        <v>21</v>
      </c>
      <c r="M187" t="s">
        <v>22</v>
      </c>
      <c r="N187" t="s">
        <v>32</v>
      </c>
      <c r="O187" t="s">
        <v>39</v>
      </c>
      <c r="P187" t="s">
        <v>34</v>
      </c>
    </row>
    <row r="188" spans="1:16" x14ac:dyDescent="0.25">
      <c r="A188" s="1">
        <v>45674</v>
      </c>
      <c r="B188" t="s">
        <v>228</v>
      </c>
      <c r="C188">
        <v>40466</v>
      </c>
      <c r="D188" t="s">
        <v>17</v>
      </c>
      <c r="E188">
        <v>14</v>
      </c>
      <c r="F188">
        <v>88.21</v>
      </c>
      <c r="G188" t="s">
        <v>76</v>
      </c>
      <c r="H188">
        <v>0.44</v>
      </c>
      <c r="I188" t="s">
        <v>29</v>
      </c>
      <c r="J188">
        <v>9.31</v>
      </c>
      <c r="K188" t="s">
        <v>30</v>
      </c>
      <c r="L188" t="s">
        <v>21</v>
      </c>
      <c r="N188" t="s">
        <v>53</v>
      </c>
      <c r="O188" t="s">
        <v>59</v>
      </c>
      <c r="P188" t="s">
        <v>34</v>
      </c>
    </row>
    <row r="189" spans="1:16" x14ac:dyDescent="0.25">
      <c r="A189" s="1">
        <v>45674</v>
      </c>
      <c r="B189" t="s">
        <v>229</v>
      </c>
      <c r="C189">
        <v>72868</v>
      </c>
      <c r="D189" t="s">
        <v>27</v>
      </c>
      <c r="F189">
        <v>46.28</v>
      </c>
      <c r="G189" t="s">
        <v>84</v>
      </c>
      <c r="H189">
        <v>0.05</v>
      </c>
      <c r="I189" t="s">
        <v>29</v>
      </c>
      <c r="J189">
        <v>8.5500000000000007</v>
      </c>
      <c r="K189" t="s">
        <v>30</v>
      </c>
      <c r="L189" t="s">
        <v>31</v>
      </c>
      <c r="M189" t="s">
        <v>22</v>
      </c>
      <c r="N189" t="s">
        <v>38</v>
      </c>
      <c r="O189" t="s">
        <v>722</v>
      </c>
      <c r="P189" t="s">
        <v>25</v>
      </c>
    </row>
    <row r="190" spans="1:16" x14ac:dyDescent="0.25">
      <c r="A190" s="1">
        <v>45674</v>
      </c>
      <c r="B190" t="s">
        <v>230</v>
      </c>
      <c r="C190">
        <v>16423</v>
      </c>
      <c r="D190" t="s">
        <v>49</v>
      </c>
      <c r="E190">
        <v>29</v>
      </c>
      <c r="F190">
        <v>36.270000000000003</v>
      </c>
      <c r="G190" t="s">
        <v>28</v>
      </c>
      <c r="H190">
        <v>0.14000000000000001</v>
      </c>
      <c r="I190" t="s">
        <v>29</v>
      </c>
      <c r="J190">
        <v>26.22</v>
      </c>
      <c r="K190" t="s">
        <v>37</v>
      </c>
      <c r="L190" t="s">
        <v>21</v>
      </c>
      <c r="M190" t="s">
        <v>22</v>
      </c>
      <c r="N190" t="s">
        <v>53</v>
      </c>
      <c r="O190" t="s">
        <v>81</v>
      </c>
      <c r="P190" t="s">
        <v>34</v>
      </c>
    </row>
    <row r="191" spans="1:16" x14ac:dyDescent="0.25">
      <c r="A191" s="1">
        <v>45674</v>
      </c>
      <c r="B191" t="s">
        <v>231</v>
      </c>
      <c r="C191">
        <v>71984</v>
      </c>
      <c r="D191" t="s">
        <v>49</v>
      </c>
      <c r="E191">
        <v>29</v>
      </c>
      <c r="F191">
        <v>30.48</v>
      </c>
      <c r="G191" t="s">
        <v>55</v>
      </c>
      <c r="H191">
        <v>0.4</v>
      </c>
      <c r="I191" t="s">
        <v>29</v>
      </c>
      <c r="J191">
        <v>22.63</v>
      </c>
      <c r="K191" t="s">
        <v>50</v>
      </c>
      <c r="L191" t="s">
        <v>31</v>
      </c>
      <c r="M191" t="s">
        <v>111</v>
      </c>
      <c r="N191" t="s">
        <v>32</v>
      </c>
      <c r="O191" t="s">
        <v>59</v>
      </c>
      <c r="P191" t="s">
        <v>25</v>
      </c>
    </row>
    <row r="192" spans="1:16" x14ac:dyDescent="0.25">
      <c r="A192" s="1">
        <v>45674</v>
      </c>
      <c r="B192" t="s">
        <v>232</v>
      </c>
      <c r="C192">
        <v>39231</v>
      </c>
      <c r="D192" t="s">
        <v>75</v>
      </c>
      <c r="E192">
        <v>10</v>
      </c>
      <c r="F192">
        <v>88.14</v>
      </c>
      <c r="G192" t="s">
        <v>58</v>
      </c>
      <c r="H192">
        <v>0.31</v>
      </c>
      <c r="I192" t="s">
        <v>29</v>
      </c>
      <c r="J192">
        <v>20.5</v>
      </c>
      <c r="K192" t="s">
        <v>44</v>
      </c>
      <c r="L192" t="s">
        <v>31</v>
      </c>
      <c r="M192" t="s">
        <v>22</v>
      </c>
      <c r="N192" t="s">
        <v>23</v>
      </c>
      <c r="O192" t="s">
        <v>24</v>
      </c>
      <c r="P192" t="s">
        <v>40</v>
      </c>
    </row>
    <row r="193" spans="1:16" x14ac:dyDescent="0.25">
      <c r="A193" s="1">
        <v>45674</v>
      </c>
      <c r="B193" t="s">
        <v>233</v>
      </c>
      <c r="C193">
        <v>50297</v>
      </c>
      <c r="D193" t="s">
        <v>57</v>
      </c>
      <c r="E193">
        <v>42</v>
      </c>
      <c r="F193">
        <v>64.37</v>
      </c>
      <c r="G193" t="s">
        <v>58</v>
      </c>
      <c r="H193">
        <v>0.38</v>
      </c>
      <c r="I193" t="s">
        <v>29</v>
      </c>
      <c r="J193">
        <v>25.05</v>
      </c>
      <c r="K193" t="s">
        <v>30</v>
      </c>
      <c r="L193" t="s">
        <v>21</v>
      </c>
      <c r="M193" t="s">
        <v>22</v>
      </c>
      <c r="N193" t="s">
        <v>53</v>
      </c>
      <c r="O193" t="s">
        <v>81</v>
      </c>
      <c r="P193" t="s">
        <v>25</v>
      </c>
    </row>
    <row r="194" spans="1:16" x14ac:dyDescent="0.25">
      <c r="A194" s="1">
        <v>45674</v>
      </c>
      <c r="B194" t="s">
        <v>234</v>
      </c>
      <c r="C194">
        <v>47253</v>
      </c>
      <c r="D194" t="s">
        <v>70</v>
      </c>
      <c r="E194">
        <v>41</v>
      </c>
      <c r="F194">
        <v>37.5</v>
      </c>
      <c r="G194" t="s">
        <v>55</v>
      </c>
      <c r="H194">
        <v>0.44</v>
      </c>
      <c r="I194" t="s">
        <v>61</v>
      </c>
      <c r="J194">
        <v>14.64</v>
      </c>
      <c r="K194" t="s">
        <v>50</v>
      </c>
      <c r="L194" t="s">
        <v>21</v>
      </c>
      <c r="M194" t="s">
        <v>22</v>
      </c>
      <c r="N194" t="s">
        <v>23</v>
      </c>
      <c r="O194" t="s">
        <v>24</v>
      </c>
      <c r="P194" t="s">
        <v>40</v>
      </c>
    </row>
    <row r="195" spans="1:16" x14ac:dyDescent="0.25">
      <c r="A195" s="1">
        <v>45674</v>
      </c>
      <c r="B195" t="s">
        <v>235</v>
      </c>
      <c r="C195">
        <v>60266</v>
      </c>
      <c r="D195" t="s">
        <v>42</v>
      </c>
      <c r="E195">
        <v>39</v>
      </c>
      <c r="F195">
        <v>48.69</v>
      </c>
      <c r="G195" t="s">
        <v>72</v>
      </c>
      <c r="H195">
        <v>7.0000000000000007E-2</v>
      </c>
      <c r="I195" t="s">
        <v>61</v>
      </c>
      <c r="J195">
        <v>23.59</v>
      </c>
      <c r="K195" t="s">
        <v>20</v>
      </c>
      <c r="L195" t="s">
        <v>31</v>
      </c>
      <c r="M195" t="s">
        <v>22</v>
      </c>
      <c r="N195" t="s">
        <v>38</v>
      </c>
      <c r="O195" t="s">
        <v>24</v>
      </c>
      <c r="P195" t="s">
        <v>34</v>
      </c>
    </row>
    <row r="196" spans="1:16" x14ac:dyDescent="0.25">
      <c r="A196" s="1">
        <v>45674</v>
      </c>
      <c r="B196" t="s">
        <v>203</v>
      </c>
      <c r="C196">
        <v>90102</v>
      </c>
      <c r="D196" t="s">
        <v>17</v>
      </c>
      <c r="E196">
        <v>33</v>
      </c>
      <c r="F196">
        <v>12.47</v>
      </c>
      <c r="G196" t="s">
        <v>55</v>
      </c>
      <c r="H196">
        <v>0.46</v>
      </c>
      <c r="I196" t="s">
        <v>61</v>
      </c>
      <c r="J196">
        <v>11.56</v>
      </c>
      <c r="K196" t="s">
        <v>20</v>
      </c>
      <c r="L196" t="s">
        <v>31</v>
      </c>
      <c r="M196" t="s">
        <v>22</v>
      </c>
      <c r="N196" t="s">
        <v>23</v>
      </c>
      <c r="O196" t="s">
        <v>81</v>
      </c>
      <c r="P196" t="s">
        <v>25</v>
      </c>
    </row>
    <row r="197" spans="1:16" x14ac:dyDescent="0.25">
      <c r="A197" s="1">
        <v>45674</v>
      </c>
      <c r="B197" t="s">
        <v>236</v>
      </c>
      <c r="C197">
        <v>47573</v>
      </c>
      <c r="D197" t="s">
        <v>27</v>
      </c>
      <c r="E197">
        <v>8</v>
      </c>
      <c r="F197">
        <v>89.83</v>
      </c>
      <c r="G197" t="s">
        <v>76</v>
      </c>
      <c r="H197">
        <v>0.1</v>
      </c>
      <c r="I197" t="s">
        <v>61</v>
      </c>
      <c r="J197">
        <v>20.11</v>
      </c>
      <c r="K197" t="s">
        <v>30</v>
      </c>
      <c r="L197" t="s">
        <v>21</v>
      </c>
      <c r="M197" t="s">
        <v>22</v>
      </c>
      <c r="N197" t="s">
        <v>32</v>
      </c>
      <c r="O197" t="s">
        <v>81</v>
      </c>
      <c r="P197" t="s">
        <v>40</v>
      </c>
    </row>
    <row r="198" spans="1:16" x14ac:dyDescent="0.25">
      <c r="A198" s="1">
        <v>45674</v>
      </c>
      <c r="B198" t="s">
        <v>237</v>
      </c>
      <c r="C198">
        <v>74829</v>
      </c>
      <c r="D198" t="s">
        <v>70</v>
      </c>
      <c r="E198">
        <v>42</v>
      </c>
      <c r="F198">
        <v>56.96</v>
      </c>
      <c r="G198" t="s">
        <v>76</v>
      </c>
      <c r="H198">
        <v>0.37</v>
      </c>
      <c r="I198" t="s">
        <v>61</v>
      </c>
      <c r="J198">
        <v>13.94</v>
      </c>
      <c r="K198" t="s">
        <v>37</v>
      </c>
      <c r="L198" t="s">
        <v>31</v>
      </c>
      <c r="M198" t="s">
        <v>111</v>
      </c>
      <c r="N198" t="s">
        <v>53</v>
      </c>
      <c r="O198" t="s">
        <v>24</v>
      </c>
      <c r="P198" t="s">
        <v>34</v>
      </c>
    </row>
    <row r="199" spans="1:16" x14ac:dyDescent="0.25">
      <c r="A199" s="1">
        <v>45674</v>
      </c>
      <c r="B199" t="s">
        <v>238</v>
      </c>
      <c r="C199">
        <v>23789</v>
      </c>
      <c r="D199" t="s">
        <v>49</v>
      </c>
      <c r="E199">
        <v>13</v>
      </c>
      <c r="F199">
        <v>60.12</v>
      </c>
      <c r="G199" t="s">
        <v>55</v>
      </c>
      <c r="H199">
        <v>0.19</v>
      </c>
      <c r="I199" t="s">
        <v>61</v>
      </c>
      <c r="J199">
        <v>16.149999999999999</v>
      </c>
      <c r="K199" t="s">
        <v>44</v>
      </c>
      <c r="L199" t="s">
        <v>31</v>
      </c>
      <c r="M199" t="s">
        <v>22</v>
      </c>
      <c r="N199" t="s">
        <v>32</v>
      </c>
      <c r="O199" t="s">
        <v>24</v>
      </c>
      <c r="P199" t="s">
        <v>34</v>
      </c>
    </row>
    <row r="200" spans="1:16" x14ac:dyDescent="0.25">
      <c r="A200" s="1">
        <v>45674</v>
      </c>
      <c r="B200" t="s">
        <v>239</v>
      </c>
      <c r="C200">
        <v>28512</v>
      </c>
      <c r="D200" t="s">
        <v>49</v>
      </c>
      <c r="E200">
        <v>28</v>
      </c>
      <c r="F200">
        <v>41.86</v>
      </c>
      <c r="G200" t="s">
        <v>99</v>
      </c>
      <c r="H200">
        <v>0.34</v>
      </c>
      <c r="I200" t="s">
        <v>61</v>
      </c>
      <c r="J200">
        <v>22.25</v>
      </c>
      <c r="K200" t="s">
        <v>20</v>
      </c>
      <c r="L200" t="s">
        <v>21</v>
      </c>
      <c r="M200" t="s">
        <v>111</v>
      </c>
      <c r="N200" t="s">
        <v>38</v>
      </c>
      <c r="O200" t="s">
        <v>39</v>
      </c>
      <c r="P200" t="s">
        <v>25</v>
      </c>
    </row>
    <row r="201" spans="1:16" x14ac:dyDescent="0.25">
      <c r="A201" s="1">
        <v>45674</v>
      </c>
      <c r="B201" t="s">
        <v>240</v>
      </c>
      <c r="C201">
        <v>78677</v>
      </c>
      <c r="D201" t="s">
        <v>17</v>
      </c>
      <c r="E201">
        <v>48</v>
      </c>
      <c r="F201">
        <v>30.52</v>
      </c>
      <c r="G201" t="s">
        <v>72</v>
      </c>
      <c r="H201">
        <v>0.26</v>
      </c>
      <c r="I201" t="s">
        <v>61</v>
      </c>
      <c r="J201">
        <v>28.58</v>
      </c>
      <c r="K201" t="s">
        <v>37</v>
      </c>
      <c r="L201" t="s">
        <v>31</v>
      </c>
      <c r="M201" t="s">
        <v>22</v>
      </c>
      <c r="N201" t="s">
        <v>23</v>
      </c>
      <c r="O201" t="s">
        <v>39</v>
      </c>
      <c r="P201" t="s">
        <v>40</v>
      </c>
    </row>
    <row r="202" spans="1:16" x14ac:dyDescent="0.25">
      <c r="A202" s="1">
        <v>45674</v>
      </c>
      <c r="B202" t="s">
        <v>241</v>
      </c>
      <c r="C202">
        <v>48205</v>
      </c>
      <c r="D202" t="s">
        <v>57</v>
      </c>
      <c r="E202">
        <v>11</v>
      </c>
      <c r="F202">
        <v>68.78</v>
      </c>
      <c r="G202" t="s">
        <v>47</v>
      </c>
      <c r="H202">
        <v>0.45</v>
      </c>
      <c r="I202" t="s">
        <v>29</v>
      </c>
      <c r="J202">
        <v>11.27</v>
      </c>
      <c r="K202" t="s">
        <v>20</v>
      </c>
      <c r="L202" t="s">
        <v>31</v>
      </c>
      <c r="M202" t="s">
        <v>22</v>
      </c>
      <c r="N202" t="s">
        <v>38</v>
      </c>
      <c r="O202" t="s">
        <v>81</v>
      </c>
      <c r="P202" t="s">
        <v>25</v>
      </c>
    </row>
    <row r="203" spans="1:16" x14ac:dyDescent="0.25">
      <c r="A203" s="1">
        <v>45674</v>
      </c>
      <c r="B203" t="s">
        <v>242</v>
      </c>
      <c r="C203">
        <v>55073</v>
      </c>
      <c r="D203" t="s">
        <v>75</v>
      </c>
      <c r="E203">
        <v>17</v>
      </c>
      <c r="F203">
        <v>29.47</v>
      </c>
      <c r="G203" t="s">
        <v>76</v>
      </c>
      <c r="H203">
        <v>0.47</v>
      </c>
      <c r="I203" t="s">
        <v>61</v>
      </c>
      <c r="J203">
        <v>20.09</v>
      </c>
      <c r="K203" t="s">
        <v>44</v>
      </c>
      <c r="L203" t="s">
        <v>21</v>
      </c>
      <c r="M203" t="s">
        <v>22</v>
      </c>
      <c r="N203" t="s">
        <v>23</v>
      </c>
      <c r="O203" t="s">
        <v>24</v>
      </c>
      <c r="P203" t="s">
        <v>34</v>
      </c>
    </row>
    <row r="204" spans="1:16" x14ac:dyDescent="0.25">
      <c r="A204" s="1">
        <v>45674</v>
      </c>
      <c r="B204" t="s">
        <v>243</v>
      </c>
      <c r="C204">
        <v>94433</v>
      </c>
      <c r="D204" t="s">
        <v>66</v>
      </c>
      <c r="E204">
        <v>16</v>
      </c>
      <c r="F204">
        <v>38.85</v>
      </c>
      <c r="G204" t="s">
        <v>99</v>
      </c>
      <c r="H204">
        <v>0.14000000000000001</v>
      </c>
      <c r="I204" t="s">
        <v>61</v>
      </c>
      <c r="J204">
        <v>5.69</v>
      </c>
      <c r="K204" t="s">
        <v>44</v>
      </c>
      <c r="L204" t="s">
        <v>31</v>
      </c>
      <c r="N204" t="s">
        <v>38</v>
      </c>
      <c r="O204" t="s">
        <v>59</v>
      </c>
      <c r="P204" t="s">
        <v>40</v>
      </c>
    </row>
    <row r="205" spans="1:16" x14ac:dyDescent="0.25">
      <c r="A205" s="1">
        <v>45674</v>
      </c>
      <c r="B205" t="s">
        <v>85</v>
      </c>
      <c r="C205">
        <v>61911</v>
      </c>
      <c r="D205" t="s">
        <v>57</v>
      </c>
      <c r="E205">
        <v>24</v>
      </c>
      <c r="F205">
        <v>54.91</v>
      </c>
      <c r="G205" t="s">
        <v>76</v>
      </c>
      <c r="H205">
        <v>0.17</v>
      </c>
      <c r="I205" t="s">
        <v>19</v>
      </c>
      <c r="J205">
        <v>8.74</v>
      </c>
      <c r="K205" t="s">
        <v>44</v>
      </c>
      <c r="L205" t="s">
        <v>21</v>
      </c>
      <c r="M205" t="s">
        <v>22</v>
      </c>
      <c r="N205" t="s">
        <v>38</v>
      </c>
      <c r="O205" t="s">
        <v>24</v>
      </c>
    </row>
    <row r="206" spans="1:16" x14ac:dyDescent="0.25">
      <c r="A206" s="1">
        <v>45674</v>
      </c>
      <c r="B206" t="s">
        <v>244</v>
      </c>
      <c r="C206">
        <v>90370</v>
      </c>
      <c r="D206" t="s">
        <v>42</v>
      </c>
      <c r="E206">
        <v>33</v>
      </c>
      <c r="F206">
        <v>41.98</v>
      </c>
      <c r="G206" t="s">
        <v>43</v>
      </c>
      <c r="H206">
        <v>0.33</v>
      </c>
      <c r="I206" t="s">
        <v>61</v>
      </c>
      <c r="J206">
        <v>28.62</v>
      </c>
      <c r="K206" t="s">
        <v>44</v>
      </c>
      <c r="L206" t="s">
        <v>31</v>
      </c>
      <c r="M206" t="s">
        <v>22</v>
      </c>
      <c r="N206" t="s">
        <v>32</v>
      </c>
      <c r="O206" t="s">
        <v>39</v>
      </c>
      <c r="P206" t="s">
        <v>25</v>
      </c>
    </row>
    <row r="207" spans="1:16" x14ac:dyDescent="0.25">
      <c r="A207" s="1">
        <v>45674</v>
      </c>
      <c r="B207" t="s">
        <v>245</v>
      </c>
      <c r="C207">
        <v>46660</v>
      </c>
      <c r="D207" t="s">
        <v>46</v>
      </c>
      <c r="F207">
        <v>99.06</v>
      </c>
      <c r="G207" t="s">
        <v>18</v>
      </c>
      <c r="H207">
        <v>7.0000000000000007E-2</v>
      </c>
      <c r="I207" t="s">
        <v>29</v>
      </c>
      <c r="J207">
        <v>28.58</v>
      </c>
      <c r="K207" t="s">
        <v>37</v>
      </c>
      <c r="L207" t="s">
        <v>31</v>
      </c>
      <c r="M207" t="s">
        <v>22</v>
      </c>
      <c r="N207" t="s">
        <v>38</v>
      </c>
      <c r="O207" t="s">
        <v>33</v>
      </c>
      <c r="P207" t="s">
        <v>40</v>
      </c>
    </row>
    <row r="208" spans="1:16" x14ac:dyDescent="0.25">
      <c r="A208" s="1">
        <v>45674</v>
      </c>
      <c r="B208" t="s">
        <v>246</v>
      </c>
      <c r="C208">
        <v>74739</v>
      </c>
      <c r="D208" t="s">
        <v>42</v>
      </c>
      <c r="E208">
        <v>42</v>
      </c>
      <c r="G208" t="s">
        <v>43</v>
      </c>
      <c r="H208">
        <v>0.49</v>
      </c>
      <c r="I208" t="s">
        <v>19</v>
      </c>
      <c r="J208">
        <v>12.67</v>
      </c>
      <c r="K208" t="s">
        <v>44</v>
      </c>
      <c r="L208" t="s">
        <v>31</v>
      </c>
      <c r="M208" t="s">
        <v>22</v>
      </c>
      <c r="N208" t="s">
        <v>32</v>
      </c>
      <c r="O208" t="s">
        <v>33</v>
      </c>
      <c r="P208" t="s">
        <v>34</v>
      </c>
    </row>
    <row r="209" spans="1:16" x14ac:dyDescent="0.25">
      <c r="A209" s="1">
        <v>45674</v>
      </c>
      <c r="B209" t="s">
        <v>247</v>
      </c>
      <c r="C209">
        <v>11899</v>
      </c>
      <c r="D209" t="s">
        <v>49</v>
      </c>
      <c r="E209">
        <v>13</v>
      </c>
      <c r="F209">
        <v>56.57</v>
      </c>
      <c r="G209" t="s">
        <v>72</v>
      </c>
      <c r="H209">
        <v>0.21</v>
      </c>
      <c r="I209" t="s">
        <v>29</v>
      </c>
      <c r="J209">
        <v>23.08</v>
      </c>
      <c r="K209" t="s">
        <v>44</v>
      </c>
      <c r="L209" t="s">
        <v>31</v>
      </c>
      <c r="M209" t="s">
        <v>22</v>
      </c>
      <c r="N209" t="s">
        <v>23</v>
      </c>
      <c r="O209" t="s">
        <v>59</v>
      </c>
      <c r="P209" t="s">
        <v>34</v>
      </c>
    </row>
    <row r="210" spans="1:16" x14ac:dyDescent="0.25">
      <c r="A210" s="1">
        <v>45674</v>
      </c>
      <c r="B210" t="s">
        <v>248</v>
      </c>
      <c r="C210">
        <v>41737</v>
      </c>
      <c r="D210" t="s">
        <v>17</v>
      </c>
      <c r="E210">
        <v>2</v>
      </c>
      <c r="F210">
        <v>33.200000000000003</v>
      </c>
      <c r="G210" t="s">
        <v>18</v>
      </c>
      <c r="H210">
        <v>0.41</v>
      </c>
      <c r="I210" t="s">
        <v>19</v>
      </c>
      <c r="J210">
        <v>18.18</v>
      </c>
      <c r="K210" t="s">
        <v>37</v>
      </c>
      <c r="L210" t="s">
        <v>31</v>
      </c>
      <c r="M210" t="s">
        <v>111</v>
      </c>
      <c r="N210" t="s">
        <v>38</v>
      </c>
      <c r="O210" t="s">
        <v>33</v>
      </c>
      <c r="P210" t="s">
        <v>40</v>
      </c>
    </row>
    <row r="211" spans="1:16" x14ac:dyDescent="0.25">
      <c r="A211" s="1">
        <v>45675</v>
      </c>
      <c r="B211" t="s">
        <v>249</v>
      </c>
      <c r="C211">
        <v>70500</v>
      </c>
      <c r="D211" t="s">
        <v>17</v>
      </c>
      <c r="E211">
        <v>26</v>
      </c>
      <c r="F211">
        <v>36.200000000000003</v>
      </c>
      <c r="G211" t="s">
        <v>76</v>
      </c>
      <c r="H211">
        <v>0.19</v>
      </c>
      <c r="I211" t="s">
        <v>19</v>
      </c>
      <c r="J211">
        <v>26.85</v>
      </c>
      <c r="K211" t="s">
        <v>30</v>
      </c>
      <c r="L211" t="s">
        <v>21</v>
      </c>
      <c r="M211" t="s">
        <v>22</v>
      </c>
      <c r="N211" t="s">
        <v>32</v>
      </c>
      <c r="O211" t="s">
        <v>81</v>
      </c>
      <c r="P211" t="s">
        <v>40</v>
      </c>
    </row>
    <row r="212" spans="1:16" x14ac:dyDescent="0.25">
      <c r="A212" s="1">
        <v>45675</v>
      </c>
      <c r="B212" t="s">
        <v>227</v>
      </c>
      <c r="C212">
        <v>58426</v>
      </c>
      <c r="D212" t="s">
        <v>17</v>
      </c>
      <c r="E212">
        <v>29</v>
      </c>
      <c r="F212">
        <v>32.47</v>
      </c>
      <c r="G212" t="s">
        <v>58</v>
      </c>
      <c r="H212">
        <v>0.45</v>
      </c>
      <c r="I212" t="s">
        <v>19</v>
      </c>
      <c r="J212">
        <v>27.85</v>
      </c>
      <c r="K212" t="s">
        <v>30</v>
      </c>
      <c r="L212" t="s">
        <v>31</v>
      </c>
      <c r="M212" t="s">
        <v>22</v>
      </c>
      <c r="N212" t="s">
        <v>32</v>
      </c>
      <c r="O212" t="s">
        <v>81</v>
      </c>
      <c r="P212" t="s">
        <v>40</v>
      </c>
    </row>
    <row r="213" spans="1:16" x14ac:dyDescent="0.25">
      <c r="A213" s="1">
        <v>45675</v>
      </c>
      <c r="B213" t="s">
        <v>250</v>
      </c>
      <c r="C213">
        <v>23928</v>
      </c>
      <c r="D213" t="s">
        <v>89</v>
      </c>
      <c r="E213">
        <v>12</v>
      </c>
      <c r="F213">
        <v>78.94</v>
      </c>
      <c r="G213" t="s">
        <v>84</v>
      </c>
      <c r="H213">
        <v>0.41</v>
      </c>
      <c r="I213" t="s">
        <v>61</v>
      </c>
      <c r="J213">
        <v>21.06</v>
      </c>
      <c r="K213" t="s">
        <v>20</v>
      </c>
      <c r="L213" t="s">
        <v>21</v>
      </c>
      <c r="M213" t="s">
        <v>22</v>
      </c>
      <c r="N213" t="s">
        <v>53</v>
      </c>
      <c r="O213" t="s">
        <v>33</v>
      </c>
      <c r="P213" t="s">
        <v>25</v>
      </c>
    </row>
    <row r="214" spans="1:16" x14ac:dyDescent="0.25">
      <c r="A214" s="1">
        <v>45675</v>
      </c>
      <c r="B214" t="s">
        <v>251</v>
      </c>
      <c r="C214">
        <v>55742</v>
      </c>
      <c r="D214" t="s">
        <v>66</v>
      </c>
      <c r="E214">
        <v>3</v>
      </c>
      <c r="F214">
        <v>20</v>
      </c>
      <c r="G214" t="s">
        <v>18</v>
      </c>
      <c r="H214">
        <v>0.5</v>
      </c>
      <c r="I214" t="s">
        <v>61</v>
      </c>
      <c r="J214">
        <v>18.72</v>
      </c>
      <c r="K214" t="s">
        <v>37</v>
      </c>
      <c r="L214" t="s">
        <v>21</v>
      </c>
      <c r="M214" t="s">
        <v>22</v>
      </c>
      <c r="N214" t="s">
        <v>53</v>
      </c>
      <c r="O214" t="s">
        <v>59</v>
      </c>
      <c r="P214" t="s">
        <v>34</v>
      </c>
    </row>
    <row r="215" spans="1:16" x14ac:dyDescent="0.25">
      <c r="A215" s="1">
        <v>45675</v>
      </c>
      <c r="B215" t="s">
        <v>252</v>
      </c>
      <c r="C215">
        <v>31864</v>
      </c>
      <c r="D215" t="s">
        <v>70</v>
      </c>
      <c r="E215">
        <v>18</v>
      </c>
      <c r="F215">
        <v>16.899999999999999</v>
      </c>
      <c r="G215" t="s">
        <v>52</v>
      </c>
      <c r="H215">
        <v>0.19</v>
      </c>
      <c r="I215" t="s">
        <v>61</v>
      </c>
      <c r="J215">
        <v>23.52</v>
      </c>
      <c r="K215" t="s">
        <v>50</v>
      </c>
      <c r="L215" t="s">
        <v>31</v>
      </c>
      <c r="M215" t="s">
        <v>22</v>
      </c>
      <c r="N215" t="s">
        <v>23</v>
      </c>
      <c r="O215" t="s">
        <v>81</v>
      </c>
      <c r="P215" t="s">
        <v>34</v>
      </c>
    </row>
    <row r="216" spans="1:16" x14ac:dyDescent="0.25">
      <c r="A216" s="1">
        <v>45675</v>
      </c>
      <c r="B216" t="s">
        <v>253</v>
      </c>
      <c r="C216">
        <v>78738</v>
      </c>
      <c r="D216" t="s">
        <v>57</v>
      </c>
      <c r="E216">
        <v>40</v>
      </c>
      <c r="F216">
        <v>46.19</v>
      </c>
      <c r="G216" t="s">
        <v>58</v>
      </c>
      <c r="H216">
        <v>0.15</v>
      </c>
      <c r="I216" t="s">
        <v>29</v>
      </c>
      <c r="J216">
        <v>26.63</v>
      </c>
      <c r="K216" t="s">
        <v>30</v>
      </c>
      <c r="L216" t="s">
        <v>31</v>
      </c>
      <c r="M216" t="s">
        <v>22</v>
      </c>
      <c r="N216" t="s">
        <v>32</v>
      </c>
      <c r="O216" t="s">
        <v>24</v>
      </c>
      <c r="P216" t="s">
        <v>40</v>
      </c>
    </row>
    <row r="217" spans="1:16" x14ac:dyDescent="0.25">
      <c r="A217" s="1">
        <v>45675</v>
      </c>
      <c r="B217" t="s">
        <v>254</v>
      </c>
      <c r="C217">
        <v>87150</v>
      </c>
      <c r="D217" t="s">
        <v>57</v>
      </c>
      <c r="E217">
        <v>30</v>
      </c>
      <c r="F217">
        <v>66.69</v>
      </c>
      <c r="G217" t="s">
        <v>47</v>
      </c>
      <c r="H217">
        <v>7.0000000000000007E-2</v>
      </c>
      <c r="I217" t="s">
        <v>29</v>
      </c>
      <c r="J217">
        <v>26.42</v>
      </c>
      <c r="K217" t="s">
        <v>30</v>
      </c>
      <c r="L217" t="s">
        <v>31</v>
      </c>
      <c r="M217" t="s">
        <v>22</v>
      </c>
      <c r="N217" t="s">
        <v>53</v>
      </c>
      <c r="O217" t="s">
        <v>39</v>
      </c>
      <c r="P217" t="s">
        <v>25</v>
      </c>
    </row>
    <row r="218" spans="1:16" x14ac:dyDescent="0.25">
      <c r="A218" s="1">
        <v>45675</v>
      </c>
      <c r="B218" t="s">
        <v>255</v>
      </c>
      <c r="C218">
        <v>97856</v>
      </c>
      <c r="D218" t="s">
        <v>42</v>
      </c>
      <c r="E218">
        <v>39</v>
      </c>
      <c r="F218">
        <v>62.01</v>
      </c>
      <c r="G218" t="s">
        <v>76</v>
      </c>
      <c r="H218">
        <v>0.38</v>
      </c>
      <c r="I218" t="s">
        <v>29</v>
      </c>
      <c r="J218">
        <v>28.8</v>
      </c>
      <c r="K218" t="s">
        <v>20</v>
      </c>
      <c r="L218" t="s">
        <v>21</v>
      </c>
      <c r="M218" t="s">
        <v>22</v>
      </c>
      <c r="N218" t="s">
        <v>23</v>
      </c>
      <c r="O218" t="s">
        <v>81</v>
      </c>
      <c r="P218" t="s">
        <v>25</v>
      </c>
    </row>
    <row r="219" spans="1:16" x14ac:dyDescent="0.25">
      <c r="A219" s="1">
        <v>45675</v>
      </c>
      <c r="B219" t="s">
        <v>256</v>
      </c>
      <c r="C219">
        <v>21796</v>
      </c>
      <c r="D219" t="s">
        <v>75</v>
      </c>
      <c r="E219">
        <v>42</v>
      </c>
      <c r="F219">
        <v>26.85</v>
      </c>
      <c r="G219" t="s">
        <v>55</v>
      </c>
      <c r="H219">
        <v>0.08</v>
      </c>
      <c r="I219" t="s">
        <v>29</v>
      </c>
      <c r="J219">
        <v>6.28</v>
      </c>
      <c r="K219" t="s">
        <v>44</v>
      </c>
      <c r="L219" t="s">
        <v>21</v>
      </c>
      <c r="M219" t="s">
        <v>22</v>
      </c>
      <c r="N219" t="s">
        <v>32</v>
      </c>
      <c r="O219" t="s">
        <v>81</v>
      </c>
      <c r="P219" t="s">
        <v>40</v>
      </c>
    </row>
    <row r="220" spans="1:16" x14ac:dyDescent="0.25">
      <c r="A220" s="1">
        <v>45675</v>
      </c>
      <c r="B220" t="s">
        <v>257</v>
      </c>
      <c r="C220">
        <v>30395</v>
      </c>
      <c r="D220" t="s">
        <v>75</v>
      </c>
      <c r="E220">
        <v>35</v>
      </c>
      <c r="F220">
        <v>44.46</v>
      </c>
      <c r="G220" t="s">
        <v>36</v>
      </c>
      <c r="H220">
        <v>0.35</v>
      </c>
      <c r="I220" t="s">
        <v>19</v>
      </c>
      <c r="J220">
        <v>19.28</v>
      </c>
      <c r="K220" t="s">
        <v>50</v>
      </c>
      <c r="L220" t="s">
        <v>31</v>
      </c>
      <c r="M220" t="s">
        <v>111</v>
      </c>
      <c r="N220" t="s">
        <v>38</v>
      </c>
      <c r="O220" t="s">
        <v>24</v>
      </c>
      <c r="P220" t="s">
        <v>34</v>
      </c>
    </row>
    <row r="221" spans="1:16" x14ac:dyDescent="0.25">
      <c r="A221" s="1">
        <v>45675</v>
      </c>
      <c r="B221" t="s">
        <v>258</v>
      </c>
      <c r="C221">
        <v>25001</v>
      </c>
      <c r="D221" t="s">
        <v>27</v>
      </c>
      <c r="E221">
        <v>49</v>
      </c>
      <c r="F221">
        <v>33.6</v>
      </c>
      <c r="G221" t="s">
        <v>55</v>
      </c>
      <c r="H221">
        <v>0.3</v>
      </c>
      <c r="I221" t="s">
        <v>29</v>
      </c>
      <c r="J221">
        <v>29.7</v>
      </c>
      <c r="K221" t="s">
        <v>20</v>
      </c>
      <c r="L221" t="s">
        <v>31</v>
      </c>
      <c r="M221" t="s">
        <v>22</v>
      </c>
      <c r="N221" t="s">
        <v>32</v>
      </c>
      <c r="O221" t="s">
        <v>33</v>
      </c>
      <c r="P221" t="s">
        <v>34</v>
      </c>
    </row>
    <row r="222" spans="1:16" x14ac:dyDescent="0.25">
      <c r="A222" s="1">
        <v>45675</v>
      </c>
      <c r="B222" t="s">
        <v>259</v>
      </c>
      <c r="C222">
        <v>60083</v>
      </c>
      <c r="D222" t="s">
        <v>75</v>
      </c>
      <c r="E222">
        <v>9</v>
      </c>
      <c r="F222">
        <v>69.45</v>
      </c>
      <c r="G222" t="s">
        <v>28</v>
      </c>
      <c r="H222">
        <v>0.49</v>
      </c>
      <c r="I222" t="s">
        <v>61</v>
      </c>
      <c r="J222">
        <v>23.58</v>
      </c>
      <c r="K222" t="s">
        <v>37</v>
      </c>
      <c r="L222" t="s">
        <v>21</v>
      </c>
      <c r="N222" t="s">
        <v>32</v>
      </c>
      <c r="O222" t="s">
        <v>81</v>
      </c>
      <c r="P222" t="s">
        <v>40</v>
      </c>
    </row>
    <row r="223" spans="1:16" x14ac:dyDescent="0.25">
      <c r="A223" s="1">
        <v>45675</v>
      </c>
      <c r="B223" t="s">
        <v>260</v>
      </c>
      <c r="C223">
        <v>95311</v>
      </c>
      <c r="D223" t="s">
        <v>70</v>
      </c>
      <c r="E223">
        <v>46</v>
      </c>
      <c r="F223">
        <v>5.37</v>
      </c>
      <c r="G223" t="s">
        <v>76</v>
      </c>
      <c r="H223">
        <v>0.28999999999999998</v>
      </c>
      <c r="I223" t="s">
        <v>29</v>
      </c>
      <c r="J223">
        <v>20.94</v>
      </c>
      <c r="K223" t="s">
        <v>20</v>
      </c>
      <c r="L223" t="s">
        <v>21</v>
      </c>
      <c r="M223" t="s">
        <v>22</v>
      </c>
      <c r="N223" t="s">
        <v>32</v>
      </c>
      <c r="O223" t="s">
        <v>59</v>
      </c>
    </row>
    <row r="224" spans="1:16" x14ac:dyDescent="0.25">
      <c r="A224" s="1">
        <v>45675</v>
      </c>
      <c r="B224" t="s">
        <v>62</v>
      </c>
      <c r="C224">
        <v>22787</v>
      </c>
      <c r="D224" t="s">
        <v>70</v>
      </c>
      <c r="E224">
        <v>9</v>
      </c>
      <c r="G224" t="s">
        <v>55</v>
      </c>
      <c r="H224">
        <v>0.21</v>
      </c>
      <c r="I224" t="s">
        <v>61</v>
      </c>
      <c r="J224">
        <v>20.54</v>
      </c>
      <c r="K224" t="s">
        <v>50</v>
      </c>
      <c r="L224" t="s">
        <v>21</v>
      </c>
      <c r="M224" t="s">
        <v>22</v>
      </c>
      <c r="N224" t="s">
        <v>32</v>
      </c>
      <c r="O224" t="s">
        <v>33</v>
      </c>
      <c r="P224" t="s">
        <v>40</v>
      </c>
    </row>
    <row r="225" spans="1:16" x14ac:dyDescent="0.25">
      <c r="A225" s="1">
        <v>45675</v>
      </c>
      <c r="B225" t="s">
        <v>261</v>
      </c>
      <c r="C225">
        <v>34445</v>
      </c>
      <c r="D225" t="s">
        <v>75</v>
      </c>
      <c r="E225">
        <v>42</v>
      </c>
      <c r="F225">
        <v>86.71</v>
      </c>
      <c r="G225" t="s">
        <v>99</v>
      </c>
      <c r="H225">
        <v>0.26</v>
      </c>
      <c r="I225" t="s">
        <v>19</v>
      </c>
      <c r="J225">
        <v>28.11</v>
      </c>
      <c r="K225" t="s">
        <v>20</v>
      </c>
      <c r="L225" t="s">
        <v>31</v>
      </c>
      <c r="M225" t="s">
        <v>22</v>
      </c>
      <c r="N225" t="s">
        <v>38</v>
      </c>
      <c r="O225" t="s">
        <v>59</v>
      </c>
      <c r="P225" t="s">
        <v>40</v>
      </c>
    </row>
    <row r="226" spans="1:16" x14ac:dyDescent="0.25">
      <c r="A226" s="1">
        <v>45675</v>
      </c>
      <c r="B226" t="s">
        <v>262</v>
      </c>
      <c r="C226">
        <v>72545</v>
      </c>
      <c r="D226" t="s">
        <v>49</v>
      </c>
      <c r="E226">
        <v>41</v>
      </c>
      <c r="F226">
        <v>49.11</v>
      </c>
      <c r="G226" t="s">
        <v>36</v>
      </c>
      <c r="H226">
        <v>0.02</v>
      </c>
      <c r="I226" t="s">
        <v>29</v>
      </c>
      <c r="J226">
        <v>6.8</v>
      </c>
      <c r="K226" t="s">
        <v>30</v>
      </c>
      <c r="L226" t="s">
        <v>21</v>
      </c>
      <c r="M226" t="s">
        <v>22</v>
      </c>
      <c r="N226" t="s">
        <v>53</v>
      </c>
      <c r="O226" t="s">
        <v>81</v>
      </c>
      <c r="P226" t="s">
        <v>40</v>
      </c>
    </row>
    <row r="227" spans="1:16" x14ac:dyDescent="0.25">
      <c r="A227" s="1">
        <v>45675</v>
      </c>
      <c r="B227" t="s">
        <v>263</v>
      </c>
      <c r="C227">
        <v>27629</v>
      </c>
      <c r="D227" t="s">
        <v>70</v>
      </c>
      <c r="F227">
        <v>54.42</v>
      </c>
      <c r="G227" t="s">
        <v>36</v>
      </c>
      <c r="H227">
        <v>0.11</v>
      </c>
      <c r="I227" t="s">
        <v>29</v>
      </c>
      <c r="J227">
        <v>19.09</v>
      </c>
      <c r="K227" t="s">
        <v>30</v>
      </c>
      <c r="L227" t="s">
        <v>31</v>
      </c>
      <c r="M227" t="s">
        <v>22</v>
      </c>
      <c r="N227" t="s">
        <v>53</v>
      </c>
      <c r="O227" t="s">
        <v>39</v>
      </c>
    </row>
    <row r="228" spans="1:16" x14ac:dyDescent="0.25">
      <c r="A228" s="1">
        <v>45675</v>
      </c>
      <c r="B228" t="s">
        <v>264</v>
      </c>
      <c r="C228">
        <v>65792</v>
      </c>
      <c r="D228" t="s">
        <v>57</v>
      </c>
      <c r="E228">
        <v>20</v>
      </c>
      <c r="F228">
        <v>11.97</v>
      </c>
      <c r="G228" t="s">
        <v>55</v>
      </c>
      <c r="H228">
        <v>0.14000000000000001</v>
      </c>
      <c r="I228" t="s">
        <v>29</v>
      </c>
      <c r="J228">
        <v>13.55</v>
      </c>
      <c r="K228" t="s">
        <v>30</v>
      </c>
      <c r="L228" t="s">
        <v>31</v>
      </c>
      <c r="M228" t="s">
        <v>22</v>
      </c>
      <c r="N228" t="s">
        <v>23</v>
      </c>
      <c r="O228" t="s">
        <v>24</v>
      </c>
      <c r="P228" t="s">
        <v>25</v>
      </c>
    </row>
    <row r="229" spans="1:16" x14ac:dyDescent="0.25">
      <c r="A229" s="1">
        <v>45675</v>
      </c>
      <c r="B229" t="s">
        <v>265</v>
      </c>
      <c r="C229">
        <v>95137</v>
      </c>
      <c r="D229" t="s">
        <v>70</v>
      </c>
      <c r="E229">
        <v>48</v>
      </c>
      <c r="F229">
        <v>62.19</v>
      </c>
      <c r="G229" t="s">
        <v>36</v>
      </c>
      <c r="H229">
        <v>0.47</v>
      </c>
      <c r="I229" t="s">
        <v>29</v>
      </c>
      <c r="J229">
        <v>9.41</v>
      </c>
      <c r="K229" t="s">
        <v>50</v>
      </c>
      <c r="L229" t="s">
        <v>21</v>
      </c>
      <c r="M229" t="s">
        <v>22</v>
      </c>
      <c r="N229" t="s">
        <v>23</v>
      </c>
      <c r="O229" t="s">
        <v>81</v>
      </c>
      <c r="P229" t="s">
        <v>25</v>
      </c>
    </row>
    <row r="230" spans="1:16" x14ac:dyDescent="0.25">
      <c r="A230" s="1">
        <v>45675</v>
      </c>
      <c r="B230" t="s">
        <v>266</v>
      </c>
      <c r="C230">
        <v>19828</v>
      </c>
      <c r="D230" t="s">
        <v>75</v>
      </c>
      <c r="E230">
        <v>17</v>
      </c>
      <c r="F230">
        <v>76.97</v>
      </c>
      <c r="G230" t="s">
        <v>55</v>
      </c>
      <c r="H230">
        <v>0.3</v>
      </c>
      <c r="I230" t="s">
        <v>19</v>
      </c>
      <c r="J230">
        <v>11.38</v>
      </c>
      <c r="K230" t="s">
        <v>20</v>
      </c>
      <c r="L230" t="s">
        <v>21</v>
      </c>
      <c r="M230" t="s">
        <v>22</v>
      </c>
      <c r="N230" t="s">
        <v>32</v>
      </c>
      <c r="O230" t="s">
        <v>81</v>
      </c>
      <c r="P230" t="s">
        <v>25</v>
      </c>
    </row>
    <row r="231" spans="1:16" x14ac:dyDescent="0.25">
      <c r="A231" s="1">
        <v>45675</v>
      </c>
      <c r="B231" t="s">
        <v>267</v>
      </c>
      <c r="C231">
        <v>45078</v>
      </c>
      <c r="D231" t="s">
        <v>75</v>
      </c>
      <c r="E231">
        <v>12</v>
      </c>
      <c r="F231">
        <v>73.87</v>
      </c>
      <c r="G231" t="s">
        <v>76</v>
      </c>
      <c r="H231">
        <v>0.09</v>
      </c>
      <c r="I231" t="s">
        <v>61</v>
      </c>
      <c r="J231">
        <v>25.85</v>
      </c>
      <c r="K231" t="s">
        <v>30</v>
      </c>
      <c r="L231" t="s">
        <v>31</v>
      </c>
      <c r="M231" t="s">
        <v>22</v>
      </c>
      <c r="N231" t="s">
        <v>23</v>
      </c>
      <c r="O231" t="s">
        <v>39</v>
      </c>
      <c r="P231" t="s">
        <v>25</v>
      </c>
    </row>
    <row r="232" spans="1:16" x14ac:dyDescent="0.25">
      <c r="A232" s="1">
        <v>45675</v>
      </c>
      <c r="B232" t="s">
        <v>268</v>
      </c>
      <c r="C232">
        <v>84190</v>
      </c>
      <c r="D232" t="s">
        <v>46</v>
      </c>
      <c r="E232">
        <v>2</v>
      </c>
      <c r="F232">
        <v>72.89</v>
      </c>
      <c r="G232" t="s">
        <v>52</v>
      </c>
      <c r="H232">
        <v>0.31</v>
      </c>
      <c r="I232" t="s">
        <v>61</v>
      </c>
      <c r="J232">
        <v>26.14</v>
      </c>
      <c r="K232" t="s">
        <v>20</v>
      </c>
      <c r="L232" t="s">
        <v>21</v>
      </c>
      <c r="M232" t="s">
        <v>22</v>
      </c>
      <c r="N232" t="s">
        <v>23</v>
      </c>
      <c r="O232" t="s">
        <v>33</v>
      </c>
      <c r="P232" t="s">
        <v>40</v>
      </c>
    </row>
    <row r="233" spans="1:16" x14ac:dyDescent="0.25">
      <c r="A233" s="1">
        <v>45675</v>
      </c>
      <c r="B233" t="s">
        <v>269</v>
      </c>
      <c r="C233">
        <v>52615</v>
      </c>
      <c r="D233" t="s">
        <v>57</v>
      </c>
      <c r="E233">
        <v>31</v>
      </c>
      <c r="F233">
        <v>4.28</v>
      </c>
      <c r="G233" t="s">
        <v>84</v>
      </c>
      <c r="H233">
        <v>0.02</v>
      </c>
      <c r="I233" t="s">
        <v>19</v>
      </c>
      <c r="J233">
        <v>17.850000000000001</v>
      </c>
      <c r="K233" t="s">
        <v>37</v>
      </c>
      <c r="L233" t="s">
        <v>21</v>
      </c>
      <c r="M233" t="s">
        <v>22</v>
      </c>
      <c r="N233" t="s">
        <v>32</v>
      </c>
      <c r="O233" t="s">
        <v>81</v>
      </c>
      <c r="P233" t="s">
        <v>40</v>
      </c>
    </row>
    <row r="234" spans="1:16" x14ac:dyDescent="0.25">
      <c r="A234" s="1">
        <v>45676</v>
      </c>
      <c r="B234" t="s">
        <v>270</v>
      </c>
      <c r="C234">
        <v>64301</v>
      </c>
      <c r="D234" t="s">
        <v>75</v>
      </c>
      <c r="E234">
        <v>15</v>
      </c>
      <c r="F234">
        <v>43.87</v>
      </c>
      <c r="G234" t="s">
        <v>55</v>
      </c>
      <c r="H234">
        <v>0.41</v>
      </c>
      <c r="I234" t="s">
        <v>19</v>
      </c>
      <c r="J234">
        <v>11.34</v>
      </c>
      <c r="K234" t="s">
        <v>37</v>
      </c>
      <c r="L234" t="s">
        <v>21</v>
      </c>
      <c r="M234" t="s">
        <v>111</v>
      </c>
      <c r="N234" t="s">
        <v>53</v>
      </c>
      <c r="O234" t="s">
        <v>59</v>
      </c>
      <c r="P234" t="s">
        <v>40</v>
      </c>
    </row>
    <row r="235" spans="1:16" x14ac:dyDescent="0.25">
      <c r="A235" s="1">
        <v>45676</v>
      </c>
      <c r="B235" t="s">
        <v>271</v>
      </c>
      <c r="C235">
        <v>63565</v>
      </c>
      <c r="D235" t="s">
        <v>49</v>
      </c>
      <c r="E235">
        <v>7</v>
      </c>
      <c r="F235">
        <v>51.84</v>
      </c>
      <c r="G235" t="s">
        <v>55</v>
      </c>
      <c r="H235">
        <v>0.36</v>
      </c>
      <c r="I235" t="s">
        <v>29</v>
      </c>
      <c r="J235">
        <v>28.08</v>
      </c>
      <c r="K235" t="s">
        <v>50</v>
      </c>
      <c r="L235" t="s">
        <v>21</v>
      </c>
      <c r="M235" t="s">
        <v>22</v>
      </c>
      <c r="N235" t="s">
        <v>23</v>
      </c>
      <c r="O235" t="s">
        <v>81</v>
      </c>
      <c r="P235" t="s">
        <v>25</v>
      </c>
    </row>
    <row r="236" spans="1:16" x14ac:dyDescent="0.25">
      <c r="A236" s="1">
        <v>45676</v>
      </c>
      <c r="B236" t="s">
        <v>272</v>
      </c>
      <c r="C236">
        <v>59908</v>
      </c>
      <c r="D236" t="s">
        <v>75</v>
      </c>
      <c r="E236">
        <v>34</v>
      </c>
      <c r="F236">
        <v>29.09</v>
      </c>
      <c r="G236" t="s">
        <v>18</v>
      </c>
      <c r="H236">
        <v>0.4</v>
      </c>
      <c r="I236" t="s">
        <v>61</v>
      </c>
      <c r="J236">
        <v>18.82</v>
      </c>
      <c r="K236" t="s">
        <v>50</v>
      </c>
      <c r="L236" t="s">
        <v>31</v>
      </c>
      <c r="M236" t="s">
        <v>22</v>
      </c>
      <c r="N236" t="s">
        <v>23</v>
      </c>
      <c r="O236" t="s">
        <v>33</v>
      </c>
      <c r="P236" t="s">
        <v>34</v>
      </c>
    </row>
    <row r="237" spans="1:16" x14ac:dyDescent="0.25">
      <c r="A237" s="1">
        <v>45676</v>
      </c>
      <c r="B237" t="s">
        <v>270</v>
      </c>
      <c r="C237">
        <v>82206</v>
      </c>
      <c r="D237" t="s">
        <v>46</v>
      </c>
      <c r="E237">
        <v>40</v>
      </c>
      <c r="F237">
        <v>56.88</v>
      </c>
      <c r="G237" t="s">
        <v>55</v>
      </c>
      <c r="H237">
        <v>0.05</v>
      </c>
      <c r="I237" t="s">
        <v>61</v>
      </c>
      <c r="J237">
        <v>5.08</v>
      </c>
      <c r="K237" t="s">
        <v>20</v>
      </c>
      <c r="L237" t="s">
        <v>21</v>
      </c>
      <c r="M237" t="s">
        <v>22</v>
      </c>
      <c r="N237" t="s">
        <v>38</v>
      </c>
      <c r="O237" t="s">
        <v>81</v>
      </c>
      <c r="P237" t="s">
        <v>34</v>
      </c>
    </row>
    <row r="238" spans="1:16" x14ac:dyDescent="0.25">
      <c r="A238" s="1">
        <v>45676</v>
      </c>
      <c r="B238" t="s">
        <v>273</v>
      </c>
      <c r="C238">
        <v>58989</v>
      </c>
      <c r="D238" t="s">
        <v>57</v>
      </c>
      <c r="E238">
        <v>21</v>
      </c>
      <c r="F238">
        <v>96.69</v>
      </c>
      <c r="G238" t="s">
        <v>36</v>
      </c>
      <c r="H238">
        <v>0.1</v>
      </c>
      <c r="I238" t="s">
        <v>61</v>
      </c>
      <c r="J238">
        <v>5.32</v>
      </c>
      <c r="K238" t="s">
        <v>37</v>
      </c>
      <c r="L238" t="s">
        <v>21</v>
      </c>
      <c r="M238" t="s">
        <v>22</v>
      </c>
      <c r="N238" t="s">
        <v>53</v>
      </c>
      <c r="O238" t="s">
        <v>39</v>
      </c>
      <c r="P238" t="s">
        <v>40</v>
      </c>
    </row>
    <row r="239" spans="1:16" x14ac:dyDescent="0.25">
      <c r="A239" s="1">
        <v>45676</v>
      </c>
      <c r="B239" t="s">
        <v>133</v>
      </c>
      <c r="C239">
        <v>46036</v>
      </c>
      <c r="D239" t="s">
        <v>70</v>
      </c>
      <c r="E239">
        <v>13</v>
      </c>
      <c r="F239">
        <v>87.62</v>
      </c>
      <c r="G239" t="s">
        <v>84</v>
      </c>
      <c r="H239">
        <v>0.44</v>
      </c>
      <c r="I239" t="s">
        <v>19</v>
      </c>
      <c r="J239">
        <v>27.81</v>
      </c>
      <c r="K239" t="s">
        <v>30</v>
      </c>
      <c r="L239" t="s">
        <v>31</v>
      </c>
      <c r="M239" t="s">
        <v>22</v>
      </c>
      <c r="N239" t="s">
        <v>38</v>
      </c>
      <c r="O239" t="s">
        <v>81</v>
      </c>
      <c r="P239" t="s">
        <v>34</v>
      </c>
    </row>
    <row r="240" spans="1:16" x14ac:dyDescent="0.25">
      <c r="A240" s="1">
        <v>45676</v>
      </c>
      <c r="B240" t="s">
        <v>274</v>
      </c>
      <c r="C240">
        <v>37350</v>
      </c>
      <c r="D240" t="s">
        <v>75</v>
      </c>
      <c r="E240">
        <v>49</v>
      </c>
      <c r="F240">
        <v>26.86</v>
      </c>
      <c r="G240" t="s">
        <v>52</v>
      </c>
      <c r="H240">
        <v>0.27</v>
      </c>
      <c r="I240" t="s">
        <v>19</v>
      </c>
      <c r="J240">
        <v>29.35</v>
      </c>
      <c r="K240" t="s">
        <v>37</v>
      </c>
      <c r="L240" t="s">
        <v>31</v>
      </c>
      <c r="M240" t="s">
        <v>22</v>
      </c>
      <c r="N240" t="s">
        <v>32</v>
      </c>
      <c r="O240" t="s">
        <v>33</v>
      </c>
      <c r="P240" t="s">
        <v>25</v>
      </c>
    </row>
    <row r="241" spans="1:16" x14ac:dyDescent="0.25">
      <c r="A241" s="1">
        <v>45676</v>
      </c>
      <c r="B241" t="s">
        <v>275</v>
      </c>
      <c r="C241">
        <v>58029</v>
      </c>
      <c r="D241" t="s">
        <v>27</v>
      </c>
      <c r="E241">
        <v>2</v>
      </c>
      <c r="F241">
        <v>82.39</v>
      </c>
      <c r="G241" t="s">
        <v>72</v>
      </c>
      <c r="H241">
        <v>0.42</v>
      </c>
      <c r="I241" t="s">
        <v>19</v>
      </c>
      <c r="J241">
        <v>29.14</v>
      </c>
      <c r="K241" t="s">
        <v>20</v>
      </c>
      <c r="L241" t="s">
        <v>21</v>
      </c>
      <c r="M241" t="s">
        <v>22</v>
      </c>
      <c r="N241" t="s">
        <v>23</v>
      </c>
      <c r="O241" t="s">
        <v>24</v>
      </c>
      <c r="P241" t="s">
        <v>25</v>
      </c>
    </row>
    <row r="242" spans="1:16" x14ac:dyDescent="0.25">
      <c r="A242" s="1">
        <v>45676</v>
      </c>
      <c r="B242" t="s">
        <v>276</v>
      </c>
      <c r="C242">
        <v>13134</v>
      </c>
      <c r="D242" t="s">
        <v>66</v>
      </c>
      <c r="E242">
        <v>8</v>
      </c>
      <c r="G242" t="s">
        <v>84</v>
      </c>
      <c r="H242">
        <v>0.43</v>
      </c>
      <c r="I242" t="s">
        <v>29</v>
      </c>
      <c r="J242">
        <v>23.02</v>
      </c>
      <c r="K242" t="s">
        <v>30</v>
      </c>
      <c r="L242" t="s">
        <v>21</v>
      </c>
      <c r="M242" t="s">
        <v>111</v>
      </c>
      <c r="N242" t="s">
        <v>38</v>
      </c>
      <c r="O242" t="s">
        <v>39</v>
      </c>
      <c r="P242" t="s">
        <v>25</v>
      </c>
    </row>
    <row r="243" spans="1:16" x14ac:dyDescent="0.25">
      <c r="A243" s="1">
        <v>45676</v>
      </c>
      <c r="B243" t="s">
        <v>277</v>
      </c>
      <c r="C243">
        <v>25737</v>
      </c>
      <c r="D243" t="s">
        <v>57</v>
      </c>
      <c r="E243">
        <v>20</v>
      </c>
      <c r="F243">
        <v>90.13</v>
      </c>
      <c r="G243" t="s">
        <v>47</v>
      </c>
      <c r="H243">
        <v>0.12</v>
      </c>
      <c r="I243" t="s">
        <v>61</v>
      </c>
      <c r="J243">
        <v>9.8699999999999992</v>
      </c>
      <c r="K243" t="s">
        <v>50</v>
      </c>
      <c r="L243" t="s">
        <v>31</v>
      </c>
      <c r="N243" t="s">
        <v>32</v>
      </c>
      <c r="O243" t="s">
        <v>39</v>
      </c>
      <c r="P243" t="s">
        <v>25</v>
      </c>
    </row>
    <row r="244" spans="1:16" x14ac:dyDescent="0.25">
      <c r="A244" s="1">
        <v>45676</v>
      </c>
      <c r="B244" t="s">
        <v>278</v>
      </c>
      <c r="C244">
        <v>72187</v>
      </c>
      <c r="D244" t="s">
        <v>70</v>
      </c>
      <c r="E244">
        <v>19</v>
      </c>
      <c r="F244">
        <v>66.959999999999994</v>
      </c>
      <c r="G244" t="s">
        <v>18</v>
      </c>
      <c r="H244">
        <v>0.18</v>
      </c>
      <c r="I244" t="s">
        <v>61</v>
      </c>
      <c r="J244">
        <v>13.48</v>
      </c>
      <c r="K244" t="s">
        <v>30</v>
      </c>
      <c r="L244" t="s">
        <v>21</v>
      </c>
      <c r="M244" t="s">
        <v>111</v>
      </c>
      <c r="N244" t="s">
        <v>23</v>
      </c>
      <c r="O244" t="s">
        <v>24</v>
      </c>
      <c r="P244" t="s">
        <v>25</v>
      </c>
    </row>
    <row r="245" spans="1:16" x14ac:dyDescent="0.25">
      <c r="A245" s="1">
        <v>45676</v>
      </c>
      <c r="B245" t="s">
        <v>279</v>
      </c>
      <c r="C245">
        <v>76500</v>
      </c>
      <c r="D245" t="s">
        <v>68</v>
      </c>
      <c r="E245">
        <v>25</v>
      </c>
      <c r="F245">
        <v>83.53</v>
      </c>
      <c r="G245" t="s">
        <v>76</v>
      </c>
      <c r="H245">
        <v>0.18</v>
      </c>
      <c r="I245" t="s">
        <v>29</v>
      </c>
      <c r="J245">
        <v>27.26</v>
      </c>
      <c r="K245" t="s">
        <v>44</v>
      </c>
      <c r="L245" t="s">
        <v>21</v>
      </c>
      <c r="M245" t="s">
        <v>111</v>
      </c>
      <c r="N245" t="s">
        <v>32</v>
      </c>
      <c r="O245" t="s">
        <v>33</v>
      </c>
      <c r="P245" t="s">
        <v>40</v>
      </c>
    </row>
    <row r="246" spans="1:16" x14ac:dyDescent="0.25">
      <c r="A246" s="1">
        <v>45676</v>
      </c>
      <c r="B246" t="s">
        <v>280</v>
      </c>
      <c r="C246">
        <v>92672</v>
      </c>
      <c r="D246" t="s">
        <v>42</v>
      </c>
      <c r="E246">
        <v>49</v>
      </c>
      <c r="F246">
        <v>51.85</v>
      </c>
      <c r="G246" t="s">
        <v>28</v>
      </c>
      <c r="H246">
        <v>0.39</v>
      </c>
      <c r="I246" t="s">
        <v>19</v>
      </c>
      <c r="J246">
        <v>29.14</v>
      </c>
      <c r="K246" t="s">
        <v>37</v>
      </c>
      <c r="L246" t="s">
        <v>21</v>
      </c>
      <c r="M246" t="s">
        <v>22</v>
      </c>
      <c r="N246" t="s">
        <v>38</v>
      </c>
      <c r="O246" s="4" t="s">
        <v>726</v>
      </c>
      <c r="P246" t="s">
        <v>25</v>
      </c>
    </row>
    <row r="247" spans="1:16" x14ac:dyDescent="0.25">
      <c r="A247" s="1">
        <v>45676</v>
      </c>
      <c r="B247" t="s">
        <v>281</v>
      </c>
      <c r="C247">
        <v>37004</v>
      </c>
      <c r="D247" t="s">
        <v>75</v>
      </c>
      <c r="F247">
        <v>96.93</v>
      </c>
      <c r="G247" t="s">
        <v>36</v>
      </c>
      <c r="H247">
        <v>0.13</v>
      </c>
      <c r="I247" t="s">
        <v>19</v>
      </c>
      <c r="J247">
        <v>15.32</v>
      </c>
      <c r="K247" t="s">
        <v>20</v>
      </c>
      <c r="L247" t="s">
        <v>21</v>
      </c>
      <c r="M247" t="s">
        <v>22</v>
      </c>
      <c r="N247" t="s">
        <v>23</v>
      </c>
      <c r="O247" t="s">
        <v>59</v>
      </c>
      <c r="P247" t="s">
        <v>25</v>
      </c>
    </row>
    <row r="248" spans="1:16" x14ac:dyDescent="0.25">
      <c r="A248" s="1">
        <v>45676</v>
      </c>
      <c r="B248" t="s">
        <v>282</v>
      </c>
      <c r="C248">
        <v>73507</v>
      </c>
      <c r="D248" t="s">
        <v>27</v>
      </c>
      <c r="E248">
        <v>20</v>
      </c>
      <c r="F248">
        <v>76.11</v>
      </c>
      <c r="G248" t="s">
        <v>43</v>
      </c>
      <c r="H248">
        <v>0.33</v>
      </c>
      <c r="I248" t="s">
        <v>19</v>
      </c>
      <c r="J248">
        <v>5.38</v>
      </c>
      <c r="K248" t="s">
        <v>50</v>
      </c>
      <c r="L248" t="s">
        <v>21</v>
      </c>
      <c r="M248" t="s">
        <v>22</v>
      </c>
      <c r="N248" t="s">
        <v>38</v>
      </c>
      <c r="O248" t="s">
        <v>81</v>
      </c>
      <c r="P248" t="s">
        <v>25</v>
      </c>
    </row>
    <row r="249" spans="1:16" x14ac:dyDescent="0.25">
      <c r="A249" s="1">
        <v>45676</v>
      </c>
      <c r="B249" t="s">
        <v>283</v>
      </c>
      <c r="C249">
        <v>79512</v>
      </c>
      <c r="D249" t="s">
        <v>70</v>
      </c>
      <c r="E249">
        <v>31</v>
      </c>
      <c r="F249">
        <v>24.02</v>
      </c>
      <c r="G249" t="s">
        <v>36</v>
      </c>
      <c r="H249">
        <v>0.26</v>
      </c>
      <c r="I249" t="s">
        <v>29</v>
      </c>
      <c r="J249">
        <v>18.12</v>
      </c>
      <c r="K249" s="4" t="s">
        <v>727</v>
      </c>
      <c r="L249" t="s">
        <v>21</v>
      </c>
      <c r="M249" t="s">
        <v>22</v>
      </c>
      <c r="N249" t="s">
        <v>32</v>
      </c>
      <c r="O249" t="s">
        <v>59</v>
      </c>
      <c r="P249" t="s">
        <v>34</v>
      </c>
    </row>
    <row r="250" spans="1:16" x14ac:dyDescent="0.25">
      <c r="A250" s="1">
        <v>45676</v>
      </c>
      <c r="B250" t="s">
        <v>284</v>
      </c>
      <c r="C250">
        <v>40728</v>
      </c>
      <c r="D250" t="s">
        <v>57</v>
      </c>
      <c r="E250">
        <v>17</v>
      </c>
      <c r="F250">
        <v>94.43</v>
      </c>
      <c r="G250" t="s">
        <v>72</v>
      </c>
      <c r="H250">
        <v>0.24</v>
      </c>
      <c r="I250" t="s">
        <v>19</v>
      </c>
      <c r="J250">
        <v>20.91</v>
      </c>
      <c r="K250" t="s">
        <v>20</v>
      </c>
      <c r="L250" t="s">
        <v>31</v>
      </c>
      <c r="M250" t="s">
        <v>22</v>
      </c>
      <c r="N250" t="s">
        <v>23</v>
      </c>
      <c r="O250" t="s">
        <v>24</v>
      </c>
    </row>
    <row r="251" spans="1:16" x14ac:dyDescent="0.25">
      <c r="A251" s="1">
        <v>45676</v>
      </c>
      <c r="B251" t="s">
        <v>285</v>
      </c>
      <c r="C251">
        <v>88106</v>
      </c>
      <c r="D251" t="s">
        <v>46</v>
      </c>
      <c r="E251">
        <v>23</v>
      </c>
      <c r="F251">
        <v>62.26</v>
      </c>
      <c r="G251" t="s">
        <v>58</v>
      </c>
      <c r="H251">
        <v>0.16</v>
      </c>
      <c r="I251" t="s">
        <v>29</v>
      </c>
      <c r="J251">
        <v>12.51</v>
      </c>
      <c r="K251" t="s">
        <v>30</v>
      </c>
      <c r="L251" t="s">
        <v>21</v>
      </c>
      <c r="M251" t="s">
        <v>22</v>
      </c>
      <c r="N251" t="s">
        <v>32</v>
      </c>
      <c r="O251" t="s">
        <v>24</v>
      </c>
      <c r="P251" t="s">
        <v>25</v>
      </c>
    </row>
    <row r="252" spans="1:16" x14ac:dyDescent="0.25">
      <c r="A252" s="1">
        <v>45676</v>
      </c>
      <c r="B252" t="s">
        <v>286</v>
      </c>
      <c r="C252">
        <v>17270</v>
      </c>
      <c r="D252" t="s">
        <v>57</v>
      </c>
      <c r="E252">
        <v>49</v>
      </c>
      <c r="F252">
        <v>46.58</v>
      </c>
      <c r="G252" t="s">
        <v>52</v>
      </c>
      <c r="H252">
        <v>0.08</v>
      </c>
      <c r="I252" t="s">
        <v>19</v>
      </c>
      <c r="J252">
        <v>13.72</v>
      </c>
      <c r="K252" t="s">
        <v>50</v>
      </c>
      <c r="L252" t="s">
        <v>31</v>
      </c>
      <c r="M252" t="s">
        <v>22</v>
      </c>
      <c r="N252" t="s">
        <v>38</v>
      </c>
      <c r="O252" t="s">
        <v>59</v>
      </c>
      <c r="P252" t="s">
        <v>34</v>
      </c>
    </row>
    <row r="253" spans="1:16" x14ac:dyDescent="0.25">
      <c r="A253" s="1">
        <v>45676</v>
      </c>
      <c r="B253" t="s">
        <v>134</v>
      </c>
      <c r="C253">
        <v>57397</v>
      </c>
      <c r="D253" t="s">
        <v>57</v>
      </c>
      <c r="E253">
        <v>37</v>
      </c>
      <c r="F253">
        <v>53.13</v>
      </c>
      <c r="G253" t="s">
        <v>28</v>
      </c>
      <c r="H253">
        <v>0.2</v>
      </c>
      <c r="I253" t="s">
        <v>19</v>
      </c>
      <c r="J253">
        <v>17.87</v>
      </c>
      <c r="K253" t="s">
        <v>44</v>
      </c>
      <c r="L253" t="s">
        <v>21</v>
      </c>
      <c r="M253" t="s">
        <v>22</v>
      </c>
      <c r="N253" t="s">
        <v>23</v>
      </c>
      <c r="O253" t="s">
        <v>24</v>
      </c>
      <c r="P253" t="s">
        <v>34</v>
      </c>
    </row>
    <row r="254" spans="1:16" x14ac:dyDescent="0.25">
      <c r="A254" s="1">
        <v>45676</v>
      </c>
      <c r="B254" t="s">
        <v>287</v>
      </c>
      <c r="C254">
        <v>86524</v>
      </c>
      <c r="D254" t="s">
        <v>75</v>
      </c>
      <c r="E254">
        <v>3</v>
      </c>
      <c r="F254">
        <v>14.21</v>
      </c>
      <c r="G254" t="s">
        <v>58</v>
      </c>
      <c r="H254">
        <v>0.14000000000000001</v>
      </c>
      <c r="I254" t="s">
        <v>61</v>
      </c>
      <c r="J254">
        <v>12.73</v>
      </c>
      <c r="K254" t="s">
        <v>44</v>
      </c>
      <c r="L254" t="s">
        <v>31</v>
      </c>
      <c r="M254" t="s">
        <v>22</v>
      </c>
      <c r="N254" t="s">
        <v>32</v>
      </c>
      <c r="O254" t="s">
        <v>59</v>
      </c>
      <c r="P254" t="s">
        <v>34</v>
      </c>
    </row>
    <row r="255" spans="1:16" x14ac:dyDescent="0.25">
      <c r="A255" s="1">
        <v>45676</v>
      </c>
      <c r="B255" t="s">
        <v>228</v>
      </c>
      <c r="C255">
        <v>62050</v>
      </c>
      <c r="D255" t="s">
        <v>27</v>
      </c>
      <c r="E255">
        <v>22</v>
      </c>
      <c r="F255">
        <v>87</v>
      </c>
      <c r="G255" t="s">
        <v>55</v>
      </c>
      <c r="H255">
        <v>0.37</v>
      </c>
      <c r="I255" t="s">
        <v>19</v>
      </c>
      <c r="J255">
        <v>26.58</v>
      </c>
      <c r="K255" t="s">
        <v>44</v>
      </c>
      <c r="L255" t="s">
        <v>21</v>
      </c>
      <c r="M255" t="s">
        <v>22</v>
      </c>
      <c r="N255" t="s">
        <v>32</v>
      </c>
      <c r="O255" t="s">
        <v>39</v>
      </c>
      <c r="P255" t="s">
        <v>40</v>
      </c>
    </row>
    <row r="256" spans="1:16" x14ac:dyDescent="0.25">
      <c r="A256" s="1">
        <v>45677</v>
      </c>
      <c r="B256" t="s">
        <v>288</v>
      </c>
      <c r="C256">
        <v>11825</v>
      </c>
      <c r="D256" t="s">
        <v>70</v>
      </c>
      <c r="E256">
        <v>11</v>
      </c>
      <c r="F256">
        <v>23.17</v>
      </c>
      <c r="G256" t="s">
        <v>43</v>
      </c>
      <c r="H256">
        <v>0.11</v>
      </c>
      <c r="I256" t="s">
        <v>19</v>
      </c>
      <c r="J256">
        <v>21.33</v>
      </c>
      <c r="K256" t="s">
        <v>20</v>
      </c>
      <c r="L256" t="s">
        <v>21</v>
      </c>
      <c r="N256" t="s">
        <v>23</v>
      </c>
      <c r="O256" t="s">
        <v>24</v>
      </c>
      <c r="P256" t="s">
        <v>25</v>
      </c>
    </row>
    <row r="257" spans="1:16" x14ac:dyDescent="0.25">
      <c r="A257" s="1">
        <v>45677</v>
      </c>
      <c r="B257" t="s">
        <v>289</v>
      </c>
      <c r="C257">
        <v>52199</v>
      </c>
      <c r="D257" t="s">
        <v>17</v>
      </c>
      <c r="E257">
        <v>3</v>
      </c>
      <c r="F257">
        <v>76.599999999999994</v>
      </c>
      <c r="G257" t="s">
        <v>36</v>
      </c>
      <c r="H257">
        <v>0.13</v>
      </c>
      <c r="I257" t="s">
        <v>29</v>
      </c>
      <c r="J257">
        <v>13.67</v>
      </c>
      <c r="K257" t="s">
        <v>44</v>
      </c>
      <c r="L257" t="s">
        <v>21</v>
      </c>
      <c r="M257" t="s">
        <v>22</v>
      </c>
      <c r="N257" t="s">
        <v>53</v>
      </c>
      <c r="O257" t="s">
        <v>24</v>
      </c>
      <c r="P257" t="s">
        <v>40</v>
      </c>
    </row>
    <row r="258" spans="1:16" x14ac:dyDescent="0.25">
      <c r="A258" s="1">
        <v>45677</v>
      </c>
      <c r="B258" t="s">
        <v>212</v>
      </c>
      <c r="C258">
        <v>75447</v>
      </c>
      <c r="D258" t="s">
        <v>49</v>
      </c>
      <c r="E258">
        <v>45</v>
      </c>
      <c r="F258">
        <v>76.03</v>
      </c>
      <c r="G258" t="s">
        <v>43</v>
      </c>
      <c r="H258">
        <v>0.33</v>
      </c>
      <c r="I258" t="s">
        <v>19</v>
      </c>
      <c r="J258">
        <v>13.75</v>
      </c>
      <c r="K258" t="s">
        <v>50</v>
      </c>
      <c r="L258" t="s">
        <v>21</v>
      </c>
      <c r="M258" t="s">
        <v>22</v>
      </c>
      <c r="N258" t="s">
        <v>38</v>
      </c>
      <c r="O258" t="s">
        <v>24</v>
      </c>
      <c r="P258" t="s">
        <v>40</v>
      </c>
    </row>
    <row r="259" spans="1:16" x14ac:dyDescent="0.25">
      <c r="A259" s="1">
        <v>45677</v>
      </c>
      <c r="B259" t="s">
        <v>290</v>
      </c>
      <c r="C259">
        <v>48684</v>
      </c>
      <c r="D259" t="s">
        <v>46</v>
      </c>
      <c r="E259">
        <v>49</v>
      </c>
      <c r="F259">
        <v>90.06</v>
      </c>
      <c r="G259" t="s">
        <v>58</v>
      </c>
      <c r="H259">
        <v>0.24</v>
      </c>
      <c r="I259" t="s">
        <v>61</v>
      </c>
      <c r="J259">
        <v>23.18</v>
      </c>
      <c r="K259" t="s">
        <v>20</v>
      </c>
      <c r="L259" t="s">
        <v>21</v>
      </c>
      <c r="M259" t="s">
        <v>22</v>
      </c>
      <c r="N259" t="s">
        <v>38</v>
      </c>
      <c r="O259" t="s">
        <v>81</v>
      </c>
      <c r="P259" t="s">
        <v>40</v>
      </c>
    </row>
    <row r="260" spans="1:16" x14ac:dyDescent="0.25">
      <c r="A260" s="1">
        <v>45677</v>
      </c>
      <c r="B260" t="s">
        <v>291</v>
      </c>
      <c r="C260">
        <v>77467</v>
      </c>
      <c r="D260" t="s">
        <v>49</v>
      </c>
      <c r="E260">
        <v>40</v>
      </c>
      <c r="F260">
        <v>77.95</v>
      </c>
      <c r="G260" t="s">
        <v>47</v>
      </c>
      <c r="H260">
        <v>0.06</v>
      </c>
      <c r="I260" t="s">
        <v>61</v>
      </c>
      <c r="J260">
        <v>17.7</v>
      </c>
      <c r="K260" t="s">
        <v>44</v>
      </c>
      <c r="L260" t="s">
        <v>21</v>
      </c>
      <c r="M260" t="s">
        <v>22</v>
      </c>
      <c r="N260" t="s">
        <v>53</v>
      </c>
      <c r="O260" t="s">
        <v>39</v>
      </c>
      <c r="P260" t="s">
        <v>25</v>
      </c>
    </row>
    <row r="261" spans="1:16" x14ac:dyDescent="0.25">
      <c r="A261" s="1">
        <v>45677</v>
      </c>
      <c r="B261" t="s">
        <v>292</v>
      </c>
      <c r="C261">
        <v>21293</v>
      </c>
      <c r="D261" t="s">
        <v>75</v>
      </c>
      <c r="E261">
        <v>27</v>
      </c>
      <c r="F261">
        <v>46.25</v>
      </c>
      <c r="G261" t="s">
        <v>58</v>
      </c>
      <c r="H261">
        <v>0.38</v>
      </c>
      <c r="I261" t="s">
        <v>19</v>
      </c>
      <c r="J261">
        <v>20.239999999999998</v>
      </c>
      <c r="K261" t="s">
        <v>20</v>
      </c>
      <c r="L261" t="s">
        <v>21</v>
      </c>
      <c r="M261" t="s">
        <v>111</v>
      </c>
      <c r="N261" t="s">
        <v>32</v>
      </c>
      <c r="O261" t="s">
        <v>39</v>
      </c>
      <c r="P261" t="s">
        <v>40</v>
      </c>
    </row>
    <row r="262" spans="1:16" x14ac:dyDescent="0.25">
      <c r="A262" s="1">
        <v>45677</v>
      </c>
      <c r="B262" t="s">
        <v>293</v>
      </c>
      <c r="C262">
        <v>58634</v>
      </c>
      <c r="D262" t="s">
        <v>70</v>
      </c>
      <c r="E262">
        <v>1</v>
      </c>
      <c r="G262" t="s">
        <v>99</v>
      </c>
      <c r="H262">
        <v>0.2</v>
      </c>
      <c r="I262" t="s">
        <v>29</v>
      </c>
      <c r="J262">
        <v>15.85</v>
      </c>
      <c r="K262" t="s">
        <v>30</v>
      </c>
      <c r="L262" t="s">
        <v>31</v>
      </c>
      <c r="M262" t="s">
        <v>22</v>
      </c>
      <c r="N262" t="s">
        <v>38</v>
      </c>
      <c r="O262" t="s">
        <v>81</v>
      </c>
      <c r="P262" t="s">
        <v>40</v>
      </c>
    </row>
    <row r="263" spans="1:16" x14ac:dyDescent="0.25">
      <c r="A263" s="1">
        <v>45677</v>
      </c>
      <c r="B263" t="s">
        <v>294</v>
      </c>
      <c r="C263">
        <v>65874</v>
      </c>
      <c r="D263" t="s">
        <v>57</v>
      </c>
      <c r="E263">
        <v>7</v>
      </c>
      <c r="F263">
        <v>73.52</v>
      </c>
      <c r="G263" t="s">
        <v>84</v>
      </c>
      <c r="H263">
        <v>0.15</v>
      </c>
      <c r="I263" t="s">
        <v>19</v>
      </c>
      <c r="J263">
        <v>13.68</v>
      </c>
      <c r="K263" t="s">
        <v>37</v>
      </c>
      <c r="L263" t="s">
        <v>31</v>
      </c>
      <c r="M263" t="s">
        <v>22</v>
      </c>
      <c r="N263" t="s">
        <v>38</v>
      </c>
      <c r="O263" t="s">
        <v>722</v>
      </c>
      <c r="P263" t="s">
        <v>34</v>
      </c>
    </row>
    <row r="264" spans="1:16" x14ac:dyDescent="0.25">
      <c r="A264" s="1">
        <v>45677</v>
      </c>
      <c r="B264" t="s">
        <v>159</v>
      </c>
      <c r="C264">
        <v>35295</v>
      </c>
      <c r="D264" t="s">
        <v>68</v>
      </c>
      <c r="E264">
        <v>5</v>
      </c>
      <c r="F264">
        <v>46.35</v>
      </c>
      <c r="G264" t="s">
        <v>36</v>
      </c>
      <c r="H264">
        <v>0.19</v>
      </c>
      <c r="I264" t="s">
        <v>61</v>
      </c>
      <c r="J264">
        <v>9.24</v>
      </c>
      <c r="K264" t="s">
        <v>44</v>
      </c>
      <c r="L264" t="s">
        <v>31</v>
      </c>
      <c r="M264" t="s">
        <v>22</v>
      </c>
      <c r="N264" t="s">
        <v>23</v>
      </c>
      <c r="O264" t="s">
        <v>39</v>
      </c>
      <c r="P264" t="s">
        <v>40</v>
      </c>
    </row>
    <row r="265" spans="1:16" x14ac:dyDescent="0.25">
      <c r="A265" s="1">
        <v>45677</v>
      </c>
      <c r="B265" t="s">
        <v>295</v>
      </c>
      <c r="C265">
        <v>73790</v>
      </c>
      <c r="D265" t="s">
        <v>66</v>
      </c>
      <c r="F265">
        <v>53.04</v>
      </c>
      <c r="G265" t="s">
        <v>99</v>
      </c>
      <c r="H265">
        <v>0.09</v>
      </c>
      <c r="I265" t="s">
        <v>29</v>
      </c>
      <c r="J265">
        <v>6.2</v>
      </c>
      <c r="K265" t="s">
        <v>44</v>
      </c>
      <c r="L265" t="s">
        <v>31</v>
      </c>
      <c r="M265" t="s">
        <v>22</v>
      </c>
      <c r="N265" t="s">
        <v>38</v>
      </c>
      <c r="O265" t="s">
        <v>24</v>
      </c>
      <c r="P265" t="s">
        <v>40</v>
      </c>
    </row>
    <row r="266" spans="1:16" x14ac:dyDescent="0.25">
      <c r="A266" s="1">
        <v>45677</v>
      </c>
      <c r="B266" t="s">
        <v>296</v>
      </c>
      <c r="C266">
        <v>31730</v>
      </c>
      <c r="D266" t="s">
        <v>27</v>
      </c>
      <c r="E266">
        <v>20</v>
      </c>
      <c r="F266">
        <v>13.83</v>
      </c>
      <c r="G266" t="s">
        <v>84</v>
      </c>
      <c r="H266">
        <v>0.06</v>
      </c>
      <c r="I266" t="s">
        <v>61</v>
      </c>
      <c r="J266">
        <v>14.99</v>
      </c>
      <c r="K266" t="s">
        <v>37</v>
      </c>
      <c r="L266" t="s">
        <v>31</v>
      </c>
      <c r="M266" t="s">
        <v>22</v>
      </c>
      <c r="N266" t="s">
        <v>53</v>
      </c>
      <c r="O266" t="s">
        <v>81</v>
      </c>
      <c r="P266" t="s">
        <v>40</v>
      </c>
    </row>
    <row r="267" spans="1:16" x14ac:dyDescent="0.25">
      <c r="A267" s="1">
        <v>45677</v>
      </c>
      <c r="B267" t="s">
        <v>297</v>
      </c>
      <c r="C267">
        <v>28651</v>
      </c>
      <c r="D267" t="s">
        <v>75</v>
      </c>
      <c r="E267">
        <v>4</v>
      </c>
      <c r="F267">
        <v>93.61</v>
      </c>
      <c r="G267" t="s">
        <v>58</v>
      </c>
      <c r="H267">
        <v>0.32</v>
      </c>
      <c r="I267" t="s">
        <v>19</v>
      </c>
      <c r="J267">
        <v>11.36</v>
      </c>
      <c r="K267" t="s">
        <v>30</v>
      </c>
      <c r="L267" t="s">
        <v>21</v>
      </c>
      <c r="M267" t="s">
        <v>22</v>
      </c>
      <c r="N267" t="s">
        <v>32</v>
      </c>
      <c r="O267" t="s">
        <v>59</v>
      </c>
      <c r="P267" t="s">
        <v>34</v>
      </c>
    </row>
    <row r="268" spans="1:16" x14ac:dyDescent="0.25">
      <c r="A268" s="1">
        <v>45677</v>
      </c>
      <c r="B268" t="s">
        <v>217</v>
      </c>
      <c r="C268">
        <v>20111</v>
      </c>
      <c r="D268" t="s">
        <v>75</v>
      </c>
      <c r="E268">
        <v>42</v>
      </c>
      <c r="F268">
        <v>61.64</v>
      </c>
      <c r="G268" t="s">
        <v>28</v>
      </c>
      <c r="H268">
        <v>0.24</v>
      </c>
      <c r="I268" t="s">
        <v>61</v>
      </c>
      <c r="J268">
        <v>14.45</v>
      </c>
      <c r="K268" t="s">
        <v>37</v>
      </c>
      <c r="L268" t="s">
        <v>21</v>
      </c>
      <c r="M268" t="s">
        <v>22</v>
      </c>
      <c r="N268" t="s">
        <v>53</v>
      </c>
      <c r="O268" t="s">
        <v>33</v>
      </c>
      <c r="P268" t="s">
        <v>25</v>
      </c>
    </row>
    <row r="269" spans="1:16" x14ac:dyDescent="0.25">
      <c r="A269" s="1">
        <v>45677</v>
      </c>
      <c r="B269" t="s">
        <v>298</v>
      </c>
      <c r="C269">
        <v>92618</v>
      </c>
      <c r="D269" t="s">
        <v>57</v>
      </c>
      <c r="E269">
        <v>41</v>
      </c>
      <c r="F269">
        <v>1.4</v>
      </c>
      <c r="G269" t="s">
        <v>76</v>
      </c>
      <c r="H269">
        <v>0.22</v>
      </c>
      <c r="I269" t="s">
        <v>19</v>
      </c>
      <c r="J269">
        <v>25.7</v>
      </c>
      <c r="K269" t="s">
        <v>37</v>
      </c>
      <c r="L269" t="s">
        <v>31</v>
      </c>
      <c r="M269" t="s">
        <v>22</v>
      </c>
      <c r="N269" t="s">
        <v>53</v>
      </c>
      <c r="O269" t="s">
        <v>39</v>
      </c>
      <c r="P269" t="s">
        <v>34</v>
      </c>
    </row>
    <row r="270" spans="1:16" x14ac:dyDescent="0.25">
      <c r="A270" s="1">
        <v>45677</v>
      </c>
      <c r="B270" t="s">
        <v>299</v>
      </c>
      <c r="C270">
        <v>82313</v>
      </c>
      <c r="D270" t="s">
        <v>57</v>
      </c>
      <c r="E270">
        <v>19</v>
      </c>
      <c r="F270">
        <v>6.91</v>
      </c>
      <c r="G270" t="s">
        <v>84</v>
      </c>
      <c r="H270">
        <v>0.37</v>
      </c>
      <c r="I270" t="s">
        <v>19</v>
      </c>
      <c r="J270">
        <v>22.13</v>
      </c>
      <c r="K270" t="s">
        <v>37</v>
      </c>
      <c r="L270" t="s">
        <v>31</v>
      </c>
      <c r="M270" t="s">
        <v>22</v>
      </c>
      <c r="N270" t="s">
        <v>32</v>
      </c>
      <c r="O270" t="s">
        <v>39</v>
      </c>
      <c r="P270" t="s">
        <v>34</v>
      </c>
    </row>
    <row r="271" spans="1:16" x14ac:dyDescent="0.25">
      <c r="A271" s="1">
        <v>45677</v>
      </c>
      <c r="B271" t="s">
        <v>235</v>
      </c>
      <c r="C271">
        <v>63177</v>
      </c>
      <c r="D271" t="s">
        <v>89</v>
      </c>
      <c r="E271">
        <v>25</v>
      </c>
      <c r="F271">
        <v>12.29</v>
      </c>
      <c r="G271" t="s">
        <v>76</v>
      </c>
      <c r="H271">
        <v>0.06</v>
      </c>
      <c r="I271" t="s">
        <v>61</v>
      </c>
      <c r="J271">
        <v>28.07</v>
      </c>
      <c r="K271" t="s">
        <v>50</v>
      </c>
      <c r="L271" t="s">
        <v>21</v>
      </c>
      <c r="M271" t="s">
        <v>111</v>
      </c>
      <c r="N271" t="s">
        <v>23</v>
      </c>
      <c r="O271" t="s">
        <v>81</v>
      </c>
      <c r="P271" t="s">
        <v>25</v>
      </c>
    </row>
    <row r="272" spans="1:16" x14ac:dyDescent="0.25">
      <c r="A272" s="1">
        <v>45677</v>
      </c>
      <c r="B272" t="s">
        <v>300</v>
      </c>
      <c r="C272">
        <v>58381</v>
      </c>
      <c r="D272" t="s">
        <v>89</v>
      </c>
      <c r="E272">
        <v>17</v>
      </c>
      <c r="F272">
        <v>5.9</v>
      </c>
      <c r="G272" t="s">
        <v>55</v>
      </c>
      <c r="H272">
        <v>0.01</v>
      </c>
      <c r="I272" t="s">
        <v>19</v>
      </c>
      <c r="J272">
        <v>17.329999999999998</v>
      </c>
      <c r="K272" t="s">
        <v>20</v>
      </c>
      <c r="L272" t="s">
        <v>31</v>
      </c>
      <c r="N272" t="s">
        <v>38</v>
      </c>
      <c r="O272" t="s">
        <v>39</v>
      </c>
      <c r="P272" t="s">
        <v>40</v>
      </c>
    </row>
    <row r="273" spans="1:16" x14ac:dyDescent="0.25">
      <c r="A273" s="1">
        <v>45677</v>
      </c>
      <c r="B273" t="s">
        <v>301</v>
      </c>
      <c r="C273">
        <v>81334</v>
      </c>
      <c r="D273" t="s">
        <v>46</v>
      </c>
      <c r="E273">
        <v>40</v>
      </c>
      <c r="F273">
        <v>18.100000000000001</v>
      </c>
      <c r="G273" t="s">
        <v>52</v>
      </c>
      <c r="H273">
        <v>0.38</v>
      </c>
      <c r="I273" t="s">
        <v>61</v>
      </c>
      <c r="J273">
        <v>10.82</v>
      </c>
      <c r="K273" t="s">
        <v>50</v>
      </c>
      <c r="L273" t="s">
        <v>31</v>
      </c>
      <c r="M273" t="s">
        <v>22</v>
      </c>
      <c r="N273" t="s">
        <v>23</v>
      </c>
      <c r="O273" t="s">
        <v>33</v>
      </c>
      <c r="P273" t="s">
        <v>40</v>
      </c>
    </row>
    <row r="274" spans="1:16" x14ac:dyDescent="0.25">
      <c r="A274" s="1">
        <v>45677</v>
      </c>
      <c r="B274" t="s">
        <v>302</v>
      </c>
      <c r="C274">
        <v>11760</v>
      </c>
      <c r="D274" t="s">
        <v>70</v>
      </c>
      <c r="E274">
        <v>33</v>
      </c>
      <c r="F274">
        <v>40.43</v>
      </c>
      <c r="G274" t="s">
        <v>76</v>
      </c>
      <c r="H274">
        <v>0.46</v>
      </c>
      <c r="I274" t="s">
        <v>19</v>
      </c>
      <c r="J274">
        <v>25.74</v>
      </c>
      <c r="K274" t="s">
        <v>50</v>
      </c>
      <c r="L274" t="s">
        <v>21</v>
      </c>
      <c r="M274" t="s">
        <v>22</v>
      </c>
      <c r="N274" t="s">
        <v>32</v>
      </c>
      <c r="O274" t="s">
        <v>33</v>
      </c>
    </row>
    <row r="275" spans="1:16" x14ac:dyDescent="0.25">
      <c r="A275" s="1">
        <v>45677</v>
      </c>
      <c r="B275" t="s">
        <v>303</v>
      </c>
      <c r="C275">
        <v>30048</v>
      </c>
      <c r="D275" t="s">
        <v>68</v>
      </c>
      <c r="E275">
        <v>33</v>
      </c>
      <c r="F275">
        <v>45.47</v>
      </c>
      <c r="G275" t="s">
        <v>47</v>
      </c>
      <c r="H275">
        <v>0.25</v>
      </c>
      <c r="I275" t="s">
        <v>19</v>
      </c>
      <c r="J275">
        <v>6.36</v>
      </c>
      <c r="K275" t="s">
        <v>30</v>
      </c>
      <c r="L275" t="s">
        <v>21</v>
      </c>
      <c r="N275" t="s">
        <v>38</v>
      </c>
      <c r="O275" t="s">
        <v>39</v>
      </c>
      <c r="P275" t="s">
        <v>40</v>
      </c>
    </row>
    <row r="276" spans="1:16" x14ac:dyDescent="0.25">
      <c r="A276" s="1">
        <v>45677</v>
      </c>
      <c r="B276" t="s">
        <v>71</v>
      </c>
      <c r="C276">
        <v>98958</v>
      </c>
      <c r="D276" t="s">
        <v>46</v>
      </c>
      <c r="E276">
        <v>46</v>
      </c>
      <c r="F276">
        <v>33.26</v>
      </c>
      <c r="G276" t="s">
        <v>76</v>
      </c>
      <c r="H276">
        <v>0.28000000000000003</v>
      </c>
      <c r="I276" t="s">
        <v>19</v>
      </c>
      <c r="J276">
        <v>16.920000000000002</v>
      </c>
      <c r="K276" t="s">
        <v>44</v>
      </c>
      <c r="L276" t="s">
        <v>31</v>
      </c>
      <c r="M276" t="s">
        <v>22</v>
      </c>
      <c r="N276" t="s">
        <v>23</v>
      </c>
      <c r="O276" t="s">
        <v>33</v>
      </c>
      <c r="P276" t="s">
        <v>25</v>
      </c>
    </row>
    <row r="277" spans="1:16" x14ac:dyDescent="0.25">
      <c r="A277" s="1">
        <v>45677</v>
      </c>
      <c r="B277" t="s">
        <v>304</v>
      </c>
      <c r="C277">
        <v>74880</v>
      </c>
      <c r="D277" t="s">
        <v>27</v>
      </c>
      <c r="E277">
        <v>28</v>
      </c>
      <c r="F277">
        <v>63.37</v>
      </c>
      <c r="G277" t="s">
        <v>36</v>
      </c>
      <c r="H277">
        <v>0.35</v>
      </c>
      <c r="I277" t="s">
        <v>61</v>
      </c>
      <c r="J277">
        <v>25.09</v>
      </c>
      <c r="K277" t="s">
        <v>20</v>
      </c>
      <c r="L277" t="s">
        <v>31</v>
      </c>
      <c r="M277" t="s">
        <v>22</v>
      </c>
      <c r="N277" t="s">
        <v>38</v>
      </c>
      <c r="O277" t="s">
        <v>39</v>
      </c>
      <c r="P277" t="s">
        <v>34</v>
      </c>
    </row>
    <row r="278" spans="1:16" x14ac:dyDescent="0.25">
      <c r="A278" s="1">
        <v>45678</v>
      </c>
      <c r="B278" t="s">
        <v>305</v>
      </c>
      <c r="C278">
        <v>44419</v>
      </c>
      <c r="D278" t="s">
        <v>46</v>
      </c>
      <c r="E278">
        <v>17</v>
      </c>
      <c r="F278">
        <v>68.94</v>
      </c>
      <c r="G278" t="s">
        <v>47</v>
      </c>
      <c r="H278">
        <v>0.16</v>
      </c>
      <c r="I278" t="s">
        <v>29</v>
      </c>
      <c r="J278">
        <v>26.76</v>
      </c>
      <c r="K278" t="s">
        <v>20</v>
      </c>
      <c r="L278" t="s">
        <v>21</v>
      </c>
      <c r="M278" t="s">
        <v>22</v>
      </c>
      <c r="N278" t="s">
        <v>53</v>
      </c>
      <c r="O278" t="s">
        <v>39</v>
      </c>
      <c r="P278" t="s">
        <v>34</v>
      </c>
    </row>
    <row r="279" spans="1:16" x14ac:dyDescent="0.25">
      <c r="A279" s="1">
        <v>45678</v>
      </c>
      <c r="B279" t="s">
        <v>90</v>
      </c>
      <c r="C279">
        <v>35013</v>
      </c>
      <c r="D279" t="s">
        <v>42</v>
      </c>
      <c r="E279">
        <v>48</v>
      </c>
      <c r="F279">
        <v>5.04</v>
      </c>
      <c r="G279" t="s">
        <v>72</v>
      </c>
      <c r="H279">
        <v>0.23</v>
      </c>
      <c r="I279" t="s">
        <v>19</v>
      </c>
      <c r="J279">
        <v>22.43</v>
      </c>
      <c r="K279" t="s">
        <v>37</v>
      </c>
      <c r="L279" t="s">
        <v>31</v>
      </c>
      <c r="M279" t="s">
        <v>22</v>
      </c>
      <c r="N279" t="s">
        <v>23</v>
      </c>
      <c r="O279" t="s">
        <v>81</v>
      </c>
      <c r="P279" t="s">
        <v>34</v>
      </c>
    </row>
    <row r="280" spans="1:16" x14ac:dyDescent="0.25">
      <c r="A280" s="1">
        <v>45678</v>
      </c>
      <c r="B280" t="s">
        <v>296</v>
      </c>
      <c r="C280">
        <v>40974</v>
      </c>
      <c r="D280" t="s">
        <v>89</v>
      </c>
      <c r="E280">
        <v>31</v>
      </c>
      <c r="F280">
        <v>49.19</v>
      </c>
      <c r="G280" t="s">
        <v>36</v>
      </c>
      <c r="H280">
        <v>0.27</v>
      </c>
      <c r="I280" t="s">
        <v>61</v>
      </c>
      <c r="J280">
        <v>16.63</v>
      </c>
      <c r="K280" t="s">
        <v>30</v>
      </c>
      <c r="L280" t="s">
        <v>21</v>
      </c>
      <c r="M280" t="s">
        <v>22</v>
      </c>
      <c r="N280" t="s">
        <v>32</v>
      </c>
      <c r="O280" t="s">
        <v>24</v>
      </c>
      <c r="P280" t="s">
        <v>40</v>
      </c>
    </row>
    <row r="281" spans="1:16" x14ac:dyDescent="0.25">
      <c r="A281" s="1">
        <v>45678</v>
      </c>
      <c r="B281" t="s">
        <v>306</v>
      </c>
      <c r="C281">
        <v>68822</v>
      </c>
      <c r="D281" t="s">
        <v>70</v>
      </c>
      <c r="E281">
        <v>12</v>
      </c>
      <c r="F281">
        <v>81.52</v>
      </c>
      <c r="G281" t="s">
        <v>28</v>
      </c>
      <c r="H281">
        <v>0.24</v>
      </c>
      <c r="I281" t="s">
        <v>19</v>
      </c>
      <c r="J281">
        <v>18.12</v>
      </c>
      <c r="K281" t="s">
        <v>44</v>
      </c>
      <c r="L281" t="s">
        <v>21</v>
      </c>
      <c r="M281" t="s">
        <v>22</v>
      </c>
      <c r="N281" t="s">
        <v>53</v>
      </c>
      <c r="O281" t="s">
        <v>33</v>
      </c>
      <c r="P281" t="s">
        <v>40</v>
      </c>
    </row>
    <row r="282" spans="1:16" x14ac:dyDescent="0.25">
      <c r="A282" s="1">
        <v>45678</v>
      </c>
      <c r="B282" t="s">
        <v>307</v>
      </c>
      <c r="C282">
        <v>77293</v>
      </c>
      <c r="D282" t="s">
        <v>49</v>
      </c>
      <c r="G282" t="s">
        <v>36</v>
      </c>
      <c r="H282">
        <v>0.15</v>
      </c>
      <c r="I282" t="s">
        <v>19</v>
      </c>
      <c r="J282">
        <v>11.34</v>
      </c>
      <c r="K282" t="s">
        <v>50</v>
      </c>
      <c r="L282" t="s">
        <v>21</v>
      </c>
      <c r="M282" t="s">
        <v>22</v>
      </c>
      <c r="N282" t="s">
        <v>32</v>
      </c>
      <c r="O282" t="s">
        <v>81</v>
      </c>
      <c r="P282" t="s">
        <v>34</v>
      </c>
    </row>
    <row r="283" spans="1:16" x14ac:dyDescent="0.25">
      <c r="A283" s="1">
        <v>45678</v>
      </c>
      <c r="B283" t="s">
        <v>308</v>
      </c>
      <c r="C283">
        <v>57059</v>
      </c>
      <c r="D283" t="s">
        <v>49</v>
      </c>
      <c r="E283">
        <v>3</v>
      </c>
      <c r="F283">
        <v>4.26</v>
      </c>
      <c r="G283" t="s">
        <v>76</v>
      </c>
      <c r="H283">
        <v>0.21</v>
      </c>
      <c r="I283" t="s">
        <v>29</v>
      </c>
      <c r="J283">
        <v>16.43</v>
      </c>
      <c r="K283" t="s">
        <v>50</v>
      </c>
      <c r="L283" t="s">
        <v>21</v>
      </c>
      <c r="M283" t="s">
        <v>111</v>
      </c>
      <c r="N283" t="s">
        <v>38</v>
      </c>
      <c r="O283" t="s">
        <v>24</v>
      </c>
      <c r="P283" t="s">
        <v>25</v>
      </c>
    </row>
    <row r="284" spans="1:16" x14ac:dyDescent="0.25">
      <c r="A284" s="1">
        <v>45678</v>
      </c>
      <c r="B284" t="s">
        <v>309</v>
      </c>
      <c r="C284">
        <v>48338</v>
      </c>
      <c r="D284" t="s">
        <v>70</v>
      </c>
      <c r="E284">
        <v>2</v>
      </c>
      <c r="F284">
        <v>72.489999999999995</v>
      </c>
      <c r="G284" t="s">
        <v>58</v>
      </c>
      <c r="H284">
        <v>0.31</v>
      </c>
      <c r="I284" t="s">
        <v>61</v>
      </c>
      <c r="J284">
        <v>23.26</v>
      </c>
      <c r="K284" t="s">
        <v>37</v>
      </c>
      <c r="L284" t="s">
        <v>31</v>
      </c>
      <c r="M284" t="s">
        <v>22</v>
      </c>
      <c r="N284" t="s">
        <v>38</v>
      </c>
      <c r="O284" t="s">
        <v>33</v>
      </c>
      <c r="P284" t="s">
        <v>25</v>
      </c>
    </row>
    <row r="285" spans="1:16" x14ac:dyDescent="0.25">
      <c r="A285" s="1">
        <v>45678</v>
      </c>
      <c r="B285" t="s">
        <v>310</v>
      </c>
      <c r="C285">
        <v>63049</v>
      </c>
      <c r="D285" t="s">
        <v>68</v>
      </c>
      <c r="E285">
        <v>16</v>
      </c>
      <c r="F285">
        <v>51.29</v>
      </c>
      <c r="G285" t="s">
        <v>58</v>
      </c>
      <c r="H285">
        <v>0.1</v>
      </c>
      <c r="I285" t="s">
        <v>29</v>
      </c>
      <c r="J285">
        <v>26.79</v>
      </c>
      <c r="K285" t="s">
        <v>20</v>
      </c>
      <c r="L285" t="s">
        <v>31</v>
      </c>
      <c r="M285" t="s">
        <v>22</v>
      </c>
      <c r="N285" t="s">
        <v>53</v>
      </c>
      <c r="O285" t="s">
        <v>81</v>
      </c>
      <c r="P285" t="s">
        <v>40</v>
      </c>
    </row>
    <row r="286" spans="1:16" x14ac:dyDescent="0.25">
      <c r="A286" s="1">
        <v>45678</v>
      </c>
      <c r="B286" t="s">
        <v>233</v>
      </c>
      <c r="C286">
        <v>77303</v>
      </c>
      <c r="D286" t="s">
        <v>27</v>
      </c>
      <c r="E286">
        <v>12</v>
      </c>
      <c r="F286">
        <v>54.63</v>
      </c>
      <c r="G286" t="s">
        <v>47</v>
      </c>
      <c r="H286">
        <v>0.17</v>
      </c>
      <c r="I286" t="s">
        <v>29</v>
      </c>
      <c r="J286">
        <v>28.15</v>
      </c>
      <c r="K286" t="s">
        <v>30</v>
      </c>
      <c r="L286" t="s">
        <v>31</v>
      </c>
      <c r="M286" t="s">
        <v>22</v>
      </c>
      <c r="N286" t="s">
        <v>53</v>
      </c>
      <c r="O286" t="s">
        <v>81</v>
      </c>
      <c r="P286" t="s">
        <v>25</v>
      </c>
    </row>
    <row r="287" spans="1:16" x14ac:dyDescent="0.25">
      <c r="A287" s="1">
        <v>45678</v>
      </c>
      <c r="B287" t="s">
        <v>174</v>
      </c>
      <c r="C287">
        <v>67010</v>
      </c>
      <c r="D287" t="s">
        <v>70</v>
      </c>
      <c r="E287">
        <v>14</v>
      </c>
      <c r="F287">
        <v>39.64</v>
      </c>
      <c r="G287" t="s">
        <v>47</v>
      </c>
      <c r="H287">
        <v>0.1</v>
      </c>
      <c r="I287" t="s">
        <v>19</v>
      </c>
      <c r="J287">
        <v>22.06</v>
      </c>
      <c r="K287" t="s">
        <v>30</v>
      </c>
      <c r="L287" t="s">
        <v>21</v>
      </c>
      <c r="M287" t="s">
        <v>111</v>
      </c>
      <c r="N287" t="s">
        <v>32</v>
      </c>
      <c r="O287" t="s">
        <v>24</v>
      </c>
      <c r="P287" t="s">
        <v>40</v>
      </c>
    </row>
    <row r="288" spans="1:16" x14ac:dyDescent="0.25">
      <c r="A288" s="1">
        <v>45678</v>
      </c>
      <c r="B288" t="s">
        <v>311</v>
      </c>
      <c r="C288">
        <v>57828</v>
      </c>
      <c r="D288" t="s">
        <v>17</v>
      </c>
      <c r="E288">
        <v>14</v>
      </c>
      <c r="F288">
        <v>80.05</v>
      </c>
      <c r="G288" t="s">
        <v>99</v>
      </c>
      <c r="H288">
        <v>0.06</v>
      </c>
      <c r="I288" t="s">
        <v>61</v>
      </c>
      <c r="J288">
        <v>7.42</v>
      </c>
      <c r="K288" t="s">
        <v>37</v>
      </c>
      <c r="L288" t="s">
        <v>21</v>
      </c>
      <c r="M288" t="s">
        <v>22</v>
      </c>
      <c r="N288" t="s">
        <v>23</v>
      </c>
      <c r="O288" t="s">
        <v>81</v>
      </c>
      <c r="P288" t="s">
        <v>40</v>
      </c>
    </row>
    <row r="289" spans="1:16" x14ac:dyDescent="0.25">
      <c r="A289" s="1">
        <v>45678</v>
      </c>
      <c r="B289" t="s">
        <v>312</v>
      </c>
      <c r="C289">
        <v>19463</v>
      </c>
      <c r="D289" t="s">
        <v>42</v>
      </c>
      <c r="E289">
        <v>3</v>
      </c>
      <c r="F289">
        <v>31.9</v>
      </c>
      <c r="G289" t="s">
        <v>58</v>
      </c>
      <c r="H289">
        <v>0.06</v>
      </c>
      <c r="I289" t="s">
        <v>29</v>
      </c>
      <c r="J289">
        <v>7.18</v>
      </c>
      <c r="K289" t="s">
        <v>44</v>
      </c>
      <c r="L289" t="s">
        <v>21</v>
      </c>
      <c r="M289" t="s">
        <v>22</v>
      </c>
      <c r="N289" t="s">
        <v>32</v>
      </c>
      <c r="O289" t="s">
        <v>39</v>
      </c>
      <c r="P289" t="s">
        <v>40</v>
      </c>
    </row>
    <row r="290" spans="1:16" x14ac:dyDescent="0.25">
      <c r="A290" s="1">
        <v>45678</v>
      </c>
      <c r="B290" t="s">
        <v>313</v>
      </c>
      <c r="C290">
        <v>15296</v>
      </c>
      <c r="D290" t="s">
        <v>89</v>
      </c>
      <c r="E290">
        <v>5</v>
      </c>
      <c r="F290">
        <v>45.88</v>
      </c>
      <c r="G290" t="s">
        <v>55</v>
      </c>
      <c r="H290">
        <v>0.01</v>
      </c>
      <c r="I290" t="s">
        <v>19</v>
      </c>
      <c r="J290">
        <v>25.39</v>
      </c>
      <c r="K290" t="s">
        <v>37</v>
      </c>
      <c r="L290" t="s">
        <v>21</v>
      </c>
      <c r="M290" t="s">
        <v>22</v>
      </c>
      <c r="N290" t="s">
        <v>32</v>
      </c>
      <c r="O290" t="s">
        <v>39</v>
      </c>
      <c r="P290" t="s">
        <v>40</v>
      </c>
    </row>
    <row r="291" spans="1:16" x14ac:dyDescent="0.25">
      <c r="A291" s="1">
        <v>45678</v>
      </c>
      <c r="B291" t="s">
        <v>314</v>
      </c>
      <c r="C291">
        <v>63159</v>
      </c>
      <c r="D291" t="s">
        <v>68</v>
      </c>
      <c r="E291">
        <v>9</v>
      </c>
      <c r="F291">
        <v>88.95</v>
      </c>
      <c r="G291" t="s">
        <v>28</v>
      </c>
      <c r="H291">
        <v>0.37</v>
      </c>
      <c r="I291" t="s">
        <v>61</v>
      </c>
      <c r="J291">
        <v>8.65</v>
      </c>
      <c r="K291" t="s">
        <v>50</v>
      </c>
      <c r="L291" t="s">
        <v>31</v>
      </c>
      <c r="M291" t="s">
        <v>22</v>
      </c>
      <c r="N291" t="s">
        <v>23</v>
      </c>
      <c r="O291" t="s">
        <v>39</v>
      </c>
      <c r="P291" t="s">
        <v>25</v>
      </c>
    </row>
    <row r="292" spans="1:16" x14ac:dyDescent="0.25">
      <c r="A292" s="1">
        <v>45678</v>
      </c>
      <c r="B292" t="s">
        <v>315</v>
      </c>
      <c r="C292">
        <v>68988</v>
      </c>
      <c r="D292" t="s">
        <v>46</v>
      </c>
      <c r="E292">
        <v>14</v>
      </c>
      <c r="F292">
        <v>73.95</v>
      </c>
      <c r="G292" t="s">
        <v>72</v>
      </c>
      <c r="H292">
        <v>0.28000000000000003</v>
      </c>
      <c r="I292" t="s">
        <v>61</v>
      </c>
      <c r="J292">
        <v>18.79</v>
      </c>
      <c r="K292" t="s">
        <v>50</v>
      </c>
      <c r="L292" t="s">
        <v>21</v>
      </c>
      <c r="M292" t="s">
        <v>22</v>
      </c>
      <c r="N292" t="s">
        <v>38</v>
      </c>
      <c r="O292" t="s">
        <v>59</v>
      </c>
      <c r="P292" t="s">
        <v>25</v>
      </c>
    </row>
    <row r="293" spans="1:16" x14ac:dyDescent="0.25">
      <c r="A293" s="1">
        <v>45678</v>
      </c>
      <c r="B293" t="s">
        <v>316</v>
      </c>
      <c r="C293">
        <v>93163</v>
      </c>
      <c r="D293" t="s">
        <v>46</v>
      </c>
      <c r="E293">
        <v>44</v>
      </c>
      <c r="F293">
        <v>78.5</v>
      </c>
      <c r="G293" t="s">
        <v>99</v>
      </c>
      <c r="H293">
        <v>0.13</v>
      </c>
      <c r="I293" t="s">
        <v>19</v>
      </c>
      <c r="J293">
        <v>21.81</v>
      </c>
      <c r="K293" t="s">
        <v>50</v>
      </c>
      <c r="L293" t="s">
        <v>21</v>
      </c>
      <c r="M293" t="s">
        <v>22</v>
      </c>
      <c r="N293" t="s">
        <v>38</v>
      </c>
      <c r="O293" t="s">
        <v>39</v>
      </c>
    </row>
    <row r="294" spans="1:16" x14ac:dyDescent="0.25">
      <c r="A294" s="1">
        <v>45678</v>
      </c>
      <c r="B294" t="s">
        <v>317</v>
      </c>
      <c r="C294">
        <v>34672</v>
      </c>
      <c r="D294" t="s">
        <v>46</v>
      </c>
      <c r="E294">
        <v>39</v>
      </c>
      <c r="F294">
        <v>77.400000000000006</v>
      </c>
      <c r="G294" t="s">
        <v>76</v>
      </c>
      <c r="H294">
        <v>0.22</v>
      </c>
      <c r="I294" t="s">
        <v>19</v>
      </c>
      <c r="J294">
        <v>25.08</v>
      </c>
      <c r="K294" s="4" t="s">
        <v>729</v>
      </c>
      <c r="L294" t="s">
        <v>31</v>
      </c>
      <c r="M294" t="s">
        <v>22</v>
      </c>
      <c r="N294" t="s">
        <v>32</v>
      </c>
      <c r="O294" t="s">
        <v>59</v>
      </c>
      <c r="P294" t="s">
        <v>34</v>
      </c>
    </row>
    <row r="295" spans="1:16" x14ac:dyDescent="0.25">
      <c r="A295" s="1">
        <v>45678</v>
      </c>
      <c r="B295" t="s">
        <v>318</v>
      </c>
      <c r="C295">
        <v>27247</v>
      </c>
      <c r="D295" t="s">
        <v>49</v>
      </c>
      <c r="E295">
        <v>48</v>
      </c>
      <c r="F295">
        <v>69.64</v>
      </c>
      <c r="G295" t="s">
        <v>18</v>
      </c>
      <c r="H295">
        <v>0.41</v>
      </c>
      <c r="I295" t="s">
        <v>61</v>
      </c>
      <c r="J295">
        <v>19.13</v>
      </c>
      <c r="K295" t="s">
        <v>20</v>
      </c>
      <c r="L295" t="s">
        <v>21</v>
      </c>
      <c r="M295" t="s">
        <v>22</v>
      </c>
      <c r="N295" t="s">
        <v>32</v>
      </c>
      <c r="O295" t="s">
        <v>59</v>
      </c>
      <c r="P295" t="s">
        <v>34</v>
      </c>
    </row>
    <row r="296" spans="1:16" x14ac:dyDescent="0.25">
      <c r="A296" s="1">
        <v>45678</v>
      </c>
      <c r="B296" t="s">
        <v>319</v>
      </c>
      <c r="C296">
        <v>99616</v>
      </c>
      <c r="D296" t="s">
        <v>27</v>
      </c>
      <c r="E296">
        <v>49</v>
      </c>
      <c r="F296">
        <v>66.69</v>
      </c>
      <c r="G296" t="s">
        <v>72</v>
      </c>
      <c r="H296">
        <v>0.16</v>
      </c>
      <c r="I296" t="s">
        <v>61</v>
      </c>
      <c r="J296">
        <v>14.83</v>
      </c>
      <c r="K296" t="s">
        <v>20</v>
      </c>
      <c r="L296" t="s">
        <v>21</v>
      </c>
      <c r="N296" t="s">
        <v>53</v>
      </c>
      <c r="O296" t="s">
        <v>33</v>
      </c>
      <c r="P296" t="s">
        <v>34</v>
      </c>
    </row>
    <row r="297" spans="1:16" x14ac:dyDescent="0.25">
      <c r="A297" s="1">
        <v>45678</v>
      </c>
      <c r="B297" t="s">
        <v>320</v>
      </c>
      <c r="C297">
        <v>29821</v>
      </c>
      <c r="D297" t="s">
        <v>49</v>
      </c>
      <c r="E297">
        <v>8</v>
      </c>
      <c r="F297">
        <v>33.61</v>
      </c>
      <c r="G297" t="s">
        <v>84</v>
      </c>
      <c r="H297">
        <v>0.5</v>
      </c>
      <c r="I297" t="s">
        <v>61</v>
      </c>
      <c r="J297">
        <v>25.44</v>
      </c>
      <c r="K297" t="s">
        <v>37</v>
      </c>
      <c r="L297" t="s">
        <v>31</v>
      </c>
      <c r="M297" t="s">
        <v>22</v>
      </c>
      <c r="N297" t="s">
        <v>38</v>
      </c>
      <c r="O297" t="s">
        <v>81</v>
      </c>
      <c r="P297" t="s">
        <v>34</v>
      </c>
    </row>
    <row r="298" spans="1:16" x14ac:dyDescent="0.25">
      <c r="A298" s="1">
        <v>45678</v>
      </c>
      <c r="B298" t="s">
        <v>321</v>
      </c>
      <c r="C298">
        <v>45875</v>
      </c>
      <c r="D298" t="s">
        <v>70</v>
      </c>
      <c r="E298">
        <v>10</v>
      </c>
      <c r="F298">
        <v>21.96</v>
      </c>
      <c r="G298" t="s">
        <v>52</v>
      </c>
      <c r="H298">
        <v>0.2</v>
      </c>
      <c r="I298" t="s">
        <v>61</v>
      </c>
      <c r="J298">
        <v>8.9600000000000009</v>
      </c>
      <c r="K298" t="s">
        <v>44</v>
      </c>
      <c r="L298" t="s">
        <v>21</v>
      </c>
      <c r="M298" t="s">
        <v>22</v>
      </c>
      <c r="N298" t="s">
        <v>53</v>
      </c>
      <c r="O298" t="s">
        <v>24</v>
      </c>
      <c r="P298" t="s">
        <v>40</v>
      </c>
    </row>
    <row r="299" spans="1:16" x14ac:dyDescent="0.25">
      <c r="A299" s="1">
        <v>45678</v>
      </c>
      <c r="B299" t="s">
        <v>322</v>
      </c>
      <c r="C299">
        <v>67476</v>
      </c>
      <c r="D299" t="s">
        <v>57</v>
      </c>
      <c r="E299">
        <v>27</v>
      </c>
      <c r="F299">
        <v>46.31</v>
      </c>
      <c r="G299" t="s">
        <v>58</v>
      </c>
      <c r="H299">
        <v>0.17</v>
      </c>
      <c r="I299" t="s">
        <v>29</v>
      </c>
      <c r="J299">
        <v>21.67</v>
      </c>
      <c r="K299" t="s">
        <v>20</v>
      </c>
      <c r="L299" t="s">
        <v>31</v>
      </c>
      <c r="M299" t="s">
        <v>22</v>
      </c>
      <c r="N299" t="s">
        <v>23</v>
      </c>
      <c r="O299" t="s">
        <v>81</v>
      </c>
      <c r="P299" t="s">
        <v>40</v>
      </c>
    </row>
    <row r="300" spans="1:16" x14ac:dyDescent="0.25">
      <c r="A300" s="1">
        <v>45678</v>
      </c>
      <c r="B300" t="s">
        <v>119</v>
      </c>
      <c r="C300">
        <v>79765</v>
      </c>
      <c r="D300" t="s">
        <v>42</v>
      </c>
      <c r="E300">
        <v>14</v>
      </c>
      <c r="F300">
        <v>93.01</v>
      </c>
      <c r="G300" t="s">
        <v>72</v>
      </c>
      <c r="H300">
        <v>0.41</v>
      </c>
      <c r="I300" t="s">
        <v>61</v>
      </c>
      <c r="J300">
        <v>19.46</v>
      </c>
      <c r="K300" t="s">
        <v>44</v>
      </c>
      <c r="L300" t="s">
        <v>31</v>
      </c>
      <c r="M300" t="s">
        <v>22</v>
      </c>
      <c r="N300" t="s">
        <v>38</v>
      </c>
      <c r="O300" t="s">
        <v>39</v>
      </c>
      <c r="P300" t="s">
        <v>40</v>
      </c>
    </row>
    <row r="301" spans="1:16" x14ac:dyDescent="0.25">
      <c r="A301" s="1">
        <v>45679</v>
      </c>
      <c r="B301" t="s">
        <v>323</v>
      </c>
      <c r="C301">
        <v>65833</v>
      </c>
      <c r="D301" t="s">
        <v>89</v>
      </c>
      <c r="E301">
        <v>7</v>
      </c>
      <c r="F301">
        <v>81.41</v>
      </c>
      <c r="G301" t="s">
        <v>55</v>
      </c>
      <c r="H301">
        <v>0.03</v>
      </c>
      <c r="I301" t="s">
        <v>29</v>
      </c>
      <c r="J301">
        <v>9.17</v>
      </c>
      <c r="K301" t="s">
        <v>37</v>
      </c>
      <c r="L301" t="s">
        <v>31</v>
      </c>
      <c r="M301" t="s">
        <v>22</v>
      </c>
      <c r="N301" t="s">
        <v>53</v>
      </c>
      <c r="O301" t="s">
        <v>33</v>
      </c>
      <c r="P301" t="s">
        <v>40</v>
      </c>
    </row>
    <row r="302" spans="1:16" x14ac:dyDescent="0.25">
      <c r="A302" s="1">
        <v>45679</v>
      </c>
      <c r="B302" t="s">
        <v>324</v>
      </c>
      <c r="C302">
        <v>19915</v>
      </c>
      <c r="D302" t="s">
        <v>70</v>
      </c>
      <c r="E302">
        <v>5</v>
      </c>
      <c r="F302">
        <v>57.61</v>
      </c>
      <c r="G302" t="s">
        <v>84</v>
      </c>
      <c r="H302">
        <v>0.44</v>
      </c>
      <c r="I302" t="s">
        <v>19</v>
      </c>
      <c r="J302">
        <v>20.91</v>
      </c>
      <c r="K302" t="s">
        <v>20</v>
      </c>
      <c r="L302" t="s">
        <v>21</v>
      </c>
      <c r="M302" t="s">
        <v>22</v>
      </c>
      <c r="N302" t="s">
        <v>53</v>
      </c>
      <c r="O302" t="s">
        <v>24</v>
      </c>
      <c r="P302" t="s">
        <v>25</v>
      </c>
    </row>
    <row r="303" spans="1:16" x14ac:dyDescent="0.25">
      <c r="A303" s="1">
        <v>45679</v>
      </c>
      <c r="B303" t="s">
        <v>325</v>
      </c>
      <c r="C303">
        <v>50320</v>
      </c>
      <c r="D303" t="s">
        <v>68</v>
      </c>
      <c r="E303">
        <v>34</v>
      </c>
      <c r="G303" t="s">
        <v>76</v>
      </c>
      <c r="H303">
        <v>0.15</v>
      </c>
      <c r="I303" t="s">
        <v>61</v>
      </c>
      <c r="J303">
        <v>16.87</v>
      </c>
      <c r="K303" t="s">
        <v>44</v>
      </c>
      <c r="L303" t="s">
        <v>21</v>
      </c>
      <c r="M303" t="s">
        <v>22</v>
      </c>
      <c r="N303" t="s">
        <v>53</v>
      </c>
      <c r="O303" t="s">
        <v>24</v>
      </c>
      <c r="P303" t="s">
        <v>34</v>
      </c>
    </row>
    <row r="304" spans="1:16" x14ac:dyDescent="0.25">
      <c r="A304" s="1">
        <v>45679</v>
      </c>
      <c r="B304" t="s">
        <v>326</v>
      </c>
      <c r="C304">
        <v>68632</v>
      </c>
      <c r="D304" t="s">
        <v>75</v>
      </c>
      <c r="E304">
        <v>32</v>
      </c>
      <c r="F304">
        <v>47.95</v>
      </c>
      <c r="G304" t="s">
        <v>76</v>
      </c>
      <c r="H304">
        <v>0.1</v>
      </c>
      <c r="I304" t="s">
        <v>61</v>
      </c>
      <c r="J304">
        <v>6.49</v>
      </c>
      <c r="K304" t="s">
        <v>50</v>
      </c>
      <c r="L304" t="s">
        <v>31</v>
      </c>
      <c r="M304" t="s">
        <v>22</v>
      </c>
      <c r="N304" t="s">
        <v>23</v>
      </c>
      <c r="O304" t="s">
        <v>39</v>
      </c>
      <c r="P304" t="s">
        <v>40</v>
      </c>
    </row>
    <row r="305" spans="1:16" x14ac:dyDescent="0.25">
      <c r="A305" s="1">
        <v>45679</v>
      </c>
      <c r="B305" t="s">
        <v>327</v>
      </c>
      <c r="C305">
        <v>70003</v>
      </c>
      <c r="D305" t="s">
        <v>57</v>
      </c>
      <c r="F305">
        <v>67.739999999999995</v>
      </c>
      <c r="G305" t="s">
        <v>47</v>
      </c>
      <c r="H305">
        <v>0.28000000000000003</v>
      </c>
      <c r="I305" t="s">
        <v>61</v>
      </c>
      <c r="J305">
        <v>6.67</v>
      </c>
      <c r="K305" t="s">
        <v>50</v>
      </c>
      <c r="L305" t="s">
        <v>31</v>
      </c>
      <c r="M305" t="s">
        <v>22</v>
      </c>
      <c r="N305" t="s">
        <v>53</v>
      </c>
      <c r="O305" t="s">
        <v>33</v>
      </c>
      <c r="P305" t="s">
        <v>25</v>
      </c>
    </row>
    <row r="306" spans="1:16" x14ac:dyDescent="0.25">
      <c r="A306" s="1">
        <v>45679</v>
      </c>
      <c r="B306" t="s">
        <v>328</v>
      </c>
      <c r="C306">
        <v>62462</v>
      </c>
      <c r="D306" t="s">
        <v>42</v>
      </c>
      <c r="E306">
        <v>30</v>
      </c>
      <c r="F306">
        <v>12.03</v>
      </c>
      <c r="G306" t="s">
        <v>43</v>
      </c>
      <c r="H306">
        <v>0.44</v>
      </c>
      <c r="I306" t="s">
        <v>29</v>
      </c>
      <c r="J306">
        <v>6.02</v>
      </c>
      <c r="K306" t="s">
        <v>20</v>
      </c>
      <c r="L306" t="s">
        <v>31</v>
      </c>
      <c r="M306" t="s">
        <v>22</v>
      </c>
      <c r="N306" t="s">
        <v>23</v>
      </c>
      <c r="O306" t="s">
        <v>59</v>
      </c>
      <c r="P306" t="s">
        <v>25</v>
      </c>
    </row>
    <row r="307" spans="1:16" x14ac:dyDescent="0.25">
      <c r="A307" s="1">
        <v>45679</v>
      </c>
      <c r="B307" t="s">
        <v>329</v>
      </c>
      <c r="C307">
        <v>75840</v>
      </c>
      <c r="D307" t="s">
        <v>66</v>
      </c>
      <c r="E307">
        <v>19</v>
      </c>
      <c r="F307">
        <v>36.200000000000003</v>
      </c>
      <c r="G307" t="s">
        <v>36</v>
      </c>
      <c r="H307">
        <v>0.01</v>
      </c>
      <c r="I307" t="s">
        <v>19</v>
      </c>
      <c r="J307">
        <v>29.36</v>
      </c>
      <c r="K307" t="s">
        <v>50</v>
      </c>
      <c r="L307" t="s">
        <v>31</v>
      </c>
      <c r="M307" t="s">
        <v>22</v>
      </c>
      <c r="N307" t="s">
        <v>32</v>
      </c>
      <c r="O307" t="s">
        <v>81</v>
      </c>
      <c r="P307" t="s">
        <v>40</v>
      </c>
    </row>
    <row r="308" spans="1:16" x14ac:dyDescent="0.25">
      <c r="A308" s="1">
        <v>45679</v>
      </c>
      <c r="B308" t="s">
        <v>164</v>
      </c>
      <c r="C308">
        <v>80414</v>
      </c>
      <c r="D308" t="s">
        <v>89</v>
      </c>
      <c r="E308">
        <v>12</v>
      </c>
      <c r="F308">
        <v>19.48</v>
      </c>
      <c r="G308" t="s">
        <v>72</v>
      </c>
      <c r="H308">
        <v>0.14000000000000001</v>
      </c>
      <c r="I308" t="s">
        <v>29</v>
      </c>
      <c r="J308">
        <v>8.83</v>
      </c>
      <c r="K308" t="s">
        <v>30</v>
      </c>
      <c r="L308" t="s">
        <v>31</v>
      </c>
      <c r="M308" t="s">
        <v>22</v>
      </c>
      <c r="N308" t="s">
        <v>23</v>
      </c>
      <c r="O308" t="s">
        <v>33</v>
      </c>
      <c r="P308" t="s">
        <v>25</v>
      </c>
    </row>
    <row r="309" spans="1:16" x14ac:dyDescent="0.25">
      <c r="A309" s="1">
        <v>45679</v>
      </c>
      <c r="B309" t="s">
        <v>265</v>
      </c>
      <c r="C309">
        <v>54945</v>
      </c>
      <c r="D309" t="s">
        <v>75</v>
      </c>
      <c r="E309">
        <v>17</v>
      </c>
      <c r="F309">
        <v>34.42</v>
      </c>
      <c r="G309" t="s">
        <v>72</v>
      </c>
      <c r="H309">
        <v>0.02</v>
      </c>
      <c r="I309" t="s">
        <v>29</v>
      </c>
      <c r="J309">
        <v>24.65</v>
      </c>
      <c r="K309" t="s">
        <v>44</v>
      </c>
      <c r="L309" t="s">
        <v>21</v>
      </c>
      <c r="M309" t="s">
        <v>22</v>
      </c>
      <c r="N309" t="s">
        <v>32</v>
      </c>
      <c r="O309" t="s">
        <v>24</v>
      </c>
      <c r="P309" t="s">
        <v>25</v>
      </c>
    </row>
    <row r="310" spans="1:16" x14ac:dyDescent="0.25">
      <c r="A310" s="1">
        <v>45679</v>
      </c>
      <c r="B310" t="s">
        <v>330</v>
      </c>
      <c r="C310">
        <v>95713</v>
      </c>
      <c r="D310" t="s">
        <v>17</v>
      </c>
      <c r="E310">
        <v>11</v>
      </c>
      <c r="F310">
        <v>15.52</v>
      </c>
      <c r="G310" t="s">
        <v>55</v>
      </c>
      <c r="H310">
        <v>0.14000000000000001</v>
      </c>
      <c r="I310" t="s">
        <v>61</v>
      </c>
      <c r="J310">
        <v>21.57</v>
      </c>
      <c r="K310" t="s">
        <v>30</v>
      </c>
      <c r="L310" t="s">
        <v>21</v>
      </c>
      <c r="M310" t="s">
        <v>111</v>
      </c>
      <c r="N310" t="s">
        <v>53</v>
      </c>
      <c r="O310" t="s">
        <v>24</v>
      </c>
      <c r="P310" t="s">
        <v>40</v>
      </c>
    </row>
    <row r="311" spans="1:16" x14ac:dyDescent="0.25">
      <c r="A311" s="1">
        <v>45679</v>
      </c>
      <c r="B311" t="s">
        <v>264</v>
      </c>
      <c r="C311">
        <v>46710</v>
      </c>
      <c r="D311" t="s">
        <v>89</v>
      </c>
      <c r="E311">
        <v>27</v>
      </c>
      <c r="F311">
        <v>89.48</v>
      </c>
      <c r="G311" t="s">
        <v>55</v>
      </c>
      <c r="H311">
        <v>0.5</v>
      </c>
      <c r="I311" t="s">
        <v>29</v>
      </c>
      <c r="J311">
        <v>9.07</v>
      </c>
      <c r="K311" t="s">
        <v>44</v>
      </c>
      <c r="L311" t="s">
        <v>31</v>
      </c>
      <c r="M311" t="s">
        <v>22</v>
      </c>
      <c r="N311" t="s">
        <v>53</v>
      </c>
      <c r="O311" t="s">
        <v>81</v>
      </c>
    </row>
    <row r="312" spans="1:16" x14ac:dyDescent="0.25">
      <c r="A312" s="1">
        <v>45679</v>
      </c>
      <c r="B312" t="s">
        <v>331</v>
      </c>
      <c r="C312">
        <v>19364</v>
      </c>
      <c r="D312" t="s">
        <v>68</v>
      </c>
      <c r="E312">
        <v>22</v>
      </c>
      <c r="F312">
        <v>88.39</v>
      </c>
      <c r="G312" t="s">
        <v>18</v>
      </c>
      <c r="H312">
        <v>0.18</v>
      </c>
      <c r="I312" t="s">
        <v>61</v>
      </c>
      <c r="J312">
        <v>21.02</v>
      </c>
      <c r="K312" t="s">
        <v>50</v>
      </c>
      <c r="L312" t="s">
        <v>21</v>
      </c>
      <c r="M312" t="s">
        <v>22</v>
      </c>
      <c r="N312" t="s">
        <v>32</v>
      </c>
      <c r="O312" t="s">
        <v>39</v>
      </c>
      <c r="P312" t="s">
        <v>25</v>
      </c>
    </row>
    <row r="313" spans="1:16" x14ac:dyDescent="0.25">
      <c r="A313" s="1">
        <v>45679</v>
      </c>
      <c r="B313" t="s">
        <v>201</v>
      </c>
      <c r="C313">
        <v>86253</v>
      </c>
      <c r="D313" t="s">
        <v>46</v>
      </c>
      <c r="E313">
        <v>25</v>
      </c>
      <c r="F313">
        <v>19.27</v>
      </c>
      <c r="G313" t="s">
        <v>28</v>
      </c>
      <c r="H313">
        <v>0.28999999999999998</v>
      </c>
      <c r="I313" t="s">
        <v>61</v>
      </c>
      <c r="J313">
        <v>7.24</v>
      </c>
      <c r="K313" t="s">
        <v>20</v>
      </c>
      <c r="L313" t="s">
        <v>31</v>
      </c>
      <c r="M313" t="s">
        <v>22</v>
      </c>
      <c r="N313" t="s">
        <v>23</v>
      </c>
      <c r="O313" t="s">
        <v>81</v>
      </c>
      <c r="P313" t="s">
        <v>34</v>
      </c>
    </row>
    <row r="314" spans="1:16" x14ac:dyDescent="0.25">
      <c r="A314" s="1">
        <v>45679</v>
      </c>
      <c r="B314" t="s">
        <v>332</v>
      </c>
      <c r="C314">
        <v>97317</v>
      </c>
      <c r="D314" t="s">
        <v>42</v>
      </c>
      <c r="E314">
        <v>45</v>
      </c>
      <c r="F314">
        <v>20.91</v>
      </c>
      <c r="G314" t="s">
        <v>76</v>
      </c>
      <c r="H314">
        <v>0.41</v>
      </c>
      <c r="I314" t="s">
        <v>61</v>
      </c>
      <c r="J314">
        <v>6.33</v>
      </c>
      <c r="K314" t="s">
        <v>44</v>
      </c>
      <c r="L314" t="s">
        <v>21</v>
      </c>
      <c r="M314" t="s">
        <v>22</v>
      </c>
      <c r="N314" t="s">
        <v>53</v>
      </c>
      <c r="O314" t="s">
        <v>59</v>
      </c>
      <c r="P314" t="s">
        <v>25</v>
      </c>
    </row>
    <row r="315" spans="1:16" x14ac:dyDescent="0.25">
      <c r="A315" s="1">
        <v>45679</v>
      </c>
      <c r="B315" t="s">
        <v>160</v>
      </c>
      <c r="C315">
        <v>36892</v>
      </c>
      <c r="D315" t="s">
        <v>89</v>
      </c>
      <c r="E315">
        <v>11</v>
      </c>
      <c r="G315" t="s">
        <v>47</v>
      </c>
      <c r="H315">
        <v>0.42</v>
      </c>
      <c r="I315" t="s">
        <v>19</v>
      </c>
      <c r="J315">
        <v>11.66</v>
      </c>
      <c r="K315" t="s">
        <v>20</v>
      </c>
      <c r="L315" t="s">
        <v>31</v>
      </c>
      <c r="M315" t="s">
        <v>22</v>
      </c>
      <c r="N315" t="s">
        <v>32</v>
      </c>
      <c r="O315" t="s">
        <v>24</v>
      </c>
      <c r="P315" t="s">
        <v>25</v>
      </c>
    </row>
    <row r="316" spans="1:16" x14ac:dyDescent="0.25">
      <c r="A316" s="1">
        <v>45679</v>
      </c>
      <c r="B316" t="s">
        <v>333</v>
      </c>
      <c r="C316">
        <v>57277</v>
      </c>
      <c r="D316" t="s">
        <v>66</v>
      </c>
      <c r="E316">
        <v>44</v>
      </c>
      <c r="F316">
        <v>99.94</v>
      </c>
      <c r="G316" t="s">
        <v>52</v>
      </c>
      <c r="H316">
        <v>0.33</v>
      </c>
      <c r="I316" t="s">
        <v>19</v>
      </c>
      <c r="J316">
        <v>25.94</v>
      </c>
      <c r="K316" t="s">
        <v>30</v>
      </c>
      <c r="L316" t="s">
        <v>21</v>
      </c>
      <c r="M316" t="s">
        <v>22</v>
      </c>
      <c r="N316" t="s">
        <v>32</v>
      </c>
      <c r="O316" t="s">
        <v>59</v>
      </c>
      <c r="P316" t="s">
        <v>25</v>
      </c>
    </row>
    <row r="317" spans="1:16" x14ac:dyDescent="0.25">
      <c r="A317" s="1">
        <v>45679</v>
      </c>
      <c r="B317" t="s">
        <v>334</v>
      </c>
      <c r="C317">
        <v>13390</v>
      </c>
      <c r="D317" t="s">
        <v>89</v>
      </c>
      <c r="E317">
        <v>24</v>
      </c>
      <c r="F317">
        <v>14.89</v>
      </c>
      <c r="G317" t="s">
        <v>72</v>
      </c>
      <c r="H317">
        <v>0.19</v>
      </c>
      <c r="I317" t="s">
        <v>29</v>
      </c>
      <c r="J317">
        <v>7.84</v>
      </c>
      <c r="K317" t="s">
        <v>20</v>
      </c>
      <c r="L317" t="s">
        <v>21</v>
      </c>
      <c r="M317" t="s">
        <v>22</v>
      </c>
      <c r="N317" t="s">
        <v>38</v>
      </c>
      <c r="O317" t="s">
        <v>59</v>
      </c>
      <c r="P317" t="s">
        <v>40</v>
      </c>
    </row>
    <row r="318" spans="1:16" x14ac:dyDescent="0.25">
      <c r="A318" s="1">
        <v>45679</v>
      </c>
      <c r="B318" t="s">
        <v>335</v>
      </c>
      <c r="C318">
        <v>47655</v>
      </c>
      <c r="D318" t="s">
        <v>46</v>
      </c>
      <c r="E318">
        <v>37</v>
      </c>
      <c r="F318">
        <v>8.94</v>
      </c>
      <c r="G318" t="s">
        <v>52</v>
      </c>
      <c r="H318">
        <v>0.49</v>
      </c>
      <c r="I318" t="s">
        <v>61</v>
      </c>
      <c r="J318">
        <v>11.96</v>
      </c>
      <c r="K318" t="s">
        <v>37</v>
      </c>
      <c r="L318" t="s">
        <v>21</v>
      </c>
      <c r="N318" t="s">
        <v>38</v>
      </c>
      <c r="O318" t="s">
        <v>59</v>
      </c>
      <c r="P318" t="s">
        <v>34</v>
      </c>
    </row>
    <row r="319" spans="1:16" x14ac:dyDescent="0.25">
      <c r="A319" s="1">
        <v>45679</v>
      </c>
      <c r="B319" t="s">
        <v>336</v>
      </c>
      <c r="C319">
        <v>57746</v>
      </c>
      <c r="D319" t="s">
        <v>68</v>
      </c>
      <c r="E319">
        <v>42</v>
      </c>
      <c r="F319">
        <v>79.45</v>
      </c>
      <c r="G319" t="s">
        <v>84</v>
      </c>
      <c r="H319">
        <v>0.06</v>
      </c>
      <c r="I319" t="s">
        <v>19</v>
      </c>
      <c r="J319">
        <v>14.77</v>
      </c>
      <c r="K319" t="s">
        <v>50</v>
      </c>
      <c r="L319" t="s">
        <v>21</v>
      </c>
      <c r="M319" t="s">
        <v>22</v>
      </c>
      <c r="N319" t="s">
        <v>23</v>
      </c>
      <c r="O319" t="s">
        <v>59</v>
      </c>
      <c r="P319" t="s">
        <v>34</v>
      </c>
    </row>
    <row r="320" spans="1:16" x14ac:dyDescent="0.25">
      <c r="A320" s="1">
        <v>45680</v>
      </c>
      <c r="B320" t="s">
        <v>337</v>
      </c>
      <c r="C320">
        <v>77619</v>
      </c>
      <c r="D320" t="s">
        <v>89</v>
      </c>
      <c r="E320">
        <v>19</v>
      </c>
      <c r="F320">
        <v>79.94</v>
      </c>
      <c r="G320" t="s">
        <v>72</v>
      </c>
      <c r="H320">
        <v>0.43</v>
      </c>
      <c r="I320" t="s">
        <v>61</v>
      </c>
      <c r="J320">
        <v>12.89</v>
      </c>
      <c r="K320" t="s">
        <v>50</v>
      </c>
      <c r="L320" t="s">
        <v>21</v>
      </c>
      <c r="M320" t="s">
        <v>22</v>
      </c>
      <c r="N320" t="s">
        <v>38</v>
      </c>
      <c r="O320" t="s">
        <v>39</v>
      </c>
      <c r="P320" t="s">
        <v>34</v>
      </c>
    </row>
    <row r="321" spans="1:16" x14ac:dyDescent="0.25">
      <c r="A321" s="1">
        <v>45680</v>
      </c>
      <c r="B321" t="s">
        <v>266</v>
      </c>
      <c r="C321">
        <v>75815</v>
      </c>
      <c r="D321" t="s">
        <v>17</v>
      </c>
      <c r="E321">
        <v>27</v>
      </c>
      <c r="F321">
        <v>9.49</v>
      </c>
      <c r="G321" t="s">
        <v>36</v>
      </c>
      <c r="H321">
        <v>0.05</v>
      </c>
      <c r="I321" t="s">
        <v>19</v>
      </c>
      <c r="J321">
        <v>21.83</v>
      </c>
      <c r="K321" t="s">
        <v>37</v>
      </c>
      <c r="L321" t="s">
        <v>21</v>
      </c>
      <c r="M321" t="s">
        <v>22</v>
      </c>
      <c r="N321" t="s">
        <v>23</v>
      </c>
      <c r="O321" t="s">
        <v>24</v>
      </c>
      <c r="P321" t="s">
        <v>25</v>
      </c>
    </row>
    <row r="322" spans="1:16" x14ac:dyDescent="0.25">
      <c r="A322" s="1">
        <v>45680</v>
      </c>
      <c r="B322" t="s">
        <v>338</v>
      </c>
      <c r="C322">
        <v>71554</v>
      </c>
      <c r="D322" t="s">
        <v>17</v>
      </c>
      <c r="E322">
        <v>43</v>
      </c>
      <c r="F322">
        <v>82.53</v>
      </c>
      <c r="G322" t="s">
        <v>99</v>
      </c>
      <c r="H322">
        <v>0.43</v>
      </c>
      <c r="I322" t="s">
        <v>19</v>
      </c>
      <c r="J322">
        <v>29.68</v>
      </c>
      <c r="K322" t="s">
        <v>44</v>
      </c>
      <c r="L322" t="s">
        <v>31</v>
      </c>
      <c r="M322" t="s">
        <v>22</v>
      </c>
      <c r="N322" t="s">
        <v>38</v>
      </c>
      <c r="O322" t="s">
        <v>24</v>
      </c>
      <c r="P322" t="s">
        <v>25</v>
      </c>
    </row>
    <row r="323" spans="1:16" x14ac:dyDescent="0.25">
      <c r="A323" s="1">
        <v>45680</v>
      </c>
      <c r="B323" t="s">
        <v>339</v>
      </c>
      <c r="C323">
        <v>25936</v>
      </c>
      <c r="D323" t="s">
        <v>57</v>
      </c>
      <c r="E323">
        <v>2</v>
      </c>
      <c r="F323">
        <v>77.459999999999994</v>
      </c>
      <c r="G323" t="s">
        <v>28</v>
      </c>
      <c r="H323">
        <v>0.05</v>
      </c>
      <c r="I323" t="s">
        <v>19</v>
      </c>
      <c r="J323">
        <v>13.74</v>
      </c>
      <c r="K323" t="s">
        <v>44</v>
      </c>
      <c r="L323" t="s">
        <v>31</v>
      </c>
      <c r="M323" t="s">
        <v>22</v>
      </c>
      <c r="N323" t="s">
        <v>32</v>
      </c>
      <c r="O323" t="s">
        <v>24</v>
      </c>
      <c r="P323" t="s">
        <v>25</v>
      </c>
    </row>
    <row r="324" spans="1:16" x14ac:dyDescent="0.25">
      <c r="A324" s="1">
        <v>45680</v>
      </c>
      <c r="B324" t="s">
        <v>152</v>
      </c>
      <c r="C324">
        <v>14921</v>
      </c>
      <c r="D324" t="s">
        <v>68</v>
      </c>
      <c r="E324">
        <v>18</v>
      </c>
      <c r="F324">
        <v>59.33</v>
      </c>
      <c r="G324" t="s">
        <v>47</v>
      </c>
      <c r="H324">
        <v>0.13</v>
      </c>
      <c r="I324" t="s">
        <v>19</v>
      </c>
      <c r="J324">
        <v>27.24</v>
      </c>
      <c r="K324" t="s">
        <v>44</v>
      </c>
      <c r="L324" t="s">
        <v>21</v>
      </c>
      <c r="M324" t="s">
        <v>22</v>
      </c>
      <c r="N324" t="s">
        <v>23</v>
      </c>
      <c r="O324" t="s">
        <v>81</v>
      </c>
      <c r="P324" t="s">
        <v>25</v>
      </c>
    </row>
    <row r="325" spans="1:16" x14ac:dyDescent="0.25">
      <c r="A325" s="1">
        <v>45680</v>
      </c>
      <c r="B325" t="s">
        <v>340</v>
      </c>
      <c r="C325">
        <v>41650</v>
      </c>
      <c r="D325" t="s">
        <v>49</v>
      </c>
      <c r="E325">
        <v>33</v>
      </c>
      <c r="F325">
        <v>40.340000000000003</v>
      </c>
      <c r="G325" t="s">
        <v>55</v>
      </c>
      <c r="H325">
        <v>0.49</v>
      </c>
      <c r="I325" t="s">
        <v>19</v>
      </c>
      <c r="J325">
        <v>14.14</v>
      </c>
      <c r="K325" t="s">
        <v>30</v>
      </c>
      <c r="L325" t="s">
        <v>21</v>
      </c>
      <c r="M325" t="s">
        <v>22</v>
      </c>
      <c r="N325" t="s">
        <v>38</v>
      </c>
      <c r="O325" t="s">
        <v>33</v>
      </c>
      <c r="P325" t="s">
        <v>40</v>
      </c>
    </row>
    <row r="326" spans="1:16" x14ac:dyDescent="0.25">
      <c r="A326" s="1">
        <v>45680</v>
      </c>
      <c r="B326" t="s">
        <v>341</v>
      </c>
      <c r="C326">
        <v>67749</v>
      </c>
      <c r="D326" t="s">
        <v>66</v>
      </c>
      <c r="E326">
        <v>2</v>
      </c>
      <c r="F326">
        <v>84.15</v>
      </c>
      <c r="G326" t="s">
        <v>52</v>
      </c>
      <c r="H326">
        <v>0.34</v>
      </c>
      <c r="I326" t="s">
        <v>19</v>
      </c>
      <c r="J326">
        <v>23.73</v>
      </c>
      <c r="K326" t="s">
        <v>44</v>
      </c>
      <c r="L326" t="s">
        <v>21</v>
      </c>
      <c r="M326" t="s">
        <v>22</v>
      </c>
      <c r="N326" t="s">
        <v>23</v>
      </c>
      <c r="O326" t="s">
        <v>81</v>
      </c>
      <c r="P326" t="s">
        <v>25</v>
      </c>
    </row>
    <row r="327" spans="1:16" x14ac:dyDescent="0.25">
      <c r="A327" s="1">
        <v>45680</v>
      </c>
      <c r="B327" t="s">
        <v>135</v>
      </c>
      <c r="C327">
        <v>62456</v>
      </c>
      <c r="D327" t="s">
        <v>49</v>
      </c>
      <c r="F327">
        <v>24.23</v>
      </c>
      <c r="G327" t="s">
        <v>28</v>
      </c>
      <c r="H327">
        <v>7.0000000000000007E-2</v>
      </c>
      <c r="I327" t="s">
        <v>29</v>
      </c>
      <c r="J327">
        <v>27.93</v>
      </c>
      <c r="K327" t="s">
        <v>20</v>
      </c>
      <c r="L327" t="s">
        <v>31</v>
      </c>
      <c r="M327" t="s">
        <v>22</v>
      </c>
      <c r="N327" t="s">
        <v>53</v>
      </c>
      <c r="O327" t="s">
        <v>24</v>
      </c>
      <c r="P327" t="s">
        <v>25</v>
      </c>
    </row>
    <row r="328" spans="1:16" x14ac:dyDescent="0.25">
      <c r="A328" s="1">
        <v>45680</v>
      </c>
      <c r="B328" t="s">
        <v>342</v>
      </c>
      <c r="C328">
        <v>37615</v>
      </c>
      <c r="D328" t="s">
        <v>27</v>
      </c>
      <c r="E328">
        <v>5</v>
      </c>
      <c r="F328">
        <v>82.85</v>
      </c>
      <c r="G328" t="s">
        <v>36</v>
      </c>
      <c r="H328">
        <v>0.23</v>
      </c>
      <c r="I328" t="s">
        <v>61</v>
      </c>
      <c r="J328">
        <v>15</v>
      </c>
      <c r="K328" t="s">
        <v>50</v>
      </c>
      <c r="L328" t="s">
        <v>31</v>
      </c>
      <c r="M328" t="s">
        <v>111</v>
      </c>
      <c r="N328" t="s">
        <v>53</v>
      </c>
      <c r="O328" t="s">
        <v>81</v>
      </c>
      <c r="P328" t="s">
        <v>25</v>
      </c>
    </row>
    <row r="329" spans="1:16" x14ac:dyDescent="0.25">
      <c r="A329" s="1">
        <v>45680</v>
      </c>
      <c r="B329" t="s">
        <v>324</v>
      </c>
      <c r="C329">
        <v>59991</v>
      </c>
      <c r="D329" t="s">
        <v>70</v>
      </c>
      <c r="E329">
        <v>46</v>
      </c>
      <c r="F329">
        <v>65.930000000000007</v>
      </c>
      <c r="G329" t="s">
        <v>58</v>
      </c>
      <c r="H329">
        <v>0.13</v>
      </c>
      <c r="I329" t="s">
        <v>19</v>
      </c>
      <c r="J329">
        <v>10.7</v>
      </c>
      <c r="K329" t="s">
        <v>44</v>
      </c>
      <c r="L329" t="s">
        <v>31</v>
      </c>
      <c r="M329" t="s">
        <v>22</v>
      </c>
      <c r="N329" t="s">
        <v>23</v>
      </c>
      <c r="O329" t="s">
        <v>24</v>
      </c>
    </row>
    <row r="330" spans="1:16" x14ac:dyDescent="0.25">
      <c r="A330" s="1">
        <v>45680</v>
      </c>
      <c r="B330" t="s">
        <v>343</v>
      </c>
      <c r="C330">
        <v>72138</v>
      </c>
      <c r="D330" t="s">
        <v>42</v>
      </c>
      <c r="E330">
        <v>41</v>
      </c>
      <c r="F330">
        <v>37.1</v>
      </c>
      <c r="G330" t="s">
        <v>72</v>
      </c>
      <c r="H330">
        <v>0.08</v>
      </c>
      <c r="I330" t="s">
        <v>29</v>
      </c>
      <c r="J330">
        <v>22.46</v>
      </c>
      <c r="K330" t="s">
        <v>37</v>
      </c>
      <c r="L330" t="s">
        <v>31</v>
      </c>
      <c r="M330" t="s">
        <v>22</v>
      </c>
      <c r="N330" t="s">
        <v>23</v>
      </c>
      <c r="O330" t="s">
        <v>33</v>
      </c>
      <c r="P330" t="s">
        <v>34</v>
      </c>
    </row>
    <row r="331" spans="1:16" x14ac:dyDescent="0.25">
      <c r="A331" s="1">
        <v>45680</v>
      </c>
      <c r="B331" t="s">
        <v>344</v>
      </c>
      <c r="C331">
        <v>77423</v>
      </c>
      <c r="D331" t="s">
        <v>46</v>
      </c>
      <c r="E331">
        <v>35</v>
      </c>
      <c r="F331">
        <v>78.3</v>
      </c>
      <c r="G331" t="s">
        <v>43</v>
      </c>
      <c r="H331">
        <v>0.12</v>
      </c>
      <c r="I331" t="s">
        <v>61</v>
      </c>
      <c r="J331">
        <v>21.3</v>
      </c>
      <c r="K331" t="s">
        <v>50</v>
      </c>
      <c r="L331" t="s">
        <v>31</v>
      </c>
      <c r="M331" t="s">
        <v>22</v>
      </c>
      <c r="N331" t="s">
        <v>32</v>
      </c>
      <c r="O331" t="s">
        <v>24</v>
      </c>
      <c r="P331" t="s">
        <v>34</v>
      </c>
    </row>
    <row r="332" spans="1:16" x14ac:dyDescent="0.25">
      <c r="A332" s="1">
        <v>45680</v>
      </c>
      <c r="B332" t="s">
        <v>147</v>
      </c>
      <c r="C332">
        <v>91658</v>
      </c>
      <c r="D332" t="s">
        <v>42</v>
      </c>
      <c r="E332">
        <v>24</v>
      </c>
      <c r="F332">
        <v>84.63</v>
      </c>
      <c r="G332" t="s">
        <v>76</v>
      </c>
      <c r="H332">
        <v>0.2</v>
      </c>
      <c r="I332" t="s">
        <v>61</v>
      </c>
      <c r="J332">
        <v>5.54</v>
      </c>
      <c r="K332" t="s">
        <v>20</v>
      </c>
      <c r="L332" t="s">
        <v>31</v>
      </c>
      <c r="M332" t="s">
        <v>22</v>
      </c>
      <c r="N332" t="s">
        <v>38</v>
      </c>
      <c r="O332" t="s">
        <v>59</v>
      </c>
      <c r="P332" t="s">
        <v>25</v>
      </c>
    </row>
    <row r="333" spans="1:16" x14ac:dyDescent="0.25">
      <c r="A333" s="1">
        <v>45680</v>
      </c>
      <c r="B333" t="s">
        <v>345</v>
      </c>
      <c r="C333">
        <v>19210</v>
      </c>
      <c r="D333" t="s">
        <v>17</v>
      </c>
      <c r="E333">
        <v>18</v>
      </c>
      <c r="F333">
        <v>6.19</v>
      </c>
      <c r="G333" t="s">
        <v>28</v>
      </c>
      <c r="H333">
        <v>0.15</v>
      </c>
      <c r="I333" t="s">
        <v>19</v>
      </c>
      <c r="J333">
        <v>12.65</v>
      </c>
      <c r="K333" t="s">
        <v>30</v>
      </c>
      <c r="L333" t="s">
        <v>21</v>
      </c>
      <c r="M333" t="s">
        <v>22</v>
      </c>
      <c r="N333" t="s">
        <v>23</v>
      </c>
      <c r="O333" t="s">
        <v>59</v>
      </c>
      <c r="P333" t="s">
        <v>25</v>
      </c>
    </row>
    <row r="334" spans="1:16" x14ac:dyDescent="0.25">
      <c r="A334" s="1">
        <v>45680</v>
      </c>
      <c r="B334" t="s">
        <v>346</v>
      </c>
      <c r="C334">
        <v>94635</v>
      </c>
      <c r="D334" t="s">
        <v>49</v>
      </c>
      <c r="E334">
        <v>12</v>
      </c>
      <c r="F334">
        <v>24.21</v>
      </c>
      <c r="G334" t="s">
        <v>18</v>
      </c>
      <c r="H334">
        <v>0.34</v>
      </c>
      <c r="I334" t="s">
        <v>19</v>
      </c>
      <c r="J334">
        <v>16.46</v>
      </c>
      <c r="K334" t="s">
        <v>50</v>
      </c>
      <c r="L334" t="s">
        <v>21</v>
      </c>
      <c r="M334" t="s">
        <v>22</v>
      </c>
      <c r="N334" t="s">
        <v>53</v>
      </c>
      <c r="O334" t="s">
        <v>39</v>
      </c>
      <c r="P334" t="s">
        <v>25</v>
      </c>
    </row>
    <row r="335" spans="1:16" x14ac:dyDescent="0.25">
      <c r="A335" s="1">
        <v>45680</v>
      </c>
      <c r="B335" t="s">
        <v>253</v>
      </c>
      <c r="C335">
        <v>32062</v>
      </c>
      <c r="D335" t="s">
        <v>89</v>
      </c>
      <c r="E335">
        <v>8</v>
      </c>
      <c r="F335">
        <v>40.72</v>
      </c>
      <c r="G335" t="s">
        <v>43</v>
      </c>
      <c r="H335">
        <v>0.18</v>
      </c>
      <c r="I335" t="s">
        <v>61</v>
      </c>
      <c r="J335">
        <v>19.82</v>
      </c>
      <c r="K335" t="s">
        <v>44</v>
      </c>
      <c r="L335" t="s">
        <v>31</v>
      </c>
      <c r="M335" t="s">
        <v>22</v>
      </c>
      <c r="N335" t="s">
        <v>32</v>
      </c>
      <c r="O335" t="s">
        <v>59</v>
      </c>
      <c r="P335" t="s">
        <v>34</v>
      </c>
    </row>
    <row r="336" spans="1:16" x14ac:dyDescent="0.25">
      <c r="A336" s="1">
        <v>45680</v>
      </c>
      <c r="B336" t="s">
        <v>347</v>
      </c>
      <c r="C336">
        <v>34864</v>
      </c>
      <c r="D336" t="s">
        <v>68</v>
      </c>
      <c r="E336">
        <v>1</v>
      </c>
      <c r="F336">
        <v>95.33</v>
      </c>
      <c r="G336" t="s">
        <v>47</v>
      </c>
      <c r="H336">
        <v>0.47</v>
      </c>
      <c r="I336" t="s">
        <v>19</v>
      </c>
      <c r="J336">
        <v>13.51</v>
      </c>
      <c r="K336" t="s">
        <v>20</v>
      </c>
      <c r="L336" t="s">
        <v>21</v>
      </c>
      <c r="M336" t="s">
        <v>22</v>
      </c>
      <c r="N336" t="s">
        <v>23</v>
      </c>
      <c r="O336" t="s">
        <v>24</v>
      </c>
      <c r="P336" t="s">
        <v>40</v>
      </c>
    </row>
    <row r="337" spans="1:16" x14ac:dyDescent="0.25">
      <c r="A337" s="1">
        <v>45680</v>
      </c>
      <c r="B337" t="s">
        <v>110</v>
      </c>
      <c r="C337">
        <v>76934</v>
      </c>
      <c r="D337" t="s">
        <v>17</v>
      </c>
      <c r="E337">
        <v>31</v>
      </c>
      <c r="F337">
        <v>43.81</v>
      </c>
      <c r="G337" t="s">
        <v>76</v>
      </c>
      <c r="H337">
        <v>0.35</v>
      </c>
      <c r="I337" t="s">
        <v>19</v>
      </c>
      <c r="J337">
        <v>7.23</v>
      </c>
      <c r="K337" t="s">
        <v>30</v>
      </c>
      <c r="L337" t="s">
        <v>31</v>
      </c>
      <c r="M337" t="s">
        <v>22</v>
      </c>
      <c r="N337" t="s">
        <v>38</v>
      </c>
      <c r="O337" t="s">
        <v>39</v>
      </c>
      <c r="P337" t="s">
        <v>40</v>
      </c>
    </row>
    <row r="338" spans="1:16" x14ac:dyDescent="0.25">
      <c r="A338" s="1">
        <v>45680</v>
      </c>
      <c r="B338" t="s">
        <v>348</v>
      </c>
      <c r="C338">
        <v>66110</v>
      </c>
      <c r="D338" t="s">
        <v>42</v>
      </c>
      <c r="E338">
        <v>26</v>
      </c>
      <c r="F338">
        <v>18.47</v>
      </c>
      <c r="G338" t="s">
        <v>52</v>
      </c>
      <c r="H338">
        <v>0.32</v>
      </c>
      <c r="I338" t="s">
        <v>29</v>
      </c>
      <c r="J338">
        <v>17.66</v>
      </c>
      <c r="K338" t="s">
        <v>50</v>
      </c>
      <c r="L338" t="s">
        <v>21</v>
      </c>
      <c r="M338" t="s">
        <v>22</v>
      </c>
      <c r="N338" t="s">
        <v>53</v>
      </c>
      <c r="O338" t="s">
        <v>39</v>
      </c>
      <c r="P338" t="s">
        <v>25</v>
      </c>
    </row>
    <row r="339" spans="1:16" x14ac:dyDescent="0.25">
      <c r="A339" s="1">
        <v>45680</v>
      </c>
      <c r="B339" t="s">
        <v>349</v>
      </c>
      <c r="C339">
        <v>48605</v>
      </c>
      <c r="D339" t="s">
        <v>27</v>
      </c>
      <c r="E339">
        <v>35</v>
      </c>
      <c r="F339">
        <v>71.150000000000006</v>
      </c>
      <c r="G339" t="s">
        <v>58</v>
      </c>
      <c r="H339">
        <v>0.26</v>
      </c>
      <c r="I339" t="s">
        <v>19</v>
      </c>
      <c r="J339">
        <v>5.93</v>
      </c>
      <c r="K339" t="s">
        <v>44</v>
      </c>
      <c r="L339" t="s">
        <v>31</v>
      </c>
      <c r="N339" t="s">
        <v>32</v>
      </c>
      <c r="O339" t="s">
        <v>39</v>
      </c>
      <c r="P339" t="s">
        <v>34</v>
      </c>
    </row>
    <row r="340" spans="1:16" x14ac:dyDescent="0.25">
      <c r="A340" s="1">
        <v>45680</v>
      </c>
      <c r="B340" t="s">
        <v>350</v>
      </c>
      <c r="C340">
        <v>57620</v>
      </c>
      <c r="D340" t="s">
        <v>17</v>
      </c>
      <c r="E340">
        <v>17</v>
      </c>
      <c r="F340">
        <v>56.33</v>
      </c>
      <c r="G340" t="s">
        <v>76</v>
      </c>
      <c r="H340">
        <v>0.44</v>
      </c>
      <c r="I340" t="s">
        <v>19</v>
      </c>
      <c r="J340">
        <v>14.12</v>
      </c>
      <c r="K340" t="s">
        <v>37</v>
      </c>
      <c r="L340" t="s">
        <v>31</v>
      </c>
      <c r="M340" t="s">
        <v>22</v>
      </c>
      <c r="N340" t="s">
        <v>53</v>
      </c>
      <c r="O340" t="s">
        <v>33</v>
      </c>
      <c r="P340" t="s">
        <v>34</v>
      </c>
    </row>
    <row r="341" spans="1:16" x14ac:dyDescent="0.25">
      <c r="A341" s="1">
        <v>45681</v>
      </c>
      <c r="B341" t="s">
        <v>351</v>
      </c>
      <c r="C341">
        <v>34059</v>
      </c>
      <c r="D341" t="s">
        <v>70</v>
      </c>
      <c r="E341">
        <v>27</v>
      </c>
      <c r="F341">
        <v>94.45</v>
      </c>
      <c r="G341" t="s">
        <v>99</v>
      </c>
      <c r="H341">
        <v>0.02</v>
      </c>
      <c r="I341" t="s">
        <v>61</v>
      </c>
      <c r="J341">
        <v>28.33</v>
      </c>
      <c r="K341" t="s">
        <v>44</v>
      </c>
      <c r="L341" t="s">
        <v>31</v>
      </c>
      <c r="M341" t="s">
        <v>22</v>
      </c>
      <c r="N341" t="s">
        <v>38</v>
      </c>
      <c r="O341" t="s">
        <v>33</v>
      </c>
      <c r="P341" t="s">
        <v>34</v>
      </c>
    </row>
    <row r="342" spans="1:16" x14ac:dyDescent="0.25">
      <c r="A342" s="1">
        <v>45681</v>
      </c>
      <c r="B342" t="s">
        <v>352</v>
      </c>
      <c r="C342">
        <v>15329</v>
      </c>
      <c r="D342" t="s">
        <v>42</v>
      </c>
      <c r="E342">
        <v>20</v>
      </c>
      <c r="F342">
        <v>48.63</v>
      </c>
      <c r="G342" t="s">
        <v>36</v>
      </c>
      <c r="H342">
        <v>0.24</v>
      </c>
      <c r="I342" t="s">
        <v>19</v>
      </c>
      <c r="J342">
        <v>5.72</v>
      </c>
      <c r="K342" t="s">
        <v>37</v>
      </c>
      <c r="L342" t="s">
        <v>21</v>
      </c>
      <c r="M342" t="s">
        <v>22</v>
      </c>
      <c r="N342" t="s">
        <v>53</v>
      </c>
      <c r="O342" t="s">
        <v>33</v>
      </c>
      <c r="P342" t="s">
        <v>40</v>
      </c>
    </row>
    <row r="343" spans="1:16" x14ac:dyDescent="0.25">
      <c r="A343" s="1">
        <v>45681</v>
      </c>
      <c r="B343" t="s">
        <v>353</v>
      </c>
      <c r="C343">
        <v>18886</v>
      </c>
      <c r="D343" t="s">
        <v>89</v>
      </c>
      <c r="E343">
        <v>40</v>
      </c>
      <c r="F343">
        <v>26.06</v>
      </c>
      <c r="G343" t="s">
        <v>28</v>
      </c>
      <c r="H343">
        <v>0.28000000000000003</v>
      </c>
      <c r="I343" t="s">
        <v>29</v>
      </c>
      <c r="J343">
        <v>27.62</v>
      </c>
      <c r="K343" t="s">
        <v>44</v>
      </c>
      <c r="L343" t="s">
        <v>21</v>
      </c>
      <c r="M343" t="s">
        <v>22</v>
      </c>
      <c r="N343" t="s">
        <v>53</v>
      </c>
      <c r="O343" t="s">
        <v>39</v>
      </c>
      <c r="P343" t="s">
        <v>25</v>
      </c>
    </row>
    <row r="344" spans="1:16" x14ac:dyDescent="0.25">
      <c r="A344" s="1">
        <v>45681</v>
      </c>
      <c r="B344" t="s">
        <v>345</v>
      </c>
      <c r="C344">
        <v>72759</v>
      </c>
      <c r="D344" t="s">
        <v>57</v>
      </c>
      <c r="E344">
        <v>28</v>
      </c>
      <c r="F344">
        <v>20.440000000000001</v>
      </c>
      <c r="G344" t="s">
        <v>58</v>
      </c>
      <c r="H344">
        <v>0.32</v>
      </c>
      <c r="I344" t="s">
        <v>29</v>
      </c>
      <c r="J344">
        <v>14.3</v>
      </c>
      <c r="K344" t="s">
        <v>44</v>
      </c>
      <c r="L344" t="s">
        <v>31</v>
      </c>
      <c r="M344" t="s">
        <v>22</v>
      </c>
      <c r="N344" t="s">
        <v>32</v>
      </c>
      <c r="O344" t="s">
        <v>59</v>
      </c>
      <c r="P344" t="s">
        <v>34</v>
      </c>
    </row>
    <row r="345" spans="1:16" x14ac:dyDescent="0.25">
      <c r="A345" s="1">
        <v>45681</v>
      </c>
      <c r="B345" t="s">
        <v>354</v>
      </c>
      <c r="C345">
        <v>77971</v>
      </c>
      <c r="D345" t="s">
        <v>70</v>
      </c>
      <c r="E345">
        <v>43</v>
      </c>
      <c r="F345">
        <v>47.74</v>
      </c>
      <c r="G345" t="s">
        <v>52</v>
      </c>
      <c r="H345">
        <v>0.43</v>
      </c>
      <c r="I345" t="s">
        <v>29</v>
      </c>
      <c r="J345">
        <v>20.84</v>
      </c>
      <c r="K345" t="s">
        <v>44</v>
      </c>
      <c r="L345" t="s">
        <v>31</v>
      </c>
      <c r="M345" t="s">
        <v>22</v>
      </c>
      <c r="N345" t="s">
        <v>23</v>
      </c>
      <c r="O345" t="s">
        <v>59</v>
      </c>
      <c r="P345" t="s">
        <v>40</v>
      </c>
    </row>
    <row r="346" spans="1:16" x14ac:dyDescent="0.25">
      <c r="A346" s="1">
        <v>45681</v>
      </c>
      <c r="B346" t="s">
        <v>355</v>
      </c>
      <c r="C346">
        <v>43120</v>
      </c>
      <c r="D346" t="s">
        <v>57</v>
      </c>
      <c r="E346">
        <v>46</v>
      </c>
      <c r="F346">
        <v>38.770000000000003</v>
      </c>
      <c r="G346" t="s">
        <v>47</v>
      </c>
      <c r="H346">
        <v>0.09</v>
      </c>
      <c r="I346" t="s">
        <v>19</v>
      </c>
      <c r="J346">
        <v>21.97</v>
      </c>
      <c r="K346" t="s">
        <v>30</v>
      </c>
      <c r="L346" t="s">
        <v>21</v>
      </c>
      <c r="M346" t="s">
        <v>111</v>
      </c>
      <c r="N346" t="s">
        <v>38</v>
      </c>
      <c r="O346" t="s">
        <v>24</v>
      </c>
      <c r="P346" t="s">
        <v>25</v>
      </c>
    </row>
    <row r="347" spans="1:16" x14ac:dyDescent="0.25">
      <c r="A347" s="1">
        <v>45681</v>
      </c>
      <c r="B347" t="s">
        <v>356</v>
      </c>
      <c r="C347">
        <v>83268</v>
      </c>
      <c r="D347" t="s">
        <v>70</v>
      </c>
      <c r="E347">
        <v>12</v>
      </c>
      <c r="F347">
        <v>87.11</v>
      </c>
      <c r="G347" t="s">
        <v>99</v>
      </c>
      <c r="H347">
        <v>0.12</v>
      </c>
      <c r="I347" t="s">
        <v>61</v>
      </c>
      <c r="J347">
        <v>25.86</v>
      </c>
      <c r="K347" t="s">
        <v>30</v>
      </c>
      <c r="L347" t="s">
        <v>31</v>
      </c>
      <c r="M347" t="s">
        <v>22</v>
      </c>
      <c r="N347" t="s">
        <v>53</v>
      </c>
      <c r="O347" t="s">
        <v>33</v>
      </c>
      <c r="P347" t="s">
        <v>25</v>
      </c>
    </row>
    <row r="348" spans="1:16" x14ac:dyDescent="0.25">
      <c r="A348" s="1">
        <v>45681</v>
      </c>
      <c r="B348" t="s">
        <v>357</v>
      </c>
      <c r="C348">
        <v>18167</v>
      </c>
      <c r="D348" t="s">
        <v>57</v>
      </c>
      <c r="E348">
        <v>5</v>
      </c>
      <c r="F348">
        <v>58.6</v>
      </c>
      <c r="G348" t="s">
        <v>18</v>
      </c>
      <c r="H348">
        <v>0.02</v>
      </c>
      <c r="I348" t="s">
        <v>29</v>
      </c>
      <c r="J348">
        <v>7.25</v>
      </c>
      <c r="K348" t="s">
        <v>30</v>
      </c>
      <c r="L348" t="s">
        <v>21</v>
      </c>
      <c r="M348" t="s">
        <v>111</v>
      </c>
      <c r="N348" t="s">
        <v>23</v>
      </c>
      <c r="O348" t="s">
        <v>33</v>
      </c>
      <c r="P348" t="s">
        <v>34</v>
      </c>
    </row>
    <row r="349" spans="1:16" x14ac:dyDescent="0.25">
      <c r="A349" s="1">
        <v>45681</v>
      </c>
      <c r="B349" t="s">
        <v>358</v>
      </c>
      <c r="C349">
        <v>17667</v>
      </c>
      <c r="D349" t="s">
        <v>66</v>
      </c>
      <c r="E349">
        <v>24</v>
      </c>
      <c r="F349">
        <v>74.239999999999995</v>
      </c>
      <c r="G349" t="s">
        <v>99</v>
      </c>
      <c r="H349">
        <v>0.4</v>
      </c>
      <c r="I349" t="s">
        <v>29</v>
      </c>
      <c r="J349">
        <v>25.33</v>
      </c>
      <c r="K349" s="4" t="s">
        <v>728</v>
      </c>
      <c r="L349" t="s">
        <v>31</v>
      </c>
      <c r="M349" t="s">
        <v>22</v>
      </c>
      <c r="N349" t="s">
        <v>23</v>
      </c>
      <c r="O349" t="s">
        <v>59</v>
      </c>
      <c r="P349" t="s">
        <v>34</v>
      </c>
    </row>
    <row r="350" spans="1:16" x14ac:dyDescent="0.25">
      <c r="A350" s="1">
        <v>45681</v>
      </c>
      <c r="B350" t="s">
        <v>359</v>
      </c>
      <c r="C350">
        <v>70710</v>
      </c>
      <c r="D350" t="s">
        <v>75</v>
      </c>
      <c r="E350">
        <v>31</v>
      </c>
      <c r="F350">
        <v>65.989999999999995</v>
      </c>
      <c r="G350" t="s">
        <v>99</v>
      </c>
      <c r="H350">
        <v>0.26</v>
      </c>
      <c r="I350" t="s">
        <v>29</v>
      </c>
      <c r="J350">
        <v>29.92</v>
      </c>
      <c r="K350" t="s">
        <v>20</v>
      </c>
      <c r="L350" t="s">
        <v>21</v>
      </c>
      <c r="M350" t="s">
        <v>22</v>
      </c>
      <c r="N350" t="s">
        <v>23</v>
      </c>
      <c r="O350" t="s">
        <v>24</v>
      </c>
      <c r="P350" t="s">
        <v>34</v>
      </c>
    </row>
    <row r="351" spans="1:16" x14ac:dyDescent="0.25">
      <c r="A351" s="1">
        <v>45681</v>
      </c>
      <c r="B351" t="s">
        <v>360</v>
      </c>
      <c r="C351">
        <v>53907</v>
      </c>
      <c r="D351" t="s">
        <v>57</v>
      </c>
      <c r="E351">
        <v>32</v>
      </c>
      <c r="F351">
        <v>44.47</v>
      </c>
      <c r="G351" t="s">
        <v>52</v>
      </c>
      <c r="H351">
        <v>0.42</v>
      </c>
      <c r="I351" t="s">
        <v>61</v>
      </c>
      <c r="J351">
        <v>29.77</v>
      </c>
      <c r="K351" t="s">
        <v>37</v>
      </c>
      <c r="L351" t="s">
        <v>31</v>
      </c>
      <c r="M351" t="s">
        <v>22</v>
      </c>
      <c r="N351" t="s">
        <v>38</v>
      </c>
      <c r="O351" t="s">
        <v>33</v>
      </c>
      <c r="P351" t="s">
        <v>25</v>
      </c>
    </row>
    <row r="352" spans="1:16" x14ac:dyDescent="0.25">
      <c r="A352" s="1">
        <v>45681</v>
      </c>
      <c r="B352" t="s">
        <v>119</v>
      </c>
      <c r="C352">
        <v>25987</v>
      </c>
      <c r="D352" t="s">
        <v>46</v>
      </c>
      <c r="E352">
        <v>17</v>
      </c>
      <c r="F352">
        <v>76.8</v>
      </c>
      <c r="G352" t="s">
        <v>58</v>
      </c>
      <c r="H352">
        <v>0.4</v>
      </c>
      <c r="I352" t="s">
        <v>61</v>
      </c>
      <c r="J352">
        <v>17.2</v>
      </c>
      <c r="K352" t="s">
        <v>30</v>
      </c>
      <c r="L352" t="s">
        <v>21</v>
      </c>
      <c r="M352" t="s">
        <v>22</v>
      </c>
      <c r="N352" t="s">
        <v>32</v>
      </c>
      <c r="O352" t="s">
        <v>33</v>
      </c>
      <c r="P352" t="s">
        <v>40</v>
      </c>
    </row>
    <row r="353" spans="1:16" x14ac:dyDescent="0.25">
      <c r="A353" s="1">
        <v>45681</v>
      </c>
      <c r="B353" t="s">
        <v>361</v>
      </c>
      <c r="C353">
        <v>30860</v>
      </c>
      <c r="D353" t="s">
        <v>46</v>
      </c>
      <c r="E353">
        <v>49</v>
      </c>
      <c r="F353">
        <v>21.93</v>
      </c>
      <c r="G353" t="s">
        <v>55</v>
      </c>
      <c r="H353">
        <v>0.04</v>
      </c>
      <c r="I353" t="s">
        <v>29</v>
      </c>
      <c r="J353">
        <v>27.88</v>
      </c>
      <c r="K353" t="s">
        <v>50</v>
      </c>
      <c r="L353" t="s">
        <v>31</v>
      </c>
      <c r="M353" t="s">
        <v>22</v>
      </c>
      <c r="N353" t="s">
        <v>23</v>
      </c>
      <c r="O353" t="s">
        <v>81</v>
      </c>
      <c r="P353" t="s">
        <v>40</v>
      </c>
    </row>
    <row r="354" spans="1:16" x14ac:dyDescent="0.25">
      <c r="A354" s="1">
        <v>45681</v>
      </c>
      <c r="B354" t="s">
        <v>320</v>
      </c>
      <c r="C354">
        <v>87090</v>
      </c>
      <c r="D354" t="s">
        <v>70</v>
      </c>
      <c r="E354">
        <v>45</v>
      </c>
      <c r="F354">
        <v>47.57</v>
      </c>
      <c r="G354" t="s">
        <v>99</v>
      </c>
      <c r="H354">
        <v>0.03</v>
      </c>
      <c r="I354" t="s">
        <v>61</v>
      </c>
      <c r="J354">
        <v>17.059999999999999</v>
      </c>
      <c r="K354" t="s">
        <v>37</v>
      </c>
      <c r="L354" t="s">
        <v>21</v>
      </c>
      <c r="M354" t="s">
        <v>22</v>
      </c>
      <c r="N354" t="s">
        <v>53</v>
      </c>
      <c r="O354" t="s">
        <v>59</v>
      </c>
    </row>
    <row r="355" spans="1:16" x14ac:dyDescent="0.25">
      <c r="A355" s="1">
        <v>45681</v>
      </c>
      <c r="B355" t="s">
        <v>362</v>
      </c>
      <c r="C355">
        <v>99998</v>
      </c>
      <c r="D355" t="s">
        <v>68</v>
      </c>
      <c r="E355">
        <v>43</v>
      </c>
      <c r="F355">
        <v>41.29</v>
      </c>
      <c r="G355" t="s">
        <v>28</v>
      </c>
      <c r="H355">
        <v>0.38</v>
      </c>
      <c r="I355" t="s">
        <v>29</v>
      </c>
      <c r="J355">
        <v>8.27</v>
      </c>
      <c r="K355" t="s">
        <v>50</v>
      </c>
      <c r="L355" t="s">
        <v>31</v>
      </c>
      <c r="M355" t="s">
        <v>111</v>
      </c>
      <c r="N355" t="s">
        <v>32</v>
      </c>
      <c r="O355" t="s">
        <v>81</v>
      </c>
      <c r="P355" t="s">
        <v>40</v>
      </c>
    </row>
    <row r="356" spans="1:16" x14ac:dyDescent="0.25">
      <c r="A356" s="1">
        <v>45681</v>
      </c>
      <c r="B356" t="s">
        <v>363</v>
      </c>
      <c r="C356">
        <v>65775</v>
      </c>
      <c r="D356" t="s">
        <v>49</v>
      </c>
      <c r="E356">
        <v>22</v>
      </c>
      <c r="F356">
        <v>30.83</v>
      </c>
      <c r="G356" t="s">
        <v>72</v>
      </c>
      <c r="H356">
        <v>0.5</v>
      </c>
      <c r="I356" t="s">
        <v>29</v>
      </c>
      <c r="J356">
        <v>21.14</v>
      </c>
      <c r="K356" t="s">
        <v>44</v>
      </c>
      <c r="L356" t="s">
        <v>21</v>
      </c>
      <c r="M356" t="s">
        <v>22</v>
      </c>
      <c r="N356" t="s">
        <v>23</v>
      </c>
      <c r="O356" t="s">
        <v>39</v>
      </c>
      <c r="P356" t="s">
        <v>40</v>
      </c>
    </row>
    <row r="357" spans="1:16" x14ac:dyDescent="0.25">
      <c r="A357" s="1">
        <v>45681</v>
      </c>
      <c r="B357" t="s">
        <v>165</v>
      </c>
      <c r="C357">
        <v>93413</v>
      </c>
      <c r="D357" t="s">
        <v>68</v>
      </c>
      <c r="E357">
        <v>31</v>
      </c>
      <c r="F357">
        <v>43.34</v>
      </c>
      <c r="G357" t="s">
        <v>43</v>
      </c>
      <c r="H357">
        <v>0.23</v>
      </c>
      <c r="I357" t="s">
        <v>29</v>
      </c>
      <c r="J357">
        <v>13.42</v>
      </c>
      <c r="K357" t="s">
        <v>50</v>
      </c>
      <c r="L357" t="s">
        <v>21</v>
      </c>
      <c r="N357" t="s">
        <v>53</v>
      </c>
      <c r="O357" t="s">
        <v>24</v>
      </c>
      <c r="P357" t="s">
        <v>34</v>
      </c>
    </row>
    <row r="358" spans="1:16" x14ac:dyDescent="0.25">
      <c r="A358" s="1">
        <v>45681</v>
      </c>
      <c r="B358" t="s">
        <v>364</v>
      </c>
      <c r="C358">
        <v>22456</v>
      </c>
      <c r="D358" t="s">
        <v>89</v>
      </c>
      <c r="E358">
        <v>47</v>
      </c>
      <c r="F358">
        <v>58.01</v>
      </c>
      <c r="G358" t="s">
        <v>47</v>
      </c>
      <c r="H358">
        <v>0.38</v>
      </c>
      <c r="I358" t="s">
        <v>29</v>
      </c>
      <c r="J358">
        <v>12.98</v>
      </c>
      <c r="K358" t="s">
        <v>20</v>
      </c>
      <c r="L358" t="s">
        <v>21</v>
      </c>
      <c r="M358" t="s">
        <v>22</v>
      </c>
      <c r="N358" t="s">
        <v>32</v>
      </c>
      <c r="O358" t="s">
        <v>24</v>
      </c>
      <c r="P358" t="s">
        <v>34</v>
      </c>
    </row>
    <row r="359" spans="1:16" x14ac:dyDescent="0.25">
      <c r="A359" s="1">
        <v>45682</v>
      </c>
      <c r="B359" t="s">
        <v>365</v>
      </c>
      <c r="C359">
        <v>85632</v>
      </c>
      <c r="D359" t="s">
        <v>17</v>
      </c>
      <c r="E359">
        <v>38</v>
      </c>
      <c r="G359" t="s">
        <v>52</v>
      </c>
      <c r="H359">
        <v>0.19</v>
      </c>
      <c r="I359" t="s">
        <v>61</v>
      </c>
      <c r="J359">
        <v>28.05</v>
      </c>
      <c r="K359" t="s">
        <v>37</v>
      </c>
      <c r="L359" t="s">
        <v>31</v>
      </c>
      <c r="M359" t="s">
        <v>22</v>
      </c>
      <c r="N359" t="s">
        <v>23</v>
      </c>
      <c r="O359" t="s">
        <v>24</v>
      </c>
      <c r="P359" t="s">
        <v>34</v>
      </c>
    </row>
    <row r="360" spans="1:16" x14ac:dyDescent="0.25">
      <c r="A360" s="1">
        <v>45682</v>
      </c>
      <c r="B360" t="s">
        <v>366</v>
      </c>
      <c r="C360">
        <v>75293</v>
      </c>
      <c r="D360" t="s">
        <v>42</v>
      </c>
      <c r="E360">
        <v>33</v>
      </c>
      <c r="F360">
        <v>31.32</v>
      </c>
      <c r="G360" t="s">
        <v>52</v>
      </c>
      <c r="H360">
        <v>0.18</v>
      </c>
      <c r="I360" t="s">
        <v>19</v>
      </c>
      <c r="J360">
        <v>9.6199999999999992</v>
      </c>
      <c r="K360" t="s">
        <v>20</v>
      </c>
      <c r="L360" t="s">
        <v>21</v>
      </c>
      <c r="M360" t="s">
        <v>22</v>
      </c>
      <c r="N360" t="s">
        <v>38</v>
      </c>
      <c r="O360" t="s">
        <v>33</v>
      </c>
      <c r="P360" t="s">
        <v>40</v>
      </c>
    </row>
    <row r="361" spans="1:16" x14ac:dyDescent="0.25">
      <c r="A361" s="1">
        <v>45682</v>
      </c>
      <c r="B361" t="s">
        <v>367</v>
      </c>
      <c r="C361">
        <v>82797</v>
      </c>
      <c r="D361" t="s">
        <v>75</v>
      </c>
      <c r="E361">
        <v>44</v>
      </c>
      <c r="F361">
        <v>3.73</v>
      </c>
      <c r="G361" t="s">
        <v>55</v>
      </c>
      <c r="H361">
        <v>0.37</v>
      </c>
      <c r="I361" t="s">
        <v>19</v>
      </c>
      <c r="J361">
        <v>20.27</v>
      </c>
      <c r="K361" t="s">
        <v>44</v>
      </c>
      <c r="L361" t="s">
        <v>21</v>
      </c>
      <c r="M361" t="s">
        <v>22</v>
      </c>
      <c r="N361" t="s">
        <v>38</v>
      </c>
      <c r="O361" t="s">
        <v>39</v>
      </c>
      <c r="P361" t="s">
        <v>34</v>
      </c>
    </row>
    <row r="362" spans="1:16" x14ac:dyDescent="0.25">
      <c r="A362" s="1">
        <v>45682</v>
      </c>
      <c r="B362" t="s">
        <v>368</v>
      </c>
      <c r="C362">
        <v>47898</v>
      </c>
      <c r="D362" t="s">
        <v>57</v>
      </c>
      <c r="E362">
        <v>13</v>
      </c>
      <c r="F362">
        <v>61.67</v>
      </c>
      <c r="G362" t="s">
        <v>84</v>
      </c>
      <c r="H362">
        <v>0.25</v>
      </c>
      <c r="I362" t="s">
        <v>19</v>
      </c>
      <c r="J362">
        <v>27.79</v>
      </c>
      <c r="K362" t="s">
        <v>30</v>
      </c>
      <c r="L362" t="s">
        <v>31</v>
      </c>
      <c r="M362" t="s">
        <v>22</v>
      </c>
      <c r="N362" t="s">
        <v>23</v>
      </c>
      <c r="O362" t="s">
        <v>33</v>
      </c>
      <c r="P362" t="s">
        <v>40</v>
      </c>
    </row>
    <row r="363" spans="1:16" x14ac:dyDescent="0.25">
      <c r="A363" s="1">
        <v>45682</v>
      </c>
      <c r="B363" t="s">
        <v>369</v>
      </c>
      <c r="C363">
        <v>69473</v>
      </c>
      <c r="D363" t="s">
        <v>17</v>
      </c>
      <c r="E363">
        <v>49</v>
      </c>
      <c r="F363">
        <v>18.239999999999998</v>
      </c>
      <c r="G363" t="s">
        <v>47</v>
      </c>
      <c r="H363">
        <v>0.25</v>
      </c>
      <c r="I363" t="s">
        <v>29</v>
      </c>
      <c r="J363">
        <v>16.45</v>
      </c>
      <c r="K363" t="s">
        <v>44</v>
      </c>
      <c r="L363" t="s">
        <v>21</v>
      </c>
      <c r="M363" t="s">
        <v>22</v>
      </c>
      <c r="N363" t="s">
        <v>53</v>
      </c>
      <c r="O363" t="s">
        <v>39</v>
      </c>
      <c r="P363" t="s">
        <v>40</v>
      </c>
    </row>
    <row r="364" spans="1:16" x14ac:dyDescent="0.25">
      <c r="A364" s="1">
        <v>45682</v>
      </c>
      <c r="B364" t="s">
        <v>370</v>
      </c>
      <c r="C364">
        <v>12567</v>
      </c>
      <c r="D364" t="s">
        <v>75</v>
      </c>
      <c r="E364">
        <v>33</v>
      </c>
      <c r="F364">
        <v>69.319999999999993</v>
      </c>
      <c r="G364" t="s">
        <v>72</v>
      </c>
      <c r="H364">
        <v>0.06</v>
      </c>
      <c r="I364" t="s">
        <v>19</v>
      </c>
      <c r="J364">
        <v>15.16</v>
      </c>
      <c r="K364" t="s">
        <v>44</v>
      </c>
      <c r="L364" t="s">
        <v>31</v>
      </c>
      <c r="M364" t="s">
        <v>22</v>
      </c>
      <c r="N364" t="s">
        <v>32</v>
      </c>
      <c r="O364" t="s">
        <v>59</v>
      </c>
      <c r="P364" t="s">
        <v>34</v>
      </c>
    </row>
    <row r="365" spans="1:16" x14ac:dyDescent="0.25">
      <c r="A365" s="1">
        <v>45682</v>
      </c>
      <c r="B365" t="s">
        <v>371</v>
      </c>
      <c r="C365">
        <v>25039</v>
      </c>
      <c r="D365" t="s">
        <v>68</v>
      </c>
      <c r="E365">
        <v>29</v>
      </c>
      <c r="F365">
        <v>50.6</v>
      </c>
      <c r="G365" t="s">
        <v>99</v>
      </c>
      <c r="H365">
        <v>0.11</v>
      </c>
      <c r="I365" t="s">
        <v>19</v>
      </c>
      <c r="J365">
        <v>21.27</v>
      </c>
      <c r="K365" t="s">
        <v>30</v>
      </c>
      <c r="L365" t="s">
        <v>31</v>
      </c>
      <c r="M365" t="s">
        <v>111</v>
      </c>
      <c r="N365" t="s">
        <v>38</v>
      </c>
      <c r="O365" t="s">
        <v>39</v>
      </c>
      <c r="P365" t="s">
        <v>25</v>
      </c>
    </row>
    <row r="366" spans="1:16" x14ac:dyDescent="0.25">
      <c r="A366" s="1">
        <v>45682</v>
      </c>
      <c r="B366" t="s">
        <v>372</v>
      </c>
      <c r="C366">
        <v>22793</v>
      </c>
      <c r="D366" t="s">
        <v>75</v>
      </c>
      <c r="E366">
        <v>10</v>
      </c>
      <c r="F366">
        <v>11.15</v>
      </c>
      <c r="G366" t="s">
        <v>58</v>
      </c>
      <c r="H366">
        <v>0.36</v>
      </c>
      <c r="I366" t="s">
        <v>61</v>
      </c>
      <c r="J366">
        <v>22.78</v>
      </c>
      <c r="K366" t="s">
        <v>37</v>
      </c>
      <c r="L366" t="s">
        <v>31</v>
      </c>
      <c r="M366" t="s">
        <v>22</v>
      </c>
      <c r="N366" t="s">
        <v>32</v>
      </c>
      <c r="O366" t="s">
        <v>59</v>
      </c>
      <c r="P366" t="s">
        <v>25</v>
      </c>
    </row>
    <row r="367" spans="1:16" x14ac:dyDescent="0.25">
      <c r="A367" s="1">
        <v>45682</v>
      </c>
      <c r="B367" t="s">
        <v>373</v>
      </c>
      <c r="C367">
        <v>43678</v>
      </c>
      <c r="D367" t="s">
        <v>49</v>
      </c>
      <c r="E367">
        <v>11</v>
      </c>
      <c r="F367">
        <v>53.06</v>
      </c>
      <c r="G367" t="s">
        <v>47</v>
      </c>
      <c r="H367">
        <v>0.5</v>
      </c>
      <c r="I367" t="s">
        <v>19</v>
      </c>
      <c r="J367">
        <v>13.67</v>
      </c>
      <c r="K367" t="s">
        <v>30</v>
      </c>
      <c r="L367" t="s">
        <v>31</v>
      </c>
      <c r="M367" t="s">
        <v>22</v>
      </c>
      <c r="N367" t="s">
        <v>38</v>
      </c>
      <c r="O367" t="s">
        <v>81</v>
      </c>
      <c r="P367" t="s">
        <v>40</v>
      </c>
    </row>
    <row r="368" spans="1:16" x14ac:dyDescent="0.25">
      <c r="A368" s="1">
        <v>45682</v>
      </c>
      <c r="B368" t="s">
        <v>374</v>
      </c>
      <c r="C368">
        <v>81582</v>
      </c>
      <c r="D368" t="s">
        <v>70</v>
      </c>
      <c r="E368">
        <v>48</v>
      </c>
      <c r="F368">
        <v>53.97</v>
      </c>
      <c r="G368" t="s">
        <v>99</v>
      </c>
      <c r="H368">
        <v>0.41</v>
      </c>
      <c r="I368" t="s">
        <v>19</v>
      </c>
      <c r="J368">
        <v>13.17</v>
      </c>
      <c r="K368" t="s">
        <v>50</v>
      </c>
      <c r="L368" t="s">
        <v>31</v>
      </c>
      <c r="M368" t="s">
        <v>22</v>
      </c>
      <c r="N368" t="s">
        <v>53</v>
      </c>
      <c r="O368" t="s">
        <v>33</v>
      </c>
      <c r="P368" t="s">
        <v>40</v>
      </c>
    </row>
    <row r="369" spans="1:16" x14ac:dyDescent="0.25">
      <c r="A369" s="1">
        <v>45682</v>
      </c>
      <c r="B369" t="s">
        <v>375</v>
      </c>
      <c r="C369">
        <v>19913</v>
      </c>
      <c r="D369" t="s">
        <v>75</v>
      </c>
      <c r="E369">
        <v>2</v>
      </c>
      <c r="F369">
        <v>53.14</v>
      </c>
      <c r="G369" t="s">
        <v>47</v>
      </c>
      <c r="H369">
        <v>0.47</v>
      </c>
      <c r="I369" t="s">
        <v>61</v>
      </c>
      <c r="J369">
        <v>13.99</v>
      </c>
      <c r="K369" t="s">
        <v>37</v>
      </c>
      <c r="L369" t="s">
        <v>31</v>
      </c>
      <c r="M369" t="s">
        <v>22</v>
      </c>
      <c r="N369" t="s">
        <v>32</v>
      </c>
      <c r="O369" t="s">
        <v>59</v>
      </c>
      <c r="P369" t="s">
        <v>25</v>
      </c>
    </row>
    <row r="370" spans="1:16" x14ac:dyDescent="0.25">
      <c r="A370" s="1">
        <v>45682</v>
      </c>
      <c r="B370" t="s">
        <v>271</v>
      </c>
      <c r="C370">
        <v>41738</v>
      </c>
      <c r="D370" t="s">
        <v>49</v>
      </c>
      <c r="E370">
        <v>13</v>
      </c>
      <c r="F370">
        <v>72.45</v>
      </c>
      <c r="G370" t="s">
        <v>52</v>
      </c>
      <c r="H370">
        <v>0.32</v>
      </c>
      <c r="I370" t="s">
        <v>29</v>
      </c>
      <c r="J370">
        <v>8.0500000000000007</v>
      </c>
      <c r="K370" t="s">
        <v>37</v>
      </c>
      <c r="L370" t="s">
        <v>31</v>
      </c>
      <c r="M370" t="s">
        <v>111</v>
      </c>
      <c r="N370" t="s">
        <v>53</v>
      </c>
      <c r="O370" t="s">
        <v>39</v>
      </c>
      <c r="P370" t="s">
        <v>25</v>
      </c>
    </row>
    <row r="371" spans="1:16" x14ac:dyDescent="0.25">
      <c r="A371" s="1">
        <v>45682</v>
      </c>
      <c r="B371" t="s">
        <v>368</v>
      </c>
      <c r="C371">
        <v>85232</v>
      </c>
      <c r="D371" t="s">
        <v>70</v>
      </c>
      <c r="E371">
        <v>15</v>
      </c>
      <c r="F371">
        <v>51.51</v>
      </c>
      <c r="G371" t="s">
        <v>84</v>
      </c>
      <c r="H371">
        <v>0.42</v>
      </c>
      <c r="I371" t="s">
        <v>19</v>
      </c>
      <c r="J371">
        <v>16.39</v>
      </c>
      <c r="K371" t="s">
        <v>30</v>
      </c>
      <c r="L371" t="s">
        <v>31</v>
      </c>
      <c r="M371" t="s">
        <v>22</v>
      </c>
      <c r="N371" t="s">
        <v>23</v>
      </c>
      <c r="O371" t="s">
        <v>33</v>
      </c>
      <c r="P371" t="s">
        <v>25</v>
      </c>
    </row>
    <row r="372" spans="1:16" x14ac:dyDescent="0.25">
      <c r="A372" s="1">
        <v>45682</v>
      </c>
      <c r="B372" t="s">
        <v>376</v>
      </c>
      <c r="C372">
        <v>50399</v>
      </c>
      <c r="D372" t="s">
        <v>27</v>
      </c>
      <c r="E372">
        <v>46</v>
      </c>
      <c r="F372">
        <v>4.9800000000000004</v>
      </c>
      <c r="G372" t="s">
        <v>28</v>
      </c>
      <c r="H372">
        <v>0.46</v>
      </c>
      <c r="I372" t="s">
        <v>19</v>
      </c>
      <c r="J372">
        <v>8.11</v>
      </c>
      <c r="K372" t="s">
        <v>30</v>
      </c>
      <c r="L372" t="s">
        <v>21</v>
      </c>
      <c r="M372" t="s">
        <v>22</v>
      </c>
      <c r="N372" t="s">
        <v>23</v>
      </c>
      <c r="O372" t="s">
        <v>24</v>
      </c>
      <c r="P372" t="s">
        <v>25</v>
      </c>
    </row>
    <row r="373" spans="1:16" x14ac:dyDescent="0.25">
      <c r="A373" s="1">
        <v>45682</v>
      </c>
      <c r="B373" t="s">
        <v>377</v>
      </c>
      <c r="C373">
        <v>84113</v>
      </c>
      <c r="D373" t="s">
        <v>46</v>
      </c>
      <c r="E373">
        <v>42</v>
      </c>
      <c r="F373">
        <v>12.61</v>
      </c>
      <c r="G373" t="s">
        <v>99</v>
      </c>
      <c r="H373">
        <v>0.05</v>
      </c>
      <c r="I373" t="s">
        <v>19</v>
      </c>
      <c r="J373">
        <v>27.25</v>
      </c>
      <c r="K373" t="s">
        <v>37</v>
      </c>
      <c r="L373" t="s">
        <v>21</v>
      </c>
      <c r="M373" t="s">
        <v>111</v>
      </c>
      <c r="N373" t="s">
        <v>32</v>
      </c>
      <c r="O373" t="s">
        <v>33</v>
      </c>
      <c r="P373" t="s">
        <v>40</v>
      </c>
    </row>
    <row r="374" spans="1:16" x14ac:dyDescent="0.25">
      <c r="A374" s="1">
        <v>45682</v>
      </c>
      <c r="B374" t="s">
        <v>378</v>
      </c>
      <c r="C374">
        <v>57438</v>
      </c>
      <c r="D374" t="s">
        <v>49</v>
      </c>
      <c r="E374">
        <v>9</v>
      </c>
      <c r="F374">
        <v>53.55</v>
      </c>
      <c r="G374" t="s">
        <v>28</v>
      </c>
      <c r="H374">
        <v>0.12</v>
      </c>
      <c r="I374" t="s">
        <v>61</v>
      </c>
      <c r="J374">
        <v>26.62</v>
      </c>
      <c r="K374" t="s">
        <v>30</v>
      </c>
      <c r="L374" t="s">
        <v>31</v>
      </c>
      <c r="M374" t="s">
        <v>22</v>
      </c>
      <c r="N374" t="s">
        <v>23</v>
      </c>
      <c r="O374" t="s">
        <v>33</v>
      </c>
      <c r="P374" t="s">
        <v>34</v>
      </c>
    </row>
    <row r="375" spans="1:16" x14ac:dyDescent="0.25">
      <c r="A375" s="1">
        <v>45682</v>
      </c>
      <c r="B375" t="s">
        <v>379</v>
      </c>
      <c r="C375">
        <v>99623</v>
      </c>
      <c r="D375" t="s">
        <v>57</v>
      </c>
      <c r="E375">
        <v>44</v>
      </c>
      <c r="F375">
        <v>14.29</v>
      </c>
      <c r="G375" t="s">
        <v>43</v>
      </c>
      <c r="H375">
        <v>0.11</v>
      </c>
      <c r="I375" t="s">
        <v>19</v>
      </c>
      <c r="J375">
        <v>28.09</v>
      </c>
      <c r="K375" t="s">
        <v>37</v>
      </c>
      <c r="L375" t="s">
        <v>31</v>
      </c>
      <c r="N375" t="s">
        <v>53</v>
      </c>
      <c r="O375" t="s">
        <v>33</v>
      </c>
      <c r="P375" t="s">
        <v>34</v>
      </c>
    </row>
    <row r="376" spans="1:16" x14ac:dyDescent="0.25">
      <c r="A376" s="1">
        <v>45682</v>
      </c>
      <c r="B376" t="s">
        <v>380</v>
      </c>
      <c r="C376">
        <v>28824</v>
      </c>
      <c r="D376" t="s">
        <v>66</v>
      </c>
      <c r="E376">
        <v>19</v>
      </c>
      <c r="F376">
        <v>59.18</v>
      </c>
      <c r="G376" t="s">
        <v>76</v>
      </c>
      <c r="H376">
        <v>0.48</v>
      </c>
      <c r="I376" t="s">
        <v>29</v>
      </c>
      <c r="J376">
        <v>18.78</v>
      </c>
      <c r="K376" t="s">
        <v>44</v>
      </c>
      <c r="L376" t="s">
        <v>21</v>
      </c>
      <c r="M376" t="s">
        <v>22</v>
      </c>
      <c r="N376" t="s">
        <v>32</v>
      </c>
      <c r="O376" t="s">
        <v>81</v>
      </c>
      <c r="P376" t="s">
        <v>40</v>
      </c>
    </row>
    <row r="377" spans="1:16" x14ac:dyDescent="0.25">
      <c r="A377" s="1">
        <v>45682</v>
      </c>
      <c r="B377" t="s">
        <v>381</v>
      </c>
      <c r="C377">
        <v>72862</v>
      </c>
      <c r="D377" t="s">
        <v>89</v>
      </c>
      <c r="E377">
        <v>36</v>
      </c>
      <c r="F377">
        <v>59.62</v>
      </c>
      <c r="G377" t="s">
        <v>99</v>
      </c>
      <c r="H377">
        <v>0.37</v>
      </c>
      <c r="I377" t="s">
        <v>19</v>
      </c>
      <c r="J377">
        <v>10.11</v>
      </c>
      <c r="K377" t="s">
        <v>30</v>
      </c>
      <c r="L377" t="s">
        <v>21</v>
      </c>
      <c r="M377" t="s">
        <v>22</v>
      </c>
      <c r="N377" t="s">
        <v>32</v>
      </c>
      <c r="O377" t="s">
        <v>81</v>
      </c>
      <c r="P377" t="s">
        <v>25</v>
      </c>
    </row>
    <row r="378" spans="1:16" x14ac:dyDescent="0.25">
      <c r="A378" s="1">
        <v>45682</v>
      </c>
      <c r="B378" t="s">
        <v>244</v>
      </c>
      <c r="C378">
        <v>66754</v>
      </c>
      <c r="D378" t="s">
        <v>66</v>
      </c>
      <c r="E378">
        <v>38</v>
      </c>
      <c r="F378">
        <v>39.29</v>
      </c>
      <c r="G378" t="s">
        <v>43</v>
      </c>
      <c r="H378">
        <v>0.31</v>
      </c>
      <c r="I378" t="s">
        <v>19</v>
      </c>
      <c r="J378">
        <v>29.23</v>
      </c>
      <c r="K378" t="s">
        <v>50</v>
      </c>
      <c r="L378" t="s">
        <v>31</v>
      </c>
      <c r="M378" t="s">
        <v>22</v>
      </c>
      <c r="N378" t="s">
        <v>32</v>
      </c>
      <c r="O378" t="s">
        <v>24</v>
      </c>
      <c r="P378" t="s">
        <v>34</v>
      </c>
    </row>
    <row r="379" spans="1:16" x14ac:dyDescent="0.25">
      <c r="A379" s="1">
        <v>45682</v>
      </c>
      <c r="B379" t="s">
        <v>382</v>
      </c>
      <c r="C379">
        <v>82279</v>
      </c>
      <c r="D379" t="s">
        <v>46</v>
      </c>
      <c r="E379">
        <v>8</v>
      </c>
      <c r="F379">
        <v>92.97</v>
      </c>
      <c r="G379" t="s">
        <v>58</v>
      </c>
      <c r="H379">
        <v>0.49</v>
      </c>
      <c r="I379" t="s">
        <v>19</v>
      </c>
      <c r="J379">
        <v>28.12</v>
      </c>
      <c r="K379" t="s">
        <v>50</v>
      </c>
      <c r="L379" t="s">
        <v>21</v>
      </c>
      <c r="M379" t="s">
        <v>22</v>
      </c>
      <c r="N379" t="s">
        <v>32</v>
      </c>
      <c r="O379" t="s">
        <v>59</v>
      </c>
      <c r="P379" t="s">
        <v>34</v>
      </c>
    </row>
    <row r="380" spans="1:16" x14ac:dyDescent="0.25">
      <c r="A380" s="1">
        <v>45682</v>
      </c>
      <c r="B380" t="s">
        <v>383</v>
      </c>
      <c r="C380">
        <v>43773</v>
      </c>
      <c r="D380" t="s">
        <v>27</v>
      </c>
      <c r="E380">
        <v>28</v>
      </c>
      <c r="F380">
        <v>21.66</v>
      </c>
      <c r="G380" t="s">
        <v>58</v>
      </c>
      <c r="H380">
        <v>0.31</v>
      </c>
      <c r="I380" t="s">
        <v>19</v>
      </c>
      <c r="J380">
        <v>25.58</v>
      </c>
      <c r="K380" t="s">
        <v>37</v>
      </c>
      <c r="L380" t="s">
        <v>21</v>
      </c>
      <c r="M380" t="s">
        <v>22</v>
      </c>
      <c r="N380" t="s">
        <v>38</v>
      </c>
      <c r="O380" t="s">
        <v>59</v>
      </c>
      <c r="P380" t="s">
        <v>34</v>
      </c>
    </row>
    <row r="381" spans="1:16" x14ac:dyDescent="0.25">
      <c r="A381" s="1">
        <v>45682</v>
      </c>
      <c r="B381" t="s">
        <v>384</v>
      </c>
      <c r="C381">
        <v>26948</v>
      </c>
      <c r="D381" t="s">
        <v>66</v>
      </c>
      <c r="E381">
        <v>36</v>
      </c>
      <c r="F381">
        <v>1.4</v>
      </c>
      <c r="G381" t="s">
        <v>76</v>
      </c>
      <c r="H381">
        <v>0.22</v>
      </c>
      <c r="I381" t="s">
        <v>19</v>
      </c>
      <c r="J381">
        <v>11</v>
      </c>
      <c r="K381" t="s">
        <v>20</v>
      </c>
      <c r="L381" t="s">
        <v>31</v>
      </c>
      <c r="M381" t="s">
        <v>111</v>
      </c>
      <c r="N381" t="s">
        <v>23</v>
      </c>
      <c r="O381" t="s">
        <v>39</v>
      </c>
    </row>
    <row r="382" spans="1:16" x14ac:dyDescent="0.25">
      <c r="A382" s="1">
        <v>45682</v>
      </c>
      <c r="B382" t="s">
        <v>385</v>
      </c>
      <c r="C382">
        <v>24216</v>
      </c>
      <c r="D382" t="s">
        <v>17</v>
      </c>
      <c r="E382">
        <v>18</v>
      </c>
      <c r="F382">
        <v>73.900000000000006</v>
      </c>
      <c r="G382" t="s">
        <v>58</v>
      </c>
      <c r="H382">
        <v>0.35</v>
      </c>
      <c r="I382" t="s">
        <v>61</v>
      </c>
      <c r="J382">
        <v>24.49</v>
      </c>
      <c r="K382" t="s">
        <v>50</v>
      </c>
      <c r="L382" t="s">
        <v>31</v>
      </c>
      <c r="M382" t="s">
        <v>22</v>
      </c>
      <c r="N382" t="s">
        <v>23</v>
      </c>
      <c r="O382" t="s">
        <v>81</v>
      </c>
      <c r="P382" t="s">
        <v>34</v>
      </c>
    </row>
    <row r="383" spans="1:16" x14ac:dyDescent="0.25">
      <c r="A383" s="1">
        <v>45683</v>
      </c>
      <c r="B383" t="s">
        <v>386</v>
      </c>
      <c r="C383">
        <v>47443</v>
      </c>
      <c r="D383" t="s">
        <v>70</v>
      </c>
      <c r="E383">
        <v>34</v>
      </c>
      <c r="F383">
        <v>11.26</v>
      </c>
      <c r="G383" t="s">
        <v>28</v>
      </c>
      <c r="H383">
        <v>0.19</v>
      </c>
      <c r="I383" t="s">
        <v>29</v>
      </c>
      <c r="J383">
        <v>11.21</v>
      </c>
      <c r="K383" t="s">
        <v>30</v>
      </c>
      <c r="L383" t="s">
        <v>31</v>
      </c>
      <c r="M383" t="s">
        <v>22</v>
      </c>
      <c r="N383" t="s">
        <v>53</v>
      </c>
      <c r="O383" t="s">
        <v>59</v>
      </c>
      <c r="P383" t="s">
        <v>25</v>
      </c>
    </row>
    <row r="384" spans="1:16" x14ac:dyDescent="0.25">
      <c r="A384" s="1">
        <v>45683</v>
      </c>
      <c r="B384" t="s">
        <v>387</v>
      </c>
      <c r="C384">
        <v>11978</v>
      </c>
      <c r="D384" t="s">
        <v>42</v>
      </c>
      <c r="E384">
        <v>48</v>
      </c>
      <c r="F384">
        <v>71.349999999999994</v>
      </c>
      <c r="G384" t="s">
        <v>99</v>
      </c>
      <c r="H384">
        <v>0.12</v>
      </c>
      <c r="I384" t="s">
        <v>19</v>
      </c>
      <c r="J384">
        <v>19.75</v>
      </c>
      <c r="K384" t="s">
        <v>30</v>
      </c>
      <c r="L384" t="s">
        <v>31</v>
      </c>
      <c r="M384" t="s">
        <v>22</v>
      </c>
      <c r="N384" t="s">
        <v>23</v>
      </c>
      <c r="O384" t="s">
        <v>81</v>
      </c>
      <c r="P384" t="s">
        <v>40</v>
      </c>
    </row>
    <row r="385" spans="1:16" x14ac:dyDescent="0.25">
      <c r="A385" s="1">
        <v>45683</v>
      </c>
      <c r="B385" t="s">
        <v>388</v>
      </c>
      <c r="C385">
        <v>76202</v>
      </c>
      <c r="D385" t="s">
        <v>27</v>
      </c>
      <c r="E385">
        <v>18</v>
      </c>
      <c r="F385">
        <v>12.33</v>
      </c>
      <c r="G385" t="s">
        <v>58</v>
      </c>
      <c r="H385">
        <v>0.08</v>
      </c>
      <c r="I385" t="s">
        <v>61</v>
      </c>
      <c r="J385">
        <v>28.76</v>
      </c>
      <c r="K385" t="s">
        <v>30</v>
      </c>
      <c r="L385" t="s">
        <v>21</v>
      </c>
      <c r="M385" t="s">
        <v>22</v>
      </c>
      <c r="N385" t="s">
        <v>38</v>
      </c>
      <c r="O385" t="s">
        <v>39</v>
      </c>
      <c r="P385" t="s">
        <v>25</v>
      </c>
    </row>
    <row r="386" spans="1:16" x14ac:dyDescent="0.25">
      <c r="A386" s="1">
        <v>45683</v>
      </c>
      <c r="B386" t="s">
        <v>311</v>
      </c>
      <c r="C386">
        <v>35509</v>
      </c>
      <c r="D386" t="s">
        <v>46</v>
      </c>
      <c r="E386">
        <v>17</v>
      </c>
      <c r="G386" t="s">
        <v>84</v>
      </c>
      <c r="H386">
        <v>0.24</v>
      </c>
      <c r="I386" t="s">
        <v>19</v>
      </c>
      <c r="J386">
        <v>12.56</v>
      </c>
      <c r="K386" t="s">
        <v>37</v>
      </c>
      <c r="L386" t="s">
        <v>21</v>
      </c>
      <c r="M386" t="s">
        <v>22</v>
      </c>
      <c r="N386" t="s">
        <v>32</v>
      </c>
      <c r="O386" t="s">
        <v>39</v>
      </c>
      <c r="P386" t="s">
        <v>34</v>
      </c>
    </row>
    <row r="387" spans="1:16" x14ac:dyDescent="0.25">
      <c r="A387" s="1">
        <v>45683</v>
      </c>
      <c r="B387" t="s">
        <v>389</v>
      </c>
      <c r="C387">
        <v>19751</v>
      </c>
      <c r="D387" t="s">
        <v>17</v>
      </c>
      <c r="E387">
        <v>47</v>
      </c>
      <c r="F387">
        <v>9.1</v>
      </c>
      <c r="G387" t="s">
        <v>18</v>
      </c>
      <c r="H387">
        <v>0.38</v>
      </c>
      <c r="I387" t="s">
        <v>61</v>
      </c>
      <c r="J387">
        <v>7.89</v>
      </c>
      <c r="K387" t="s">
        <v>50</v>
      </c>
      <c r="L387" t="s">
        <v>21</v>
      </c>
      <c r="M387" t="s">
        <v>22</v>
      </c>
      <c r="N387" t="s">
        <v>32</v>
      </c>
      <c r="O387" t="s">
        <v>39</v>
      </c>
      <c r="P387" t="s">
        <v>40</v>
      </c>
    </row>
    <row r="388" spans="1:16" x14ac:dyDescent="0.25">
      <c r="A388" s="1">
        <v>45683</v>
      </c>
      <c r="B388" t="s">
        <v>390</v>
      </c>
      <c r="C388">
        <v>75941</v>
      </c>
      <c r="D388" t="s">
        <v>57</v>
      </c>
      <c r="E388">
        <v>8</v>
      </c>
      <c r="F388">
        <v>69.680000000000007</v>
      </c>
      <c r="G388" t="s">
        <v>99</v>
      </c>
      <c r="H388">
        <v>0.37</v>
      </c>
      <c r="I388" t="s">
        <v>29</v>
      </c>
      <c r="J388">
        <v>11.4</v>
      </c>
      <c r="K388" t="s">
        <v>50</v>
      </c>
      <c r="L388" t="s">
        <v>21</v>
      </c>
      <c r="M388" t="s">
        <v>22</v>
      </c>
      <c r="N388" t="s">
        <v>32</v>
      </c>
      <c r="O388" t="s">
        <v>81</v>
      </c>
      <c r="P388" t="s">
        <v>34</v>
      </c>
    </row>
    <row r="389" spans="1:16" x14ac:dyDescent="0.25">
      <c r="A389" s="1">
        <v>45683</v>
      </c>
      <c r="B389" t="s">
        <v>391</v>
      </c>
      <c r="C389">
        <v>21142</v>
      </c>
      <c r="D389" t="s">
        <v>75</v>
      </c>
      <c r="E389">
        <v>19</v>
      </c>
      <c r="F389">
        <v>86.1</v>
      </c>
      <c r="G389" t="s">
        <v>84</v>
      </c>
      <c r="H389">
        <v>0.34</v>
      </c>
      <c r="I389" t="s">
        <v>19</v>
      </c>
      <c r="J389">
        <v>22.8</v>
      </c>
      <c r="K389" t="s">
        <v>50</v>
      </c>
      <c r="L389" t="s">
        <v>21</v>
      </c>
      <c r="M389" t="s">
        <v>22</v>
      </c>
      <c r="N389" t="s">
        <v>38</v>
      </c>
      <c r="O389" t="s">
        <v>39</v>
      </c>
      <c r="P389" t="s">
        <v>34</v>
      </c>
    </row>
    <row r="390" spans="1:16" x14ac:dyDescent="0.25">
      <c r="A390" s="1">
        <v>45683</v>
      </c>
      <c r="B390" t="s">
        <v>335</v>
      </c>
      <c r="C390">
        <v>18978</v>
      </c>
      <c r="D390" t="s">
        <v>46</v>
      </c>
      <c r="E390">
        <v>34</v>
      </c>
      <c r="F390">
        <v>85.2</v>
      </c>
      <c r="G390" t="s">
        <v>18</v>
      </c>
      <c r="H390">
        <v>0.08</v>
      </c>
      <c r="I390" t="s">
        <v>19</v>
      </c>
      <c r="J390">
        <v>11.61</v>
      </c>
      <c r="K390" t="s">
        <v>44</v>
      </c>
      <c r="L390" t="s">
        <v>21</v>
      </c>
      <c r="M390" t="s">
        <v>22</v>
      </c>
      <c r="N390" t="s">
        <v>38</v>
      </c>
      <c r="O390" t="s">
        <v>33</v>
      </c>
      <c r="P390" t="s">
        <v>40</v>
      </c>
    </row>
    <row r="391" spans="1:16" x14ac:dyDescent="0.25">
      <c r="A391" s="1">
        <v>45683</v>
      </c>
      <c r="B391" t="s">
        <v>392</v>
      </c>
      <c r="C391">
        <v>18394</v>
      </c>
      <c r="D391" t="s">
        <v>46</v>
      </c>
      <c r="E391">
        <v>12</v>
      </c>
      <c r="F391">
        <v>79.790000000000006</v>
      </c>
      <c r="G391" t="s">
        <v>43</v>
      </c>
      <c r="H391">
        <v>0.04</v>
      </c>
      <c r="I391" t="s">
        <v>61</v>
      </c>
      <c r="J391">
        <v>13.99</v>
      </c>
      <c r="K391" t="s">
        <v>37</v>
      </c>
      <c r="L391" t="s">
        <v>31</v>
      </c>
      <c r="M391" t="s">
        <v>22</v>
      </c>
      <c r="N391" t="s">
        <v>53</v>
      </c>
      <c r="O391" t="s">
        <v>59</v>
      </c>
      <c r="P391" t="s">
        <v>34</v>
      </c>
    </row>
    <row r="392" spans="1:16" x14ac:dyDescent="0.25">
      <c r="A392" s="1">
        <v>45683</v>
      </c>
      <c r="B392" t="s">
        <v>393</v>
      </c>
      <c r="C392">
        <v>81542</v>
      </c>
      <c r="D392" t="s">
        <v>57</v>
      </c>
      <c r="E392">
        <v>44</v>
      </c>
      <c r="F392">
        <v>58.71</v>
      </c>
      <c r="G392" t="s">
        <v>36</v>
      </c>
      <c r="H392">
        <v>0.37</v>
      </c>
      <c r="I392" t="s">
        <v>19</v>
      </c>
      <c r="J392">
        <v>25.07</v>
      </c>
      <c r="K392" t="s">
        <v>44</v>
      </c>
      <c r="L392" t="s">
        <v>21</v>
      </c>
      <c r="M392" t="s">
        <v>22</v>
      </c>
      <c r="N392" t="s">
        <v>53</v>
      </c>
      <c r="O392" t="s">
        <v>24</v>
      </c>
      <c r="P392" t="s">
        <v>25</v>
      </c>
    </row>
    <row r="393" spans="1:16" x14ac:dyDescent="0.25">
      <c r="A393" s="1">
        <v>45683</v>
      </c>
      <c r="B393" t="s">
        <v>394</v>
      </c>
      <c r="C393">
        <v>19776</v>
      </c>
      <c r="D393" t="s">
        <v>27</v>
      </c>
      <c r="E393">
        <v>23</v>
      </c>
      <c r="F393">
        <v>17.27</v>
      </c>
      <c r="G393" t="s">
        <v>55</v>
      </c>
      <c r="H393">
        <v>0.17</v>
      </c>
      <c r="I393" t="s">
        <v>19</v>
      </c>
      <c r="J393">
        <v>29.78</v>
      </c>
      <c r="K393" t="s">
        <v>20</v>
      </c>
      <c r="L393" t="s">
        <v>21</v>
      </c>
      <c r="M393" t="s">
        <v>22</v>
      </c>
      <c r="N393" t="s">
        <v>23</v>
      </c>
      <c r="O393" t="s">
        <v>33</v>
      </c>
      <c r="P393" t="s">
        <v>34</v>
      </c>
    </row>
    <row r="394" spans="1:16" x14ac:dyDescent="0.25">
      <c r="A394" s="1">
        <v>45683</v>
      </c>
      <c r="B394" t="s">
        <v>395</v>
      </c>
      <c r="C394">
        <v>59733</v>
      </c>
      <c r="D394" t="s">
        <v>46</v>
      </c>
      <c r="E394">
        <v>26</v>
      </c>
      <c r="F394">
        <v>31.24</v>
      </c>
      <c r="G394" t="s">
        <v>84</v>
      </c>
      <c r="H394">
        <v>0.13</v>
      </c>
      <c r="I394" t="s">
        <v>19</v>
      </c>
      <c r="J394">
        <v>7.58</v>
      </c>
      <c r="K394" t="s">
        <v>50</v>
      </c>
      <c r="L394" t="s">
        <v>31</v>
      </c>
      <c r="M394" t="s">
        <v>22</v>
      </c>
      <c r="N394" t="s">
        <v>32</v>
      </c>
      <c r="O394" t="s">
        <v>24</v>
      </c>
      <c r="P394" t="s">
        <v>34</v>
      </c>
    </row>
    <row r="395" spans="1:16" x14ac:dyDescent="0.25">
      <c r="A395" s="1">
        <v>45683</v>
      </c>
      <c r="B395" t="s">
        <v>396</v>
      </c>
      <c r="C395">
        <v>73460</v>
      </c>
      <c r="D395" t="s">
        <v>42</v>
      </c>
      <c r="E395">
        <v>37</v>
      </c>
      <c r="F395">
        <v>81.61</v>
      </c>
      <c r="G395" t="s">
        <v>52</v>
      </c>
      <c r="H395">
        <v>0.41</v>
      </c>
      <c r="I395" t="s">
        <v>19</v>
      </c>
      <c r="J395">
        <v>8.3000000000000007</v>
      </c>
      <c r="K395" t="s">
        <v>50</v>
      </c>
      <c r="L395" t="s">
        <v>21</v>
      </c>
      <c r="M395" t="s">
        <v>22</v>
      </c>
      <c r="N395" t="s">
        <v>38</v>
      </c>
      <c r="O395" t="s">
        <v>59</v>
      </c>
      <c r="P395" t="s">
        <v>25</v>
      </c>
    </row>
    <row r="396" spans="1:16" x14ac:dyDescent="0.25">
      <c r="A396" s="1">
        <v>45683</v>
      </c>
      <c r="B396" t="s">
        <v>397</v>
      </c>
      <c r="C396">
        <v>96367</v>
      </c>
      <c r="D396" t="s">
        <v>70</v>
      </c>
      <c r="E396">
        <v>1</v>
      </c>
      <c r="F396">
        <v>95.64</v>
      </c>
      <c r="G396" t="s">
        <v>72</v>
      </c>
      <c r="H396">
        <v>0.28999999999999998</v>
      </c>
      <c r="I396" t="s">
        <v>19</v>
      </c>
      <c r="J396">
        <v>28.77</v>
      </c>
      <c r="K396" t="s">
        <v>20</v>
      </c>
      <c r="L396" t="s">
        <v>31</v>
      </c>
      <c r="M396" t="s">
        <v>22</v>
      </c>
      <c r="N396" t="s">
        <v>38</v>
      </c>
      <c r="O396" t="s">
        <v>24</v>
      </c>
      <c r="P396" t="s">
        <v>40</v>
      </c>
    </row>
    <row r="397" spans="1:16" x14ac:dyDescent="0.25">
      <c r="A397" s="1">
        <v>45683</v>
      </c>
      <c r="B397" t="s">
        <v>398</v>
      </c>
      <c r="C397">
        <v>14477</v>
      </c>
      <c r="D397" t="s">
        <v>49</v>
      </c>
      <c r="E397">
        <v>39</v>
      </c>
      <c r="F397">
        <v>75.13</v>
      </c>
      <c r="G397" t="s">
        <v>84</v>
      </c>
      <c r="H397">
        <v>0.36</v>
      </c>
      <c r="I397" t="s">
        <v>19</v>
      </c>
      <c r="J397">
        <v>12.76</v>
      </c>
      <c r="K397" t="s">
        <v>20</v>
      </c>
      <c r="L397" t="s">
        <v>31</v>
      </c>
      <c r="M397" t="s">
        <v>22</v>
      </c>
      <c r="N397" t="s">
        <v>38</v>
      </c>
      <c r="O397" t="s">
        <v>59</v>
      </c>
      <c r="P397" t="s">
        <v>25</v>
      </c>
    </row>
    <row r="398" spans="1:16" x14ac:dyDescent="0.25">
      <c r="A398" s="1">
        <v>45683</v>
      </c>
      <c r="B398" t="s">
        <v>179</v>
      </c>
      <c r="C398">
        <v>47533</v>
      </c>
      <c r="D398" t="s">
        <v>66</v>
      </c>
      <c r="E398">
        <v>43</v>
      </c>
      <c r="F398">
        <v>96.41</v>
      </c>
      <c r="G398" t="s">
        <v>18</v>
      </c>
      <c r="H398">
        <v>0</v>
      </c>
      <c r="I398" t="s">
        <v>29</v>
      </c>
      <c r="J398">
        <v>20.07</v>
      </c>
      <c r="K398" t="s">
        <v>20</v>
      </c>
      <c r="L398" t="s">
        <v>21</v>
      </c>
      <c r="M398" t="s">
        <v>22</v>
      </c>
      <c r="N398" t="s">
        <v>23</v>
      </c>
      <c r="O398" t="s">
        <v>33</v>
      </c>
      <c r="P398" t="s">
        <v>25</v>
      </c>
    </row>
    <row r="399" spans="1:16" x14ac:dyDescent="0.25">
      <c r="A399" s="1">
        <v>45683</v>
      </c>
      <c r="B399" t="s">
        <v>399</v>
      </c>
      <c r="C399">
        <v>94461</v>
      </c>
      <c r="D399" t="s">
        <v>68</v>
      </c>
      <c r="E399">
        <v>10</v>
      </c>
      <c r="G399" t="s">
        <v>47</v>
      </c>
      <c r="H399">
        <v>0.15</v>
      </c>
      <c r="I399" t="s">
        <v>19</v>
      </c>
      <c r="J399">
        <v>7.47</v>
      </c>
      <c r="K399" t="s">
        <v>20</v>
      </c>
      <c r="L399" t="s">
        <v>31</v>
      </c>
      <c r="M399" t="s">
        <v>22</v>
      </c>
      <c r="N399" t="s">
        <v>38</v>
      </c>
      <c r="O399" t="s">
        <v>81</v>
      </c>
      <c r="P399" t="s">
        <v>40</v>
      </c>
    </row>
    <row r="400" spans="1:16" x14ac:dyDescent="0.25">
      <c r="A400" s="1">
        <v>45683</v>
      </c>
      <c r="B400" t="s">
        <v>400</v>
      </c>
      <c r="C400">
        <v>46581</v>
      </c>
      <c r="D400" t="s">
        <v>75</v>
      </c>
      <c r="E400">
        <v>25</v>
      </c>
      <c r="F400">
        <v>90.66</v>
      </c>
      <c r="G400" t="s">
        <v>18</v>
      </c>
      <c r="H400">
        <v>0.28999999999999998</v>
      </c>
      <c r="I400" t="s">
        <v>19</v>
      </c>
      <c r="J400">
        <v>6.43</v>
      </c>
      <c r="K400" t="s">
        <v>44</v>
      </c>
      <c r="L400" t="s">
        <v>31</v>
      </c>
      <c r="M400" t="s">
        <v>22</v>
      </c>
      <c r="N400" t="s">
        <v>38</v>
      </c>
      <c r="O400" t="s">
        <v>59</v>
      </c>
      <c r="P400" t="s">
        <v>25</v>
      </c>
    </row>
    <row r="401" spans="1:16" x14ac:dyDescent="0.25">
      <c r="A401" s="1">
        <v>45683</v>
      </c>
      <c r="B401" t="s">
        <v>401</v>
      </c>
      <c r="C401">
        <v>52927</v>
      </c>
      <c r="D401" t="s">
        <v>17</v>
      </c>
      <c r="E401">
        <v>33</v>
      </c>
      <c r="F401">
        <v>89.2</v>
      </c>
      <c r="G401" t="s">
        <v>99</v>
      </c>
      <c r="H401">
        <v>0.37</v>
      </c>
      <c r="I401" t="s">
        <v>19</v>
      </c>
      <c r="J401">
        <v>12.41</v>
      </c>
      <c r="K401" t="s">
        <v>50</v>
      </c>
      <c r="L401" t="s">
        <v>31</v>
      </c>
      <c r="M401" t="s">
        <v>111</v>
      </c>
      <c r="N401" t="s">
        <v>53</v>
      </c>
      <c r="O401" t="s">
        <v>24</v>
      </c>
      <c r="P401" t="s">
        <v>40</v>
      </c>
    </row>
    <row r="402" spans="1:16" x14ac:dyDescent="0.25">
      <c r="A402" s="1">
        <v>45684</v>
      </c>
      <c r="B402" t="s">
        <v>402</v>
      </c>
      <c r="C402">
        <v>60888</v>
      </c>
      <c r="D402" t="s">
        <v>46</v>
      </c>
      <c r="E402">
        <v>27</v>
      </c>
      <c r="F402">
        <v>31.33</v>
      </c>
      <c r="G402" t="s">
        <v>52</v>
      </c>
      <c r="H402">
        <v>0.25</v>
      </c>
      <c r="I402" t="s">
        <v>19</v>
      </c>
      <c r="J402">
        <v>23.59</v>
      </c>
      <c r="K402" t="s">
        <v>50</v>
      </c>
      <c r="L402" t="s">
        <v>21</v>
      </c>
      <c r="M402" t="s">
        <v>22</v>
      </c>
      <c r="N402" t="s">
        <v>32</v>
      </c>
      <c r="O402" t="s">
        <v>33</v>
      </c>
      <c r="P402" t="s">
        <v>25</v>
      </c>
    </row>
    <row r="403" spans="1:16" x14ac:dyDescent="0.25">
      <c r="A403" s="1">
        <v>45684</v>
      </c>
      <c r="B403" t="s">
        <v>403</v>
      </c>
      <c r="C403">
        <v>19196</v>
      </c>
      <c r="D403" t="s">
        <v>89</v>
      </c>
      <c r="E403">
        <v>8</v>
      </c>
      <c r="G403" t="s">
        <v>18</v>
      </c>
      <c r="H403">
        <v>0.37</v>
      </c>
      <c r="I403" t="s">
        <v>29</v>
      </c>
      <c r="J403">
        <v>9.49</v>
      </c>
      <c r="K403" t="s">
        <v>44</v>
      </c>
      <c r="L403" t="s">
        <v>21</v>
      </c>
      <c r="M403" t="s">
        <v>22</v>
      </c>
      <c r="N403" t="s">
        <v>23</v>
      </c>
      <c r="O403" t="s">
        <v>59</v>
      </c>
      <c r="P403" t="s">
        <v>40</v>
      </c>
    </row>
    <row r="404" spans="1:16" x14ac:dyDescent="0.25">
      <c r="A404" s="1">
        <v>45684</v>
      </c>
      <c r="B404" t="s">
        <v>404</v>
      </c>
      <c r="C404">
        <v>12561</v>
      </c>
      <c r="D404" t="s">
        <v>70</v>
      </c>
      <c r="E404">
        <v>23</v>
      </c>
      <c r="F404">
        <v>69.45</v>
      </c>
      <c r="G404" t="s">
        <v>76</v>
      </c>
      <c r="H404">
        <v>0.32</v>
      </c>
      <c r="I404" t="s">
        <v>61</v>
      </c>
      <c r="J404">
        <v>24.36</v>
      </c>
      <c r="K404" t="s">
        <v>20</v>
      </c>
      <c r="L404" t="s">
        <v>21</v>
      </c>
      <c r="M404" t="s">
        <v>111</v>
      </c>
      <c r="N404" t="s">
        <v>32</v>
      </c>
      <c r="O404" t="s">
        <v>33</v>
      </c>
      <c r="P404" t="s">
        <v>40</v>
      </c>
    </row>
    <row r="405" spans="1:16" x14ac:dyDescent="0.25">
      <c r="A405" s="1">
        <v>45684</v>
      </c>
      <c r="B405" t="s">
        <v>221</v>
      </c>
      <c r="C405">
        <v>67622</v>
      </c>
      <c r="D405" t="s">
        <v>17</v>
      </c>
      <c r="E405">
        <v>40</v>
      </c>
      <c r="F405">
        <v>78.73</v>
      </c>
      <c r="G405" t="s">
        <v>43</v>
      </c>
      <c r="H405">
        <v>0.26</v>
      </c>
      <c r="I405" t="s">
        <v>61</v>
      </c>
      <c r="J405">
        <v>26.8</v>
      </c>
      <c r="K405" t="s">
        <v>50</v>
      </c>
      <c r="L405" t="s">
        <v>31</v>
      </c>
      <c r="M405" t="s">
        <v>22</v>
      </c>
      <c r="N405" t="s">
        <v>32</v>
      </c>
      <c r="O405" t="s">
        <v>39</v>
      </c>
      <c r="P405" t="s">
        <v>34</v>
      </c>
    </row>
    <row r="406" spans="1:16" x14ac:dyDescent="0.25">
      <c r="A406" s="1">
        <v>45684</v>
      </c>
      <c r="B406" t="s">
        <v>405</v>
      </c>
      <c r="C406">
        <v>30840</v>
      </c>
      <c r="D406" t="s">
        <v>27</v>
      </c>
      <c r="E406">
        <v>26</v>
      </c>
      <c r="F406">
        <v>45.21</v>
      </c>
      <c r="G406" t="s">
        <v>99</v>
      </c>
      <c r="H406">
        <v>0.16</v>
      </c>
      <c r="I406" t="s">
        <v>19</v>
      </c>
      <c r="J406">
        <v>26.75</v>
      </c>
      <c r="K406" t="s">
        <v>44</v>
      </c>
      <c r="L406" t="s">
        <v>21</v>
      </c>
      <c r="M406" t="s">
        <v>22</v>
      </c>
      <c r="N406" t="s">
        <v>53</v>
      </c>
      <c r="O406" t="s">
        <v>59</v>
      </c>
      <c r="P406" t="s">
        <v>40</v>
      </c>
    </row>
    <row r="407" spans="1:16" x14ac:dyDescent="0.25">
      <c r="A407" s="1">
        <v>45684</v>
      </c>
      <c r="B407" t="s">
        <v>406</v>
      </c>
      <c r="C407">
        <v>73070</v>
      </c>
      <c r="D407" t="s">
        <v>17</v>
      </c>
      <c r="E407">
        <v>7</v>
      </c>
      <c r="F407">
        <v>73.92</v>
      </c>
      <c r="G407" t="s">
        <v>43</v>
      </c>
      <c r="H407">
        <v>0.38</v>
      </c>
      <c r="I407" t="s">
        <v>61</v>
      </c>
      <c r="J407">
        <v>5.78</v>
      </c>
      <c r="K407" t="s">
        <v>30</v>
      </c>
      <c r="L407" t="s">
        <v>31</v>
      </c>
      <c r="M407" t="s">
        <v>22</v>
      </c>
      <c r="N407" t="s">
        <v>38</v>
      </c>
      <c r="O407" t="s">
        <v>59</v>
      </c>
      <c r="P407" t="s">
        <v>25</v>
      </c>
    </row>
    <row r="408" spans="1:16" x14ac:dyDescent="0.25">
      <c r="A408" s="1">
        <v>45684</v>
      </c>
      <c r="B408" t="s">
        <v>407</v>
      </c>
      <c r="C408">
        <v>52663</v>
      </c>
      <c r="D408" t="s">
        <v>42</v>
      </c>
      <c r="E408">
        <v>23</v>
      </c>
      <c r="F408">
        <v>66.16</v>
      </c>
      <c r="G408" t="s">
        <v>36</v>
      </c>
      <c r="H408">
        <v>0.35</v>
      </c>
      <c r="I408" t="s">
        <v>19</v>
      </c>
      <c r="J408">
        <v>14.47</v>
      </c>
      <c r="K408" t="s">
        <v>30</v>
      </c>
      <c r="L408" t="s">
        <v>31</v>
      </c>
      <c r="M408" t="s">
        <v>22</v>
      </c>
      <c r="N408" t="s">
        <v>53</v>
      </c>
      <c r="O408" t="s">
        <v>24</v>
      </c>
      <c r="P408" t="s">
        <v>25</v>
      </c>
    </row>
    <row r="409" spans="1:16" x14ac:dyDescent="0.25">
      <c r="A409" s="1">
        <v>45684</v>
      </c>
      <c r="B409" t="s">
        <v>408</v>
      </c>
      <c r="C409">
        <v>87202</v>
      </c>
      <c r="D409" t="s">
        <v>89</v>
      </c>
      <c r="E409">
        <v>41</v>
      </c>
      <c r="F409">
        <v>65.09</v>
      </c>
      <c r="G409" t="s">
        <v>55</v>
      </c>
      <c r="H409">
        <v>0.12</v>
      </c>
      <c r="I409" t="s">
        <v>29</v>
      </c>
      <c r="J409">
        <v>27.93</v>
      </c>
      <c r="K409" t="s">
        <v>37</v>
      </c>
      <c r="L409" t="s">
        <v>31</v>
      </c>
      <c r="M409" t="s">
        <v>22</v>
      </c>
      <c r="N409" t="s">
        <v>38</v>
      </c>
      <c r="O409" t="s">
        <v>81</v>
      </c>
      <c r="P409" t="s">
        <v>40</v>
      </c>
    </row>
    <row r="410" spans="1:16" x14ac:dyDescent="0.25">
      <c r="A410" s="1">
        <v>45684</v>
      </c>
      <c r="B410" t="s">
        <v>79</v>
      </c>
      <c r="C410">
        <v>31681</v>
      </c>
      <c r="D410" t="s">
        <v>57</v>
      </c>
      <c r="E410">
        <v>37</v>
      </c>
      <c r="F410">
        <v>33.869999999999997</v>
      </c>
      <c r="G410" t="s">
        <v>76</v>
      </c>
      <c r="H410">
        <v>0.05</v>
      </c>
      <c r="I410" t="s">
        <v>29</v>
      </c>
      <c r="J410">
        <v>27.04</v>
      </c>
      <c r="K410" t="s">
        <v>20</v>
      </c>
      <c r="L410" t="s">
        <v>21</v>
      </c>
      <c r="M410" t="s">
        <v>22</v>
      </c>
      <c r="N410" t="s">
        <v>38</v>
      </c>
      <c r="O410" t="s">
        <v>39</v>
      </c>
      <c r="P410" t="s">
        <v>34</v>
      </c>
    </row>
    <row r="411" spans="1:16" x14ac:dyDescent="0.25">
      <c r="A411" s="1">
        <v>45684</v>
      </c>
      <c r="B411" t="s">
        <v>409</v>
      </c>
      <c r="C411">
        <v>13350</v>
      </c>
      <c r="D411" t="s">
        <v>46</v>
      </c>
      <c r="E411">
        <v>2</v>
      </c>
      <c r="F411">
        <v>53.33</v>
      </c>
      <c r="G411" t="s">
        <v>84</v>
      </c>
      <c r="H411">
        <v>0.3</v>
      </c>
      <c r="I411" t="s">
        <v>19</v>
      </c>
      <c r="J411">
        <v>11.01</v>
      </c>
      <c r="K411" t="s">
        <v>44</v>
      </c>
      <c r="L411" t="s">
        <v>21</v>
      </c>
      <c r="M411" t="s">
        <v>22</v>
      </c>
      <c r="N411" t="s">
        <v>38</v>
      </c>
      <c r="O411" t="s">
        <v>39</v>
      </c>
      <c r="P411" t="s">
        <v>40</v>
      </c>
    </row>
    <row r="412" spans="1:16" x14ac:dyDescent="0.25">
      <c r="A412" s="1">
        <v>45684</v>
      </c>
      <c r="B412" t="s">
        <v>410</v>
      </c>
      <c r="C412">
        <v>13470</v>
      </c>
      <c r="D412" t="s">
        <v>42</v>
      </c>
      <c r="E412">
        <v>4</v>
      </c>
      <c r="F412">
        <v>48.07</v>
      </c>
      <c r="G412" t="s">
        <v>58</v>
      </c>
      <c r="H412">
        <v>0.34</v>
      </c>
      <c r="I412" t="s">
        <v>61</v>
      </c>
      <c r="J412">
        <v>26.23</v>
      </c>
      <c r="K412" t="s">
        <v>30</v>
      </c>
      <c r="L412" t="s">
        <v>31</v>
      </c>
      <c r="M412" t="s">
        <v>22</v>
      </c>
      <c r="N412" t="s">
        <v>38</v>
      </c>
      <c r="O412" t="s">
        <v>59</v>
      </c>
      <c r="P412" t="s">
        <v>40</v>
      </c>
    </row>
    <row r="413" spans="1:16" x14ac:dyDescent="0.25">
      <c r="A413" s="1">
        <v>45684</v>
      </c>
      <c r="B413" t="s">
        <v>88</v>
      </c>
      <c r="C413">
        <v>52998</v>
      </c>
      <c r="D413" t="s">
        <v>68</v>
      </c>
      <c r="E413">
        <v>42</v>
      </c>
      <c r="F413">
        <v>76.63</v>
      </c>
      <c r="G413" t="s">
        <v>76</v>
      </c>
      <c r="H413">
        <v>0.16</v>
      </c>
      <c r="I413" t="s">
        <v>29</v>
      </c>
      <c r="J413">
        <v>10.57</v>
      </c>
      <c r="K413" t="s">
        <v>20</v>
      </c>
      <c r="L413" t="s">
        <v>21</v>
      </c>
      <c r="M413" t="s">
        <v>22</v>
      </c>
      <c r="N413" t="s">
        <v>32</v>
      </c>
      <c r="O413" t="s">
        <v>33</v>
      </c>
      <c r="P413" t="s">
        <v>34</v>
      </c>
    </row>
    <row r="414" spans="1:16" x14ac:dyDescent="0.25">
      <c r="A414" s="1">
        <v>45684</v>
      </c>
      <c r="B414" t="s">
        <v>317</v>
      </c>
      <c r="C414">
        <v>39476</v>
      </c>
      <c r="D414" t="s">
        <v>49</v>
      </c>
      <c r="E414">
        <v>1</v>
      </c>
      <c r="F414">
        <v>87.79</v>
      </c>
      <c r="G414" t="s">
        <v>18</v>
      </c>
      <c r="H414">
        <v>0.42</v>
      </c>
      <c r="I414" t="s">
        <v>19</v>
      </c>
      <c r="J414">
        <v>21.72</v>
      </c>
      <c r="K414" t="s">
        <v>37</v>
      </c>
      <c r="L414" t="s">
        <v>31</v>
      </c>
      <c r="M414" t="s">
        <v>22</v>
      </c>
      <c r="N414" t="s">
        <v>38</v>
      </c>
      <c r="O414" t="s">
        <v>81</v>
      </c>
      <c r="P414" t="s">
        <v>40</v>
      </c>
    </row>
    <row r="415" spans="1:16" x14ac:dyDescent="0.25">
      <c r="A415" s="1">
        <v>45684</v>
      </c>
      <c r="B415" t="s">
        <v>320</v>
      </c>
      <c r="C415">
        <v>38309</v>
      </c>
      <c r="D415" t="s">
        <v>49</v>
      </c>
      <c r="E415">
        <v>22</v>
      </c>
      <c r="F415">
        <v>50.81</v>
      </c>
      <c r="G415" t="s">
        <v>58</v>
      </c>
      <c r="H415">
        <v>0.5</v>
      </c>
      <c r="I415" t="s">
        <v>29</v>
      </c>
      <c r="J415">
        <v>16.73</v>
      </c>
      <c r="K415" t="s">
        <v>44</v>
      </c>
      <c r="L415" t="s">
        <v>21</v>
      </c>
      <c r="M415" t="s">
        <v>22</v>
      </c>
      <c r="N415" t="s">
        <v>38</v>
      </c>
      <c r="O415" t="s">
        <v>81</v>
      </c>
      <c r="P415" t="s">
        <v>25</v>
      </c>
    </row>
    <row r="416" spans="1:16" x14ac:dyDescent="0.25">
      <c r="A416" s="1">
        <v>45684</v>
      </c>
      <c r="B416" t="s">
        <v>231</v>
      </c>
      <c r="C416">
        <v>19099</v>
      </c>
      <c r="D416" t="s">
        <v>70</v>
      </c>
      <c r="E416">
        <v>17</v>
      </c>
      <c r="F416">
        <v>53.65</v>
      </c>
      <c r="G416" t="s">
        <v>72</v>
      </c>
      <c r="H416">
        <v>0.35</v>
      </c>
      <c r="I416" t="s">
        <v>61</v>
      </c>
      <c r="J416">
        <v>27.2</v>
      </c>
      <c r="K416" t="s">
        <v>37</v>
      </c>
      <c r="L416" t="s">
        <v>21</v>
      </c>
      <c r="M416" t="s">
        <v>22</v>
      </c>
      <c r="N416" t="s">
        <v>38</v>
      </c>
      <c r="O416" t="s">
        <v>24</v>
      </c>
      <c r="P416" t="s">
        <v>40</v>
      </c>
    </row>
    <row r="417" spans="1:16" x14ac:dyDescent="0.25">
      <c r="A417" s="1">
        <v>45684</v>
      </c>
      <c r="B417" t="s">
        <v>411</v>
      </c>
      <c r="C417">
        <v>30424</v>
      </c>
      <c r="D417" t="s">
        <v>68</v>
      </c>
      <c r="E417">
        <v>5</v>
      </c>
      <c r="F417">
        <v>51.5</v>
      </c>
      <c r="G417" t="s">
        <v>55</v>
      </c>
      <c r="H417">
        <v>0.16</v>
      </c>
      <c r="I417" t="s">
        <v>29</v>
      </c>
      <c r="J417">
        <v>11.53</v>
      </c>
      <c r="K417" t="s">
        <v>44</v>
      </c>
      <c r="L417" t="s">
        <v>21</v>
      </c>
      <c r="M417" t="s">
        <v>22</v>
      </c>
      <c r="N417" t="s">
        <v>32</v>
      </c>
      <c r="O417" t="s">
        <v>33</v>
      </c>
      <c r="P417" t="s">
        <v>34</v>
      </c>
    </row>
    <row r="418" spans="1:16" x14ac:dyDescent="0.25">
      <c r="A418" s="1">
        <v>45684</v>
      </c>
      <c r="B418" t="s">
        <v>412</v>
      </c>
      <c r="C418">
        <v>17347</v>
      </c>
      <c r="D418" t="s">
        <v>49</v>
      </c>
      <c r="E418">
        <v>23</v>
      </c>
      <c r="F418">
        <v>79.92</v>
      </c>
      <c r="G418" t="s">
        <v>72</v>
      </c>
      <c r="H418">
        <v>0.12</v>
      </c>
      <c r="I418" t="s">
        <v>61</v>
      </c>
      <c r="J418">
        <v>6.97</v>
      </c>
      <c r="K418" t="s">
        <v>44</v>
      </c>
      <c r="L418" t="s">
        <v>31</v>
      </c>
      <c r="M418" t="s">
        <v>22</v>
      </c>
      <c r="N418" t="s">
        <v>23</v>
      </c>
      <c r="O418" t="s">
        <v>39</v>
      </c>
      <c r="P418" t="s">
        <v>34</v>
      </c>
    </row>
    <row r="419" spans="1:16" x14ac:dyDescent="0.25">
      <c r="A419" s="1">
        <v>45684</v>
      </c>
      <c r="B419" t="s">
        <v>189</v>
      </c>
      <c r="C419">
        <v>45211</v>
      </c>
      <c r="D419" t="s">
        <v>70</v>
      </c>
      <c r="E419">
        <v>26</v>
      </c>
      <c r="F419">
        <v>33.99</v>
      </c>
      <c r="G419" t="s">
        <v>52</v>
      </c>
      <c r="H419">
        <v>0.2</v>
      </c>
      <c r="I419" t="s">
        <v>61</v>
      </c>
      <c r="J419">
        <v>6.41</v>
      </c>
      <c r="K419" t="s">
        <v>30</v>
      </c>
      <c r="L419" t="s">
        <v>31</v>
      </c>
      <c r="M419" t="s">
        <v>22</v>
      </c>
      <c r="N419" t="s">
        <v>23</v>
      </c>
      <c r="O419" t="s">
        <v>24</v>
      </c>
      <c r="P419" t="s">
        <v>40</v>
      </c>
    </row>
    <row r="420" spans="1:16" x14ac:dyDescent="0.25">
      <c r="A420" s="1">
        <v>45684</v>
      </c>
      <c r="B420" t="s">
        <v>413</v>
      </c>
      <c r="C420">
        <v>85991</v>
      </c>
      <c r="D420" t="s">
        <v>70</v>
      </c>
      <c r="E420">
        <v>5</v>
      </c>
      <c r="F420">
        <v>57.94</v>
      </c>
      <c r="G420" t="s">
        <v>52</v>
      </c>
      <c r="H420">
        <v>0.26</v>
      </c>
      <c r="I420" t="s">
        <v>61</v>
      </c>
      <c r="J420">
        <v>8.82</v>
      </c>
      <c r="K420" t="s">
        <v>50</v>
      </c>
      <c r="L420" t="s">
        <v>31</v>
      </c>
      <c r="M420" t="s">
        <v>22</v>
      </c>
      <c r="N420" t="s">
        <v>38</v>
      </c>
      <c r="O420" t="s">
        <v>33</v>
      </c>
      <c r="P420" t="s">
        <v>34</v>
      </c>
    </row>
    <row r="421" spans="1:16" x14ac:dyDescent="0.25">
      <c r="A421" s="1">
        <v>45684</v>
      </c>
      <c r="B421" t="s">
        <v>67</v>
      </c>
      <c r="C421">
        <v>90517</v>
      </c>
      <c r="D421" t="s">
        <v>57</v>
      </c>
      <c r="E421">
        <v>46</v>
      </c>
      <c r="F421">
        <v>97.73</v>
      </c>
      <c r="G421" t="s">
        <v>76</v>
      </c>
      <c r="H421">
        <v>0.28000000000000003</v>
      </c>
      <c r="I421" t="s">
        <v>19</v>
      </c>
      <c r="J421">
        <v>11.06</v>
      </c>
      <c r="K421" t="s">
        <v>44</v>
      </c>
      <c r="L421" t="s">
        <v>21</v>
      </c>
      <c r="M421" t="s">
        <v>22</v>
      </c>
      <c r="N421" t="s">
        <v>53</v>
      </c>
      <c r="O421" t="s">
        <v>33</v>
      </c>
      <c r="P421" t="s">
        <v>25</v>
      </c>
    </row>
    <row r="422" spans="1:16" x14ac:dyDescent="0.25">
      <c r="A422" s="1">
        <v>45684</v>
      </c>
      <c r="B422" t="s">
        <v>228</v>
      </c>
      <c r="C422">
        <v>40495</v>
      </c>
      <c r="D422" t="s">
        <v>68</v>
      </c>
      <c r="E422">
        <v>38</v>
      </c>
      <c r="F422">
        <v>73.459999999999994</v>
      </c>
      <c r="G422" t="s">
        <v>28</v>
      </c>
      <c r="H422">
        <v>0.36</v>
      </c>
      <c r="I422" t="s">
        <v>29</v>
      </c>
      <c r="J422">
        <v>10.69</v>
      </c>
      <c r="K422" t="s">
        <v>37</v>
      </c>
      <c r="L422" t="s">
        <v>21</v>
      </c>
      <c r="M422" t="s">
        <v>22</v>
      </c>
      <c r="N422" t="s">
        <v>53</v>
      </c>
      <c r="O422" t="s">
        <v>59</v>
      </c>
      <c r="P422" t="s">
        <v>25</v>
      </c>
    </row>
    <row r="423" spans="1:16" x14ac:dyDescent="0.25">
      <c r="A423" s="1">
        <v>45684</v>
      </c>
      <c r="B423" t="s">
        <v>414</v>
      </c>
      <c r="C423">
        <v>86549</v>
      </c>
      <c r="D423" t="s">
        <v>27</v>
      </c>
      <c r="E423">
        <v>9</v>
      </c>
      <c r="F423">
        <v>82.33</v>
      </c>
      <c r="G423" t="s">
        <v>99</v>
      </c>
      <c r="H423">
        <v>0.18</v>
      </c>
      <c r="I423" t="s">
        <v>19</v>
      </c>
      <c r="J423">
        <v>12.27</v>
      </c>
      <c r="K423" t="s">
        <v>37</v>
      </c>
      <c r="L423" t="s">
        <v>31</v>
      </c>
      <c r="M423" t="s">
        <v>22</v>
      </c>
      <c r="N423" t="s">
        <v>38</v>
      </c>
      <c r="O423" t="s">
        <v>81</v>
      </c>
      <c r="P423" t="s">
        <v>34</v>
      </c>
    </row>
    <row r="424" spans="1:16" x14ac:dyDescent="0.25">
      <c r="A424" s="1">
        <v>45684</v>
      </c>
      <c r="B424" t="s">
        <v>415</v>
      </c>
      <c r="C424">
        <v>92648</v>
      </c>
      <c r="D424" t="s">
        <v>57</v>
      </c>
      <c r="E424">
        <v>14</v>
      </c>
      <c r="F424">
        <v>36.200000000000003</v>
      </c>
      <c r="G424" t="s">
        <v>99</v>
      </c>
      <c r="H424">
        <v>0.36</v>
      </c>
      <c r="I424" t="s">
        <v>29</v>
      </c>
      <c r="J424">
        <v>27.66</v>
      </c>
      <c r="K424" t="s">
        <v>37</v>
      </c>
      <c r="L424" t="s">
        <v>31</v>
      </c>
      <c r="M424" t="s">
        <v>22</v>
      </c>
      <c r="N424" t="s">
        <v>32</v>
      </c>
      <c r="O424" t="s">
        <v>59</v>
      </c>
      <c r="P424" t="s">
        <v>40</v>
      </c>
    </row>
    <row r="425" spans="1:16" x14ac:dyDescent="0.25">
      <c r="A425" s="1">
        <v>45685</v>
      </c>
      <c r="B425" t="s">
        <v>234</v>
      </c>
      <c r="C425">
        <v>96268</v>
      </c>
      <c r="D425" t="s">
        <v>70</v>
      </c>
      <c r="E425">
        <v>32</v>
      </c>
      <c r="F425">
        <v>62.13</v>
      </c>
      <c r="G425" t="s">
        <v>58</v>
      </c>
      <c r="H425">
        <v>0.36</v>
      </c>
      <c r="I425" t="s">
        <v>29</v>
      </c>
      <c r="J425">
        <v>29.6</v>
      </c>
      <c r="K425" t="s">
        <v>30</v>
      </c>
      <c r="L425" t="s">
        <v>31</v>
      </c>
      <c r="M425" t="s">
        <v>22</v>
      </c>
      <c r="N425" t="s">
        <v>38</v>
      </c>
      <c r="O425" t="s">
        <v>24</v>
      </c>
      <c r="P425" t="s">
        <v>40</v>
      </c>
    </row>
    <row r="426" spans="1:16" x14ac:dyDescent="0.25">
      <c r="A426" s="1">
        <v>45685</v>
      </c>
      <c r="B426" t="s">
        <v>416</v>
      </c>
      <c r="C426">
        <v>23361</v>
      </c>
      <c r="D426" t="s">
        <v>46</v>
      </c>
      <c r="E426">
        <v>2</v>
      </c>
      <c r="F426">
        <v>26.52</v>
      </c>
      <c r="G426" t="s">
        <v>84</v>
      </c>
      <c r="H426">
        <v>0.18</v>
      </c>
      <c r="I426" t="s">
        <v>19</v>
      </c>
      <c r="J426">
        <v>6.96</v>
      </c>
      <c r="K426" t="s">
        <v>50</v>
      </c>
      <c r="L426" t="s">
        <v>31</v>
      </c>
      <c r="M426" t="s">
        <v>22</v>
      </c>
      <c r="N426" t="s">
        <v>23</v>
      </c>
      <c r="O426" t="s">
        <v>39</v>
      </c>
      <c r="P426" t="s">
        <v>25</v>
      </c>
    </row>
    <row r="427" spans="1:16" x14ac:dyDescent="0.25">
      <c r="A427" s="1">
        <v>45685</v>
      </c>
      <c r="B427" t="s">
        <v>414</v>
      </c>
      <c r="C427">
        <v>62339</v>
      </c>
      <c r="D427" t="s">
        <v>75</v>
      </c>
      <c r="E427">
        <v>3</v>
      </c>
      <c r="G427" t="s">
        <v>52</v>
      </c>
      <c r="H427">
        <v>0.02</v>
      </c>
      <c r="I427" t="s">
        <v>29</v>
      </c>
      <c r="J427">
        <v>23.73</v>
      </c>
      <c r="K427" t="s">
        <v>37</v>
      </c>
      <c r="L427" t="s">
        <v>31</v>
      </c>
      <c r="M427" t="s">
        <v>22</v>
      </c>
      <c r="N427" t="s">
        <v>53</v>
      </c>
      <c r="O427" t="s">
        <v>33</v>
      </c>
      <c r="P427" t="s">
        <v>34</v>
      </c>
    </row>
    <row r="428" spans="1:16" x14ac:dyDescent="0.25">
      <c r="A428" s="1">
        <v>45685</v>
      </c>
      <c r="B428" t="s">
        <v>417</v>
      </c>
      <c r="C428">
        <v>24006</v>
      </c>
      <c r="D428" t="s">
        <v>42</v>
      </c>
      <c r="E428">
        <v>44</v>
      </c>
      <c r="F428">
        <v>66.83</v>
      </c>
      <c r="G428" t="s">
        <v>36</v>
      </c>
      <c r="H428">
        <v>0</v>
      </c>
      <c r="I428" t="s">
        <v>29</v>
      </c>
      <c r="J428">
        <v>9.5299999999999994</v>
      </c>
      <c r="K428" t="s">
        <v>44</v>
      </c>
      <c r="L428" t="s">
        <v>31</v>
      </c>
      <c r="M428" t="s">
        <v>22</v>
      </c>
      <c r="N428" t="s">
        <v>38</v>
      </c>
      <c r="O428" t="s">
        <v>81</v>
      </c>
      <c r="P428" t="s">
        <v>25</v>
      </c>
    </row>
    <row r="429" spans="1:16" x14ac:dyDescent="0.25">
      <c r="A429" s="1">
        <v>45685</v>
      </c>
      <c r="B429" t="s">
        <v>135</v>
      </c>
      <c r="C429">
        <v>36914</v>
      </c>
      <c r="D429" t="s">
        <v>46</v>
      </c>
      <c r="E429">
        <v>42</v>
      </c>
      <c r="F429">
        <v>17.05</v>
      </c>
      <c r="G429" t="s">
        <v>76</v>
      </c>
      <c r="H429">
        <v>0.01</v>
      </c>
      <c r="I429" t="s">
        <v>29</v>
      </c>
      <c r="J429">
        <v>29.41</v>
      </c>
      <c r="K429" t="s">
        <v>50</v>
      </c>
      <c r="L429" t="s">
        <v>31</v>
      </c>
      <c r="M429" t="s">
        <v>22</v>
      </c>
      <c r="N429" t="s">
        <v>53</v>
      </c>
      <c r="O429" t="s">
        <v>33</v>
      </c>
      <c r="P429" t="s">
        <v>25</v>
      </c>
    </row>
    <row r="430" spans="1:16" x14ac:dyDescent="0.25">
      <c r="A430" s="1">
        <v>45685</v>
      </c>
      <c r="B430" t="s">
        <v>218</v>
      </c>
      <c r="C430">
        <v>81604</v>
      </c>
      <c r="D430" t="s">
        <v>46</v>
      </c>
      <c r="E430">
        <v>37</v>
      </c>
      <c r="F430">
        <v>2.42</v>
      </c>
      <c r="G430" t="s">
        <v>18</v>
      </c>
      <c r="H430">
        <v>0.02</v>
      </c>
      <c r="I430" t="s">
        <v>29</v>
      </c>
      <c r="J430">
        <v>14.69</v>
      </c>
      <c r="K430" t="s">
        <v>20</v>
      </c>
      <c r="L430" t="s">
        <v>31</v>
      </c>
      <c r="M430" t="s">
        <v>111</v>
      </c>
      <c r="N430" t="s">
        <v>53</v>
      </c>
      <c r="O430" t="s">
        <v>33</v>
      </c>
      <c r="P430" t="s">
        <v>34</v>
      </c>
    </row>
    <row r="431" spans="1:16" x14ac:dyDescent="0.25">
      <c r="A431" s="1">
        <v>45685</v>
      </c>
      <c r="B431" t="s">
        <v>328</v>
      </c>
      <c r="C431">
        <v>91629</v>
      </c>
      <c r="D431" t="s">
        <v>68</v>
      </c>
      <c r="E431">
        <v>49</v>
      </c>
      <c r="F431">
        <v>55.96</v>
      </c>
      <c r="G431" t="s">
        <v>72</v>
      </c>
      <c r="H431">
        <v>0.39</v>
      </c>
      <c r="I431" t="s">
        <v>29</v>
      </c>
      <c r="J431">
        <v>22.96</v>
      </c>
      <c r="K431" t="s">
        <v>50</v>
      </c>
      <c r="L431" t="s">
        <v>31</v>
      </c>
      <c r="M431" t="s">
        <v>22</v>
      </c>
      <c r="N431" t="s">
        <v>32</v>
      </c>
      <c r="O431" t="s">
        <v>24</v>
      </c>
      <c r="P431" t="s">
        <v>25</v>
      </c>
    </row>
    <row r="432" spans="1:16" x14ac:dyDescent="0.25">
      <c r="A432" s="1">
        <v>45685</v>
      </c>
      <c r="B432" t="s">
        <v>418</v>
      </c>
      <c r="C432">
        <v>92920</v>
      </c>
      <c r="D432" t="s">
        <v>57</v>
      </c>
      <c r="E432">
        <v>23</v>
      </c>
      <c r="F432">
        <v>53.54</v>
      </c>
      <c r="G432" t="s">
        <v>43</v>
      </c>
      <c r="H432">
        <v>0.34</v>
      </c>
      <c r="I432" t="s">
        <v>19</v>
      </c>
      <c r="J432">
        <v>10.56</v>
      </c>
      <c r="K432" t="s">
        <v>50</v>
      </c>
      <c r="L432" t="s">
        <v>31</v>
      </c>
      <c r="M432" t="s">
        <v>22</v>
      </c>
      <c r="N432" t="s">
        <v>23</v>
      </c>
      <c r="O432" t="s">
        <v>24</v>
      </c>
      <c r="P432" t="s">
        <v>40</v>
      </c>
    </row>
    <row r="433" spans="1:16" x14ac:dyDescent="0.25">
      <c r="A433" s="1">
        <v>45685</v>
      </c>
      <c r="B433" t="s">
        <v>124</v>
      </c>
      <c r="C433">
        <v>79524</v>
      </c>
      <c r="D433" t="s">
        <v>57</v>
      </c>
      <c r="E433">
        <v>27</v>
      </c>
      <c r="F433">
        <v>66.599999999999994</v>
      </c>
      <c r="G433" t="s">
        <v>43</v>
      </c>
      <c r="H433">
        <v>0.48</v>
      </c>
      <c r="I433" t="s">
        <v>19</v>
      </c>
      <c r="J433">
        <v>21.49</v>
      </c>
      <c r="K433" t="s">
        <v>37</v>
      </c>
      <c r="L433" t="s">
        <v>31</v>
      </c>
      <c r="M433" t="s">
        <v>22</v>
      </c>
      <c r="N433" t="s">
        <v>32</v>
      </c>
      <c r="O433" t="s">
        <v>81</v>
      </c>
      <c r="P433" t="s">
        <v>25</v>
      </c>
    </row>
    <row r="434" spans="1:16" x14ac:dyDescent="0.25">
      <c r="A434" s="1">
        <v>45685</v>
      </c>
      <c r="B434" t="s">
        <v>391</v>
      </c>
      <c r="C434">
        <v>19766</v>
      </c>
      <c r="D434" t="s">
        <v>66</v>
      </c>
      <c r="E434">
        <v>7</v>
      </c>
      <c r="F434">
        <v>54.12</v>
      </c>
      <c r="G434" t="s">
        <v>55</v>
      </c>
      <c r="H434">
        <v>0.11</v>
      </c>
      <c r="I434" t="s">
        <v>61</v>
      </c>
      <c r="J434">
        <v>22.51</v>
      </c>
      <c r="K434" t="s">
        <v>37</v>
      </c>
      <c r="L434" t="s">
        <v>21</v>
      </c>
      <c r="M434" t="s">
        <v>22</v>
      </c>
      <c r="N434" t="s">
        <v>38</v>
      </c>
      <c r="O434" t="s">
        <v>59</v>
      </c>
      <c r="P434" t="s">
        <v>34</v>
      </c>
    </row>
    <row r="435" spans="1:16" x14ac:dyDescent="0.25">
      <c r="A435" s="1">
        <v>45685</v>
      </c>
      <c r="B435" t="s">
        <v>419</v>
      </c>
      <c r="C435">
        <v>52499</v>
      </c>
      <c r="D435" t="s">
        <v>27</v>
      </c>
      <c r="E435">
        <v>2</v>
      </c>
      <c r="F435">
        <v>12.1</v>
      </c>
      <c r="G435" t="s">
        <v>55</v>
      </c>
      <c r="H435">
        <v>0.14000000000000001</v>
      </c>
      <c r="I435" t="s">
        <v>29</v>
      </c>
      <c r="J435">
        <v>18.27</v>
      </c>
      <c r="K435" t="s">
        <v>30</v>
      </c>
      <c r="L435" t="s">
        <v>31</v>
      </c>
      <c r="M435" t="s">
        <v>22</v>
      </c>
      <c r="N435" t="s">
        <v>23</v>
      </c>
      <c r="O435" t="s">
        <v>33</v>
      </c>
      <c r="P435" t="s">
        <v>25</v>
      </c>
    </row>
    <row r="436" spans="1:16" x14ac:dyDescent="0.25">
      <c r="A436" s="1">
        <v>45685</v>
      </c>
      <c r="B436" t="s">
        <v>178</v>
      </c>
      <c r="C436">
        <v>70987</v>
      </c>
      <c r="D436" t="s">
        <v>89</v>
      </c>
      <c r="E436">
        <v>4</v>
      </c>
      <c r="F436">
        <v>65.64</v>
      </c>
      <c r="G436" t="s">
        <v>47</v>
      </c>
      <c r="H436">
        <v>0.23</v>
      </c>
      <c r="I436" t="s">
        <v>61</v>
      </c>
      <c r="J436">
        <v>26.94</v>
      </c>
      <c r="K436" t="s">
        <v>50</v>
      </c>
      <c r="L436" t="s">
        <v>21</v>
      </c>
      <c r="M436" t="s">
        <v>22</v>
      </c>
      <c r="N436" t="s">
        <v>23</v>
      </c>
      <c r="O436" t="s">
        <v>33</v>
      </c>
      <c r="P436" t="s">
        <v>25</v>
      </c>
    </row>
    <row r="437" spans="1:16" x14ac:dyDescent="0.25">
      <c r="A437" s="1">
        <v>45685</v>
      </c>
      <c r="B437" t="s">
        <v>420</v>
      </c>
      <c r="C437">
        <v>28665</v>
      </c>
      <c r="D437" t="s">
        <v>49</v>
      </c>
      <c r="E437">
        <v>10</v>
      </c>
      <c r="F437">
        <v>94.31</v>
      </c>
      <c r="G437" t="s">
        <v>36</v>
      </c>
      <c r="H437">
        <v>0.28000000000000003</v>
      </c>
      <c r="I437" t="s">
        <v>61</v>
      </c>
      <c r="J437">
        <v>21.1</v>
      </c>
      <c r="K437" t="s">
        <v>37</v>
      </c>
      <c r="L437" t="s">
        <v>21</v>
      </c>
      <c r="M437" t="s">
        <v>22</v>
      </c>
      <c r="N437" t="s">
        <v>38</v>
      </c>
      <c r="O437" t="s">
        <v>81</v>
      </c>
      <c r="P437" t="s">
        <v>40</v>
      </c>
    </row>
    <row r="438" spans="1:16" x14ac:dyDescent="0.25">
      <c r="A438" s="1">
        <v>45685</v>
      </c>
      <c r="B438" t="s">
        <v>391</v>
      </c>
      <c r="C438">
        <v>89484</v>
      </c>
      <c r="D438" t="s">
        <v>57</v>
      </c>
      <c r="E438">
        <v>24</v>
      </c>
      <c r="F438">
        <v>71.25</v>
      </c>
      <c r="G438" t="s">
        <v>58</v>
      </c>
      <c r="H438">
        <v>0.35</v>
      </c>
      <c r="I438" t="s">
        <v>19</v>
      </c>
      <c r="J438">
        <v>5.84</v>
      </c>
      <c r="K438" t="s">
        <v>50</v>
      </c>
      <c r="L438" t="s">
        <v>31</v>
      </c>
      <c r="M438" t="s">
        <v>22</v>
      </c>
      <c r="N438" t="s">
        <v>53</v>
      </c>
      <c r="O438" t="s">
        <v>24</v>
      </c>
      <c r="P438" t="s">
        <v>40</v>
      </c>
    </row>
    <row r="439" spans="1:16" x14ac:dyDescent="0.25">
      <c r="A439" s="1">
        <v>45685</v>
      </c>
      <c r="B439" t="s">
        <v>110</v>
      </c>
      <c r="C439">
        <v>70273</v>
      </c>
      <c r="D439" t="s">
        <v>17</v>
      </c>
      <c r="E439">
        <v>28</v>
      </c>
      <c r="F439">
        <v>63.09</v>
      </c>
      <c r="G439" t="s">
        <v>76</v>
      </c>
      <c r="H439">
        <v>0.28000000000000003</v>
      </c>
      <c r="I439" t="s">
        <v>61</v>
      </c>
      <c r="J439">
        <v>8.83</v>
      </c>
      <c r="K439" t="s">
        <v>37</v>
      </c>
      <c r="L439" t="s">
        <v>31</v>
      </c>
      <c r="M439" t="s">
        <v>22</v>
      </c>
      <c r="N439" t="s">
        <v>32</v>
      </c>
      <c r="O439" t="s">
        <v>59</v>
      </c>
      <c r="P439" t="s">
        <v>40</v>
      </c>
    </row>
    <row r="440" spans="1:16" x14ac:dyDescent="0.25">
      <c r="A440" s="1">
        <v>45685</v>
      </c>
      <c r="B440" t="s">
        <v>421</v>
      </c>
      <c r="C440">
        <v>61730</v>
      </c>
      <c r="D440" t="s">
        <v>68</v>
      </c>
      <c r="E440">
        <v>19</v>
      </c>
      <c r="F440">
        <v>96.2</v>
      </c>
      <c r="G440" t="s">
        <v>72</v>
      </c>
      <c r="H440">
        <v>0.25</v>
      </c>
      <c r="I440" t="s">
        <v>29</v>
      </c>
      <c r="J440">
        <v>13.2</v>
      </c>
      <c r="K440" t="s">
        <v>20</v>
      </c>
      <c r="L440" t="s">
        <v>31</v>
      </c>
      <c r="M440" t="s">
        <v>22</v>
      </c>
      <c r="N440" t="s">
        <v>53</v>
      </c>
      <c r="O440" t="s">
        <v>24</v>
      </c>
      <c r="P440" t="s">
        <v>25</v>
      </c>
    </row>
    <row r="441" spans="1:16" x14ac:dyDescent="0.25">
      <c r="A441" s="1">
        <v>45685</v>
      </c>
      <c r="B441" t="s">
        <v>422</v>
      </c>
      <c r="C441">
        <v>71254</v>
      </c>
      <c r="D441" t="s">
        <v>89</v>
      </c>
      <c r="E441">
        <v>19</v>
      </c>
      <c r="F441">
        <v>96.5</v>
      </c>
      <c r="G441" t="s">
        <v>76</v>
      </c>
      <c r="H441">
        <v>0.37</v>
      </c>
      <c r="I441" t="s">
        <v>61</v>
      </c>
      <c r="J441">
        <v>29.41</v>
      </c>
      <c r="K441" t="s">
        <v>44</v>
      </c>
      <c r="L441" t="s">
        <v>21</v>
      </c>
      <c r="M441" t="s">
        <v>22</v>
      </c>
      <c r="N441" t="s">
        <v>32</v>
      </c>
      <c r="O441" t="s">
        <v>33</v>
      </c>
      <c r="P441" t="s">
        <v>40</v>
      </c>
    </row>
    <row r="442" spans="1:16" x14ac:dyDescent="0.25">
      <c r="A442" s="1">
        <v>45685</v>
      </c>
      <c r="B442" t="s">
        <v>358</v>
      </c>
      <c r="C442">
        <v>86877</v>
      </c>
      <c r="D442" t="s">
        <v>66</v>
      </c>
      <c r="E442">
        <v>44</v>
      </c>
      <c r="F442">
        <v>72.16</v>
      </c>
      <c r="G442" t="s">
        <v>36</v>
      </c>
      <c r="H442">
        <v>0.46</v>
      </c>
      <c r="I442" t="s">
        <v>29</v>
      </c>
      <c r="J442">
        <v>9.66</v>
      </c>
      <c r="K442" t="s">
        <v>50</v>
      </c>
      <c r="L442" t="s">
        <v>31</v>
      </c>
      <c r="M442" t="s">
        <v>22</v>
      </c>
      <c r="N442" t="s">
        <v>23</v>
      </c>
      <c r="O442" t="s">
        <v>39</v>
      </c>
      <c r="P442" t="s">
        <v>40</v>
      </c>
    </row>
    <row r="443" spans="1:16" x14ac:dyDescent="0.25">
      <c r="A443" s="1">
        <v>45685</v>
      </c>
      <c r="B443" t="s">
        <v>359</v>
      </c>
      <c r="C443">
        <v>87913</v>
      </c>
      <c r="D443" t="s">
        <v>89</v>
      </c>
      <c r="E443">
        <v>26</v>
      </c>
      <c r="F443">
        <v>78.81</v>
      </c>
      <c r="G443" t="s">
        <v>58</v>
      </c>
      <c r="H443">
        <v>0.14000000000000001</v>
      </c>
      <c r="I443" t="s">
        <v>19</v>
      </c>
      <c r="J443">
        <v>28.97</v>
      </c>
      <c r="K443" t="s">
        <v>30</v>
      </c>
      <c r="L443" t="s">
        <v>31</v>
      </c>
      <c r="M443" t="s">
        <v>22</v>
      </c>
      <c r="N443" t="s">
        <v>38</v>
      </c>
      <c r="O443" t="s">
        <v>81</v>
      </c>
      <c r="P443" t="s">
        <v>34</v>
      </c>
    </row>
    <row r="444" spans="1:16" x14ac:dyDescent="0.25">
      <c r="A444" s="1">
        <v>45686</v>
      </c>
      <c r="B444" t="s">
        <v>423</v>
      </c>
      <c r="C444">
        <v>74130</v>
      </c>
      <c r="D444" t="s">
        <v>68</v>
      </c>
      <c r="E444">
        <v>40</v>
      </c>
      <c r="F444">
        <v>87.93</v>
      </c>
      <c r="G444" t="s">
        <v>99</v>
      </c>
      <c r="H444">
        <v>7.0000000000000007E-2</v>
      </c>
      <c r="I444" t="s">
        <v>61</v>
      </c>
      <c r="J444">
        <v>24.33</v>
      </c>
      <c r="K444" t="s">
        <v>44</v>
      </c>
      <c r="L444" t="s">
        <v>31</v>
      </c>
      <c r="M444" t="s">
        <v>22</v>
      </c>
      <c r="N444" t="s">
        <v>32</v>
      </c>
      <c r="O444" t="s">
        <v>59</v>
      </c>
      <c r="P444" t="s">
        <v>34</v>
      </c>
    </row>
    <row r="445" spans="1:16" x14ac:dyDescent="0.25">
      <c r="A445" s="1">
        <v>45686</v>
      </c>
      <c r="B445" t="s">
        <v>424</v>
      </c>
      <c r="C445">
        <v>89061</v>
      </c>
      <c r="D445" t="s">
        <v>42</v>
      </c>
      <c r="E445">
        <v>21</v>
      </c>
      <c r="F445">
        <v>90.85</v>
      </c>
      <c r="G445" t="s">
        <v>18</v>
      </c>
      <c r="H445">
        <v>0.4</v>
      </c>
      <c r="I445" t="s">
        <v>29</v>
      </c>
      <c r="J445">
        <v>16.41</v>
      </c>
      <c r="K445" s="4" t="s">
        <v>729</v>
      </c>
      <c r="L445" t="s">
        <v>21</v>
      </c>
      <c r="M445" t="s">
        <v>22</v>
      </c>
      <c r="N445" t="s">
        <v>38</v>
      </c>
      <c r="O445" t="s">
        <v>59</v>
      </c>
      <c r="P445" t="s">
        <v>25</v>
      </c>
    </row>
    <row r="446" spans="1:16" x14ac:dyDescent="0.25">
      <c r="A446" s="1">
        <v>45686</v>
      </c>
      <c r="B446" t="s">
        <v>425</v>
      </c>
      <c r="C446">
        <v>24369</v>
      </c>
      <c r="D446" t="s">
        <v>57</v>
      </c>
      <c r="E446">
        <v>47</v>
      </c>
      <c r="F446">
        <v>38.04</v>
      </c>
      <c r="G446" t="s">
        <v>58</v>
      </c>
      <c r="H446">
        <v>0.11</v>
      </c>
      <c r="I446" t="s">
        <v>61</v>
      </c>
      <c r="J446">
        <v>28.24</v>
      </c>
      <c r="K446" t="s">
        <v>50</v>
      </c>
      <c r="L446" t="s">
        <v>31</v>
      </c>
      <c r="M446" t="s">
        <v>22</v>
      </c>
      <c r="N446" t="s">
        <v>23</v>
      </c>
      <c r="O446" t="s">
        <v>81</v>
      </c>
      <c r="P446" t="s">
        <v>34</v>
      </c>
    </row>
    <row r="447" spans="1:16" x14ac:dyDescent="0.25">
      <c r="A447" s="1">
        <v>45686</v>
      </c>
      <c r="B447" t="s">
        <v>400</v>
      </c>
      <c r="C447">
        <v>36620</v>
      </c>
      <c r="D447" t="s">
        <v>75</v>
      </c>
      <c r="E447">
        <v>22</v>
      </c>
      <c r="F447">
        <v>80.38</v>
      </c>
      <c r="G447" t="s">
        <v>43</v>
      </c>
      <c r="H447">
        <v>0.08</v>
      </c>
      <c r="I447" t="s">
        <v>29</v>
      </c>
      <c r="J447">
        <v>6.84</v>
      </c>
      <c r="K447" t="s">
        <v>37</v>
      </c>
      <c r="L447" t="s">
        <v>21</v>
      </c>
      <c r="M447" t="s">
        <v>22</v>
      </c>
      <c r="N447" t="s">
        <v>23</v>
      </c>
      <c r="O447" t="s">
        <v>59</v>
      </c>
      <c r="P447" t="s">
        <v>25</v>
      </c>
    </row>
    <row r="448" spans="1:16" x14ac:dyDescent="0.25">
      <c r="A448" s="1">
        <v>45686</v>
      </c>
      <c r="B448" t="s">
        <v>426</v>
      </c>
      <c r="C448">
        <v>93742</v>
      </c>
      <c r="D448" t="s">
        <v>70</v>
      </c>
      <c r="E448">
        <v>40</v>
      </c>
      <c r="F448">
        <v>23.38</v>
      </c>
      <c r="G448" t="s">
        <v>47</v>
      </c>
      <c r="H448">
        <v>0.4</v>
      </c>
      <c r="I448" t="s">
        <v>29</v>
      </c>
      <c r="J448">
        <v>7.75</v>
      </c>
      <c r="K448" t="s">
        <v>30</v>
      </c>
      <c r="L448" t="s">
        <v>21</v>
      </c>
      <c r="M448" t="s">
        <v>22</v>
      </c>
      <c r="N448" t="s">
        <v>38</v>
      </c>
      <c r="O448" t="s">
        <v>59</v>
      </c>
      <c r="P448" t="s">
        <v>25</v>
      </c>
    </row>
    <row r="449" spans="1:16" x14ac:dyDescent="0.25">
      <c r="A449" s="1">
        <v>45686</v>
      </c>
      <c r="B449" t="s">
        <v>427</v>
      </c>
      <c r="C449">
        <v>28063</v>
      </c>
      <c r="D449" t="s">
        <v>68</v>
      </c>
      <c r="E449">
        <v>15</v>
      </c>
      <c r="G449" t="s">
        <v>72</v>
      </c>
      <c r="H449">
        <v>0.16</v>
      </c>
      <c r="I449" t="s">
        <v>19</v>
      </c>
      <c r="J449">
        <v>5.98</v>
      </c>
      <c r="K449" t="s">
        <v>30</v>
      </c>
      <c r="L449" t="s">
        <v>21</v>
      </c>
      <c r="M449" t="s">
        <v>22</v>
      </c>
      <c r="N449" t="s">
        <v>23</v>
      </c>
      <c r="O449" t="s">
        <v>24</v>
      </c>
      <c r="P449" t="s">
        <v>25</v>
      </c>
    </row>
    <row r="450" spans="1:16" x14ac:dyDescent="0.25">
      <c r="A450" s="1">
        <v>45686</v>
      </c>
      <c r="B450" t="s">
        <v>157</v>
      </c>
      <c r="C450">
        <v>87568</v>
      </c>
      <c r="D450" t="s">
        <v>27</v>
      </c>
      <c r="E450">
        <v>8</v>
      </c>
      <c r="F450">
        <v>38.450000000000003</v>
      </c>
      <c r="G450" t="s">
        <v>72</v>
      </c>
      <c r="H450">
        <v>0.32</v>
      </c>
      <c r="I450" t="s">
        <v>61</v>
      </c>
      <c r="J450">
        <v>10.25</v>
      </c>
      <c r="K450" t="s">
        <v>30</v>
      </c>
      <c r="L450" t="s">
        <v>31</v>
      </c>
      <c r="M450" t="s">
        <v>22</v>
      </c>
      <c r="N450" t="s">
        <v>38</v>
      </c>
      <c r="O450" t="s">
        <v>24</v>
      </c>
      <c r="P450" t="s">
        <v>25</v>
      </c>
    </row>
    <row r="451" spans="1:16" x14ac:dyDescent="0.25">
      <c r="A451" s="1">
        <v>45686</v>
      </c>
      <c r="B451" t="s">
        <v>428</v>
      </c>
      <c r="C451">
        <v>63650</v>
      </c>
      <c r="D451" t="s">
        <v>49</v>
      </c>
      <c r="E451">
        <v>9</v>
      </c>
      <c r="F451">
        <v>70.7</v>
      </c>
      <c r="G451" t="s">
        <v>84</v>
      </c>
      <c r="H451">
        <v>0.46</v>
      </c>
      <c r="I451" t="s">
        <v>19</v>
      </c>
      <c r="J451">
        <v>24.78</v>
      </c>
      <c r="K451" t="s">
        <v>44</v>
      </c>
      <c r="L451" t="s">
        <v>31</v>
      </c>
      <c r="M451" t="s">
        <v>22</v>
      </c>
      <c r="N451" t="s">
        <v>23</v>
      </c>
      <c r="O451" t="s">
        <v>33</v>
      </c>
      <c r="P451" t="s">
        <v>25</v>
      </c>
    </row>
    <row r="452" spans="1:16" x14ac:dyDescent="0.25">
      <c r="A452" s="1">
        <v>45686</v>
      </c>
      <c r="B452" t="s">
        <v>395</v>
      </c>
      <c r="C452">
        <v>60919</v>
      </c>
      <c r="D452" t="s">
        <v>66</v>
      </c>
      <c r="E452">
        <v>38</v>
      </c>
      <c r="F452">
        <v>81.010000000000005</v>
      </c>
      <c r="G452" t="s">
        <v>43</v>
      </c>
      <c r="H452">
        <v>0.14000000000000001</v>
      </c>
      <c r="I452" t="s">
        <v>29</v>
      </c>
      <c r="J452">
        <v>25.2</v>
      </c>
      <c r="K452" t="s">
        <v>37</v>
      </c>
      <c r="L452" t="s">
        <v>21</v>
      </c>
      <c r="M452" t="s">
        <v>22</v>
      </c>
      <c r="N452" t="s">
        <v>23</v>
      </c>
      <c r="O452" t="s">
        <v>39</v>
      </c>
      <c r="P452" t="s">
        <v>25</v>
      </c>
    </row>
    <row r="453" spans="1:16" x14ac:dyDescent="0.25">
      <c r="A453" s="1">
        <v>45686</v>
      </c>
      <c r="B453" t="s">
        <v>378</v>
      </c>
      <c r="C453">
        <v>30600</v>
      </c>
      <c r="D453" t="s">
        <v>46</v>
      </c>
      <c r="E453">
        <v>46</v>
      </c>
      <c r="F453">
        <v>29.69</v>
      </c>
      <c r="G453" t="s">
        <v>84</v>
      </c>
      <c r="H453">
        <v>0.04</v>
      </c>
      <c r="I453" t="s">
        <v>61</v>
      </c>
      <c r="J453">
        <v>22.81</v>
      </c>
      <c r="K453" t="s">
        <v>20</v>
      </c>
      <c r="L453" t="s">
        <v>21</v>
      </c>
      <c r="M453" t="s">
        <v>22</v>
      </c>
      <c r="N453" t="s">
        <v>53</v>
      </c>
      <c r="O453" t="s">
        <v>24</v>
      </c>
      <c r="P453" t="s">
        <v>25</v>
      </c>
    </row>
    <row r="454" spans="1:16" x14ac:dyDescent="0.25">
      <c r="A454" s="1">
        <v>45686</v>
      </c>
      <c r="B454" t="s">
        <v>429</v>
      </c>
      <c r="C454">
        <v>74485</v>
      </c>
      <c r="D454" t="s">
        <v>66</v>
      </c>
      <c r="E454">
        <v>7</v>
      </c>
      <c r="F454">
        <v>84.77</v>
      </c>
      <c r="G454" t="s">
        <v>58</v>
      </c>
      <c r="H454">
        <v>0.44</v>
      </c>
      <c r="I454" t="s">
        <v>61</v>
      </c>
      <c r="J454">
        <v>10.33</v>
      </c>
      <c r="K454" t="s">
        <v>37</v>
      </c>
      <c r="L454" t="s">
        <v>21</v>
      </c>
      <c r="M454" t="s">
        <v>22</v>
      </c>
      <c r="N454" t="s">
        <v>23</v>
      </c>
      <c r="O454" t="s">
        <v>33</v>
      </c>
      <c r="P454" t="s">
        <v>40</v>
      </c>
    </row>
    <row r="455" spans="1:16" x14ac:dyDescent="0.25">
      <c r="A455" s="1">
        <v>45686</v>
      </c>
      <c r="B455" t="s">
        <v>430</v>
      </c>
      <c r="C455">
        <v>94787</v>
      </c>
      <c r="D455" t="s">
        <v>68</v>
      </c>
      <c r="E455">
        <v>3</v>
      </c>
      <c r="F455">
        <v>45.21</v>
      </c>
      <c r="G455" t="s">
        <v>36</v>
      </c>
      <c r="H455">
        <v>0</v>
      </c>
      <c r="I455" t="s">
        <v>19</v>
      </c>
      <c r="J455">
        <v>22.86</v>
      </c>
      <c r="K455" t="s">
        <v>44</v>
      </c>
      <c r="L455" t="s">
        <v>21</v>
      </c>
      <c r="M455" t="s">
        <v>22</v>
      </c>
      <c r="N455" t="s">
        <v>32</v>
      </c>
      <c r="O455" t="s">
        <v>24</v>
      </c>
      <c r="P455" t="s">
        <v>40</v>
      </c>
    </row>
    <row r="456" spans="1:16" x14ac:dyDescent="0.25">
      <c r="A456" s="1">
        <v>45686</v>
      </c>
      <c r="B456" t="s">
        <v>336</v>
      </c>
      <c r="C456">
        <v>79717</v>
      </c>
      <c r="D456" t="s">
        <v>17</v>
      </c>
      <c r="E456">
        <v>49</v>
      </c>
      <c r="F456">
        <v>17.03</v>
      </c>
      <c r="G456" t="s">
        <v>84</v>
      </c>
      <c r="H456">
        <v>0.1</v>
      </c>
      <c r="I456" t="s">
        <v>19</v>
      </c>
      <c r="J456">
        <v>17.45</v>
      </c>
      <c r="K456" t="s">
        <v>44</v>
      </c>
      <c r="L456" t="s">
        <v>31</v>
      </c>
      <c r="M456" t="s">
        <v>22</v>
      </c>
      <c r="N456" t="s">
        <v>32</v>
      </c>
      <c r="O456" t="s">
        <v>81</v>
      </c>
      <c r="P456" t="s">
        <v>25</v>
      </c>
    </row>
    <row r="457" spans="1:16" x14ac:dyDescent="0.25">
      <c r="A457" s="1">
        <v>45686</v>
      </c>
      <c r="B457" t="s">
        <v>431</v>
      </c>
      <c r="C457">
        <v>74734</v>
      </c>
      <c r="D457" t="s">
        <v>42</v>
      </c>
      <c r="E457">
        <v>49</v>
      </c>
      <c r="F457">
        <v>49.05</v>
      </c>
      <c r="G457" t="s">
        <v>72</v>
      </c>
      <c r="H457">
        <v>0.28999999999999998</v>
      </c>
      <c r="I457" t="s">
        <v>61</v>
      </c>
      <c r="J457">
        <v>18.47</v>
      </c>
      <c r="K457" t="s">
        <v>37</v>
      </c>
      <c r="L457" t="s">
        <v>31</v>
      </c>
      <c r="M457" t="s">
        <v>22</v>
      </c>
      <c r="N457" t="s">
        <v>23</v>
      </c>
      <c r="O457" t="s">
        <v>59</v>
      </c>
      <c r="P457" t="s">
        <v>34</v>
      </c>
    </row>
    <row r="458" spans="1:16" x14ac:dyDescent="0.25">
      <c r="A458" s="1">
        <v>45686</v>
      </c>
      <c r="B458" t="s">
        <v>119</v>
      </c>
      <c r="C458">
        <v>64424</v>
      </c>
      <c r="D458" t="s">
        <v>49</v>
      </c>
      <c r="E458">
        <v>8</v>
      </c>
      <c r="F458">
        <v>96.98</v>
      </c>
      <c r="G458" t="s">
        <v>36</v>
      </c>
      <c r="H458">
        <v>0.3</v>
      </c>
      <c r="I458" t="s">
        <v>19</v>
      </c>
      <c r="J458">
        <v>16.59</v>
      </c>
      <c r="K458" t="s">
        <v>37</v>
      </c>
      <c r="L458" t="s">
        <v>21</v>
      </c>
      <c r="M458" t="s">
        <v>22</v>
      </c>
      <c r="N458" t="s">
        <v>23</v>
      </c>
      <c r="O458" t="s">
        <v>39</v>
      </c>
      <c r="P458" t="s">
        <v>25</v>
      </c>
    </row>
    <row r="459" spans="1:16" x14ac:dyDescent="0.25">
      <c r="A459" s="1">
        <v>45686</v>
      </c>
      <c r="B459" t="s">
        <v>138</v>
      </c>
      <c r="C459">
        <v>39111</v>
      </c>
      <c r="D459" t="s">
        <v>27</v>
      </c>
      <c r="E459">
        <v>23</v>
      </c>
      <c r="F459">
        <v>64.84</v>
      </c>
      <c r="G459" t="s">
        <v>47</v>
      </c>
      <c r="H459">
        <v>0.49</v>
      </c>
      <c r="I459" t="s">
        <v>61</v>
      </c>
      <c r="J459">
        <v>14.39</v>
      </c>
      <c r="K459" t="s">
        <v>37</v>
      </c>
      <c r="L459" t="s">
        <v>31</v>
      </c>
      <c r="M459" t="s">
        <v>22</v>
      </c>
      <c r="N459" t="s">
        <v>53</v>
      </c>
      <c r="O459" t="s">
        <v>59</v>
      </c>
      <c r="P459" t="s">
        <v>25</v>
      </c>
    </row>
    <row r="460" spans="1:16" x14ac:dyDescent="0.25">
      <c r="A460" s="1">
        <v>45686</v>
      </c>
      <c r="B460" t="s">
        <v>432</v>
      </c>
      <c r="C460">
        <v>82168</v>
      </c>
      <c r="D460" t="s">
        <v>70</v>
      </c>
      <c r="E460">
        <v>22</v>
      </c>
      <c r="F460">
        <v>33.36</v>
      </c>
      <c r="G460" t="s">
        <v>18</v>
      </c>
      <c r="H460">
        <v>0.34</v>
      </c>
      <c r="I460" t="s">
        <v>19</v>
      </c>
      <c r="J460">
        <v>27.82</v>
      </c>
      <c r="K460" t="s">
        <v>37</v>
      </c>
      <c r="L460" t="s">
        <v>31</v>
      </c>
      <c r="M460" t="s">
        <v>22</v>
      </c>
      <c r="N460" t="s">
        <v>32</v>
      </c>
      <c r="O460" t="s">
        <v>59</v>
      </c>
      <c r="P460" t="s">
        <v>34</v>
      </c>
    </row>
    <row r="461" spans="1:16" x14ac:dyDescent="0.25">
      <c r="A461" s="1">
        <v>45686</v>
      </c>
      <c r="B461" t="s">
        <v>433</v>
      </c>
      <c r="C461">
        <v>51083</v>
      </c>
      <c r="D461" t="s">
        <v>42</v>
      </c>
      <c r="E461">
        <v>20</v>
      </c>
      <c r="F461">
        <v>27.62</v>
      </c>
      <c r="G461" t="s">
        <v>43</v>
      </c>
      <c r="H461">
        <v>0.12</v>
      </c>
      <c r="I461" t="s">
        <v>19</v>
      </c>
      <c r="J461">
        <v>12.7</v>
      </c>
      <c r="K461" t="s">
        <v>44</v>
      </c>
      <c r="L461" t="s">
        <v>21</v>
      </c>
      <c r="M461" t="s">
        <v>22</v>
      </c>
      <c r="N461" t="s">
        <v>23</v>
      </c>
      <c r="O461" t="s">
        <v>33</v>
      </c>
      <c r="P461" t="s">
        <v>34</v>
      </c>
    </row>
    <row r="462" spans="1:16" x14ac:dyDescent="0.25">
      <c r="A462" s="1">
        <v>45686</v>
      </c>
      <c r="B462" t="s">
        <v>434</v>
      </c>
      <c r="C462">
        <v>26801</v>
      </c>
      <c r="D462" t="s">
        <v>89</v>
      </c>
      <c r="E462">
        <v>3</v>
      </c>
      <c r="F462">
        <v>44.82</v>
      </c>
      <c r="G462" t="s">
        <v>72</v>
      </c>
      <c r="H462">
        <v>0.31</v>
      </c>
      <c r="I462" t="s">
        <v>61</v>
      </c>
      <c r="J462">
        <v>9.4</v>
      </c>
      <c r="K462" t="s">
        <v>37</v>
      </c>
      <c r="L462" t="s">
        <v>21</v>
      </c>
      <c r="M462" t="s">
        <v>22</v>
      </c>
      <c r="N462" t="s">
        <v>23</v>
      </c>
      <c r="O462" t="s">
        <v>33</v>
      </c>
      <c r="P462" t="s">
        <v>40</v>
      </c>
    </row>
    <row r="463" spans="1:16" x14ac:dyDescent="0.25">
      <c r="A463" s="1">
        <v>45686</v>
      </c>
      <c r="B463" t="s">
        <v>435</v>
      </c>
      <c r="C463">
        <v>13903</v>
      </c>
      <c r="D463" t="s">
        <v>46</v>
      </c>
      <c r="E463">
        <v>22</v>
      </c>
      <c r="F463">
        <v>63.3</v>
      </c>
      <c r="G463" t="s">
        <v>18</v>
      </c>
      <c r="H463">
        <v>0.42</v>
      </c>
      <c r="I463" t="s">
        <v>19</v>
      </c>
      <c r="J463">
        <v>13.22</v>
      </c>
      <c r="K463" t="s">
        <v>44</v>
      </c>
      <c r="L463" t="s">
        <v>21</v>
      </c>
      <c r="M463" t="s">
        <v>22</v>
      </c>
      <c r="N463" t="s">
        <v>53</v>
      </c>
      <c r="O463" t="s">
        <v>33</v>
      </c>
      <c r="P463" t="s">
        <v>40</v>
      </c>
    </row>
    <row r="464" spans="1:16" x14ac:dyDescent="0.25">
      <c r="A464" s="1">
        <v>45686</v>
      </c>
      <c r="B464" t="s">
        <v>436</v>
      </c>
      <c r="C464">
        <v>66129</v>
      </c>
      <c r="D464" t="s">
        <v>17</v>
      </c>
      <c r="E464">
        <v>49</v>
      </c>
      <c r="F464">
        <v>34.47</v>
      </c>
      <c r="G464" t="s">
        <v>58</v>
      </c>
      <c r="H464">
        <v>0.42</v>
      </c>
      <c r="I464" t="s">
        <v>19</v>
      </c>
      <c r="J464">
        <v>8.0500000000000007</v>
      </c>
      <c r="K464" t="s">
        <v>37</v>
      </c>
      <c r="L464" t="s">
        <v>21</v>
      </c>
      <c r="M464" t="s">
        <v>22</v>
      </c>
      <c r="N464" t="s">
        <v>23</v>
      </c>
      <c r="O464" t="s">
        <v>39</v>
      </c>
      <c r="P464" t="s">
        <v>40</v>
      </c>
    </row>
    <row r="465" spans="1:16" x14ac:dyDescent="0.25">
      <c r="A465" s="1">
        <v>45686</v>
      </c>
      <c r="B465" t="s">
        <v>410</v>
      </c>
      <c r="C465">
        <v>47577</v>
      </c>
      <c r="D465" t="s">
        <v>46</v>
      </c>
      <c r="E465">
        <v>48</v>
      </c>
      <c r="F465">
        <v>19.61</v>
      </c>
      <c r="G465" t="s">
        <v>99</v>
      </c>
      <c r="H465">
        <v>0.37</v>
      </c>
      <c r="I465" t="s">
        <v>61</v>
      </c>
      <c r="J465">
        <v>27.94</v>
      </c>
      <c r="K465" t="s">
        <v>44</v>
      </c>
      <c r="L465" t="s">
        <v>31</v>
      </c>
      <c r="M465" t="s">
        <v>22</v>
      </c>
      <c r="N465" t="s">
        <v>32</v>
      </c>
      <c r="O465" t="s">
        <v>24</v>
      </c>
      <c r="P465" t="s">
        <v>25</v>
      </c>
    </row>
    <row r="466" spans="1:16" x14ac:dyDescent="0.25">
      <c r="A466" s="1">
        <v>45687</v>
      </c>
      <c r="B466" t="s">
        <v>437</v>
      </c>
      <c r="C466">
        <v>88842</v>
      </c>
      <c r="D466" t="s">
        <v>57</v>
      </c>
      <c r="E466">
        <v>38</v>
      </c>
      <c r="F466">
        <v>2.63</v>
      </c>
      <c r="G466" t="s">
        <v>43</v>
      </c>
      <c r="H466">
        <v>0.28000000000000003</v>
      </c>
      <c r="I466" t="s">
        <v>19</v>
      </c>
      <c r="J466">
        <v>14.29</v>
      </c>
      <c r="K466" t="s">
        <v>20</v>
      </c>
      <c r="L466" t="s">
        <v>31</v>
      </c>
      <c r="M466" t="s">
        <v>22</v>
      </c>
      <c r="N466" t="s">
        <v>38</v>
      </c>
      <c r="O466" t="s">
        <v>39</v>
      </c>
      <c r="P466" t="s">
        <v>25</v>
      </c>
    </row>
    <row r="467" spans="1:16" x14ac:dyDescent="0.25">
      <c r="A467" s="1">
        <v>45687</v>
      </c>
      <c r="B467" t="s">
        <v>438</v>
      </c>
      <c r="C467">
        <v>42831</v>
      </c>
      <c r="D467" t="s">
        <v>46</v>
      </c>
      <c r="E467">
        <v>38</v>
      </c>
      <c r="F467">
        <v>10.16</v>
      </c>
      <c r="G467" t="s">
        <v>18</v>
      </c>
      <c r="H467">
        <v>0.02</v>
      </c>
      <c r="I467" t="s">
        <v>19</v>
      </c>
      <c r="J467">
        <v>28.25</v>
      </c>
      <c r="K467" t="s">
        <v>20</v>
      </c>
      <c r="L467" t="s">
        <v>21</v>
      </c>
      <c r="M467" t="s">
        <v>22</v>
      </c>
      <c r="N467" t="s">
        <v>23</v>
      </c>
      <c r="O467" t="s">
        <v>33</v>
      </c>
      <c r="P467" t="s">
        <v>34</v>
      </c>
    </row>
    <row r="468" spans="1:16" x14ac:dyDescent="0.25">
      <c r="A468" s="1">
        <v>45687</v>
      </c>
      <c r="B468" t="s">
        <v>439</v>
      </c>
      <c r="C468">
        <v>99032</v>
      </c>
      <c r="D468" t="s">
        <v>17</v>
      </c>
      <c r="E468">
        <v>19</v>
      </c>
      <c r="F468">
        <v>41.94</v>
      </c>
      <c r="G468" t="s">
        <v>72</v>
      </c>
      <c r="H468">
        <v>0.4</v>
      </c>
      <c r="I468" t="s">
        <v>61</v>
      </c>
      <c r="J468">
        <v>13.29</v>
      </c>
      <c r="K468" t="s">
        <v>44</v>
      </c>
      <c r="L468" t="s">
        <v>31</v>
      </c>
      <c r="M468" t="s">
        <v>22</v>
      </c>
      <c r="N468" t="s">
        <v>32</v>
      </c>
      <c r="O468" t="s">
        <v>81</v>
      </c>
      <c r="P468" t="s">
        <v>40</v>
      </c>
    </row>
    <row r="469" spans="1:16" x14ac:dyDescent="0.25">
      <c r="A469" s="1">
        <v>45687</v>
      </c>
      <c r="B469" t="s">
        <v>440</v>
      </c>
      <c r="C469">
        <v>51623</v>
      </c>
      <c r="D469" t="s">
        <v>46</v>
      </c>
      <c r="E469">
        <v>29</v>
      </c>
      <c r="F469">
        <v>87.3</v>
      </c>
      <c r="G469" t="s">
        <v>99</v>
      </c>
      <c r="H469">
        <v>0.19</v>
      </c>
      <c r="I469" t="s">
        <v>61</v>
      </c>
      <c r="J469">
        <v>8.7799999999999994</v>
      </c>
      <c r="K469" t="s">
        <v>50</v>
      </c>
      <c r="L469" t="s">
        <v>21</v>
      </c>
      <c r="M469" t="s">
        <v>22</v>
      </c>
      <c r="N469" t="s">
        <v>32</v>
      </c>
      <c r="O469" t="s">
        <v>33</v>
      </c>
      <c r="P469" t="s">
        <v>25</v>
      </c>
    </row>
    <row r="470" spans="1:16" x14ac:dyDescent="0.25">
      <c r="A470" s="1">
        <v>45687</v>
      </c>
      <c r="B470" t="s">
        <v>361</v>
      </c>
      <c r="C470">
        <v>17881</v>
      </c>
      <c r="D470" t="s">
        <v>42</v>
      </c>
      <c r="E470">
        <v>17</v>
      </c>
      <c r="F470">
        <v>16.22</v>
      </c>
      <c r="G470" t="s">
        <v>76</v>
      </c>
      <c r="H470">
        <v>0.31</v>
      </c>
      <c r="I470" t="s">
        <v>61</v>
      </c>
      <c r="J470">
        <v>10.11</v>
      </c>
      <c r="K470" t="s">
        <v>44</v>
      </c>
      <c r="L470" t="s">
        <v>31</v>
      </c>
      <c r="M470" t="s">
        <v>22</v>
      </c>
      <c r="N470" t="s">
        <v>53</v>
      </c>
      <c r="O470" t="s">
        <v>59</v>
      </c>
      <c r="P470" t="s">
        <v>25</v>
      </c>
    </row>
    <row r="471" spans="1:16" x14ac:dyDescent="0.25">
      <c r="A471" s="1">
        <v>45687</v>
      </c>
      <c r="B471" t="s">
        <v>336</v>
      </c>
      <c r="C471">
        <v>83705</v>
      </c>
      <c r="D471" t="s">
        <v>75</v>
      </c>
      <c r="E471">
        <v>12</v>
      </c>
      <c r="F471">
        <v>37.729999999999997</v>
      </c>
      <c r="G471" t="s">
        <v>43</v>
      </c>
      <c r="H471">
        <v>0.04</v>
      </c>
      <c r="I471" t="s">
        <v>19</v>
      </c>
      <c r="J471">
        <v>14.67</v>
      </c>
      <c r="K471" t="s">
        <v>37</v>
      </c>
      <c r="L471" t="s">
        <v>31</v>
      </c>
      <c r="M471" t="s">
        <v>22</v>
      </c>
      <c r="N471" t="s">
        <v>32</v>
      </c>
      <c r="O471" t="s">
        <v>24</v>
      </c>
      <c r="P471" t="s">
        <v>34</v>
      </c>
    </row>
    <row r="472" spans="1:16" x14ac:dyDescent="0.25">
      <c r="A472" s="1">
        <v>45687</v>
      </c>
      <c r="B472" t="s">
        <v>441</v>
      </c>
      <c r="C472">
        <v>39138</v>
      </c>
      <c r="D472" t="s">
        <v>27</v>
      </c>
      <c r="E472">
        <v>14</v>
      </c>
      <c r="F472">
        <v>58.94</v>
      </c>
      <c r="G472" t="s">
        <v>72</v>
      </c>
      <c r="H472">
        <v>0.19</v>
      </c>
      <c r="I472" t="s">
        <v>29</v>
      </c>
      <c r="J472">
        <v>10.61</v>
      </c>
      <c r="K472" t="s">
        <v>50</v>
      </c>
      <c r="L472" t="s">
        <v>21</v>
      </c>
      <c r="M472" t="s">
        <v>111</v>
      </c>
      <c r="N472" t="s">
        <v>38</v>
      </c>
      <c r="O472" t="s">
        <v>59</v>
      </c>
      <c r="P472" t="s">
        <v>25</v>
      </c>
    </row>
    <row r="473" spans="1:16" x14ac:dyDescent="0.25">
      <c r="A473" s="1">
        <v>45687</v>
      </c>
      <c r="B473" t="s">
        <v>153</v>
      </c>
      <c r="C473">
        <v>78003</v>
      </c>
      <c r="D473" t="s">
        <v>49</v>
      </c>
      <c r="E473">
        <v>48</v>
      </c>
      <c r="F473">
        <v>36.04</v>
      </c>
      <c r="G473" t="s">
        <v>47</v>
      </c>
      <c r="H473">
        <v>0.15</v>
      </c>
      <c r="I473" t="s">
        <v>29</v>
      </c>
      <c r="J473">
        <v>6.19</v>
      </c>
      <c r="K473" t="s">
        <v>30</v>
      </c>
      <c r="L473" t="s">
        <v>31</v>
      </c>
      <c r="M473" t="s">
        <v>22</v>
      </c>
      <c r="N473" t="s">
        <v>53</v>
      </c>
      <c r="O473" t="s">
        <v>39</v>
      </c>
      <c r="P473" t="s">
        <v>25</v>
      </c>
    </row>
    <row r="474" spans="1:16" x14ac:dyDescent="0.25">
      <c r="A474" s="1">
        <v>45687</v>
      </c>
      <c r="B474" t="s">
        <v>442</v>
      </c>
      <c r="C474">
        <v>52229</v>
      </c>
      <c r="D474" t="s">
        <v>17</v>
      </c>
      <c r="E474">
        <v>42</v>
      </c>
      <c r="F474">
        <v>37.64</v>
      </c>
      <c r="G474" t="s">
        <v>76</v>
      </c>
      <c r="H474">
        <v>0.37</v>
      </c>
      <c r="I474" t="s">
        <v>61</v>
      </c>
      <c r="J474">
        <v>23.83</v>
      </c>
      <c r="K474" t="s">
        <v>37</v>
      </c>
      <c r="L474" t="s">
        <v>31</v>
      </c>
      <c r="M474" t="s">
        <v>111</v>
      </c>
      <c r="N474" t="s">
        <v>53</v>
      </c>
      <c r="O474" t="s">
        <v>24</v>
      </c>
      <c r="P474" t="s">
        <v>25</v>
      </c>
    </row>
    <row r="475" spans="1:16" x14ac:dyDescent="0.25">
      <c r="A475" s="1">
        <v>45687</v>
      </c>
      <c r="B475" t="s">
        <v>443</v>
      </c>
      <c r="C475">
        <v>58109</v>
      </c>
      <c r="D475" t="s">
        <v>89</v>
      </c>
      <c r="E475">
        <v>18</v>
      </c>
      <c r="F475">
        <v>47.6</v>
      </c>
      <c r="G475" t="s">
        <v>58</v>
      </c>
      <c r="H475">
        <v>0.19</v>
      </c>
      <c r="I475" t="s">
        <v>19</v>
      </c>
      <c r="J475">
        <v>27.3</v>
      </c>
      <c r="K475" t="s">
        <v>30</v>
      </c>
      <c r="L475" t="s">
        <v>21</v>
      </c>
      <c r="M475" t="s">
        <v>22</v>
      </c>
      <c r="N475" t="s">
        <v>32</v>
      </c>
      <c r="O475" t="s">
        <v>59</v>
      </c>
      <c r="P475" t="s">
        <v>40</v>
      </c>
    </row>
    <row r="476" spans="1:16" x14ac:dyDescent="0.25">
      <c r="A476" s="1">
        <v>45687</v>
      </c>
      <c r="B476" t="s">
        <v>444</v>
      </c>
      <c r="C476">
        <v>72136</v>
      </c>
      <c r="D476" t="s">
        <v>42</v>
      </c>
      <c r="E476">
        <v>23</v>
      </c>
      <c r="F476">
        <v>70.55</v>
      </c>
      <c r="G476" t="s">
        <v>55</v>
      </c>
      <c r="H476">
        <v>0.32</v>
      </c>
      <c r="I476" t="s">
        <v>19</v>
      </c>
      <c r="J476">
        <v>27.54</v>
      </c>
      <c r="K476" t="s">
        <v>37</v>
      </c>
      <c r="L476" t="s">
        <v>31</v>
      </c>
      <c r="M476" t="s">
        <v>22</v>
      </c>
      <c r="N476" t="s">
        <v>38</v>
      </c>
      <c r="O476" t="s">
        <v>24</v>
      </c>
      <c r="P476" t="s">
        <v>25</v>
      </c>
    </row>
    <row r="477" spans="1:16" x14ac:dyDescent="0.25">
      <c r="A477" s="1">
        <v>45687</v>
      </c>
      <c r="B477" t="s">
        <v>323</v>
      </c>
      <c r="C477">
        <v>54840</v>
      </c>
      <c r="D477" t="s">
        <v>57</v>
      </c>
      <c r="E477">
        <v>44</v>
      </c>
      <c r="F477">
        <v>86.03</v>
      </c>
      <c r="G477" t="s">
        <v>47</v>
      </c>
      <c r="H477">
        <v>0.26</v>
      </c>
      <c r="I477" t="s">
        <v>61</v>
      </c>
      <c r="J477">
        <v>24.22</v>
      </c>
      <c r="K477" t="s">
        <v>50</v>
      </c>
      <c r="L477" t="s">
        <v>31</v>
      </c>
      <c r="M477" t="s">
        <v>22</v>
      </c>
      <c r="N477" t="s">
        <v>53</v>
      </c>
      <c r="O477" t="s">
        <v>24</v>
      </c>
      <c r="P477" t="s">
        <v>34</v>
      </c>
    </row>
    <row r="478" spans="1:16" x14ac:dyDescent="0.25">
      <c r="A478" s="1">
        <v>45687</v>
      </c>
      <c r="B478" t="s">
        <v>445</v>
      </c>
      <c r="C478">
        <v>12896</v>
      </c>
      <c r="D478" t="s">
        <v>27</v>
      </c>
      <c r="E478">
        <v>31</v>
      </c>
      <c r="F478">
        <v>50.91</v>
      </c>
      <c r="G478" t="s">
        <v>72</v>
      </c>
      <c r="H478">
        <v>0.01</v>
      </c>
      <c r="I478" t="s">
        <v>19</v>
      </c>
      <c r="J478">
        <v>15.4</v>
      </c>
      <c r="K478" t="s">
        <v>20</v>
      </c>
      <c r="L478" t="s">
        <v>31</v>
      </c>
      <c r="M478" t="s">
        <v>22</v>
      </c>
      <c r="N478" t="s">
        <v>53</v>
      </c>
      <c r="O478" t="s">
        <v>24</v>
      </c>
      <c r="P478" t="s">
        <v>40</v>
      </c>
    </row>
    <row r="479" spans="1:16" x14ac:dyDescent="0.25">
      <c r="A479" s="1">
        <v>45687</v>
      </c>
      <c r="B479" t="s">
        <v>446</v>
      </c>
      <c r="C479">
        <v>71015</v>
      </c>
      <c r="D479" t="s">
        <v>49</v>
      </c>
      <c r="E479">
        <v>13</v>
      </c>
      <c r="F479">
        <v>49.05</v>
      </c>
      <c r="G479" t="s">
        <v>99</v>
      </c>
      <c r="H479">
        <v>0.05</v>
      </c>
      <c r="I479" t="s">
        <v>61</v>
      </c>
      <c r="J479">
        <v>19.5</v>
      </c>
      <c r="K479" t="s">
        <v>50</v>
      </c>
      <c r="L479" t="s">
        <v>21</v>
      </c>
      <c r="M479" t="s">
        <v>22</v>
      </c>
      <c r="N479" t="s">
        <v>32</v>
      </c>
      <c r="O479" t="s">
        <v>81</v>
      </c>
      <c r="P479" t="s">
        <v>25</v>
      </c>
    </row>
    <row r="480" spans="1:16" x14ac:dyDescent="0.25">
      <c r="A480" s="1">
        <v>45687</v>
      </c>
      <c r="B480" t="s">
        <v>98</v>
      </c>
      <c r="C480">
        <v>29526</v>
      </c>
      <c r="D480" t="s">
        <v>89</v>
      </c>
      <c r="E480">
        <v>1</v>
      </c>
      <c r="F480">
        <v>74.2</v>
      </c>
      <c r="G480" t="s">
        <v>52</v>
      </c>
      <c r="H480">
        <v>0.2</v>
      </c>
      <c r="I480" t="s">
        <v>29</v>
      </c>
      <c r="J480">
        <v>10.17</v>
      </c>
      <c r="K480" t="s">
        <v>50</v>
      </c>
      <c r="L480" t="s">
        <v>21</v>
      </c>
      <c r="M480" t="s">
        <v>22</v>
      </c>
      <c r="N480" t="s">
        <v>23</v>
      </c>
      <c r="O480" t="s">
        <v>24</v>
      </c>
      <c r="P480" t="s">
        <v>25</v>
      </c>
    </row>
    <row r="481" spans="1:16" x14ac:dyDescent="0.25">
      <c r="A481" s="1">
        <v>45687</v>
      </c>
      <c r="B481" t="s">
        <v>218</v>
      </c>
      <c r="C481">
        <v>15626</v>
      </c>
      <c r="D481" t="s">
        <v>27</v>
      </c>
      <c r="E481">
        <v>24</v>
      </c>
      <c r="F481">
        <v>76.8</v>
      </c>
      <c r="G481" t="s">
        <v>99</v>
      </c>
      <c r="H481">
        <v>0.15</v>
      </c>
      <c r="I481" t="s">
        <v>29</v>
      </c>
      <c r="J481">
        <v>23.64</v>
      </c>
      <c r="K481" t="s">
        <v>20</v>
      </c>
      <c r="L481" t="s">
        <v>31</v>
      </c>
      <c r="M481" t="s">
        <v>22</v>
      </c>
      <c r="N481" t="s">
        <v>32</v>
      </c>
      <c r="O481" t="s">
        <v>81</v>
      </c>
      <c r="P481" t="s">
        <v>25</v>
      </c>
    </row>
    <row r="482" spans="1:16" x14ac:dyDescent="0.25">
      <c r="A482" s="1">
        <v>45687</v>
      </c>
      <c r="B482" t="s">
        <v>447</v>
      </c>
      <c r="C482">
        <v>45031</v>
      </c>
      <c r="D482" t="s">
        <v>75</v>
      </c>
      <c r="E482">
        <v>4</v>
      </c>
      <c r="F482">
        <v>5.37</v>
      </c>
      <c r="G482" t="s">
        <v>72</v>
      </c>
      <c r="H482">
        <v>0.03</v>
      </c>
      <c r="I482" t="s">
        <v>29</v>
      </c>
      <c r="J482">
        <v>10.58</v>
      </c>
      <c r="K482" t="s">
        <v>37</v>
      </c>
      <c r="L482" t="s">
        <v>21</v>
      </c>
      <c r="M482" t="s">
        <v>22</v>
      </c>
      <c r="N482" t="s">
        <v>23</v>
      </c>
      <c r="O482" t="s">
        <v>59</v>
      </c>
      <c r="P482" t="s">
        <v>25</v>
      </c>
    </row>
    <row r="483" spans="1:16" x14ac:dyDescent="0.25">
      <c r="A483" s="1">
        <v>45687</v>
      </c>
      <c r="B483" t="s">
        <v>448</v>
      </c>
      <c r="C483">
        <v>19222</v>
      </c>
      <c r="D483" t="s">
        <v>68</v>
      </c>
      <c r="E483">
        <v>29</v>
      </c>
      <c r="F483">
        <v>26.6</v>
      </c>
      <c r="G483" t="s">
        <v>52</v>
      </c>
      <c r="H483">
        <v>0.2</v>
      </c>
      <c r="I483" t="s">
        <v>19</v>
      </c>
      <c r="J483">
        <v>6.51</v>
      </c>
      <c r="K483" t="s">
        <v>44</v>
      </c>
      <c r="L483" t="s">
        <v>31</v>
      </c>
      <c r="M483" t="s">
        <v>22</v>
      </c>
      <c r="N483" t="s">
        <v>38</v>
      </c>
      <c r="O483" t="s">
        <v>81</v>
      </c>
      <c r="P483" t="s">
        <v>34</v>
      </c>
    </row>
    <row r="484" spans="1:16" x14ac:dyDescent="0.25">
      <c r="A484" s="1">
        <v>45687</v>
      </c>
      <c r="B484" t="s">
        <v>449</v>
      </c>
      <c r="C484">
        <v>12954</v>
      </c>
      <c r="D484" t="s">
        <v>17</v>
      </c>
      <c r="E484">
        <v>34</v>
      </c>
      <c r="F484">
        <v>41.27</v>
      </c>
      <c r="G484" t="s">
        <v>55</v>
      </c>
      <c r="H484">
        <v>0.31</v>
      </c>
      <c r="I484" t="s">
        <v>19</v>
      </c>
      <c r="J484">
        <v>12.09</v>
      </c>
      <c r="K484" t="s">
        <v>20</v>
      </c>
      <c r="L484" t="s">
        <v>21</v>
      </c>
      <c r="M484" t="s">
        <v>22</v>
      </c>
      <c r="N484" t="s">
        <v>38</v>
      </c>
      <c r="O484" t="s">
        <v>24</v>
      </c>
      <c r="P484" t="s">
        <v>34</v>
      </c>
    </row>
    <row r="485" spans="1:16" x14ac:dyDescent="0.25">
      <c r="A485" s="1">
        <v>45687</v>
      </c>
      <c r="B485" t="s">
        <v>333</v>
      </c>
      <c r="C485">
        <v>33183</v>
      </c>
      <c r="D485" t="s">
        <v>46</v>
      </c>
      <c r="E485">
        <v>16</v>
      </c>
      <c r="F485">
        <v>15.33</v>
      </c>
      <c r="G485" t="s">
        <v>52</v>
      </c>
      <c r="H485">
        <v>0.31</v>
      </c>
      <c r="I485" t="s">
        <v>19</v>
      </c>
      <c r="J485">
        <v>26.89</v>
      </c>
      <c r="K485" t="s">
        <v>20</v>
      </c>
      <c r="L485" t="s">
        <v>21</v>
      </c>
      <c r="M485" t="s">
        <v>22</v>
      </c>
      <c r="N485" t="s">
        <v>23</v>
      </c>
      <c r="O485" t="s">
        <v>59</v>
      </c>
      <c r="P485" t="s">
        <v>34</v>
      </c>
    </row>
    <row r="486" spans="1:16" x14ac:dyDescent="0.25">
      <c r="A486" s="1">
        <v>45688</v>
      </c>
      <c r="B486" t="s">
        <v>74</v>
      </c>
      <c r="C486">
        <v>16212</v>
      </c>
      <c r="D486" t="s">
        <v>17</v>
      </c>
      <c r="E486">
        <v>5</v>
      </c>
      <c r="F486">
        <v>61.83</v>
      </c>
      <c r="G486" t="s">
        <v>47</v>
      </c>
      <c r="H486">
        <v>0.34</v>
      </c>
      <c r="I486" t="s">
        <v>29</v>
      </c>
      <c r="J486">
        <v>28.89</v>
      </c>
      <c r="K486" t="s">
        <v>20</v>
      </c>
      <c r="L486" t="s">
        <v>21</v>
      </c>
      <c r="M486" t="s">
        <v>22</v>
      </c>
      <c r="N486" t="s">
        <v>32</v>
      </c>
      <c r="O486" t="s">
        <v>81</v>
      </c>
      <c r="P486" t="s">
        <v>40</v>
      </c>
    </row>
    <row r="487" spans="1:16" x14ac:dyDescent="0.25">
      <c r="A487" s="1">
        <v>45688</v>
      </c>
      <c r="B487" t="s">
        <v>450</v>
      </c>
      <c r="C487">
        <v>41919</v>
      </c>
      <c r="D487" t="s">
        <v>68</v>
      </c>
      <c r="E487">
        <v>17</v>
      </c>
      <c r="F487">
        <v>52.21</v>
      </c>
      <c r="G487" t="s">
        <v>52</v>
      </c>
      <c r="H487">
        <v>0.48</v>
      </c>
      <c r="I487" t="s">
        <v>61</v>
      </c>
      <c r="J487">
        <v>6.84</v>
      </c>
      <c r="K487" t="s">
        <v>50</v>
      </c>
      <c r="L487" t="s">
        <v>31</v>
      </c>
      <c r="M487" t="s">
        <v>22</v>
      </c>
      <c r="N487" t="s">
        <v>32</v>
      </c>
      <c r="O487" t="s">
        <v>39</v>
      </c>
      <c r="P487" t="s">
        <v>25</v>
      </c>
    </row>
    <row r="488" spans="1:16" x14ac:dyDescent="0.25">
      <c r="A488" s="1">
        <v>45688</v>
      </c>
      <c r="B488" t="s">
        <v>451</v>
      </c>
      <c r="C488">
        <v>24020</v>
      </c>
      <c r="D488" t="s">
        <v>70</v>
      </c>
      <c r="E488">
        <v>16</v>
      </c>
      <c r="F488">
        <v>9.5299999999999994</v>
      </c>
      <c r="G488" t="s">
        <v>55</v>
      </c>
      <c r="H488">
        <v>0.39</v>
      </c>
      <c r="I488" t="s">
        <v>29</v>
      </c>
      <c r="J488">
        <v>13.89</v>
      </c>
      <c r="K488" t="s">
        <v>50</v>
      </c>
      <c r="L488" t="s">
        <v>31</v>
      </c>
      <c r="M488" t="s">
        <v>22</v>
      </c>
      <c r="N488" t="s">
        <v>23</v>
      </c>
      <c r="O488" t="s">
        <v>24</v>
      </c>
      <c r="P488" t="s">
        <v>25</v>
      </c>
    </row>
    <row r="489" spans="1:16" x14ac:dyDescent="0.25">
      <c r="A489" s="1">
        <v>45688</v>
      </c>
      <c r="B489" t="s">
        <v>248</v>
      </c>
      <c r="C489">
        <v>94747</v>
      </c>
      <c r="D489" t="s">
        <v>75</v>
      </c>
      <c r="E489">
        <v>25</v>
      </c>
      <c r="F489">
        <v>83.03</v>
      </c>
      <c r="G489" t="s">
        <v>72</v>
      </c>
      <c r="H489">
        <v>0.14000000000000001</v>
      </c>
      <c r="I489" t="s">
        <v>29</v>
      </c>
      <c r="J489">
        <v>5.46</v>
      </c>
      <c r="K489" t="s">
        <v>30</v>
      </c>
      <c r="L489" t="s">
        <v>31</v>
      </c>
      <c r="M489" t="s">
        <v>22</v>
      </c>
      <c r="N489" t="s">
        <v>32</v>
      </c>
      <c r="O489" t="s">
        <v>39</v>
      </c>
      <c r="P489" t="s">
        <v>40</v>
      </c>
    </row>
    <row r="490" spans="1:16" x14ac:dyDescent="0.25">
      <c r="A490" s="1">
        <v>45688</v>
      </c>
      <c r="B490" t="s">
        <v>452</v>
      </c>
      <c r="C490">
        <v>73454</v>
      </c>
      <c r="D490" t="s">
        <v>75</v>
      </c>
      <c r="E490">
        <v>31</v>
      </c>
      <c r="F490">
        <v>54.61</v>
      </c>
      <c r="G490" t="s">
        <v>52</v>
      </c>
      <c r="H490">
        <v>0.33</v>
      </c>
      <c r="I490" t="s">
        <v>61</v>
      </c>
      <c r="J490">
        <v>11.85</v>
      </c>
      <c r="K490" t="s">
        <v>30</v>
      </c>
      <c r="L490" t="s">
        <v>21</v>
      </c>
      <c r="M490" t="s">
        <v>22</v>
      </c>
      <c r="N490" t="s">
        <v>53</v>
      </c>
      <c r="O490" t="s">
        <v>24</v>
      </c>
      <c r="P490" t="s">
        <v>25</v>
      </c>
    </row>
    <row r="491" spans="1:16" x14ac:dyDescent="0.25">
      <c r="A491" s="1">
        <v>45688</v>
      </c>
      <c r="B491" t="s">
        <v>453</v>
      </c>
      <c r="C491">
        <v>85667</v>
      </c>
      <c r="D491" t="s">
        <v>49</v>
      </c>
      <c r="E491">
        <v>26</v>
      </c>
      <c r="F491">
        <v>54.36</v>
      </c>
      <c r="G491" t="s">
        <v>58</v>
      </c>
      <c r="H491">
        <v>0.01</v>
      </c>
      <c r="I491" t="s">
        <v>61</v>
      </c>
      <c r="J491">
        <v>9.61</v>
      </c>
      <c r="K491" t="s">
        <v>37</v>
      </c>
      <c r="L491" t="s">
        <v>21</v>
      </c>
      <c r="M491" t="s">
        <v>22</v>
      </c>
      <c r="N491" t="s">
        <v>23</v>
      </c>
      <c r="O491" t="s">
        <v>81</v>
      </c>
      <c r="P491" t="s">
        <v>34</v>
      </c>
    </row>
    <row r="492" spans="1:16" x14ac:dyDescent="0.25">
      <c r="A492" s="1">
        <v>45688</v>
      </c>
      <c r="B492" t="s">
        <v>178</v>
      </c>
      <c r="C492">
        <v>69187</v>
      </c>
      <c r="D492" t="s">
        <v>66</v>
      </c>
      <c r="E492">
        <v>24</v>
      </c>
      <c r="F492">
        <v>2.21</v>
      </c>
      <c r="G492" t="s">
        <v>99</v>
      </c>
      <c r="H492">
        <v>0.28000000000000003</v>
      </c>
      <c r="I492" t="s">
        <v>61</v>
      </c>
      <c r="J492">
        <v>17.670000000000002</v>
      </c>
      <c r="K492" t="s">
        <v>44</v>
      </c>
      <c r="L492" t="s">
        <v>31</v>
      </c>
      <c r="M492" t="s">
        <v>22</v>
      </c>
      <c r="N492" t="s">
        <v>23</v>
      </c>
      <c r="O492" t="s">
        <v>59</v>
      </c>
      <c r="P492" t="s">
        <v>25</v>
      </c>
    </row>
    <row r="493" spans="1:16" x14ac:dyDescent="0.25">
      <c r="A493" s="1">
        <v>45688</v>
      </c>
      <c r="B493" t="s">
        <v>181</v>
      </c>
      <c r="C493">
        <v>51259</v>
      </c>
      <c r="D493" t="s">
        <v>17</v>
      </c>
      <c r="E493">
        <v>36</v>
      </c>
      <c r="F493">
        <v>29.42</v>
      </c>
      <c r="G493" t="s">
        <v>18</v>
      </c>
      <c r="H493">
        <v>0.38</v>
      </c>
      <c r="I493" t="s">
        <v>61</v>
      </c>
      <c r="J493">
        <v>6.73</v>
      </c>
      <c r="K493" t="s">
        <v>50</v>
      </c>
      <c r="L493" t="s">
        <v>31</v>
      </c>
      <c r="M493" t="s">
        <v>22</v>
      </c>
      <c r="N493" t="s">
        <v>38</v>
      </c>
      <c r="O493" t="s">
        <v>59</v>
      </c>
      <c r="P493" t="s">
        <v>25</v>
      </c>
    </row>
    <row r="494" spans="1:16" x14ac:dyDescent="0.25">
      <c r="A494" s="1">
        <v>45688</v>
      </c>
      <c r="B494" t="s">
        <v>454</v>
      </c>
      <c r="C494">
        <v>30694</v>
      </c>
      <c r="D494" t="s">
        <v>57</v>
      </c>
      <c r="E494">
        <v>35</v>
      </c>
      <c r="F494">
        <v>1.31</v>
      </c>
      <c r="G494" t="s">
        <v>43</v>
      </c>
      <c r="H494">
        <v>0.31</v>
      </c>
      <c r="I494" t="s">
        <v>61</v>
      </c>
      <c r="J494">
        <v>29.32</v>
      </c>
      <c r="K494" t="s">
        <v>37</v>
      </c>
      <c r="L494" t="s">
        <v>31</v>
      </c>
      <c r="M494" t="s">
        <v>22</v>
      </c>
      <c r="N494" t="s">
        <v>23</v>
      </c>
      <c r="O494" t="s">
        <v>24</v>
      </c>
      <c r="P494" t="s">
        <v>40</v>
      </c>
    </row>
    <row r="495" spans="1:16" x14ac:dyDescent="0.25">
      <c r="A495" s="1">
        <v>45688</v>
      </c>
      <c r="B495" t="s">
        <v>455</v>
      </c>
      <c r="C495">
        <v>93259</v>
      </c>
      <c r="D495" t="s">
        <v>70</v>
      </c>
      <c r="E495">
        <v>21</v>
      </c>
      <c r="F495">
        <v>28.27</v>
      </c>
      <c r="G495" t="s">
        <v>43</v>
      </c>
      <c r="H495">
        <v>0.27</v>
      </c>
      <c r="I495" t="s">
        <v>29</v>
      </c>
      <c r="J495">
        <v>13.09</v>
      </c>
      <c r="K495" t="s">
        <v>30</v>
      </c>
      <c r="L495" t="s">
        <v>31</v>
      </c>
      <c r="M495" t="s">
        <v>22</v>
      </c>
      <c r="N495" t="s">
        <v>38</v>
      </c>
      <c r="O495" t="s">
        <v>59</v>
      </c>
      <c r="P495" t="s">
        <v>40</v>
      </c>
    </row>
    <row r="496" spans="1:16" x14ac:dyDescent="0.25">
      <c r="A496" s="1">
        <v>45688</v>
      </c>
      <c r="B496" t="s">
        <v>247</v>
      </c>
      <c r="C496">
        <v>49695</v>
      </c>
      <c r="D496" t="s">
        <v>68</v>
      </c>
      <c r="E496">
        <v>5</v>
      </c>
      <c r="F496">
        <v>57.05</v>
      </c>
      <c r="G496" t="s">
        <v>58</v>
      </c>
      <c r="H496">
        <v>0.46</v>
      </c>
      <c r="I496" t="s">
        <v>29</v>
      </c>
      <c r="J496">
        <v>16.43</v>
      </c>
      <c r="K496" t="s">
        <v>30</v>
      </c>
      <c r="L496" t="s">
        <v>31</v>
      </c>
      <c r="M496" t="s">
        <v>22</v>
      </c>
      <c r="N496" t="s">
        <v>23</v>
      </c>
      <c r="O496" t="s">
        <v>33</v>
      </c>
      <c r="P496" t="s">
        <v>25</v>
      </c>
    </row>
    <row r="497" spans="1:16" x14ac:dyDescent="0.25">
      <c r="A497" s="1">
        <v>45688</v>
      </c>
      <c r="B497" t="s">
        <v>456</v>
      </c>
      <c r="C497">
        <v>55708</v>
      </c>
      <c r="D497" t="s">
        <v>68</v>
      </c>
      <c r="E497">
        <v>28</v>
      </c>
      <c r="F497">
        <v>40.479999999999997</v>
      </c>
      <c r="G497" t="s">
        <v>18</v>
      </c>
      <c r="H497">
        <v>0.45</v>
      </c>
      <c r="I497" t="s">
        <v>19</v>
      </c>
      <c r="J497">
        <v>8.0399999999999991</v>
      </c>
      <c r="K497" t="s">
        <v>44</v>
      </c>
      <c r="L497" t="s">
        <v>31</v>
      </c>
      <c r="M497" t="s">
        <v>111</v>
      </c>
      <c r="N497" t="s">
        <v>32</v>
      </c>
      <c r="O497" t="s">
        <v>33</v>
      </c>
      <c r="P497" t="s">
        <v>40</v>
      </c>
    </row>
    <row r="498" spans="1:16" x14ac:dyDescent="0.25">
      <c r="A498" s="1">
        <v>45688</v>
      </c>
      <c r="B498" t="s">
        <v>457</v>
      </c>
      <c r="C498">
        <v>21426</v>
      </c>
      <c r="D498" t="s">
        <v>75</v>
      </c>
      <c r="E498">
        <v>15</v>
      </c>
      <c r="F498">
        <v>87.4</v>
      </c>
      <c r="G498" t="s">
        <v>84</v>
      </c>
      <c r="H498">
        <v>0.28999999999999998</v>
      </c>
      <c r="I498" t="s">
        <v>61</v>
      </c>
      <c r="J498">
        <v>21.6</v>
      </c>
      <c r="K498" t="s">
        <v>50</v>
      </c>
      <c r="L498" t="s">
        <v>31</v>
      </c>
      <c r="M498" t="s">
        <v>22</v>
      </c>
      <c r="N498" t="s">
        <v>32</v>
      </c>
      <c r="O498" t="s">
        <v>59</v>
      </c>
      <c r="P498" t="s">
        <v>40</v>
      </c>
    </row>
    <row r="499" spans="1:16" x14ac:dyDescent="0.25">
      <c r="A499" s="1">
        <v>45688</v>
      </c>
      <c r="B499" t="s">
        <v>458</v>
      </c>
      <c r="C499">
        <v>48634</v>
      </c>
      <c r="D499" t="s">
        <v>66</v>
      </c>
      <c r="E499">
        <v>35</v>
      </c>
      <c r="F499">
        <v>57.97</v>
      </c>
      <c r="G499" t="s">
        <v>76</v>
      </c>
      <c r="H499">
        <v>0.4</v>
      </c>
      <c r="I499" t="s">
        <v>61</v>
      </c>
      <c r="J499">
        <v>6.26</v>
      </c>
      <c r="K499" t="s">
        <v>44</v>
      </c>
      <c r="L499" t="s">
        <v>21</v>
      </c>
      <c r="M499" t="s">
        <v>22</v>
      </c>
      <c r="N499" t="s">
        <v>32</v>
      </c>
      <c r="O499" t="s">
        <v>33</v>
      </c>
      <c r="P499" t="s">
        <v>40</v>
      </c>
    </row>
    <row r="500" spans="1:16" x14ac:dyDescent="0.25">
      <c r="A500" s="1">
        <v>45688</v>
      </c>
      <c r="B500" t="s">
        <v>459</v>
      </c>
      <c r="C500">
        <v>20255</v>
      </c>
      <c r="D500" t="s">
        <v>68</v>
      </c>
      <c r="E500">
        <v>17</v>
      </c>
      <c r="F500">
        <v>30.82</v>
      </c>
      <c r="G500" t="s">
        <v>43</v>
      </c>
      <c r="H500">
        <v>0.31</v>
      </c>
      <c r="I500" t="s">
        <v>19</v>
      </c>
      <c r="J500">
        <v>18.78</v>
      </c>
      <c r="K500" t="s">
        <v>50</v>
      </c>
      <c r="L500" t="s">
        <v>31</v>
      </c>
      <c r="M500" t="s">
        <v>22</v>
      </c>
      <c r="N500" t="s">
        <v>32</v>
      </c>
      <c r="O500" t="s">
        <v>59</v>
      </c>
      <c r="P500" t="s">
        <v>34</v>
      </c>
    </row>
    <row r="501" spans="1:16" x14ac:dyDescent="0.25">
      <c r="A501" s="1">
        <v>45688</v>
      </c>
      <c r="B501" t="s">
        <v>460</v>
      </c>
      <c r="C501">
        <v>81608</v>
      </c>
      <c r="D501" t="s">
        <v>17</v>
      </c>
      <c r="E501">
        <v>31</v>
      </c>
      <c r="F501">
        <v>33.020000000000003</v>
      </c>
      <c r="G501" t="s">
        <v>55</v>
      </c>
      <c r="H501">
        <v>0</v>
      </c>
      <c r="I501" t="s">
        <v>19</v>
      </c>
      <c r="J501">
        <v>8.4499999999999993</v>
      </c>
      <c r="K501" t="s">
        <v>20</v>
      </c>
      <c r="L501" t="s">
        <v>31</v>
      </c>
      <c r="M501" t="s">
        <v>22</v>
      </c>
      <c r="N501" t="s">
        <v>38</v>
      </c>
      <c r="O501" t="s">
        <v>59</v>
      </c>
      <c r="P501" t="s">
        <v>40</v>
      </c>
    </row>
    <row r="502" spans="1:16" x14ac:dyDescent="0.25">
      <c r="A502" s="1">
        <v>45688</v>
      </c>
      <c r="B502" t="s">
        <v>461</v>
      </c>
      <c r="C502">
        <v>35856</v>
      </c>
      <c r="D502" t="s">
        <v>27</v>
      </c>
      <c r="E502">
        <v>40</v>
      </c>
      <c r="F502">
        <v>13.84</v>
      </c>
      <c r="G502" t="s">
        <v>76</v>
      </c>
      <c r="H502">
        <v>0.5</v>
      </c>
      <c r="I502" t="s">
        <v>29</v>
      </c>
      <c r="J502">
        <v>8.6199999999999992</v>
      </c>
      <c r="K502" t="s">
        <v>30</v>
      </c>
      <c r="L502" t="s">
        <v>21</v>
      </c>
      <c r="M502" t="s">
        <v>22</v>
      </c>
      <c r="N502" t="s">
        <v>53</v>
      </c>
      <c r="O502" t="s">
        <v>24</v>
      </c>
      <c r="P502" t="s">
        <v>34</v>
      </c>
    </row>
    <row r="503" spans="1:16" x14ac:dyDescent="0.25">
      <c r="A503" s="1">
        <v>45688</v>
      </c>
      <c r="B503" t="s">
        <v>462</v>
      </c>
      <c r="C503">
        <v>47083</v>
      </c>
      <c r="D503" t="s">
        <v>70</v>
      </c>
      <c r="E503">
        <v>44</v>
      </c>
      <c r="F503">
        <v>33.229999999999997</v>
      </c>
      <c r="G503" t="s">
        <v>76</v>
      </c>
      <c r="H503">
        <v>0.12</v>
      </c>
      <c r="I503" t="s">
        <v>61</v>
      </c>
      <c r="J503">
        <v>5.69</v>
      </c>
      <c r="K503" t="s">
        <v>50</v>
      </c>
      <c r="L503" t="s">
        <v>21</v>
      </c>
      <c r="M503" t="s">
        <v>22</v>
      </c>
      <c r="N503" t="s">
        <v>53</v>
      </c>
      <c r="O503" t="s">
        <v>33</v>
      </c>
      <c r="P503" t="s">
        <v>34</v>
      </c>
    </row>
    <row r="504" spans="1:16" x14ac:dyDescent="0.25">
      <c r="A504" s="1">
        <v>45689</v>
      </c>
      <c r="B504" t="s">
        <v>463</v>
      </c>
      <c r="C504">
        <v>90287</v>
      </c>
      <c r="D504" t="s">
        <v>57</v>
      </c>
      <c r="E504">
        <v>14</v>
      </c>
      <c r="F504">
        <v>74.97</v>
      </c>
      <c r="G504" t="s">
        <v>55</v>
      </c>
      <c r="H504">
        <v>0.1</v>
      </c>
      <c r="I504" t="s">
        <v>29</v>
      </c>
      <c r="J504">
        <v>22.26</v>
      </c>
      <c r="K504" t="s">
        <v>44</v>
      </c>
      <c r="L504" t="s">
        <v>31</v>
      </c>
      <c r="M504" t="s">
        <v>22</v>
      </c>
      <c r="N504" t="s">
        <v>53</v>
      </c>
      <c r="O504" t="s">
        <v>24</v>
      </c>
      <c r="P504" t="s">
        <v>40</v>
      </c>
    </row>
    <row r="505" spans="1:16" x14ac:dyDescent="0.25">
      <c r="A505" s="1">
        <v>45689</v>
      </c>
      <c r="B505" t="s">
        <v>259</v>
      </c>
      <c r="C505">
        <v>72856</v>
      </c>
      <c r="D505" t="s">
        <v>66</v>
      </c>
      <c r="E505">
        <v>12</v>
      </c>
      <c r="F505">
        <v>44.34</v>
      </c>
      <c r="G505" t="s">
        <v>47</v>
      </c>
      <c r="H505">
        <v>0.14000000000000001</v>
      </c>
      <c r="I505" t="s">
        <v>29</v>
      </c>
      <c r="J505">
        <v>28.2</v>
      </c>
      <c r="K505" t="s">
        <v>44</v>
      </c>
      <c r="L505" t="s">
        <v>21</v>
      </c>
      <c r="M505" t="s">
        <v>22</v>
      </c>
      <c r="N505" t="s">
        <v>53</v>
      </c>
      <c r="O505" t="s">
        <v>59</v>
      </c>
      <c r="P505" t="s">
        <v>40</v>
      </c>
    </row>
    <row r="506" spans="1:16" x14ac:dyDescent="0.25">
      <c r="A506" s="1">
        <v>45689</v>
      </c>
      <c r="B506" t="s">
        <v>464</v>
      </c>
      <c r="C506">
        <v>78662</v>
      </c>
      <c r="D506" t="s">
        <v>46</v>
      </c>
      <c r="E506">
        <v>5</v>
      </c>
      <c r="F506">
        <v>11.92</v>
      </c>
      <c r="G506" t="s">
        <v>76</v>
      </c>
      <c r="H506">
        <v>0.08</v>
      </c>
      <c r="I506" t="s">
        <v>19</v>
      </c>
      <c r="J506">
        <v>27.12</v>
      </c>
      <c r="K506" t="s">
        <v>44</v>
      </c>
      <c r="L506" t="s">
        <v>21</v>
      </c>
      <c r="M506" t="s">
        <v>22</v>
      </c>
      <c r="N506" t="s">
        <v>53</v>
      </c>
      <c r="O506" t="s">
        <v>33</v>
      </c>
      <c r="P506" t="s">
        <v>25</v>
      </c>
    </row>
    <row r="507" spans="1:16" x14ac:dyDescent="0.25">
      <c r="A507" s="1">
        <v>45689</v>
      </c>
      <c r="B507" t="s">
        <v>465</v>
      </c>
      <c r="C507">
        <v>99791</v>
      </c>
      <c r="D507" t="s">
        <v>49</v>
      </c>
      <c r="E507">
        <v>10</v>
      </c>
      <c r="F507">
        <v>76.69</v>
      </c>
      <c r="G507" t="s">
        <v>47</v>
      </c>
      <c r="H507">
        <v>0.35</v>
      </c>
      <c r="I507" t="s">
        <v>19</v>
      </c>
      <c r="J507">
        <v>21.65</v>
      </c>
      <c r="K507" t="s">
        <v>30</v>
      </c>
      <c r="L507" t="s">
        <v>21</v>
      </c>
      <c r="M507" t="s">
        <v>22</v>
      </c>
      <c r="N507" t="s">
        <v>53</v>
      </c>
      <c r="O507" t="s">
        <v>33</v>
      </c>
      <c r="P507" t="s">
        <v>40</v>
      </c>
    </row>
    <row r="508" spans="1:16" x14ac:dyDescent="0.25">
      <c r="A508" s="1">
        <v>45689</v>
      </c>
      <c r="B508" t="s">
        <v>466</v>
      </c>
      <c r="C508">
        <v>66548</v>
      </c>
      <c r="D508" t="s">
        <v>57</v>
      </c>
      <c r="E508">
        <v>38</v>
      </c>
      <c r="F508">
        <v>19.420000000000002</v>
      </c>
      <c r="G508" t="s">
        <v>28</v>
      </c>
      <c r="H508">
        <v>0.22</v>
      </c>
      <c r="I508" t="s">
        <v>19</v>
      </c>
      <c r="J508">
        <v>22.84</v>
      </c>
      <c r="K508" t="s">
        <v>20</v>
      </c>
      <c r="L508" t="s">
        <v>31</v>
      </c>
      <c r="M508" t="s">
        <v>22</v>
      </c>
      <c r="N508" t="s">
        <v>23</v>
      </c>
      <c r="O508" t="s">
        <v>39</v>
      </c>
      <c r="P508" t="s">
        <v>25</v>
      </c>
    </row>
    <row r="509" spans="1:16" x14ac:dyDescent="0.25">
      <c r="A509" s="1">
        <v>45689</v>
      </c>
      <c r="B509" t="s">
        <v>467</v>
      </c>
      <c r="C509">
        <v>48871</v>
      </c>
      <c r="D509" t="s">
        <v>57</v>
      </c>
      <c r="E509">
        <v>17</v>
      </c>
      <c r="F509">
        <v>61.08</v>
      </c>
      <c r="G509" t="s">
        <v>55</v>
      </c>
      <c r="H509">
        <v>0.48</v>
      </c>
      <c r="I509" t="s">
        <v>61</v>
      </c>
      <c r="J509">
        <v>12.5</v>
      </c>
      <c r="K509" t="s">
        <v>30</v>
      </c>
      <c r="L509" t="s">
        <v>31</v>
      </c>
      <c r="M509" t="s">
        <v>22</v>
      </c>
      <c r="N509" t="s">
        <v>38</v>
      </c>
      <c r="O509" t="s">
        <v>39</v>
      </c>
      <c r="P509" t="s">
        <v>40</v>
      </c>
    </row>
    <row r="510" spans="1:16" x14ac:dyDescent="0.25">
      <c r="A510" s="1">
        <v>45689</v>
      </c>
      <c r="B510" t="s">
        <v>271</v>
      </c>
      <c r="C510">
        <v>75189</v>
      </c>
      <c r="D510" t="s">
        <v>89</v>
      </c>
      <c r="E510">
        <v>49</v>
      </c>
      <c r="F510">
        <v>3.51</v>
      </c>
      <c r="G510" t="s">
        <v>28</v>
      </c>
      <c r="H510">
        <v>0.49</v>
      </c>
      <c r="I510" t="s">
        <v>61</v>
      </c>
      <c r="J510">
        <v>6.16</v>
      </c>
      <c r="K510" t="s">
        <v>37</v>
      </c>
      <c r="L510" t="s">
        <v>31</v>
      </c>
      <c r="M510" t="s">
        <v>22</v>
      </c>
      <c r="N510" t="s">
        <v>38</v>
      </c>
      <c r="O510" t="s">
        <v>39</v>
      </c>
      <c r="P510" t="s">
        <v>25</v>
      </c>
    </row>
    <row r="511" spans="1:16" x14ac:dyDescent="0.25">
      <c r="A511" s="1">
        <v>45689</v>
      </c>
      <c r="B511" t="s">
        <v>468</v>
      </c>
      <c r="C511">
        <v>39420</v>
      </c>
      <c r="D511" t="s">
        <v>66</v>
      </c>
      <c r="E511">
        <v>42</v>
      </c>
      <c r="F511">
        <v>55.62</v>
      </c>
      <c r="G511" t="s">
        <v>47</v>
      </c>
      <c r="H511">
        <v>0.12</v>
      </c>
      <c r="I511" t="s">
        <v>29</v>
      </c>
      <c r="J511">
        <v>9.2899999999999991</v>
      </c>
      <c r="K511" t="s">
        <v>37</v>
      </c>
      <c r="L511" t="s">
        <v>31</v>
      </c>
      <c r="M511" t="s">
        <v>22</v>
      </c>
      <c r="N511" t="s">
        <v>53</v>
      </c>
      <c r="O511" t="s">
        <v>24</v>
      </c>
      <c r="P511" t="s">
        <v>34</v>
      </c>
    </row>
    <row r="512" spans="1:16" x14ac:dyDescent="0.25">
      <c r="A512" s="1">
        <v>45689</v>
      </c>
      <c r="B512" t="s">
        <v>469</v>
      </c>
      <c r="C512">
        <v>72684</v>
      </c>
      <c r="D512" t="s">
        <v>17</v>
      </c>
      <c r="E512">
        <v>29</v>
      </c>
      <c r="F512">
        <v>3.82</v>
      </c>
      <c r="G512" t="s">
        <v>36</v>
      </c>
      <c r="H512">
        <v>0.03</v>
      </c>
      <c r="I512" t="s">
        <v>29</v>
      </c>
      <c r="J512">
        <v>17.05</v>
      </c>
      <c r="K512" t="s">
        <v>50</v>
      </c>
      <c r="L512" t="s">
        <v>31</v>
      </c>
      <c r="M512" t="s">
        <v>22</v>
      </c>
      <c r="N512" t="s">
        <v>32</v>
      </c>
      <c r="O512" t="s">
        <v>33</v>
      </c>
      <c r="P512" t="s">
        <v>40</v>
      </c>
    </row>
    <row r="513" spans="1:16" x14ac:dyDescent="0.25">
      <c r="A513" s="1">
        <v>45689</v>
      </c>
      <c r="B513" t="s">
        <v>470</v>
      </c>
      <c r="C513">
        <v>99178</v>
      </c>
      <c r="D513" t="s">
        <v>89</v>
      </c>
      <c r="E513">
        <v>48</v>
      </c>
      <c r="F513">
        <v>53.96</v>
      </c>
      <c r="G513" t="s">
        <v>47</v>
      </c>
      <c r="H513">
        <v>0.25</v>
      </c>
      <c r="I513" t="s">
        <v>61</v>
      </c>
      <c r="J513">
        <v>26.89</v>
      </c>
      <c r="K513" t="s">
        <v>37</v>
      </c>
      <c r="L513" t="s">
        <v>21</v>
      </c>
      <c r="M513" t="s">
        <v>22</v>
      </c>
      <c r="N513" t="s">
        <v>32</v>
      </c>
      <c r="O513" t="s">
        <v>81</v>
      </c>
      <c r="P513" t="s">
        <v>40</v>
      </c>
    </row>
    <row r="514" spans="1:16" x14ac:dyDescent="0.25">
      <c r="A514" s="1">
        <v>45689</v>
      </c>
      <c r="B514" t="s">
        <v>471</v>
      </c>
      <c r="C514">
        <v>75311</v>
      </c>
      <c r="D514" t="s">
        <v>66</v>
      </c>
      <c r="E514">
        <v>21</v>
      </c>
      <c r="F514">
        <v>89.01</v>
      </c>
      <c r="G514" t="s">
        <v>55</v>
      </c>
      <c r="H514">
        <v>0.08</v>
      </c>
      <c r="I514" t="s">
        <v>19</v>
      </c>
      <c r="J514">
        <v>25.01</v>
      </c>
      <c r="K514" t="s">
        <v>30</v>
      </c>
      <c r="L514" t="s">
        <v>31</v>
      </c>
      <c r="M514" t="s">
        <v>111</v>
      </c>
      <c r="N514" t="s">
        <v>32</v>
      </c>
      <c r="O514" t="s">
        <v>39</v>
      </c>
      <c r="P514" t="s">
        <v>40</v>
      </c>
    </row>
    <row r="515" spans="1:16" x14ac:dyDescent="0.25">
      <c r="A515" s="1">
        <v>45689</v>
      </c>
      <c r="B515" t="s">
        <v>472</v>
      </c>
      <c r="C515">
        <v>91026</v>
      </c>
      <c r="D515" t="s">
        <v>42</v>
      </c>
      <c r="E515">
        <v>47</v>
      </c>
      <c r="F515">
        <v>33.94</v>
      </c>
      <c r="G515" t="s">
        <v>47</v>
      </c>
      <c r="H515">
        <v>0.21</v>
      </c>
      <c r="I515" t="s">
        <v>61</v>
      </c>
      <c r="J515">
        <v>12.42</v>
      </c>
      <c r="K515" t="s">
        <v>44</v>
      </c>
      <c r="L515" t="s">
        <v>21</v>
      </c>
      <c r="M515" t="s">
        <v>22</v>
      </c>
      <c r="N515" t="s">
        <v>38</v>
      </c>
      <c r="O515" t="s">
        <v>59</v>
      </c>
      <c r="P515" t="s">
        <v>40</v>
      </c>
    </row>
    <row r="516" spans="1:16" x14ac:dyDescent="0.25">
      <c r="A516" s="1">
        <v>45689</v>
      </c>
      <c r="B516" t="s">
        <v>212</v>
      </c>
      <c r="C516">
        <v>47634</v>
      </c>
      <c r="D516" t="s">
        <v>66</v>
      </c>
      <c r="E516">
        <v>2</v>
      </c>
      <c r="F516">
        <v>72.84</v>
      </c>
      <c r="G516" t="s">
        <v>76</v>
      </c>
      <c r="H516">
        <v>0.13</v>
      </c>
      <c r="I516" t="s">
        <v>29</v>
      </c>
      <c r="J516">
        <v>22.76</v>
      </c>
      <c r="K516" t="s">
        <v>20</v>
      </c>
      <c r="L516" t="s">
        <v>21</v>
      </c>
      <c r="M516" t="s">
        <v>22</v>
      </c>
      <c r="N516" t="s">
        <v>53</v>
      </c>
      <c r="O516" t="s">
        <v>81</v>
      </c>
      <c r="P516" t="s">
        <v>25</v>
      </c>
    </row>
    <row r="517" spans="1:16" x14ac:dyDescent="0.25">
      <c r="A517" s="1">
        <v>45689</v>
      </c>
      <c r="B517" t="s">
        <v>473</v>
      </c>
      <c r="C517">
        <v>44879</v>
      </c>
      <c r="D517" t="s">
        <v>68</v>
      </c>
      <c r="E517">
        <v>22</v>
      </c>
      <c r="F517">
        <v>45.43</v>
      </c>
      <c r="G517" t="s">
        <v>52</v>
      </c>
      <c r="H517">
        <v>0.46</v>
      </c>
      <c r="I517" t="s">
        <v>61</v>
      </c>
      <c r="J517">
        <v>26.5</v>
      </c>
      <c r="K517" t="s">
        <v>30</v>
      </c>
      <c r="L517" t="s">
        <v>31</v>
      </c>
      <c r="M517" t="s">
        <v>22</v>
      </c>
      <c r="N517" t="s">
        <v>53</v>
      </c>
      <c r="O517" t="s">
        <v>33</v>
      </c>
      <c r="P517" t="s">
        <v>40</v>
      </c>
    </row>
    <row r="518" spans="1:16" x14ac:dyDescent="0.25">
      <c r="A518" s="1">
        <v>45689</v>
      </c>
      <c r="B518" t="s">
        <v>474</v>
      </c>
      <c r="C518">
        <v>43382</v>
      </c>
      <c r="D518" t="s">
        <v>70</v>
      </c>
      <c r="E518">
        <v>12</v>
      </c>
      <c r="F518">
        <v>36.85</v>
      </c>
      <c r="G518" t="s">
        <v>43</v>
      </c>
      <c r="H518">
        <v>0.3</v>
      </c>
      <c r="I518" t="s">
        <v>61</v>
      </c>
      <c r="J518">
        <v>8.31</v>
      </c>
      <c r="K518" t="s">
        <v>44</v>
      </c>
      <c r="L518" t="s">
        <v>31</v>
      </c>
      <c r="M518" t="s">
        <v>22</v>
      </c>
      <c r="N518" t="s">
        <v>32</v>
      </c>
      <c r="O518" t="s">
        <v>33</v>
      </c>
      <c r="P518" t="s">
        <v>34</v>
      </c>
    </row>
    <row r="519" spans="1:16" x14ac:dyDescent="0.25">
      <c r="A519" s="1">
        <v>45689</v>
      </c>
      <c r="B519" t="s">
        <v>475</v>
      </c>
      <c r="C519">
        <v>13934</v>
      </c>
      <c r="D519" t="s">
        <v>66</v>
      </c>
      <c r="E519">
        <v>26</v>
      </c>
      <c r="F519">
        <v>58.36</v>
      </c>
      <c r="G519" t="s">
        <v>47</v>
      </c>
      <c r="H519">
        <v>0.44</v>
      </c>
      <c r="I519" t="s">
        <v>61</v>
      </c>
      <c r="J519">
        <v>27.43</v>
      </c>
      <c r="K519" t="s">
        <v>50</v>
      </c>
      <c r="L519" t="s">
        <v>21</v>
      </c>
      <c r="M519" t="s">
        <v>22</v>
      </c>
      <c r="N519" t="s">
        <v>23</v>
      </c>
      <c r="O519" t="s">
        <v>33</v>
      </c>
      <c r="P519" t="s">
        <v>25</v>
      </c>
    </row>
    <row r="520" spans="1:16" x14ac:dyDescent="0.25">
      <c r="A520" s="1">
        <v>45689</v>
      </c>
      <c r="B520" t="s">
        <v>385</v>
      </c>
      <c r="C520">
        <v>95183</v>
      </c>
      <c r="D520" t="s">
        <v>70</v>
      </c>
      <c r="E520">
        <v>5</v>
      </c>
      <c r="F520">
        <v>28.61</v>
      </c>
      <c r="G520" t="s">
        <v>84</v>
      </c>
      <c r="H520">
        <v>0.03</v>
      </c>
      <c r="I520" t="s">
        <v>61</v>
      </c>
      <c r="J520">
        <v>16.420000000000002</v>
      </c>
      <c r="K520" t="s">
        <v>50</v>
      </c>
      <c r="L520" t="s">
        <v>31</v>
      </c>
      <c r="M520" t="s">
        <v>111</v>
      </c>
      <c r="N520" t="s">
        <v>23</v>
      </c>
      <c r="O520" t="s">
        <v>59</v>
      </c>
      <c r="P520" t="s">
        <v>25</v>
      </c>
    </row>
    <row r="521" spans="1:16" x14ac:dyDescent="0.25">
      <c r="A521" s="1">
        <v>45689</v>
      </c>
      <c r="B521" t="s">
        <v>103</v>
      </c>
      <c r="C521">
        <v>27348</v>
      </c>
      <c r="D521" t="s">
        <v>17</v>
      </c>
      <c r="E521">
        <v>29</v>
      </c>
      <c r="F521">
        <v>81.08</v>
      </c>
      <c r="G521" t="s">
        <v>84</v>
      </c>
      <c r="H521">
        <v>0.28999999999999998</v>
      </c>
      <c r="I521" t="s">
        <v>29</v>
      </c>
      <c r="J521">
        <v>14.61</v>
      </c>
      <c r="K521" t="s">
        <v>30</v>
      </c>
      <c r="L521" t="s">
        <v>21</v>
      </c>
      <c r="M521" t="s">
        <v>22</v>
      </c>
      <c r="N521" t="s">
        <v>53</v>
      </c>
      <c r="O521" t="s">
        <v>81</v>
      </c>
      <c r="P521" t="s">
        <v>25</v>
      </c>
    </row>
    <row r="522" spans="1:16" x14ac:dyDescent="0.25">
      <c r="A522" s="1">
        <v>45689</v>
      </c>
      <c r="B522" t="s">
        <v>476</v>
      </c>
      <c r="C522">
        <v>20188</v>
      </c>
      <c r="D522" t="s">
        <v>17</v>
      </c>
      <c r="E522">
        <v>1</v>
      </c>
      <c r="F522">
        <v>89.58</v>
      </c>
      <c r="G522" t="s">
        <v>43</v>
      </c>
      <c r="H522">
        <v>0.47</v>
      </c>
      <c r="I522" t="s">
        <v>19</v>
      </c>
      <c r="J522">
        <v>20.440000000000001</v>
      </c>
      <c r="K522" t="s">
        <v>50</v>
      </c>
      <c r="L522" t="s">
        <v>21</v>
      </c>
      <c r="M522" t="s">
        <v>22</v>
      </c>
      <c r="N522" t="s">
        <v>38</v>
      </c>
      <c r="O522" t="s">
        <v>39</v>
      </c>
      <c r="P522" t="s">
        <v>25</v>
      </c>
    </row>
    <row r="523" spans="1:16" x14ac:dyDescent="0.25">
      <c r="A523" s="1">
        <v>45689</v>
      </c>
      <c r="B523" t="s">
        <v>477</v>
      </c>
      <c r="C523">
        <v>49448</v>
      </c>
      <c r="D523" t="s">
        <v>68</v>
      </c>
      <c r="E523">
        <v>32</v>
      </c>
      <c r="F523">
        <v>18.98</v>
      </c>
      <c r="G523" t="s">
        <v>52</v>
      </c>
      <c r="H523">
        <v>0.47</v>
      </c>
      <c r="I523" t="s">
        <v>61</v>
      </c>
      <c r="J523">
        <v>27.35</v>
      </c>
      <c r="K523" t="s">
        <v>30</v>
      </c>
      <c r="L523" t="s">
        <v>31</v>
      </c>
      <c r="M523" t="s">
        <v>22</v>
      </c>
      <c r="N523" t="s">
        <v>53</v>
      </c>
      <c r="O523" t="s">
        <v>59</v>
      </c>
      <c r="P523" t="s">
        <v>34</v>
      </c>
    </row>
    <row r="524" spans="1:16" x14ac:dyDescent="0.25">
      <c r="A524" s="1">
        <v>45689</v>
      </c>
      <c r="B524" t="s">
        <v>342</v>
      </c>
      <c r="C524">
        <v>71256</v>
      </c>
      <c r="D524" t="s">
        <v>75</v>
      </c>
      <c r="E524">
        <v>34</v>
      </c>
      <c r="F524">
        <v>88.22</v>
      </c>
      <c r="G524" t="s">
        <v>36</v>
      </c>
      <c r="H524">
        <v>0.38</v>
      </c>
      <c r="I524" t="s">
        <v>29</v>
      </c>
      <c r="J524">
        <v>13.93</v>
      </c>
      <c r="K524" t="s">
        <v>44</v>
      </c>
      <c r="L524" t="s">
        <v>31</v>
      </c>
      <c r="M524" t="s">
        <v>22</v>
      </c>
      <c r="N524" t="s">
        <v>38</v>
      </c>
      <c r="O524" t="s">
        <v>81</v>
      </c>
      <c r="P524" t="s">
        <v>34</v>
      </c>
    </row>
    <row r="525" spans="1:16" x14ac:dyDescent="0.25">
      <c r="A525" s="1">
        <v>45690</v>
      </c>
      <c r="B525" t="s">
        <v>102</v>
      </c>
      <c r="C525">
        <v>20138</v>
      </c>
      <c r="D525" t="s">
        <v>70</v>
      </c>
      <c r="E525">
        <v>17</v>
      </c>
      <c r="F525">
        <v>60.47</v>
      </c>
      <c r="G525" t="s">
        <v>52</v>
      </c>
      <c r="H525">
        <v>0.21</v>
      </c>
      <c r="I525" t="s">
        <v>29</v>
      </c>
      <c r="J525">
        <v>11.15</v>
      </c>
      <c r="K525" t="s">
        <v>50</v>
      </c>
      <c r="L525" t="s">
        <v>21</v>
      </c>
      <c r="M525" t="s">
        <v>22</v>
      </c>
      <c r="N525" t="s">
        <v>53</v>
      </c>
      <c r="O525" t="s">
        <v>81</v>
      </c>
      <c r="P525" t="s">
        <v>25</v>
      </c>
    </row>
    <row r="526" spans="1:16" x14ac:dyDescent="0.25">
      <c r="A526" s="1">
        <v>45690</v>
      </c>
      <c r="B526" t="s">
        <v>120</v>
      </c>
      <c r="C526">
        <v>18753</v>
      </c>
      <c r="D526" t="s">
        <v>42</v>
      </c>
      <c r="E526">
        <v>27</v>
      </c>
      <c r="F526">
        <v>19.18</v>
      </c>
      <c r="G526" t="s">
        <v>55</v>
      </c>
      <c r="H526">
        <v>0.38</v>
      </c>
      <c r="I526" t="s">
        <v>19</v>
      </c>
      <c r="J526">
        <v>7.21</v>
      </c>
      <c r="K526" t="s">
        <v>44</v>
      </c>
      <c r="L526" t="s">
        <v>21</v>
      </c>
      <c r="M526" t="s">
        <v>22</v>
      </c>
      <c r="N526" t="s">
        <v>23</v>
      </c>
      <c r="O526" t="s">
        <v>24</v>
      </c>
      <c r="P526" t="s">
        <v>40</v>
      </c>
    </row>
    <row r="527" spans="1:16" x14ac:dyDescent="0.25">
      <c r="A527" s="1">
        <v>45690</v>
      </c>
      <c r="B527" t="s">
        <v>478</v>
      </c>
      <c r="C527">
        <v>28433</v>
      </c>
      <c r="D527" t="s">
        <v>57</v>
      </c>
      <c r="E527">
        <v>15</v>
      </c>
      <c r="F527">
        <v>24.66</v>
      </c>
      <c r="G527" t="s">
        <v>52</v>
      </c>
      <c r="H527">
        <v>0.42</v>
      </c>
      <c r="I527" t="s">
        <v>19</v>
      </c>
      <c r="J527">
        <v>7.31</v>
      </c>
      <c r="K527" t="s">
        <v>37</v>
      </c>
      <c r="L527" t="s">
        <v>31</v>
      </c>
      <c r="M527" t="s">
        <v>111</v>
      </c>
      <c r="N527" t="s">
        <v>53</v>
      </c>
      <c r="O527" t="s">
        <v>24</v>
      </c>
      <c r="P527" t="s">
        <v>34</v>
      </c>
    </row>
    <row r="528" spans="1:16" x14ac:dyDescent="0.25">
      <c r="A528" s="1">
        <v>45690</v>
      </c>
      <c r="B528" t="s">
        <v>479</v>
      </c>
      <c r="C528">
        <v>79445</v>
      </c>
      <c r="D528" t="s">
        <v>75</v>
      </c>
      <c r="E528">
        <v>13</v>
      </c>
      <c r="F528">
        <v>22.52</v>
      </c>
      <c r="G528" t="s">
        <v>99</v>
      </c>
      <c r="H528">
        <v>0.14000000000000001</v>
      </c>
      <c r="I528" t="s">
        <v>19</v>
      </c>
      <c r="J528">
        <v>16.55</v>
      </c>
      <c r="K528" t="s">
        <v>50</v>
      </c>
      <c r="L528" t="s">
        <v>21</v>
      </c>
      <c r="M528" t="s">
        <v>22</v>
      </c>
      <c r="N528" t="s">
        <v>23</v>
      </c>
      <c r="O528" t="s">
        <v>24</v>
      </c>
      <c r="P528" t="s">
        <v>34</v>
      </c>
    </row>
    <row r="529" spans="1:16" x14ac:dyDescent="0.25">
      <c r="A529" s="1">
        <v>45690</v>
      </c>
      <c r="B529" t="s">
        <v>257</v>
      </c>
      <c r="C529">
        <v>10600</v>
      </c>
      <c r="D529" t="s">
        <v>70</v>
      </c>
      <c r="E529">
        <v>14</v>
      </c>
      <c r="F529">
        <v>27.22</v>
      </c>
      <c r="G529" t="s">
        <v>58</v>
      </c>
      <c r="H529">
        <v>0.28999999999999998</v>
      </c>
      <c r="I529" t="s">
        <v>61</v>
      </c>
      <c r="J529">
        <v>9.3800000000000008</v>
      </c>
      <c r="K529" t="s">
        <v>30</v>
      </c>
      <c r="L529" t="s">
        <v>21</v>
      </c>
      <c r="M529" t="s">
        <v>22</v>
      </c>
      <c r="N529" t="s">
        <v>23</v>
      </c>
      <c r="O529" t="s">
        <v>33</v>
      </c>
      <c r="P529" t="s">
        <v>34</v>
      </c>
    </row>
    <row r="530" spans="1:16" x14ac:dyDescent="0.25">
      <c r="A530" s="1">
        <v>45690</v>
      </c>
      <c r="B530" t="s">
        <v>282</v>
      </c>
      <c r="C530">
        <v>42695</v>
      </c>
      <c r="D530" t="s">
        <v>17</v>
      </c>
      <c r="E530">
        <v>42</v>
      </c>
      <c r="F530">
        <v>75.62</v>
      </c>
      <c r="G530" t="s">
        <v>72</v>
      </c>
      <c r="H530">
        <v>0</v>
      </c>
      <c r="I530" t="s">
        <v>19</v>
      </c>
      <c r="J530">
        <v>20.66</v>
      </c>
      <c r="K530" t="s">
        <v>44</v>
      </c>
      <c r="L530" t="s">
        <v>21</v>
      </c>
      <c r="M530" t="s">
        <v>22</v>
      </c>
      <c r="N530" t="s">
        <v>23</v>
      </c>
      <c r="O530" t="s">
        <v>24</v>
      </c>
      <c r="P530" t="s">
        <v>40</v>
      </c>
    </row>
    <row r="531" spans="1:16" x14ac:dyDescent="0.25">
      <c r="A531" s="1">
        <v>45690</v>
      </c>
      <c r="B531" t="s">
        <v>128</v>
      </c>
      <c r="C531">
        <v>90316</v>
      </c>
      <c r="D531" t="s">
        <v>70</v>
      </c>
      <c r="E531">
        <v>43</v>
      </c>
      <c r="F531">
        <v>71.900000000000006</v>
      </c>
      <c r="G531" t="s">
        <v>99</v>
      </c>
      <c r="H531">
        <v>0.01</v>
      </c>
      <c r="I531" t="s">
        <v>61</v>
      </c>
      <c r="J531">
        <v>9.68</v>
      </c>
      <c r="K531" t="s">
        <v>37</v>
      </c>
      <c r="L531" t="s">
        <v>31</v>
      </c>
      <c r="M531" t="s">
        <v>22</v>
      </c>
      <c r="N531" t="s">
        <v>38</v>
      </c>
      <c r="O531" t="s">
        <v>24</v>
      </c>
      <c r="P531" t="s">
        <v>40</v>
      </c>
    </row>
    <row r="532" spans="1:16" x14ac:dyDescent="0.25">
      <c r="A532" s="1">
        <v>45690</v>
      </c>
      <c r="B532" t="s">
        <v>480</v>
      </c>
      <c r="C532">
        <v>53924</v>
      </c>
      <c r="D532" t="s">
        <v>27</v>
      </c>
      <c r="E532">
        <v>44</v>
      </c>
      <c r="F532">
        <v>55.51</v>
      </c>
      <c r="G532" t="s">
        <v>43</v>
      </c>
      <c r="H532">
        <v>0.23</v>
      </c>
      <c r="I532" t="s">
        <v>19</v>
      </c>
      <c r="J532">
        <v>27.66</v>
      </c>
      <c r="K532" t="s">
        <v>20</v>
      </c>
      <c r="L532" t="s">
        <v>31</v>
      </c>
      <c r="M532" t="s">
        <v>22</v>
      </c>
      <c r="N532" t="s">
        <v>23</v>
      </c>
      <c r="O532" t="s">
        <v>33</v>
      </c>
      <c r="P532" t="s">
        <v>40</v>
      </c>
    </row>
    <row r="533" spans="1:16" x14ac:dyDescent="0.25">
      <c r="A533" s="1">
        <v>45690</v>
      </c>
      <c r="B533" t="s">
        <v>481</v>
      </c>
      <c r="C533">
        <v>38356</v>
      </c>
      <c r="D533" t="s">
        <v>66</v>
      </c>
      <c r="E533">
        <v>33</v>
      </c>
      <c r="F533">
        <v>53.49</v>
      </c>
      <c r="G533" t="s">
        <v>84</v>
      </c>
      <c r="H533">
        <v>0.42</v>
      </c>
      <c r="I533" t="s">
        <v>61</v>
      </c>
      <c r="J533">
        <v>5.64</v>
      </c>
      <c r="K533" t="s">
        <v>30</v>
      </c>
      <c r="L533" t="s">
        <v>21</v>
      </c>
      <c r="M533" t="s">
        <v>22</v>
      </c>
      <c r="N533" t="s">
        <v>23</v>
      </c>
      <c r="O533" t="s">
        <v>33</v>
      </c>
      <c r="P533" t="s">
        <v>40</v>
      </c>
    </row>
    <row r="534" spans="1:16" x14ac:dyDescent="0.25">
      <c r="A534" s="1">
        <v>45690</v>
      </c>
      <c r="B534" t="s">
        <v>482</v>
      </c>
      <c r="C534">
        <v>24551</v>
      </c>
      <c r="D534" t="s">
        <v>42</v>
      </c>
      <c r="E534">
        <v>37</v>
      </c>
      <c r="F534">
        <v>2.66</v>
      </c>
      <c r="G534" t="s">
        <v>47</v>
      </c>
      <c r="H534">
        <v>0.46</v>
      </c>
      <c r="I534" t="s">
        <v>61</v>
      </c>
      <c r="J534">
        <v>27.47</v>
      </c>
      <c r="K534" t="s">
        <v>50</v>
      </c>
      <c r="L534" t="s">
        <v>31</v>
      </c>
      <c r="M534" t="s">
        <v>22</v>
      </c>
      <c r="N534" t="s">
        <v>32</v>
      </c>
      <c r="O534" t="s">
        <v>59</v>
      </c>
      <c r="P534" t="s">
        <v>25</v>
      </c>
    </row>
    <row r="535" spans="1:16" x14ac:dyDescent="0.25">
      <c r="A535" s="1">
        <v>45690</v>
      </c>
      <c r="B535" t="s">
        <v>483</v>
      </c>
      <c r="C535">
        <v>57003</v>
      </c>
      <c r="D535" t="s">
        <v>57</v>
      </c>
      <c r="E535">
        <v>29</v>
      </c>
      <c r="F535">
        <v>7.42</v>
      </c>
      <c r="G535" t="s">
        <v>76</v>
      </c>
      <c r="H535">
        <v>0.22</v>
      </c>
      <c r="I535" t="s">
        <v>19</v>
      </c>
      <c r="J535">
        <v>14.92</v>
      </c>
      <c r="K535" s="4" t="s">
        <v>728</v>
      </c>
      <c r="L535" t="s">
        <v>31</v>
      </c>
      <c r="M535" t="s">
        <v>22</v>
      </c>
      <c r="N535" t="s">
        <v>38</v>
      </c>
      <c r="O535" t="s">
        <v>59</v>
      </c>
      <c r="P535" t="s">
        <v>40</v>
      </c>
    </row>
    <row r="536" spans="1:16" x14ac:dyDescent="0.25">
      <c r="A536" s="1">
        <v>45690</v>
      </c>
      <c r="B536" t="s">
        <v>419</v>
      </c>
      <c r="C536">
        <v>19012</v>
      </c>
      <c r="D536" t="s">
        <v>57</v>
      </c>
      <c r="E536">
        <v>18</v>
      </c>
      <c r="F536">
        <v>84.2</v>
      </c>
      <c r="G536" t="s">
        <v>47</v>
      </c>
      <c r="H536">
        <v>0.33</v>
      </c>
      <c r="I536" t="s">
        <v>19</v>
      </c>
      <c r="J536">
        <v>22.18</v>
      </c>
      <c r="K536" t="s">
        <v>44</v>
      </c>
      <c r="L536" t="s">
        <v>31</v>
      </c>
      <c r="M536" t="s">
        <v>22</v>
      </c>
      <c r="N536" t="s">
        <v>38</v>
      </c>
      <c r="O536" t="s">
        <v>39</v>
      </c>
      <c r="P536" t="s">
        <v>25</v>
      </c>
    </row>
    <row r="537" spans="1:16" x14ac:dyDescent="0.25">
      <c r="A537" s="1">
        <v>45690</v>
      </c>
      <c r="B537" t="s">
        <v>327</v>
      </c>
      <c r="C537">
        <v>57214</v>
      </c>
      <c r="D537" t="s">
        <v>75</v>
      </c>
      <c r="E537">
        <v>32</v>
      </c>
      <c r="F537">
        <v>89.09</v>
      </c>
      <c r="G537" t="s">
        <v>52</v>
      </c>
      <c r="H537">
        <v>0.08</v>
      </c>
      <c r="I537" t="s">
        <v>19</v>
      </c>
      <c r="J537">
        <v>16.940000000000001</v>
      </c>
      <c r="K537" t="s">
        <v>44</v>
      </c>
      <c r="L537" t="s">
        <v>21</v>
      </c>
      <c r="M537" t="s">
        <v>22</v>
      </c>
      <c r="N537" t="s">
        <v>38</v>
      </c>
      <c r="O537" t="s">
        <v>39</v>
      </c>
      <c r="P537" t="s">
        <v>34</v>
      </c>
    </row>
    <row r="538" spans="1:16" x14ac:dyDescent="0.25">
      <c r="A538" s="1">
        <v>45690</v>
      </c>
      <c r="B538" t="s">
        <v>130</v>
      </c>
      <c r="C538">
        <v>73186</v>
      </c>
      <c r="D538" t="s">
        <v>46</v>
      </c>
      <c r="E538">
        <v>17</v>
      </c>
      <c r="F538">
        <v>65.66</v>
      </c>
      <c r="G538" t="s">
        <v>58</v>
      </c>
      <c r="H538">
        <v>7.0000000000000007E-2</v>
      </c>
      <c r="I538" t="s">
        <v>61</v>
      </c>
      <c r="J538">
        <v>18.079999999999998</v>
      </c>
      <c r="K538" t="s">
        <v>20</v>
      </c>
      <c r="L538" t="s">
        <v>31</v>
      </c>
      <c r="M538" t="s">
        <v>22</v>
      </c>
      <c r="N538" t="s">
        <v>38</v>
      </c>
      <c r="O538" t="s">
        <v>39</v>
      </c>
      <c r="P538" t="s">
        <v>40</v>
      </c>
    </row>
    <row r="539" spans="1:16" x14ac:dyDescent="0.25">
      <c r="A539" s="1">
        <v>45690</v>
      </c>
      <c r="B539" t="s">
        <v>484</v>
      </c>
      <c r="C539">
        <v>41312</v>
      </c>
      <c r="D539" t="s">
        <v>66</v>
      </c>
      <c r="E539">
        <v>1</v>
      </c>
      <c r="F539">
        <v>79.09</v>
      </c>
      <c r="G539" t="s">
        <v>76</v>
      </c>
      <c r="H539">
        <v>0.31</v>
      </c>
      <c r="I539" t="s">
        <v>19</v>
      </c>
      <c r="J539">
        <v>17.04</v>
      </c>
      <c r="K539" t="s">
        <v>20</v>
      </c>
      <c r="L539" t="s">
        <v>21</v>
      </c>
      <c r="M539" t="s">
        <v>22</v>
      </c>
      <c r="N539" t="s">
        <v>32</v>
      </c>
      <c r="O539" t="s">
        <v>24</v>
      </c>
      <c r="P539" t="s">
        <v>34</v>
      </c>
    </row>
    <row r="540" spans="1:16" x14ac:dyDescent="0.25">
      <c r="A540" s="1">
        <v>45690</v>
      </c>
      <c r="B540" t="s">
        <v>485</v>
      </c>
      <c r="C540">
        <v>17350</v>
      </c>
      <c r="D540" t="s">
        <v>46</v>
      </c>
      <c r="E540">
        <v>3</v>
      </c>
      <c r="F540">
        <v>81.94</v>
      </c>
      <c r="G540" t="s">
        <v>76</v>
      </c>
      <c r="H540">
        <v>0.16</v>
      </c>
      <c r="I540" t="s">
        <v>29</v>
      </c>
      <c r="J540">
        <v>25.75</v>
      </c>
      <c r="K540" t="s">
        <v>20</v>
      </c>
      <c r="L540" t="s">
        <v>31</v>
      </c>
      <c r="M540" t="s">
        <v>22</v>
      </c>
      <c r="N540" t="s">
        <v>32</v>
      </c>
      <c r="O540" t="s">
        <v>81</v>
      </c>
      <c r="P540" t="s">
        <v>34</v>
      </c>
    </row>
    <row r="541" spans="1:16" x14ac:dyDescent="0.25">
      <c r="A541" s="1">
        <v>45690</v>
      </c>
      <c r="B541" t="s">
        <v>203</v>
      </c>
      <c r="C541">
        <v>84172</v>
      </c>
      <c r="D541" t="s">
        <v>75</v>
      </c>
      <c r="E541">
        <v>29</v>
      </c>
      <c r="F541">
        <v>58.15</v>
      </c>
      <c r="G541" t="s">
        <v>76</v>
      </c>
      <c r="H541">
        <v>0.37</v>
      </c>
      <c r="I541" t="s">
        <v>19</v>
      </c>
      <c r="J541">
        <v>12.39</v>
      </c>
      <c r="K541" t="s">
        <v>30</v>
      </c>
      <c r="L541" t="s">
        <v>21</v>
      </c>
      <c r="M541" t="s">
        <v>22</v>
      </c>
      <c r="N541" t="s">
        <v>53</v>
      </c>
      <c r="O541" t="s">
        <v>81</v>
      </c>
      <c r="P541" t="s">
        <v>40</v>
      </c>
    </row>
    <row r="542" spans="1:16" x14ac:dyDescent="0.25">
      <c r="A542" s="1">
        <v>45690</v>
      </c>
      <c r="B542" t="s">
        <v>429</v>
      </c>
      <c r="C542">
        <v>36463</v>
      </c>
      <c r="D542" t="s">
        <v>68</v>
      </c>
      <c r="E542">
        <v>45</v>
      </c>
      <c r="F542">
        <v>35.97</v>
      </c>
      <c r="G542" t="s">
        <v>28</v>
      </c>
      <c r="H542">
        <v>0.47</v>
      </c>
      <c r="I542" t="s">
        <v>61</v>
      </c>
      <c r="J542">
        <v>21.85</v>
      </c>
      <c r="K542" t="s">
        <v>50</v>
      </c>
      <c r="L542" t="s">
        <v>31</v>
      </c>
      <c r="M542" t="s">
        <v>22</v>
      </c>
      <c r="N542" t="s">
        <v>23</v>
      </c>
      <c r="O542" t="s">
        <v>81</v>
      </c>
      <c r="P542" t="s">
        <v>40</v>
      </c>
    </row>
    <row r="543" spans="1:16" x14ac:dyDescent="0.25">
      <c r="A543" s="1">
        <v>45690</v>
      </c>
      <c r="B543" t="s">
        <v>277</v>
      </c>
      <c r="C543">
        <v>83959</v>
      </c>
      <c r="D543" t="s">
        <v>66</v>
      </c>
      <c r="E543">
        <v>38</v>
      </c>
      <c r="F543">
        <v>36.86</v>
      </c>
      <c r="G543" t="s">
        <v>28</v>
      </c>
      <c r="H543">
        <v>0.08</v>
      </c>
      <c r="I543" t="s">
        <v>29</v>
      </c>
      <c r="J543">
        <v>11.28</v>
      </c>
      <c r="K543" t="s">
        <v>20</v>
      </c>
      <c r="L543" t="s">
        <v>31</v>
      </c>
      <c r="M543" t="s">
        <v>22</v>
      </c>
      <c r="N543" t="s">
        <v>23</v>
      </c>
      <c r="O543" t="s">
        <v>81</v>
      </c>
      <c r="P543" t="s">
        <v>34</v>
      </c>
    </row>
    <row r="544" spans="1:16" x14ac:dyDescent="0.25">
      <c r="A544" s="1">
        <v>45690</v>
      </c>
      <c r="B544" t="s">
        <v>486</v>
      </c>
      <c r="C544">
        <v>43559</v>
      </c>
      <c r="D544" t="s">
        <v>75</v>
      </c>
      <c r="E544">
        <v>30</v>
      </c>
      <c r="F544">
        <v>94.84</v>
      </c>
      <c r="G544" t="s">
        <v>47</v>
      </c>
      <c r="H544">
        <v>0.14000000000000001</v>
      </c>
      <c r="I544" t="s">
        <v>19</v>
      </c>
      <c r="J544">
        <v>11.13</v>
      </c>
      <c r="K544" t="s">
        <v>37</v>
      </c>
      <c r="L544" t="s">
        <v>31</v>
      </c>
      <c r="M544" t="s">
        <v>22</v>
      </c>
      <c r="N544" t="s">
        <v>53</v>
      </c>
      <c r="O544" t="s">
        <v>81</v>
      </c>
      <c r="P544" t="s">
        <v>40</v>
      </c>
    </row>
    <row r="545" spans="1:16" x14ac:dyDescent="0.25">
      <c r="A545" s="1">
        <v>45691</v>
      </c>
      <c r="B545" t="s">
        <v>121</v>
      </c>
      <c r="C545">
        <v>37686</v>
      </c>
      <c r="D545" t="s">
        <v>46</v>
      </c>
      <c r="E545">
        <v>8</v>
      </c>
      <c r="F545">
        <v>69.989999999999995</v>
      </c>
      <c r="G545" t="s">
        <v>84</v>
      </c>
      <c r="H545">
        <v>0.05</v>
      </c>
      <c r="I545" t="s">
        <v>61</v>
      </c>
      <c r="J545">
        <v>12.86</v>
      </c>
      <c r="K545" t="s">
        <v>20</v>
      </c>
      <c r="L545" t="s">
        <v>31</v>
      </c>
      <c r="M545" t="s">
        <v>22</v>
      </c>
      <c r="N545" t="s">
        <v>38</v>
      </c>
      <c r="O545" t="s">
        <v>81</v>
      </c>
      <c r="P545" t="s">
        <v>40</v>
      </c>
    </row>
    <row r="546" spans="1:16" x14ac:dyDescent="0.25">
      <c r="A546" s="1">
        <v>45691</v>
      </c>
      <c r="B546" t="s">
        <v>487</v>
      </c>
      <c r="C546">
        <v>96702</v>
      </c>
      <c r="D546" t="s">
        <v>17</v>
      </c>
      <c r="E546">
        <v>35</v>
      </c>
      <c r="F546">
        <v>79.62</v>
      </c>
      <c r="G546" t="s">
        <v>43</v>
      </c>
      <c r="H546">
        <v>0.49</v>
      </c>
      <c r="I546" t="s">
        <v>61</v>
      </c>
      <c r="J546">
        <v>5.35</v>
      </c>
      <c r="K546" t="s">
        <v>44</v>
      </c>
      <c r="L546" t="s">
        <v>31</v>
      </c>
      <c r="M546" t="s">
        <v>111</v>
      </c>
      <c r="N546" t="s">
        <v>32</v>
      </c>
      <c r="O546" t="s">
        <v>59</v>
      </c>
      <c r="P546" t="s">
        <v>40</v>
      </c>
    </row>
    <row r="547" spans="1:16" x14ac:dyDescent="0.25">
      <c r="A547" s="1">
        <v>45691</v>
      </c>
      <c r="B547" t="s">
        <v>26</v>
      </c>
      <c r="C547">
        <v>92781</v>
      </c>
      <c r="D547" t="s">
        <v>89</v>
      </c>
      <c r="E547">
        <v>3</v>
      </c>
      <c r="F547">
        <v>75.099999999999994</v>
      </c>
      <c r="G547" t="s">
        <v>55</v>
      </c>
      <c r="H547">
        <v>0.28000000000000003</v>
      </c>
      <c r="I547" t="s">
        <v>19</v>
      </c>
      <c r="J547">
        <v>16.72</v>
      </c>
      <c r="K547" t="s">
        <v>50</v>
      </c>
      <c r="L547" t="s">
        <v>31</v>
      </c>
      <c r="M547" t="s">
        <v>22</v>
      </c>
      <c r="N547" t="s">
        <v>53</v>
      </c>
      <c r="O547" t="s">
        <v>39</v>
      </c>
      <c r="P547" t="s">
        <v>34</v>
      </c>
    </row>
    <row r="548" spans="1:16" x14ac:dyDescent="0.25">
      <c r="A548" s="1">
        <v>45691</v>
      </c>
      <c r="B548" t="s">
        <v>488</v>
      </c>
      <c r="C548">
        <v>27312</v>
      </c>
      <c r="D548" t="s">
        <v>42</v>
      </c>
      <c r="E548">
        <v>9</v>
      </c>
      <c r="F548">
        <v>78.25</v>
      </c>
      <c r="G548" t="s">
        <v>36</v>
      </c>
      <c r="H548">
        <v>0.28999999999999998</v>
      </c>
      <c r="I548" t="s">
        <v>29</v>
      </c>
      <c r="J548">
        <v>13.52</v>
      </c>
      <c r="K548" t="s">
        <v>50</v>
      </c>
      <c r="L548" t="s">
        <v>21</v>
      </c>
      <c r="M548" t="s">
        <v>22</v>
      </c>
      <c r="N548" t="s">
        <v>32</v>
      </c>
      <c r="O548" t="s">
        <v>33</v>
      </c>
      <c r="P548" t="s">
        <v>40</v>
      </c>
    </row>
    <row r="549" spans="1:16" x14ac:dyDescent="0.25">
      <c r="A549" s="1">
        <v>45691</v>
      </c>
      <c r="B549" t="s">
        <v>489</v>
      </c>
      <c r="C549">
        <v>30419</v>
      </c>
      <c r="D549" t="s">
        <v>46</v>
      </c>
      <c r="E549">
        <v>1</v>
      </c>
      <c r="F549">
        <v>71.78</v>
      </c>
      <c r="G549" t="s">
        <v>76</v>
      </c>
      <c r="H549">
        <v>0.12</v>
      </c>
      <c r="I549" t="s">
        <v>29</v>
      </c>
      <c r="J549">
        <v>17.82</v>
      </c>
      <c r="K549" t="s">
        <v>20</v>
      </c>
      <c r="L549" t="s">
        <v>21</v>
      </c>
      <c r="M549" t="s">
        <v>22</v>
      </c>
      <c r="N549" t="s">
        <v>38</v>
      </c>
      <c r="O549" t="s">
        <v>39</v>
      </c>
      <c r="P549" t="s">
        <v>40</v>
      </c>
    </row>
    <row r="550" spans="1:16" x14ac:dyDescent="0.25">
      <c r="A550" s="1">
        <v>45691</v>
      </c>
      <c r="B550" t="s">
        <v>490</v>
      </c>
      <c r="C550">
        <v>93033</v>
      </c>
      <c r="D550" t="s">
        <v>49</v>
      </c>
      <c r="E550">
        <v>33</v>
      </c>
      <c r="F550">
        <v>8.31</v>
      </c>
      <c r="G550" t="s">
        <v>43</v>
      </c>
      <c r="H550">
        <v>0.06</v>
      </c>
      <c r="I550" t="s">
        <v>61</v>
      </c>
      <c r="J550">
        <v>11.42</v>
      </c>
      <c r="K550" t="s">
        <v>44</v>
      </c>
      <c r="L550" t="s">
        <v>31</v>
      </c>
      <c r="M550" t="s">
        <v>22</v>
      </c>
      <c r="N550" t="s">
        <v>53</v>
      </c>
      <c r="O550" t="s">
        <v>33</v>
      </c>
      <c r="P550" t="s">
        <v>40</v>
      </c>
    </row>
    <row r="551" spans="1:16" x14ac:dyDescent="0.25">
      <c r="A551" s="1">
        <v>45691</v>
      </c>
      <c r="B551" t="s">
        <v>491</v>
      </c>
      <c r="C551">
        <v>63148</v>
      </c>
      <c r="D551" t="s">
        <v>42</v>
      </c>
      <c r="E551">
        <v>4</v>
      </c>
      <c r="F551">
        <v>63.04</v>
      </c>
      <c r="G551" t="s">
        <v>76</v>
      </c>
      <c r="H551">
        <v>0.33</v>
      </c>
      <c r="I551" t="s">
        <v>29</v>
      </c>
      <c r="J551">
        <v>23.72</v>
      </c>
      <c r="K551" t="s">
        <v>30</v>
      </c>
      <c r="L551" t="s">
        <v>21</v>
      </c>
      <c r="M551" t="s">
        <v>22</v>
      </c>
      <c r="N551" t="s">
        <v>23</v>
      </c>
      <c r="O551" t="s">
        <v>24</v>
      </c>
      <c r="P551" t="s">
        <v>34</v>
      </c>
    </row>
    <row r="552" spans="1:16" x14ac:dyDescent="0.25">
      <c r="A552" s="1">
        <v>45691</v>
      </c>
      <c r="B552" t="s">
        <v>492</v>
      </c>
      <c r="C552">
        <v>39245</v>
      </c>
      <c r="D552" t="s">
        <v>66</v>
      </c>
      <c r="E552">
        <v>15</v>
      </c>
      <c r="F552">
        <v>25.82</v>
      </c>
      <c r="G552" t="s">
        <v>52</v>
      </c>
      <c r="H552">
        <v>0.04</v>
      </c>
      <c r="I552" t="s">
        <v>19</v>
      </c>
      <c r="J552">
        <v>16.38</v>
      </c>
      <c r="K552" t="s">
        <v>44</v>
      </c>
      <c r="L552" t="s">
        <v>21</v>
      </c>
      <c r="M552" t="s">
        <v>22</v>
      </c>
      <c r="N552" t="s">
        <v>23</v>
      </c>
      <c r="O552" t="s">
        <v>59</v>
      </c>
      <c r="P552" t="s">
        <v>25</v>
      </c>
    </row>
    <row r="553" spans="1:16" x14ac:dyDescent="0.25">
      <c r="A553" s="1">
        <v>45691</v>
      </c>
      <c r="B553" t="s">
        <v>381</v>
      </c>
      <c r="C553">
        <v>85491</v>
      </c>
      <c r="D553" t="s">
        <v>27</v>
      </c>
      <c r="E553">
        <v>6</v>
      </c>
      <c r="F553">
        <v>1.17</v>
      </c>
      <c r="G553" t="s">
        <v>36</v>
      </c>
      <c r="H553">
        <v>7.0000000000000007E-2</v>
      </c>
      <c r="I553" t="s">
        <v>61</v>
      </c>
      <c r="J553">
        <v>5.55</v>
      </c>
      <c r="K553" t="s">
        <v>37</v>
      </c>
      <c r="L553" t="s">
        <v>21</v>
      </c>
      <c r="M553" t="s">
        <v>111</v>
      </c>
      <c r="N553" t="s">
        <v>32</v>
      </c>
      <c r="O553" t="s">
        <v>81</v>
      </c>
      <c r="P553" t="s">
        <v>25</v>
      </c>
    </row>
    <row r="554" spans="1:16" x14ac:dyDescent="0.25">
      <c r="A554" s="1">
        <v>45691</v>
      </c>
      <c r="B554" t="s">
        <v>117</v>
      </c>
      <c r="C554">
        <v>31179</v>
      </c>
      <c r="D554" t="s">
        <v>46</v>
      </c>
      <c r="E554">
        <v>42</v>
      </c>
      <c r="F554">
        <v>48.88</v>
      </c>
      <c r="G554" t="s">
        <v>43</v>
      </c>
      <c r="H554">
        <v>0.31</v>
      </c>
      <c r="I554" t="s">
        <v>61</v>
      </c>
      <c r="J554">
        <v>21.91</v>
      </c>
      <c r="K554" t="s">
        <v>20</v>
      </c>
      <c r="L554" t="s">
        <v>21</v>
      </c>
      <c r="M554" t="s">
        <v>22</v>
      </c>
      <c r="N554" t="s">
        <v>32</v>
      </c>
      <c r="O554" t="s">
        <v>81</v>
      </c>
      <c r="P554" t="s">
        <v>34</v>
      </c>
    </row>
    <row r="555" spans="1:16" x14ac:dyDescent="0.25">
      <c r="A555" s="1">
        <v>45691</v>
      </c>
      <c r="B555" t="s">
        <v>493</v>
      </c>
      <c r="C555">
        <v>73916</v>
      </c>
      <c r="D555" t="s">
        <v>57</v>
      </c>
      <c r="E555">
        <v>35</v>
      </c>
      <c r="F555">
        <v>8.9</v>
      </c>
      <c r="G555" t="s">
        <v>99</v>
      </c>
      <c r="H555">
        <v>0.09</v>
      </c>
      <c r="I555" t="s">
        <v>61</v>
      </c>
      <c r="J555">
        <v>21.9</v>
      </c>
      <c r="K555" t="s">
        <v>50</v>
      </c>
      <c r="L555" t="s">
        <v>21</v>
      </c>
      <c r="M555" t="s">
        <v>22</v>
      </c>
      <c r="N555" t="s">
        <v>38</v>
      </c>
      <c r="O555" t="s">
        <v>81</v>
      </c>
      <c r="P555" t="s">
        <v>34</v>
      </c>
    </row>
    <row r="556" spans="1:16" x14ac:dyDescent="0.25">
      <c r="A556" s="1">
        <v>45691</v>
      </c>
      <c r="B556" t="s">
        <v>494</v>
      </c>
      <c r="C556">
        <v>73797</v>
      </c>
      <c r="D556" t="s">
        <v>66</v>
      </c>
      <c r="E556">
        <v>34</v>
      </c>
      <c r="F556">
        <v>10.119999999999999</v>
      </c>
      <c r="G556" t="s">
        <v>76</v>
      </c>
      <c r="H556">
        <v>0.19</v>
      </c>
      <c r="I556" t="s">
        <v>61</v>
      </c>
      <c r="J556">
        <v>12.73</v>
      </c>
      <c r="K556" t="s">
        <v>30</v>
      </c>
      <c r="L556" t="s">
        <v>21</v>
      </c>
      <c r="M556" t="s">
        <v>22</v>
      </c>
      <c r="N556" t="s">
        <v>23</v>
      </c>
      <c r="O556" t="s">
        <v>39</v>
      </c>
      <c r="P556" t="s">
        <v>25</v>
      </c>
    </row>
    <row r="557" spans="1:16" x14ac:dyDescent="0.25">
      <c r="A557" s="1">
        <v>45691</v>
      </c>
      <c r="B557" t="s">
        <v>495</v>
      </c>
      <c r="C557">
        <v>13255</v>
      </c>
      <c r="D557" t="s">
        <v>75</v>
      </c>
      <c r="E557">
        <v>27</v>
      </c>
      <c r="F557">
        <v>50.55</v>
      </c>
      <c r="G557" t="s">
        <v>43</v>
      </c>
      <c r="H557">
        <v>0.4</v>
      </c>
      <c r="I557" t="s">
        <v>29</v>
      </c>
      <c r="J557">
        <v>28.95</v>
      </c>
      <c r="K557" t="s">
        <v>20</v>
      </c>
      <c r="L557" t="s">
        <v>21</v>
      </c>
      <c r="M557" t="s">
        <v>22</v>
      </c>
      <c r="N557" t="s">
        <v>32</v>
      </c>
      <c r="O557" t="s">
        <v>59</v>
      </c>
      <c r="P557" t="s">
        <v>25</v>
      </c>
    </row>
    <row r="558" spans="1:16" x14ac:dyDescent="0.25">
      <c r="A558" s="1">
        <v>45691</v>
      </c>
      <c r="B558" t="s">
        <v>496</v>
      </c>
      <c r="C558">
        <v>45043</v>
      </c>
      <c r="D558" t="s">
        <v>27</v>
      </c>
      <c r="E558">
        <v>42</v>
      </c>
      <c r="F558">
        <v>71.37</v>
      </c>
      <c r="G558" t="s">
        <v>76</v>
      </c>
      <c r="H558">
        <v>0.2</v>
      </c>
      <c r="I558" t="s">
        <v>61</v>
      </c>
      <c r="J558">
        <v>24.06</v>
      </c>
      <c r="K558" t="s">
        <v>50</v>
      </c>
      <c r="L558" t="s">
        <v>21</v>
      </c>
      <c r="M558" t="s">
        <v>22</v>
      </c>
      <c r="N558" t="s">
        <v>53</v>
      </c>
      <c r="O558" t="s">
        <v>39</v>
      </c>
      <c r="P558" t="s">
        <v>34</v>
      </c>
    </row>
    <row r="559" spans="1:16" x14ac:dyDescent="0.25">
      <c r="A559" s="1">
        <v>45691</v>
      </c>
      <c r="B559" t="s">
        <v>497</v>
      </c>
      <c r="C559">
        <v>42906</v>
      </c>
      <c r="D559" t="s">
        <v>49</v>
      </c>
      <c r="E559">
        <v>13</v>
      </c>
      <c r="F559">
        <v>53.36</v>
      </c>
      <c r="G559" t="s">
        <v>84</v>
      </c>
      <c r="H559">
        <v>0.19</v>
      </c>
      <c r="I559" t="s">
        <v>29</v>
      </c>
      <c r="J559">
        <v>10.44</v>
      </c>
      <c r="K559" t="s">
        <v>20</v>
      </c>
      <c r="L559" t="s">
        <v>31</v>
      </c>
      <c r="M559" t="s">
        <v>22</v>
      </c>
      <c r="N559" t="s">
        <v>38</v>
      </c>
      <c r="O559" t="s">
        <v>33</v>
      </c>
      <c r="P559" t="s">
        <v>25</v>
      </c>
    </row>
    <row r="560" spans="1:16" x14ac:dyDescent="0.25">
      <c r="A560" s="1">
        <v>45691</v>
      </c>
      <c r="B560" t="s">
        <v>498</v>
      </c>
      <c r="C560">
        <v>30788</v>
      </c>
      <c r="D560" t="s">
        <v>70</v>
      </c>
      <c r="E560">
        <v>41</v>
      </c>
      <c r="F560">
        <v>52.83</v>
      </c>
      <c r="G560" t="s">
        <v>36</v>
      </c>
      <c r="H560">
        <v>0.12</v>
      </c>
      <c r="I560" t="s">
        <v>61</v>
      </c>
      <c r="J560">
        <v>23.27</v>
      </c>
      <c r="K560" t="s">
        <v>20</v>
      </c>
      <c r="L560" t="s">
        <v>31</v>
      </c>
      <c r="M560" t="s">
        <v>22</v>
      </c>
      <c r="N560" t="s">
        <v>23</v>
      </c>
      <c r="O560" t="s">
        <v>59</v>
      </c>
      <c r="P560" t="s">
        <v>40</v>
      </c>
    </row>
    <row r="561" spans="1:16" x14ac:dyDescent="0.25">
      <c r="A561" s="1">
        <v>45691</v>
      </c>
      <c r="B561" t="s">
        <v>499</v>
      </c>
      <c r="C561">
        <v>24559</v>
      </c>
      <c r="D561" t="s">
        <v>68</v>
      </c>
      <c r="E561">
        <v>22</v>
      </c>
      <c r="F561">
        <v>8.6199999999999992</v>
      </c>
      <c r="G561" t="s">
        <v>72</v>
      </c>
      <c r="H561">
        <v>7.0000000000000007E-2</v>
      </c>
      <c r="I561" t="s">
        <v>61</v>
      </c>
      <c r="J561">
        <v>18.03</v>
      </c>
      <c r="K561" t="s">
        <v>44</v>
      </c>
      <c r="L561" t="s">
        <v>21</v>
      </c>
      <c r="M561" t="s">
        <v>22</v>
      </c>
      <c r="N561" t="s">
        <v>53</v>
      </c>
      <c r="O561" t="s">
        <v>39</v>
      </c>
      <c r="P561" t="s">
        <v>25</v>
      </c>
    </row>
    <row r="562" spans="1:16" x14ac:dyDescent="0.25">
      <c r="A562" s="1">
        <v>45691</v>
      </c>
      <c r="B562" t="s">
        <v>500</v>
      </c>
      <c r="C562">
        <v>94647</v>
      </c>
      <c r="D562" t="s">
        <v>75</v>
      </c>
      <c r="E562">
        <v>40</v>
      </c>
      <c r="F562">
        <v>71.47</v>
      </c>
      <c r="G562" t="s">
        <v>36</v>
      </c>
      <c r="H562">
        <v>0.17</v>
      </c>
      <c r="I562" t="s">
        <v>29</v>
      </c>
      <c r="J562">
        <v>27.75</v>
      </c>
      <c r="K562" t="s">
        <v>20</v>
      </c>
      <c r="L562" t="s">
        <v>21</v>
      </c>
      <c r="M562" t="s">
        <v>22</v>
      </c>
      <c r="N562" t="s">
        <v>23</v>
      </c>
      <c r="O562" t="s">
        <v>24</v>
      </c>
      <c r="P562" t="s">
        <v>25</v>
      </c>
    </row>
    <row r="563" spans="1:16" x14ac:dyDescent="0.25">
      <c r="A563" s="1">
        <v>45691</v>
      </c>
      <c r="B563" t="s">
        <v>501</v>
      </c>
      <c r="C563">
        <v>77015</v>
      </c>
      <c r="D563" t="s">
        <v>68</v>
      </c>
      <c r="E563">
        <v>29</v>
      </c>
      <c r="F563">
        <v>19.86</v>
      </c>
      <c r="G563" t="s">
        <v>43</v>
      </c>
      <c r="H563">
        <v>0.31</v>
      </c>
      <c r="I563" t="s">
        <v>29</v>
      </c>
      <c r="J563">
        <v>23.32</v>
      </c>
      <c r="K563" t="s">
        <v>30</v>
      </c>
      <c r="L563" t="s">
        <v>21</v>
      </c>
      <c r="M563" t="s">
        <v>22</v>
      </c>
      <c r="N563" t="s">
        <v>23</v>
      </c>
      <c r="O563" t="s">
        <v>59</v>
      </c>
      <c r="P563" t="s">
        <v>25</v>
      </c>
    </row>
    <row r="564" spans="1:16" x14ac:dyDescent="0.25">
      <c r="A564" s="1">
        <v>45691</v>
      </c>
      <c r="B564" t="s">
        <v>226</v>
      </c>
      <c r="C564">
        <v>10043</v>
      </c>
      <c r="D564" t="s">
        <v>27</v>
      </c>
      <c r="E564">
        <v>37</v>
      </c>
      <c r="F564">
        <v>43.68</v>
      </c>
      <c r="G564" t="s">
        <v>99</v>
      </c>
      <c r="H564">
        <v>0.06</v>
      </c>
      <c r="I564" t="s">
        <v>29</v>
      </c>
      <c r="J564">
        <v>20.86</v>
      </c>
      <c r="K564" t="s">
        <v>20</v>
      </c>
      <c r="L564" t="s">
        <v>31</v>
      </c>
      <c r="M564" t="s">
        <v>22</v>
      </c>
      <c r="N564" t="s">
        <v>38</v>
      </c>
      <c r="O564" t="s">
        <v>81</v>
      </c>
      <c r="P564" t="s">
        <v>34</v>
      </c>
    </row>
    <row r="565" spans="1:16" x14ac:dyDescent="0.25">
      <c r="A565" s="1">
        <v>45692</v>
      </c>
      <c r="B565" t="s">
        <v>502</v>
      </c>
      <c r="C565">
        <v>31126</v>
      </c>
      <c r="D565" t="s">
        <v>66</v>
      </c>
      <c r="E565">
        <v>43</v>
      </c>
      <c r="F565">
        <v>80.34</v>
      </c>
      <c r="G565" t="s">
        <v>18</v>
      </c>
      <c r="H565">
        <v>0.27</v>
      </c>
      <c r="I565" t="s">
        <v>19</v>
      </c>
      <c r="J565">
        <v>29.93</v>
      </c>
      <c r="K565" t="s">
        <v>30</v>
      </c>
      <c r="L565" t="s">
        <v>31</v>
      </c>
      <c r="M565" t="s">
        <v>22</v>
      </c>
      <c r="N565" t="s">
        <v>32</v>
      </c>
      <c r="O565" t="s">
        <v>81</v>
      </c>
      <c r="P565" t="s">
        <v>40</v>
      </c>
    </row>
    <row r="566" spans="1:16" x14ac:dyDescent="0.25">
      <c r="A566" s="1">
        <v>45692</v>
      </c>
      <c r="B566" t="s">
        <v>502</v>
      </c>
      <c r="C566">
        <v>14961</v>
      </c>
      <c r="D566" t="s">
        <v>42</v>
      </c>
      <c r="E566">
        <v>45</v>
      </c>
      <c r="F566">
        <v>97.53</v>
      </c>
      <c r="G566" t="s">
        <v>72</v>
      </c>
      <c r="H566">
        <v>0.18</v>
      </c>
      <c r="I566" t="s">
        <v>29</v>
      </c>
      <c r="J566">
        <v>5.65</v>
      </c>
      <c r="K566" t="s">
        <v>37</v>
      </c>
      <c r="L566" t="s">
        <v>31</v>
      </c>
      <c r="M566" t="s">
        <v>22</v>
      </c>
      <c r="N566" t="s">
        <v>32</v>
      </c>
      <c r="O566" t="s">
        <v>81</v>
      </c>
      <c r="P566" t="s">
        <v>34</v>
      </c>
    </row>
    <row r="567" spans="1:16" x14ac:dyDescent="0.25">
      <c r="A567" s="1">
        <v>45692</v>
      </c>
      <c r="B567" t="s">
        <v>314</v>
      </c>
      <c r="C567">
        <v>94944</v>
      </c>
      <c r="D567" t="s">
        <v>68</v>
      </c>
      <c r="E567">
        <v>12</v>
      </c>
      <c r="F567">
        <v>63.64</v>
      </c>
      <c r="G567" t="s">
        <v>72</v>
      </c>
      <c r="H567">
        <v>7.0000000000000007E-2</v>
      </c>
      <c r="I567" t="s">
        <v>19</v>
      </c>
      <c r="J567">
        <v>15.36</v>
      </c>
      <c r="K567" t="s">
        <v>20</v>
      </c>
      <c r="L567" t="s">
        <v>21</v>
      </c>
      <c r="M567" t="s">
        <v>22</v>
      </c>
      <c r="N567" t="s">
        <v>23</v>
      </c>
      <c r="O567" t="s">
        <v>24</v>
      </c>
      <c r="P567" t="s">
        <v>40</v>
      </c>
    </row>
    <row r="568" spans="1:16" x14ac:dyDescent="0.25">
      <c r="A568" s="1">
        <v>45692</v>
      </c>
      <c r="B568" t="s">
        <v>215</v>
      </c>
      <c r="C568">
        <v>80865</v>
      </c>
      <c r="D568" t="s">
        <v>49</v>
      </c>
      <c r="E568">
        <v>41</v>
      </c>
      <c r="F568">
        <v>54.41</v>
      </c>
      <c r="G568" t="s">
        <v>55</v>
      </c>
      <c r="H568">
        <v>0.41</v>
      </c>
      <c r="I568" t="s">
        <v>19</v>
      </c>
      <c r="J568">
        <v>20.79</v>
      </c>
      <c r="K568" t="s">
        <v>50</v>
      </c>
      <c r="L568" t="s">
        <v>31</v>
      </c>
      <c r="M568" t="s">
        <v>22</v>
      </c>
      <c r="N568" t="s">
        <v>38</v>
      </c>
      <c r="O568" t="s">
        <v>81</v>
      </c>
      <c r="P568" t="s">
        <v>25</v>
      </c>
    </row>
    <row r="569" spans="1:16" x14ac:dyDescent="0.25">
      <c r="A569" s="1">
        <v>45692</v>
      </c>
      <c r="B569" t="s">
        <v>503</v>
      </c>
      <c r="C569">
        <v>34336</v>
      </c>
      <c r="D569" t="s">
        <v>42</v>
      </c>
      <c r="E569">
        <v>5</v>
      </c>
      <c r="F569">
        <v>65.31</v>
      </c>
      <c r="G569" t="s">
        <v>52</v>
      </c>
      <c r="H569">
        <v>0.23</v>
      </c>
      <c r="I569" t="s">
        <v>61</v>
      </c>
      <c r="J569">
        <v>29.78</v>
      </c>
      <c r="K569" t="s">
        <v>50</v>
      </c>
      <c r="L569" t="s">
        <v>21</v>
      </c>
      <c r="M569" t="s">
        <v>22</v>
      </c>
      <c r="N569" t="s">
        <v>23</v>
      </c>
      <c r="O569" t="s">
        <v>81</v>
      </c>
      <c r="P569" t="s">
        <v>25</v>
      </c>
    </row>
    <row r="570" spans="1:16" x14ac:dyDescent="0.25">
      <c r="A570" s="1">
        <v>45692</v>
      </c>
      <c r="B570" t="s">
        <v>439</v>
      </c>
      <c r="C570">
        <v>26003</v>
      </c>
      <c r="D570" t="s">
        <v>46</v>
      </c>
      <c r="E570">
        <v>5</v>
      </c>
      <c r="F570">
        <v>59.92</v>
      </c>
      <c r="G570" t="s">
        <v>58</v>
      </c>
      <c r="H570">
        <v>0.11</v>
      </c>
      <c r="I570" t="s">
        <v>19</v>
      </c>
      <c r="J570">
        <v>8.52</v>
      </c>
      <c r="K570" t="s">
        <v>44</v>
      </c>
      <c r="L570" t="s">
        <v>21</v>
      </c>
      <c r="M570" t="s">
        <v>22</v>
      </c>
      <c r="N570" t="s">
        <v>53</v>
      </c>
      <c r="O570" t="s">
        <v>24</v>
      </c>
      <c r="P570" t="s">
        <v>25</v>
      </c>
    </row>
    <row r="571" spans="1:16" x14ac:dyDescent="0.25">
      <c r="A571" s="1">
        <v>45692</v>
      </c>
      <c r="B571" t="s">
        <v>504</v>
      </c>
      <c r="C571">
        <v>57523</v>
      </c>
      <c r="D571" t="s">
        <v>75</v>
      </c>
      <c r="E571">
        <v>26</v>
      </c>
      <c r="F571">
        <v>81.98</v>
      </c>
      <c r="G571" t="s">
        <v>36</v>
      </c>
      <c r="H571">
        <v>0.21</v>
      </c>
      <c r="I571" t="s">
        <v>29</v>
      </c>
      <c r="J571">
        <v>22.38</v>
      </c>
      <c r="K571" t="s">
        <v>50</v>
      </c>
      <c r="L571" t="s">
        <v>31</v>
      </c>
      <c r="M571" t="s">
        <v>22</v>
      </c>
      <c r="N571" t="s">
        <v>38</v>
      </c>
      <c r="O571" t="s">
        <v>24</v>
      </c>
      <c r="P571" t="s">
        <v>34</v>
      </c>
    </row>
    <row r="572" spans="1:16" x14ac:dyDescent="0.25">
      <c r="A572" s="1">
        <v>45692</v>
      </c>
      <c r="B572" t="s">
        <v>505</v>
      </c>
      <c r="C572">
        <v>11103</v>
      </c>
      <c r="D572" t="s">
        <v>27</v>
      </c>
      <c r="E572">
        <v>26</v>
      </c>
      <c r="F572">
        <v>93.44</v>
      </c>
      <c r="G572" t="s">
        <v>28</v>
      </c>
      <c r="H572">
        <v>0.4</v>
      </c>
      <c r="I572" t="s">
        <v>19</v>
      </c>
      <c r="J572">
        <v>11.59</v>
      </c>
      <c r="K572" t="s">
        <v>30</v>
      </c>
      <c r="L572" t="s">
        <v>21</v>
      </c>
      <c r="M572" t="s">
        <v>22</v>
      </c>
      <c r="N572" t="s">
        <v>23</v>
      </c>
      <c r="O572" t="s">
        <v>33</v>
      </c>
      <c r="P572" t="s">
        <v>40</v>
      </c>
    </row>
    <row r="573" spans="1:16" x14ac:dyDescent="0.25">
      <c r="A573" s="1">
        <v>45692</v>
      </c>
      <c r="B573" t="s">
        <v>506</v>
      </c>
      <c r="C573">
        <v>24516</v>
      </c>
      <c r="D573" t="s">
        <v>89</v>
      </c>
      <c r="E573">
        <v>10</v>
      </c>
      <c r="F573">
        <v>24.49</v>
      </c>
      <c r="G573" t="s">
        <v>76</v>
      </c>
      <c r="H573">
        <v>0.1</v>
      </c>
      <c r="I573" t="s">
        <v>29</v>
      </c>
      <c r="J573">
        <v>20.399999999999999</v>
      </c>
      <c r="K573" t="s">
        <v>37</v>
      </c>
      <c r="L573" t="s">
        <v>31</v>
      </c>
      <c r="M573" t="s">
        <v>22</v>
      </c>
      <c r="N573" t="s">
        <v>53</v>
      </c>
      <c r="O573" t="s">
        <v>39</v>
      </c>
      <c r="P573" t="s">
        <v>25</v>
      </c>
    </row>
    <row r="574" spans="1:16" x14ac:dyDescent="0.25">
      <c r="A574" s="1">
        <v>45692</v>
      </c>
      <c r="B574" t="s">
        <v>482</v>
      </c>
      <c r="C574">
        <v>29249</v>
      </c>
      <c r="D574" t="s">
        <v>57</v>
      </c>
      <c r="E574">
        <v>49</v>
      </c>
      <c r="F574">
        <v>24.56</v>
      </c>
      <c r="G574" t="s">
        <v>43</v>
      </c>
      <c r="H574">
        <v>0.04</v>
      </c>
      <c r="I574" t="s">
        <v>61</v>
      </c>
      <c r="J574">
        <v>13</v>
      </c>
      <c r="K574" t="s">
        <v>50</v>
      </c>
      <c r="L574" t="s">
        <v>31</v>
      </c>
      <c r="M574" t="s">
        <v>22</v>
      </c>
      <c r="N574" t="s">
        <v>23</v>
      </c>
      <c r="O574" t="s">
        <v>24</v>
      </c>
      <c r="P574" t="s">
        <v>40</v>
      </c>
    </row>
    <row r="575" spans="1:16" x14ac:dyDescent="0.25">
      <c r="A575" s="1">
        <v>45692</v>
      </c>
      <c r="B575" t="s">
        <v>252</v>
      </c>
      <c r="C575">
        <v>63133</v>
      </c>
      <c r="D575" t="s">
        <v>66</v>
      </c>
      <c r="E575">
        <v>7</v>
      </c>
      <c r="F575">
        <v>48.27</v>
      </c>
      <c r="G575" t="s">
        <v>47</v>
      </c>
      <c r="H575">
        <v>0.21</v>
      </c>
      <c r="I575" t="s">
        <v>29</v>
      </c>
      <c r="J575">
        <v>21.11</v>
      </c>
      <c r="K575" t="s">
        <v>44</v>
      </c>
      <c r="L575" t="s">
        <v>21</v>
      </c>
      <c r="M575" t="s">
        <v>22</v>
      </c>
      <c r="N575" t="s">
        <v>38</v>
      </c>
      <c r="O575" t="s">
        <v>59</v>
      </c>
      <c r="P575" t="s">
        <v>25</v>
      </c>
    </row>
    <row r="576" spans="1:16" x14ac:dyDescent="0.25">
      <c r="A576" s="1">
        <v>45692</v>
      </c>
      <c r="B576" t="s">
        <v>507</v>
      </c>
      <c r="C576">
        <v>59865</v>
      </c>
      <c r="D576" t="s">
        <v>89</v>
      </c>
      <c r="E576">
        <v>6</v>
      </c>
      <c r="F576">
        <v>75.989999999999995</v>
      </c>
      <c r="G576" t="s">
        <v>99</v>
      </c>
      <c r="H576">
        <v>0.41</v>
      </c>
      <c r="I576" t="s">
        <v>29</v>
      </c>
      <c r="J576">
        <v>17.170000000000002</v>
      </c>
      <c r="K576" t="s">
        <v>44</v>
      </c>
      <c r="L576" t="s">
        <v>21</v>
      </c>
      <c r="M576" t="s">
        <v>22</v>
      </c>
      <c r="N576" t="s">
        <v>23</v>
      </c>
      <c r="O576" t="s">
        <v>81</v>
      </c>
      <c r="P576" t="s">
        <v>25</v>
      </c>
    </row>
    <row r="577" spans="1:16" x14ac:dyDescent="0.25">
      <c r="A577" s="1">
        <v>45692</v>
      </c>
      <c r="B577" t="s">
        <v>508</v>
      </c>
      <c r="C577">
        <v>20551</v>
      </c>
      <c r="D577" t="s">
        <v>68</v>
      </c>
      <c r="E577">
        <v>2</v>
      </c>
      <c r="F577">
        <v>42.98</v>
      </c>
      <c r="G577" t="s">
        <v>58</v>
      </c>
      <c r="H577">
        <v>0.27</v>
      </c>
      <c r="I577" t="s">
        <v>19</v>
      </c>
      <c r="J577">
        <v>16.329999999999998</v>
      </c>
      <c r="K577" t="s">
        <v>37</v>
      </c>
      <c r="L577" t="s">
        <v>21</v>
      </c>
      <c r="M577" t="s">
        <v>22</v>
      </c>
      <c r="N577" t="s">
        <v>32</v>
      </c>
      <c r="O577" t="s">
        <v>81</v>
      </c>
      <c r="P577" t="s">
        <v>25</v>
      </c>
    </row>
    <row r="578" spans="1:16" x14ac:dyDescent="0.25">
      <c r="A578" s="1">
        <v>45692</v>
      </c>
      <c r="B578" t="s">
        <v>509</v>
      </c>
      <c r="C578">
        <v>37049</v>
      </c>
      <c r="D578" t="s">
        <v>46</v>
      </c>
      <c r="E578">
        <v>15</v>
      </c>
      <c r="F578">
        <v>78.98</v>
      </c>
      <c r="G578" t="s">
        <v>47</v>
      </c>
      <c r="H578">
        <v>0.42</v>
      </c>
      <c r="I578" t="s">
        <v>19</v>
      </c>
      <c r="J578">
        <v>11.33</v>
      </c>
      <c r="K578" t="s">
        <v>50</v>
      </c>
      <c r="L578" t="s">
        <v>21</v>
      </c>
      <c r="M578" t="s">
        <v>22</v>
      </c>
      <c r="N578" t="s">
        <v>38</v>
      </c>
      <c r="O578" t="s">
        <v>24</v>
      </c>
      <c r="P578" t="s">
        <v>40</v>
      </c>
    </row>
    <row r="579" spans="1:16" x14ac:dyDescent="0.25">
      <c r="A579" s="1">
        <v>45692</v>
      </c>
      <c r="B579" t="s">
        <v>319</v>
      </c>
      <c r="C579">
        <v>19890</v>
      </c>
      <c r="D579" t="s">
        <v>49</v>
      </c>
      <c r="E579">
        <v>32</v>
      </c>
      <c r="F579">
        <v>11.83</v>
      </c>
      <c r="G579" t="s">
        <v>99</v>
      </c>
      <c r="H579">
        <v>0.08</v>
      </c>
      <c r="I579" t="s">
        <v>29</v>
      </c>
      <c r="J579">
        <v>10.68</v>
      </c>
      <c r="K579" t="s">
        <v>30</v>
      </c>
      <c r="L579" t="s">
        <v>31</v>
      </c>
      <c r="M579" t="s">
        <v>111</v>
      </c>
      <c r="N579" t="s">
        <v>53</v>
      </c>
      <c r="O579" t="s">
        <v>39</v>
      </c>
      <c r="P579" t="s">
        <v>34</v>
      </c>
    </row>
    <row r="580" spans="1:16" x14ac:dyDescent="0.25">
      <c r="A580" s="1">
        <v>45692</v>
      </c>
      <c r="B580" t="s">
        <v>510</v>
      </c>
      <c r="C580">
        <v>55268</v>
      </c>
      <c r="D580" t="s">
        <v>70</v>
      </c>
      <c r="E580">
        <v>2</v>
      </c>
      <c r="F580">
        <v>2.13</v>
      </c>
      <c r="G580" t="s">
        <v>18</v>
      </c>
      <c r="H580">
        <v>0.06</v>
      </c>
      <c r="I580" t="s">
        <v>29</v>
      </c>
      <c r="J580">
        <v>14.09</v>
      </c>
      <c r="K580" t="s">
        <v>37</v>
      </c>
      <c r="L580" t="s">
        <v>31</v>
      </c>
      <c r="M580" t="s">
        <v>22</v>
      </c>
      <c r="N580" t="s">
        <v>32</v>
      </c>
      <c r="O580" t="s">
        <v>39</v>
      </c>
      <c r="P580" t="s">
        <v>40</v>
      </c>
    </row>
    <row r="581" spans="1:16" x14ac:dyDescent="0.25">
      <c r="A581" s="1">
        <v>45692</v>
      </c>
      <c r="B581" t="s">
        <v>511</v>
      </c>
      <c r="C581">
        <v>73676</v>
      </c>
      <c r="D581" t="s">
        <v>66</v>
      </c>
      <c r="E581">
        <v>31</v>
      </c>
      <c r="F581">
        <v>45.03</v>
      </c>
      <c r="G581" t="s">
        <v>18</v>
      </c>
      <c r="H581">
        <v>0.36</v>
      </c>
      <c r="I581" t="s">
        <v>61</v>
      </c>
      <c r="J581">
        <v>24.01</v>
      </c>
      <c r="K581" t="s">
        <v>44</v>
      </c>
      <c r="L581" t="s">
        <v>21</v>
      </c>
      <c r="M581" t="s">
        <v>22</v>
      </c>
      <c r="N581" t="s">
        <v>38</v>
      </c>
      <c r="O581" t="s">
        <v>24</v>
      </c>
      <c r="P581" t="s">
        <v>40</v>
      </c>
    </row>
    <row r="582" spans="1:16" x14ac:dyDescent="0.25">
      <c r="A582" s="1">
        <v>45692</v>
      </c>
      <c r="B582" t="s">
        <v>319</v>
      </c>
      <c r="C582">
        <v>98499</v>
      </c>
      <c r="D582" t="s">
        <v>42</v>
      </c>
      <c r="E582">
        <v>43</v>
      </c>
      <c r="F582">
        <v>8.77</v>
      </c>
      <c r="G582" t="s">
        <v>36</v>
      </c>
      <c r="H582">
        <v>7.0000000000000007E-2</v>
      </c>
      <c r="I582" t="s">
        <v>61</v>
      </c>
      <c r="J582">
        <v>7.89</v>
      </c>
      <c r="K582" t="s">
        <v>30</v>
      </c>
      <c r="L582" t="s">
        <v>21</v>
      </c>
      <c r="M582" t="s">
        <v>22</v>
      </c>
      <c r="N582" t="s">
        <v>38</v>
      </c>
      <c r="O582" t="s">
        <v>24</v>
      </c>
      <c r="P582" t="s">
        <v>40</v>
      </c>
    </row>
    <row r="583" spans="1:16" x14ac:dyDescent="0.25">
      <c r="A583" s="1">
        <v>45692</v>
      </c>
      <c r="B583" t="s">
        <v>512</v>
      </c>
      <c r="C583">
        <v>22173</v>
      </c>
      <c r="D583" t="s">
        <v>17</v>
      </c>
      <c r="E583">
        <v>1</v>
      </c>
      <c r="F583">
        <v>99.65</v>
      </c>
      <c r="G583" t="s">
        <v>84</v>
      </c>
      <c r="H583">
        <v>0.23</v>
      </c>
      <c r="I583" t="s">
        <v>61</v>
      </c>
      <c r="J583">
        <v>25.65</v>
      </c>
      <c r="K583" t="s">
        <v>37</v>
      </c>
      <c r="L583" t="s">
        <v>31</v>
      </c>
      <c r="M583" t="s">
        <v>22</v>
      </c>
      <c r="N583" t="s">
        <v>38</v>
      </c>
      <c r="O583" t="s">
        <v>39</v>
      </c>
      <c r="P583" t="s">
        <v>25</v>
      </c>
    </row>
    <row r="584" spans="1:16" x14ac:dyDescent="0.25">
      <c r="A584" s="1">
        <v>45692</v>
      </c>
      <c r="B584" t="s">
        <v>156</v>
      </c>
      <c r="C584">
        <v>28355</v>
      </c>
      <c r="D584" t="s">
        <v>46</v>
      </c>
      <c r="E584">
        <v>11</v>
      </c>
      <c r="F584">
        <v>47.27</v>
      </c>
      <c r="G584" t="s">
        <v>52</v>
      </c>
      <c r="H584">
        <v>0.38</v>
      </c>
      <c r="I584" t="s">
        <v>19</v>
      </c>
      <c r="J584">
        <v>20.94</v>
      </c>
      <c r="K584" s="4" t="s">
        <v>729</v>
      </c>
      <c r="L584" t="s">
        <v>31</v>
      </c>
      <c r="M584" t="s">
        <v>22</v>
      </c>
      <c r="N584" t="s">
        <v>23</v>
      </c>
      <c r="O584" t="s">
        <v>59</v>
      </c>
      <c r="P584" t="s">
        <v>40</v>
      </c>
    </row>
    <row r="585" spans="1:16" x14ac:dyDescent="0.25">
      <c r="A585" s="1">
        <v>45692</v>
      </c>
      <c r="B585" t="s">
        <v>513</v>
      </c>
      <c r="C585">
        <v>52915</v>
      </c>
      <c r="D585" t="s">
        <v>70</v>
      </c>
      <c r="E585">
        <v>18</v>
      </c>
      <c r="F585">
        <v>20.96</v>
      </c>
      <c r="G585" t="s">
        <v>72</v>
      </c>
      <c r="H585">
        <v>0.28000000000000003</v>
      </c>
      <c r="I585" t="s">
        <v>61</v>
      </c>
      <c r="J585">
        <v>28.07</v>
      </c>
      <c r="K585" t="s">
        <v>20</v>
      </c>
      <c r="L585" t="s">
        <v>21</v>
      </c>
      <c r="M585" t="s">
        <v>22</v>
      </c>
      <c r="N585" t="s">
        <v>53</v>
      </c>
      <c r="O585" t="s">
        <v>81</v>
      </c>
      <c r="P585" t="s">
        <v>34</v>
      </c>
    </row>
    <row r="586" spans="1:16" x14ac:dyDescent="0.25">
      <c r="A586" s="1">
        <v>45692</v>
      </c>
      <c r="B586" t="s">
        <v>131</v>
      </c>
      <c r="C586">
        <v>50662</v>
      </c>
      <c r="D586" t="s">
        <v>66</v>
      </c>
      <c r="E586">
        <v>39</v>
      </c>
      <c r="F586">
        <v>90.04</v>
      </c>
      <c r="G586" t="s">
        <v>58</v>
      </c>
      <c r="H586">
        <v>0.25</v>
      </c>
      <c r="I586" t="s">
        <v>29</v>
      </c>
      <c r="J586">
        <v>23.77</v>
      </c>
      <c r="K586" t="s">
        <v>20</v>
      </c>
      <c r="L586" t="s">
        <v>21</v>
      </c>
      <c r="M586" t="s">
        <v>22</v>
      </c>
      <c r="N586" t="s">
        <v>23</v>
      </c>
      <c r="O586" t="s">
        <v>39</v>
      </c>
      <c r="P586" t="s">
        <v>40</v>
      </c>
    </row>
    <row r="587" spans="1:16" x14ac:dyDescent="0.25">
      <c r="A587" s="1">
        <v>45692</v>
      </c>
      <c r="B587" t="s">
        <v>336</v>
      </c>
      <c r="C587">
        <v>28363</v>
      </c>
      <c r="D587" t="s">
        <v>27</v>
      </c>
      <c r="E587">
        <v>1</v>
      </c>
      <c r="F587">
        <v>82.94</v>
      </c>
      <c r="G587" t="s">
        <v>99</v>
      </c>
      <c r="H587">
        <v>0.14000000000000001</v>
      </c>
      <c r="I587" t="s">
        <v>29</v>
      </c>
      <c r="J587">
        <v>15.71</v>
      </c>
      <c r="K587" t="s">
        <v>30</v>
      </c>
      <c r="L587" t="s">
        <v>21</v>
      </c>
      <c r="M587" t="s">
        <v>22</v>
      </c>
      <c r="N587" t="s">
        <v>38</v>
      </c>
      <c r="O587" t="s">
        <v>33</v>
      </c>
      <c r="P587" t="s">
        <v>34</v>
      </c>
    </row>
    <row r="588" spans="1:16" x14ac:dyDescent="0.25">
      <c r="A588" s="1">
        <v>45693</v>
      </c>
      <c r="B588" t="s">
        <v>514</v>
      </c>
      <c r="C588">
        <v>59152</v>
      </c>
      <c r="D588" t="s">
        <v>68</v>
      </c>
      <c r="E588">
        <v>25</v>
      </c>
      <c r="F588">
        <v>81.92</v>
      </c>
      <c r="G588" t="s">
        <v>52</v>
      </c>
      <c r="H588">
        <v>0.27</v>
      </c>
      <c r="I588" t="s">
        <v>19</v>
      </c>
      <c r="J588">
        <v>13.95</v>
      </c>
      <c r="K588" t="s">
        <v>20</v>
      </c>
      <c r="L588" t="s">
        <v>31</v>
      </c>
      <c r="M588" t="s">
        <v>22</v>
      </c>
      <c r="N588" t="s">
        <v>53</v>
      </c>
      <c r="O588" t="s">
        <v>81</v>
      </c>
      <c r="P588" t="s">
        <v>34</v>
      </c>
    </row>
    <row r="589" spans="1:16" x14ac:dyDescent="0.25">
      <c r="A589" s="1">
        <v>45693</v>
      </c>
      <c r="B589" t="s">
        <v>515</v>
      </c>
      <c r="C589">
        <v>55469</v>
      </c>
      <c r="D589" t="s">
        <v>42</v>
      </c>
      <c r="E589">
        <v>34</v>
      </c>
      <c r="F589">
        <v>20.48</v>
      </c>
      <c r="G589" t="s">
        <v>55</v>
      </c>
      <c r="H589">
        <v>0.34</v>
      </c>
      <c r="I589" t="s">
        <v>61</v>
      </c>
      <c r="J589">
        <v>26.14</v>
      </c>
      <c r="K589" t="s">
        <v>30</v>
      </c>
      <c r="L589" t="s">
        <v>21</v>
      </c>
      <c r="M589" t="s">
        <v>22</v>
      </c>
      <c r="N589" t="s">
        <v>53</v>
      </c>
      <c r="O589" t="s">
        <v>33</v>
      </c>
      <c r="P589" t="s">
        <v>40</v>
      </c>
    </row>
    <row r="590" spans="1:16" x14ac:dyDescent="0.25">
      <c r="A590" s="1">
        <v>45693</v>
      </c>
      <c r="B590" t="s">
        <v>516</v>
      </c>
      <c r="C590">
        <v>58882</v>
      </c>
      <c r="D590" t="s">
        <v>42</v>
      </c>
      <c r="E590">
        <v>3</v>
      </c>
      <c r="F590">
        <v>95.41</v>
      </c>
      <c r="G590" t="s">
        <v>28</v>
      </c>
      <c r="H590">
        <v>0.01</v>
      </c>
      <c r="I590" t="s">
        <v>61</v>
      </c>
      <c r="J590">
        <v>15.39</v>
      </c>
      <c r="K590" t="s">
        <v>30</v>
      </c>
      <c r="L590" t="s">
        <v>31</v>
      </c>
      <c r="M590" t="s">
        <v>22</v>
      </c>
      <c r="N590" t="s">
        <v>32</v>
      </c>
      <c r="O590" t="s">
        <v>81</v>
      </c>
      <c r="P590" t="s">
        <v>40</v>
      </c>
    </row>
    <row r="591" spans="1:16" x14ac:dyDescent="0.25">
      <c r="A591" s="1">
        <v>45693</v>
      </c>
      <c r="B591" t="s">
        <v>517</v>
      </c>
      <c r="C591">
        <v>83310</v>
      </c>
      <c r="D591" t="s">
        <v>42</v>
      </c>
      <c r="E591">
        <v>39</v>
      </c>
      <c r="F591">
        <v>26.06</v>
      </c>
      <c r="G591" t="s">
        <v>58</v>
      </c>
      <c r="H591">
        <v>0.25</v>
      </c>
      <c r="I591" t="s">
        <v>61</v>
      </c>
      <c r="J591">
        <v>8.7200000000000006</v>
      </c>
      <c r="K591" t="s">
        <v>44</v>
      </c>
      <c r="L591" t="s">
        <v>31</v>
      </c>
      <c r="M591" t="s">
        <v>22</v>
      </c>
      <c r="N591" t="s">
        <v>53</v>
      </c>
      <c r="O591" t="s">
        <v>59</v>
      </c>
      <c r="P591" t="s">
        <v>34</v>
      </c>
    </row>
    <row r="592" spans="1:16" x14ac:dyDescent="0.25">
      <c r="A592" s="1">
        <v>45693</v>
      </c>
      <c r="B592" t="s">
        <v>518</v>
      </c>
      <c r="C592">
        <v>85818</v>
      </c>
      <c r="D592" t="s">
        <v>42</v>
      </c>
      <c r="E592">
        <v>41</v>
      </c>
      <c r="F592">
        <v>38.75</v>
      </c>
      <c r="G592" t="s">
        <v>76</v>
      </c>
      <c r="H592">
        <v>0.48</v>
      </c>
      <c r="I592" t="s">
        <v>19</v>
      </c>
      <c r="J592">
        <v>19.18</v>
      </c>
      <c r="K592" t="s">
        <v>20</v>
      </c>
      <c r="L592" t="s">
        <v>21</v>
      </c>
      <c r="M592" t="s">
        <v>22</v>
      </c>
      <c r="N592" t="s">
        <v>53</v>
      </c>
      <c r="O592" t="s">
        <v>59</v>
      </c>
      <c r="P592" t="s">
        <v>34</v>
      </c>
    </row>
    <row r="593" spans="1:16" x14ac:dyDescent="0.25">
      <c r="A593" s="1">
        <v>45693</v>
      </c>
      <c r="B593" t="s">
        <v>472</v>
      </c>
      <c r="C593">
        <v>18541</v>
      </c>
      <c r="D593" t="s">
        <v>70</v>
      </c>
      <c r="E593">
        <v>31</v>
      </c>
      <c r="F593">
        <v>78.98</v>
      </c>
      <c r="G593" t="s">
        <v>76</v>
      </c>
      <c r="H593">
        <v>0.48</v>
      </c>
      <c r="I593" t="s">
        <v>19</v>
      </c>
      <c r="J593">
        <v>11.83</v>
      </c>
      <c r="K593" t="s">
        <v>20</v>
      </c>
      <c r="L593" t="s">
        <v>31</v>
      </c>
      <c r="M593" t="s">
        <v>22</v>
      </c>
      <c r="N593" t="s">
        <v>32</v>
      </c>
      <c r="O593" t="s">
        <v>24</v>
      </c>
      <c r="P593" t="s">
        <v>25</v>
      </c>
    </row>
    <row r="594" spans="1:16" x14ac:dyDescent="0.25">
      <c r="A594" s="1">
        <v>45693</v>
      </c>
      <c r="B594" t="s">
        <v>180</v>
      </c>
      <c r="C594">
        <v>36373</v>
      </c>
      <c r="D594" t="s">
        <v>27</v>
      </c>
      <c r="E594">
        <v>34</v>
      </c>
      <c r="F594">
        <v>23.71</v>
      </c>
      <c r="G594" t="s">
        <v>76</v>
      </c>
      <c r="H594">
        <v>0.5</v>
      </c>
      <c r="I594" t="s">
        <v>19</v>
      </c>
      <c r="J594">
        <v>18.55</v>
      </c>
      <c r="K594" t="s">
        <v>50</v>
      </c>
      <c r="L594" t="s">
        <v>31</v>
      </c>
      <c r="M594" t="s">
        <v>22</v>
      </c>
      <c r="N594" t="s">
        <v>23</v>
      </c>
      <c r="O594" t="s">
        <v>39</v>
      </c>
      <c r="P594" t="s">
        <v>34</v>
      </c>
    </row>
    <row r="595" spans="1:16" x14ac:dyDescent="0.25">
      <c r="A595" s="1">
        <v>45693</v>
      </c>
      <c r="B595" t="s">
        <v>519</v>
      </c>
      <c r="C595">
        <v>36092</v>
      </c>
      <c r="D595" t="s">
        <v>57</v>
      </c>
      <c r="E595">
        <v>19</v>
      </c>
      <c r="F595">
        <v>89.18</v>
      </c>
      <c r="G595" t="s">
        <v>18</v>
      </c>
      <c r="H595">
        <v>7.0000000000000007E-2</v>
      </c>
      <c r="I595" t="s">
        <v>61</v>
      </c>
      <c r="J595">
        <v>8.9499999999999993</v>
      </c>
      <c r="K595" t="s">
        <v>37</v>
      </c>
      <c r="L595" t="s">
        <v>31</v>
      </c>
      <c r="M595" t="s">
        <v>22</v>
      </c>
      <c r="N595" t="s">
        <v>23</v>
      </c>
      <c r="O595" t="s">
        <v>59</v>
      </c>
      <c r="P595" t="s">
        <v>34</v>
      </c>
    </row>
    <row r="596" spans="1:16" x14ac:dyDescent="0.25">
      <c r="A596" s="1">
        <v>45693</v>
      </c>
      <c r="B596" t="s">
        <v>54</v>
      </c>
      <c r="C596">
        <v>26380</v>
      </c>
      <c r="D596" t="s">
        <v>89</v>
      </c>
      <c r="E596">
        <v>48</v>
      </c>
      <c r="F596">
        <v>9.94</v>
      </c>
      <c r="G596" t="s">
        <v>28</v>
      </c>
      <c r="H596">
        <v>0.17</v>
      </c>
      <c r="I596" t="s">
        <v>19</v>
      </c>
      <c r="J596">
        <v>19.18</v>
      </c>
      <c r="K596" t="s">
        <v>44</v>
      </c>
      <c r="L596" t="s">
        <v>31</v>
      </c>
      <c r="M596" t="s">
        <v>22</v>
      </c>
      <c r="N596" t="s">
        <v>38</v>
      </c>
      <c r="O596" t="s">
        <v>59</v>
      </c>
      <c r="P596" t="s">
        <v>40</v>
      </c>
    </row>
    <row r="597" spans="1:16" x14ac:dyDescent="0.25">
      <c r="A597" s="1">
        <v>45693</v>
      </c>
      <c r="B597" t="s">
        <v>290</v>
      </c>
      <c r="C597">
        <v>11132</v>
      </c>
      <c r="D597" t="s">
        <v>75</v>
      </c>
      <c r="E597">
        <v>30</v>
      </c>
      <c r="F597">
        <v>98.89</v>
      </c>
      <c r="G597" t="s">
        <v>72</v>
      </c>
      <c r="H597">
        <v>0.2</v>
      </c>
      <c r="I597" t="s">
        <v>19</v>
      </c>
      <c r="J597">
        <v>6.59</v>
      </c>
      <c r="K597" t="s">
        <v>30</v>
      </c>
      <c r="L597" t="s">
        <v>31</v>
      </c>
      <c r="M597" t="s">
        <v>22</v>
      </c>
      <c r="N597" t="s">
        <v>53</v>
      </c>
      <c r="O597" t="s">
        <v>33</v>
      </c>
      <c r="P597" t="s">
        <v>25</v>
      </c>
    </row>
    <row r="598" spans="1:16" x14ac:dyDescent="0.25">
      <c r="A598" s="1">
        <v>45693</v>
      </c>
      <c r="B598" t="s">
        <v>372</v>
      </c>
      <c r="C598">
        <v>16699</v>
      </c>
      <c r="D598" t="s">
        <v>46</v>
      </c>
      <c r="E598">
        <v>28</v>
      </c>
      <c r="F598">
        <v>96.04</v>
      </c>
      <c r="G598" t="s">
        <v>84</v>
      </c>
      <c r="H598">
        <v>0.38</v>
      </c>
      <c r="I598" t="s">
        <v>29</v>
      </c>
      <c r="J598">
        <v>14.98</v>
      </c>
      <c r="K598" t="s">
        <v>50</v>
      </c>
      <c r="L598" t="s">
        <v>21</v>
      </c>
      <c r="M598" t="s">
        <v>22</v>
      </c>
      <c r="N598" t="s">
        <v>38</v>
      </c>
      <c r="O598" t="s">
        <v>39</v>
      </c>
      <c r="P598" t="s">
        <v>40</v>
      </c>
    </row>
    <row r="599" spans="1:16" x14ac:dyDescent="0.25">
      <c r="A599" s="1">
        <v>45693</v>
      </c>
      <c r="B599" t="s">
        <v>520</v>
      </c>
      <c r="C599">
        <v>56585</v>
      </c>
      <c r="D599" t="s">
        <v>42</v>
      </c>
      <c r="E599">
        <v>42</v>
      </c>
      <c r="F599">
        <v>39.18</v>
      </c>
      <c r="G599" t="s">
        <v>47</v>
      </c>
      <c r="H599">
        <v>0.18</v>
      </c>
      <c r="I599" t="s">
        <v>61</v>
      </c>
      <c r="J599">
        <v>17.510000000000002</v>
      </c>
      <c r="K599" t="s">
        <v>20</v>
      </c>
      <c r="L599" t="s">
        <v>21</v>
      </c>
      <c r="M599" t="s">
        <v>22</v>
      </c>
      <c r="N599" t="s">
        <v>38</v>
      </c>
      <c r="O599" t="s">
        <v>24</v>
      </c>
      <c r="P599" t="s">
        <v>40</v>
      </c>
    </row>
    <row r="600" spans="1:16" x14ac:dyDescent="0.25">
      <c r="A600" s="1">
        <v>45693</v>
      </c>
      <c r="B600" t="s">
        <v>521</v>
      </c>
      <c r="C600">
        <v>92154</v>
      </c>
      <c r="D600" t="s">
        <v>46</v>
      </c>
      <c r="E600">
        <v>35</v>
      </c>
      <c r="F600">
        <v>87.14</v>
      </c>
      <c r="G600" t="s">
        <v>99</v>
      </c>
      <c r="H600">
        <v>0.46</v>
      </c>
      <c r="I600" t="s">
        <v>61</v>
      </c>
      <c r="J600">
        <v>17.149999999999999</v>
      </c>
      <c r="K600" t="s">
        <v>50</v>
      </c>
      <c r="L600" t="s">
        <v>31</v>
      </c>
      <c r="M600" t="s">
        <v>22</v>
      </c>
      <c r="N600" t="s">
        <v>23</v>
      </c>
      <c r="O600" t="s">
        <v>24</v>
      </c>
      <c r="P600" t="s">
        <v>25</v>
      </c>
    </row>
    <row r="601" spans="1:16" x14ac:dyDescent="0.25">
      <c r="A601" s="1">
        <v>45693</v>
      </c>
      <c r="B601" t="s">
        <v>522</v>
      </c>
      <c r="C601">
        <v>70039</v>
      </c>
      <c r="D601" t="s">
        <v>89</v>
      </c>
      <c r="E601">
        <v>36</v>
      </c>
      <c r="F601">
        <v>84.19</v>
      </c>
      <c r="G601" t="s">
        <v>72</v>
      </c>
      <c r="H601">
        <v>0.38</v>
      </c>
      <c r="I601" t="s">
        <v>19</v>
      </c>
      <c r="J601">
        <v>25.7</v>
      </c>
      <c r="K601" t="s">
        <v>50</v>
      </c>
      <c r="L601" t="s">
        <v>21</v>
      </c>
      <c r="M601" t="s">
        <v>22</v>
      </c>
      <c r="N601" t="s">
        <v>23</v>
      </c>
      <c r="O601" t="s">
        <v>24</v>
      </c>
      <c r="P601" t="s">
        <v>40</v>
      </c>
    </row>
    <row r="602" spans="1:16" x14ac:dyDescent="0.25">
      <c r="A602" s="1">
        <v>45693</v>
      </c>
      <c r="B602" t="s">
        <v>467</v>
      </c>
      <c r="C602">
        <v>70716</v>
      </c>
      <c r="D602" t="s">
        <v>49</v>
      </c>
      <c r="E602">
        <v>1</v>
      </c>
      <c r="F602">
        <v>74.209999999999994</v>
      </c>
      <c r="G602" t="s">
        <v>72</v>
      </c>
      <c r="H602">
        <v>0.41</v>
      </c>
      <c r="I602" t="s">
        <v>29</v>
      </c>
      <c r="J602">
        <v>22.48</v>
      </c>
      <c r="K602" t="s">
        <v>30</v>
      </c>
      <c r="L602" t="s">
        <v>21</v>
      </c>
      <c r="M602" t="s">
        <v>22</v>
      </c>
      <c r="N602" t="s">
        <v>32</v>
      </c>
      <c r="O602" t="s">
        <v>59</v>
      </c>
      <c r="P602" t="s">
        <v>34</v>
      </c>
    </row>
    <row r="603" spans="1:16" x14ac:dyDescent="0.25">
      <c r="A603" s="1">
        <v>45693</v>
      </c>
      <c r="B603" t="s">
        <v>523</v>
      </c>
      <c r="C603">
        <v>24646</v>
      </c>
      <c r="D603" t="s">
        <v>89</v>
      </c>
      <c r="E603">
        <v>35</v>
      </c>
      <c r="F603">
        <v>89.87</v>
      </c>
      <c r="G603" t="s">
        <v>43</v>
      </c>
      <c r="H603">
        <v>0.34</v>
      </c>
      <c r="I603" t="s">
        <v>29</v>
      </c>
      <c r="J603">
        <v>28.76</v>
      </c>
      <c r="K603" t="s">
        <v>37</v>
      </c>
      <c r="L603" t="s">
        <v>31</v>
      </c>
      <c r="M603" t="s">
        <v>22</v>
      </c>
      <c r="N603" t="s">
        <v>32</v>
      </c>
      <c r="O603" t="s">
        <v>81</v>
      </c>
      <c r="P603" t="s">
        <v>25</v>
      </c>
    </row>
    <row r="604" spans="1:16" x14ac:dyDescent="0.25">
      <c r="A604" s="1">
        <v>45693</v>
      </c>
      <c r="B604" t="s">
        <v>402</v>
      </c>
      <c r="C604">
        <v>99450</v>
      </c>
      <c r="D604" t="s">
        <v>89</v>
      </c>
      <c r="E604">
        <v>12</v>
      </c>
      <c r="F604">
        <v>65.069999999999993</v>
      </c>
      <c r="G604" t="s">
        <v>36</v>
      </c>
      <c r="H604">
        <v>0.3</v>
      </c>
      <c r="I604" t="s">
        <v>29</v>
      </c>
      <c r="J604">
        <v>28.44</v>
      </c>
      <c r="K604" t="s">
        <v>37</v>
      </c>
      <c r="L604" t="s">
        <v>31</v>
      </c>
      <c r="M604" t="s">
        <v>111</v>
      </c>
      <c r="N604" t="s">
        <v>53</v>
      </c>
      <c r="O604" t="s">
        <v>59</v>
      </c>
      <c r="P604" t="s">
        <v>40</v>
      </c>
    </row>
    <row r="605" spans="1:16" x14ac:dyDescent="0.25">
      <c r="A605" s="1">
        <v>45693</v>
      </c>
      <c r="B605" t="s">
        <v>524</v>
      </c>
      <c r="C605">
        <v>47492</v>
      </c>
      <c r="D605" t="s">
        <v>27</v>
      </c>
      <c r="E605">
        <v>9</v>
      </c>
      <c r="F605">
        <v>20.76</v>
      </c>
      <c r="G605" t="s">
        <v>52</v>
      </c>
      <c r="H605">
        <v>0.41</v>
      </c>
      <c r="I605" t="s">
        <v>29</v>
      </c>
      <c r="J605">
        <v>25.13</v>
      </c>
      <c r="K605" t="s">
        <v>50</v>
      </c>
      <c r="L605" t="s">
        <v>31</v>
      </c>
      <c r="M605" t="s">
        <v>22</v>
      </c>
      <c r="N605" t="s">
        <v>53</v>
      </c>
      <c r="O605" t="s">
        <v>33</v>
      </c>
      <c r="P605" t="s">
        <v>40</v>
      </c>
    </row>
    <row r="606" spans="1:16" x14ac:dyDescent="0.25">
      <c r="A606" s="1">
        <v>45693</v>
      </c>
      <c r="B606" t="s">
        <v>525</v>
      </c>
      <c r="C606">
        <v>10675</v>
      </c>
      <c r="D606" t="s">
        <v>42</v>
      </c>
      <c r="E606">
        <v>19</v>
      </c>
      <c r="F606">
        <v>47.87</v>
      </c>
      <c r="G606" t="s">
        <v>84</v>
      </c>
      <c r="H606">
        <v>0.01</v>
      </c>
      <c r="I606" t="s">
        <v>19</v>
      </c>
      <c r="J606">
        <v>20.2</v>
      </c>
      <c r="K606" t="s">
        <v>44</v>
      </c>
      <c r="L606" t="s">
        <v>21</v>
      </c>
      <c r="M606" t="s">
        <v>22</v>
      </c>
      <c r="N606" t="s">
        <v>23</v>
      </c>
      <c r="O606" t="s">
        <v>39</v>
      </c>
      <c r="P606" t="s">
        <v>25</v>
      </c>
    </row>
    <row r="607" spans="1:16" x14ac:dyDescent="0.25">
      <c r="A607" s="1">
        <v>45693</v>
      </c>
      <c r="B607" t="s">
        <v>408</v>
      </c>
      <c r="C607">
        <v>21500</v>
      </c>
      <c r="D607" t="s">
        <v>46</v>
      </c>
      <c r="E607">
        <v>29</v>
      </c>
      <c r="F607">
        <v>3.49</v>
      </c>
      <c r="G607" t="s">
        <v>52</v>
      </c>
      <c r="H607">
        <v>0.2</v>
      </c>
      <c r="I607" t="s">
        <v>61</v>
      </c>
      <c r="J607">
        <v>26.95</v>
      </c>
      <c r="K607" t="s">
        <v>37</v>
      </c>
      <c r="L607" t="s">
        <v>31</v>
      </c>
      <c r="M607" t="s">
        <v>22</v>
      </c>
      <c r="N607" t="s">
        <v>53</v>
      </c>
      <c r="O607" t="s">
        <v>81</v>
      </c>
      <c r="P607" t="s">
        <v>25</v>
      </c>
    </row>
    <row r="608" spans="1:16" x14ac:dyDescent="0.25">
      <c r="A608" s="1">
        <v>45693</v>
      </c>
      <c r="B608" t="s">
        <v>115</v>
      </c>
      <c r="C608">
        <v>11200</v>
      </c>
      <c r="D608" t="s">
        <v>17</v>
      </c>
      <c r="E608">
        <v>6</v>
      </c>
      <c r="F608">
        <v>13.89</v>
      </c>
      <c r="G608" t="s">
        <v>18</v>
      </c>
      <c r="H608">
        <v>0.24</v>
      </c>
      <c r="I608" t="s">
        <v>19</v>
      </c>
      <c r="J608">
        <v>10.16</v>
      </c>
      <c r="K608" t="s">
        <v>20</v>
      </c>
      <c r="L608" t="s">
        <v>21</v>
      </c>
      <c r="M608" t="s">
        <v>22</v>
      </c>
      <c r="N608" t="s">
        <v>23</v>
      </c>
      <c r="O608" t="s">
        <v>24</v>
      </c>
      <c r="P608" t="s">
        <v>40</v>
      </c>
    </row>
    <row r="609" spans="1:16" x14ac:dyDescent="0.25">
      <c r="A609" s="1">
        <v>45694</v>
      </c>
      <c r="B609" t="s">
        <v>526</v>
      </c>
      <c r="C609">
        <v>85899</v>
      </c>
      <c r="D609" t="s">
        <v>57</v>
      </c>
      <c r="E609">
        <v>24</v>
      </c>
      <c r="F609">
        <v>61.03</v>
      </c>
      <c r="G609" t="s">
        <v>36</v>
      </c>
      <c r="H609">
        <v>0.09</v>
      </c>
      <c r="I609" t="s">
        <v>61</v>
      </c>
      <c r="J609">
        <v>27.14</v>
      </c>
      <c r="K609" t="s">
        <v>37</v>
      </c>
      <c r="L609" t="s">
        <v>31</v>
      </c>
      <c r="M609" t="s">
        <v>22</v>
      </c>
      <c r="N609" t="s">
        <v>23</v>
      </c>
      <c r="O609" t="s">
        <v>59</v>
      </c>
      <c r="P609" t="s">
        <v>25</v>
      </c>
    </row>
    <row r="610" spans="1:16" x14ac:dyDescent="0.25">
      <c r="A610" s="1">
        <v>45694</v>
      </c>
      <c r="B610" t="s">
        <v>184</v>
      </c>
      <c r="C610">
        <v>18404</v>
      </c>
      <c r="D610" t="s">
        <v>49</v>
      </c>
      <c r="E610">
        <v>47</v>
      </c>
      <c r="F610">
        <v>13.89</v>
      </c>
      <c r="G610" t="s">
        <v>28</v>
      </c>
      <c r="H610">
        <v>0.46</v>
      </c>
      <c r="I610" t="s">
        <v>61</v>
      </c>
      <c r="J610">
        <v>20.97</v>
      </c>
      <c r="K610" t="s">
        <v>37</v>
      </c>
      <c r="L610" t="s">
        <v>21</v>
      </c>
      <c r="M610" t="s">
        <v>22</v>
      </c>
      <c r="N610" t="s">
        <v>23</v>
      </c>
      <c r="O610" t="s">
        <v>39</v>
      </c>
      <c r="P610" t="s">
        <v>25</v>
      </c>
    </row>
    <row r="611" spans="1:16" x14ac:dyDescent="0.25">
      <c r="A611" s="1">
        <v>45694</v>
      </c>
      <c r="B611" t="s">
        <v>527</v>
      </c>
      <c r="C611">
        <v>39619</v>
      </c>
      <c r="D611" t="s">
        <v>89</v>
      </c>
      <c r="E611">
        <v>22</v>
      </c>
      <c r="F611">
        <v>81.12</v>
      </c>
      <c r="G611" t="s">
        <v>52</v>
      </c>
      <c r="H611">
        <v>0.02</v>
      </c>
      <c r="I611" t="s">
        <v>29</v>
      </c>
      <c r="J611">
        <v>28.54</v>
      </c>
      <c r="K611" t="s">
        <v>50</v>
      </c>
      <c r="L611" t="s">
        <v>21</v>
      </c>
      <c r="M611" t="s">
        <v>22</v>
      </c>
      <c r="N611" t="s">
        <v>23</v>
      </c>
      <c r="O611" t="s">
        <v>24</v>
      </c>
      <c r="P611" t="s">
        <v>25</v>
      </c>
    </row>
    <row r="612" spans="1:16" x14ac:dyDescent="0.25">
      <c r="A612" s="1">
        <v>45694</v>
      </c>
      <c r="B612" t="s">
        <v>98</v>
      </c>
      <c r="C612">
        <v>44085</v>
      </c>
      <c r="D612" t="s">
        <v>57</v>
      </c>
      <c r="E612">
        <v>32</v>
      </c>
      <c r="F612">
        <v>30.18</v>
      </c>
      <c r="G612" t="s">
        <v>99</v>
      </c>
      <c r="H612">
        <v>0.01</v>
      </c>
      <c r="I612" t="s">
        <v>19</v>
      </c>
      <c r="J612">
        <v>17.82</v>
      </c>
      <c r="K612" t="s">
        <v>37</v>
      </c>
      <c r="L612" t="s">
        <v>21</v>
      </c>
      <c r="M612" t="s">
        <v>22</v>
      </c>
      <c r="N612" t="s">
        <v>23</v>
      </c>
      <c r="O612" t="s">
        <v>59</v>
      </c>
      <c r="P612" t="s">
        <v>40</v>
      </c>
    </row>
    <row r="613" spans="1:16" x14ac:dyDescent="0.25">
      <c r="A613" s="1">
        <v>45694</v>
      </c>
      <c r="B613" t="s">
        <v>114</v>
      </c>
      <c r="C613">
        <v>17800</v>
      </c>
      <c r="D613" t="s">
        <v>27</v>
      </c>
      <c r="E613">
        <v>4</v>
      </c>
      <c r="F613">
        <v>79.959999999999994</v>
      </c>
      <c r="G613" t="s">
        <v>47</v>
      </c>
      <c r="H613">
        <v>0.46</v>
      </c>
      <c r="I613" t="s">
        <v>61</v>
      </c>
      <c r="J613">
        <v>8.6300000000000008</v>
      </c>
      <c r="K613" t="s">
        <v>37</v>
      </c>
      <c r="L613" t="s">
        <v>21</v>
      </c>
      <c r="M613" t="s">
        <v>22</v>
      </c>
      <c r="N613" t="s">
        <v>38</v>
      </c>
      <c r="O613" t="s">
        <v>24</v>
      </c>
      <c r="P613" t="s">
        <v>40</v>
      </c>
    </row>
    <row r="614" spans="1:16" x14ac:dyDescent="0.25">
      <c r="A614" s="1">
        <v>45694</v>
      </c>
      <c r="B614" t="s">
        <v>528</v>
      </c>
      <c r="C614">
        <v>48793</v>
      </c>
      <c r="D614" t="s">
        <v>27</v>
      </c>
      <c r="E614">
        <v>13</v>
      </c>
      <c r="F614">
        <v>46.33</v>
      </c>
      <c r="G614" t="s">
        <v>55</v>
      </c>
      <c r="H614">
        <v>0.06</v>
      </c>
      <c r="I614" t="s">
        <v>19</v>
      </c>
      <c r="J614">
        <v>13.4</v>
      </c>
      <c r="K614" t="s">
        <v>44</v>
      </c>
      <c r="L614" t="s">
        <v>31</v>
      </c>
      <c r="M614" t="s">
        <v>22</v>
      </c>
      <c r="N614" t="s">
        <v>38</v>
      </c>
      <c r="O614" t="s">
        <v>33</v>
      </c>
      <c r="P614" t="s">
        <v>34</v>
      </c>
    </row>
    <row r="615" spans="1:16" x14ac:dyDescent="0.25">
      <c r="A615" s="1">
        <v>45694</v>
      </c>
      <c r="B615" t="s">
        <v>329</v>
      </c>
      <c r="C615">
        <v>17717</v>
      </c>
      <c r="D615" t="s">
        <v>57</v>
      </c>
      <c r="E615">
        <v>31</v>
      </c>
      <c r="F615">
        <v>36.96</v>
      </c>
      <c r="G615" t="s">
        <v>18</v>
      </c>
      <c r="H615">
        <v>0.14000000000000001</v>
      </c>
      <c r="I615" t="s">
        <v>61</v>
      </c>
      <c r="J615">
        <v>17.920000000000002</v>
      </c>
      <c r="K615" t="s">
        <v>20</v>
      </c>
      <c r="L615" t="s">
        <v>21</v>
      </c>
      <c r="M615" t="s">
        <v>22</v>
      </c>
      <c r="N615" t="s">
        <v>32</v>
      </c>
      <c r="O615" t="s">
        <v>39</v>
      </c>
      <c r="P615" t="s">
        <v>40</v>
      </c>
    </row>
    <row r="616" spans="1:16" x14ac:dyDescent="0.25">
      <c r="A616" s="1">
        <v>45694</v>
      </c>
      <c r="B616" t="s">
        <v>318</v>
      </c>
      <c r="C616">
        <v>24001</v>
      </c>
      <c r="D616" t="s">
        <v>17</v>
      </c>
      <c r="E616">
        <v>39</v>
      </c>
      <c r="F616">
        <v>60.61</v>
      </c>
      <c r="G616" t="s">
        <v>18</v>
      </c>
      <c r="H616">
        <v>0.26</v>
      </c>
      <c r="I616" t="s">
        <v>29</v>
      </c>
      <c r="J616">
        <v>10.3</v>
      </c>
      <c r="K616" t="s">
        <v>37</v>
      </c>
      <c r="L616" t="s">
        <v>31</v>
      </c>
      <c r="M616" t="s">
        <v>22</v>
      </c>
      <c r="N616" t="s">
        <v>53</v>
      </c>
      <c r="O616" t="s">
        <v>81</v>
      </c>
      <c r="P616" t="s">
        <v>25</v>
      </c>
    </row>
    <row r="617" spans="1:16" x14ac:dyDescent="0.25">
      <c r="A617" s="1">
        <v>45694</v>
      </c>
      <c r="B617" t="s">
        <v>371</v>
      </c>
      <c r="C617">
        <v>95187</v>
      </c>
      <c r="D617" t="s">
        <v>89</v>
      </c>
      <c r="E617">
        <v>19</v>
      </c>
      <c r="F617">
        <v>43.54</v>
      </c>
      <c r="G617" t="s">
        <v>18</v>
      </c>
      <c r="H617">
        <v>0.09</v>
      </c>
      <c r="I617" t="s">
        <v>19</v>
      </c>
      <c r="J617">
        <v>15.22</v>
      </c>
      <c r="K617" t="s">
        <v>20</v>
      </c>
      <c r="L617" t="s">
        <v>21</v>
      </c>
      <c r="M617" t="s">
        <v>22</v>
      </c>
      <c r="N617" t="s">
        <v>38</v>
      </c>
      <c r="O617" t="s">
        <v>33</v>
      </c>
      <c r="P617" t="s">
        <v>25</v>
      </c>
    </row>
    <row r="618" spans="1:16" x14ac:dyDescent="0.25">
      <c r="A618" s="1">
        <v>45694</v>
      </c>
      <c r="B618" t="s">
        <v>529</v>
      </c>
      <c r="C618">
        <v>30705</v>
      </c>
      <c r="D618" t="s">
        <v>46</v>
      </c>
      <c r="E618">
        <v>28</v>
      </c>
      <c r="F618">
        <v>88.15</v>
      </c>
      <c r="G618" t="s">
        <v>99</v>
      </c>
      <c r="H618">
        <v>0.32</v>
      </c>
      <c r="I618" t="s">
        <v>19</v>
      </c>
      <c r="J618">
        <v>23.25</v>
      </c>
      <c r="K618" t="s">
        <v>44</v>
      </c>
      <c r="L618" t="s">
        <v>31</v>
      </c>
      <c r="M618" t="s">
        <v>22</v>
      </c>
      <c r="N618" t="s">
        <v>53</v>
      </c>
      <c r="O618" t="s">
        <v>33</v>
      </c>
      <c r="P618" t="s">
        <v>25</v>
      </c>
    </row>
    <row r="619" spans="1:16" x14ac:dyDescent="0.25">
      <c r="A619" s="1">
        <v>45694</v>
      </c>
      <c r="B619" t="s">
        <v>530</v>
      </c>
      <c r="C619">
        <v>90270</v>
      </c>
      <c r="D619" t="s">
        <v>17</v>
      </c>
      <c r="E619">
        <v>13</v>
      </c>
      <c r="F619">
        <v>13.43</v>
      </c>
      <c r="G619" t="s">
        <v>84</v>
      </c>
      <c r="H619">
        <v>0.36</v>
      </c>
      <c r="I619" t="s">
        <v>29</v>
      </c>
      <c r="J619">
        <v>9.9600000000000009</v>
      </c>
      <c r="K619" t="s">
        <v>50</v>
      </c>
      <c r="L619" t="s">
        <v>21</v>
      </c>
      <c r="M619" t="s">
        <v>22</v>
      </c>
      <c r="N619" t="s">
        <v>23</v>
      </c>
      <c r="O619" t="s">
        <v>33</v>
      </c>
      <c r="P619" t="s">
        <v>25</v>
      </c>
    </row>
    <row r="620" spans="1:16" x14ac:dyDescent="0.25">
      <c r="A620" s="1">
        <v>45694</v>
      </c>
      <c r="B620" t="s">
        <v>148</v>
      </c>
      <c r="C620">
        <v>28572</v>
      </c>
      <c r="D620" t="s">
        <v>27</v>
      </c>
      <c r="E620">
        <v>44</v>
      </c>
      <c r="F620">
        <v>1.07</v>
      </c>
      <c r="G620" t="s">
        <v>28</v>
      </c>
      <c r="H620">
        <v>0.34</v>
      </c>
      <c r="I620" t="s">
        <v>19</v>
      </c>
      <c r="J620">
        <v>8.31</v>
      </c>
      <c r="K620" t="s">
        <v>50</v>
      </c>
      <c r="L620" t="s">
        <v>31</v>
      </c>
      <c r="M620" t="s">
        <v>22</v>
      </c>
      <c r="N620" t="s">
        <v>53</v>
      </c>
      <c r="O620" t="s">
        <v>39</v>
      </c>
      <c r="P620" t="s">
        <v>40</v>
      </c>
    </row>
    <row r="621" spans="1:16" x14ac:dyDescent="0.25">
      <c r="A621" s="1">
        <v>45694</v>
      </c>
      <c r="B621" t="s">
        <v>531</v>
      </c>
      <c r="C621">
        <v>57779</v>
      </c>
      <c r="D621" t="s">
        <v>89</v>
      </c>
      <c r="E621">
        <v>24</v>
      </c>
      <c r="F621">
        <v>99.99</v>
      </c>
      <c r="G621" t="s">
        <v>52</v>
      </c>
      <c r="H621">
        <v>0.1</v>
      </c>
      <c r="I621" t="s">
        <v>29</v>
      </c>
      <c r="J621">
        <v>28.49</v>
      </c>
      <c r="K621" t="s">
        <v>50</v>
      </c>
      <c r="L621" t="s">
        <v>21</v>
      </c>
      <c r="M621" t="s">
        <v>22</v>
      </c>
      <c r="N621" t="s">
        <v>23</v>
      </c>
      <c r="O621" t="s">
        <v>33</v>
      </c>
      <c r="P621" t="s">
        <v>25</v>
      </c>
    </row>
    <row r="622" spans="1:16" x14ac:dyDescent="0.25">
      <c r="A622" s="1">
        <v>45694</v>
      </c>
      <c r="B622" t="s">
        <v>402</v>
      </c>
      <c r="C622">
        <v>72345</v>
      </c>
      <c r="D622" t="s">
        <v>17</v>
      </c>
      <c r="E622">
        <v>40</v>
      </c>
      <c r="F622">
        <v>88.28</v>
      </c>
      <c r="G622" t="s">
        <v>52</v>
      </c>
      <c r="H622">
        <v>0.16</v>
      </c>
      <c r="I622" t="s">
        <v>19</v>
      </c>
      <c r="J622">
        <v>25.53</v>
      </c>
      <c r="K622" t="s">
        <v>44</v>
      </c>
      <c r="L622" t="s">
        <v>31</v>
      </c>
      <c r="M622" t="s">
        <v>22</v>
      </c>
      <c r="N622" t="s">
        <v>32</v>
      </c>
      <c r="O622" t="s">
        <v>24</v>
      </c>
      <c r="P622" t="s">
        <v>40</v>
      </c>
    </row>
    <row r="623" spans="1:16" x14ac:dyDescent="0.25">
      <c r="A623" s="1">
        <v>45694</v>
      </c>
      <c r="B623" t="s">
        <v>532</v>
      </c>
      <c r="C623">
        <v>15847</v>
      </c>
      <c r="D623" t="s">
        <v>70</v>
      </c>
      <c r="E623">
        <v>15</v>
      </c>
      <c r="F623">
        <v>57.79</v>
      </c>
      <c r="G623" t="s">
        <v>28</v>
      </c>
      <c r="H623">
        <v>0.43</v>
      </c>
      <c r="I623" t="s">
        <v>61</v>
      </c>
      <c r="J623">
        <v>23.42</v>
      </c>
      <c r="K623" t="s">
        <v>50</v>
      </c>
      <c r="L623" t="s">
        <v>21</v>
      </c>
      <c r="M623" t="s">
        <v>22</v>
      </c>
      <c r="N623" t="s">
        <v>38</v>
      </c>
      <c r="O623" t="s">
        <v>81</v>
      </c>
      <c r="P623" t="s">
        <v>25</v>
      </c>
    </row>
    <row r="624" spans="1:16" x14ac:dyDescent="0.25">
      <c r="A624" s="1">
        <v>45694</v>
      </c>
      <c r="B624" t="s">
        <v>533</v>
      </c>
      <c r="C624">
        <v>34384</v>
      </c>
      <c r="D624" t="s">
        <v>68</v>
      </c>
      <c r="E624">
        <v>21</v>
      </c>
      <c r="F624">
        <v>32.49</v>
      </c>
      <c r="G624" t="s">
        <v>72</v>
      </c>
      <c r="H624">
        <v>0.32</v>
      </c>
      <c r="I624" t="s">
        <v>19</v>
      </c>
      <c r="J624">
        <v>16.43</v>
      </c>
      <c r="K624" t="s">
        <v>37</v>
      </c>
      <c r="L624" t="s">
        <v>21</v>
      </c>
      <c r="M624" t="s">
        <v>22</v>
      </c>
      <c r="N624" t="s">
        <v>53</v>
      </c>
      <c r="O624" t="s">
        <v>39</v>
      </c>
      <c r="P624" t="s">
        <v>34</v>
      </c>
    </row>
    <row r="625" spans="1:16" x14ac:dyDescent="0.25">
      <c r="A625" s="1">
        <v>45694</v>
      </c>
      <c r="B625" t="s">
        <v>534</v>
      </c>
      <c r="C625">
        <v>90255</v>
      </c>
      <c r="D625" t="s">
        <v>68</v>
      </c>
      <c r="E625">
        <v>15</v>
      </c>
      <c r="F625">
        <v>67.67</v>
      </c>
      <c r="G625" t="s">
        <v>18</v>
      </c>
      <c r="H625">
        <v>0.05</v>
      </c>
      <c r="I625" t="s">
        <v>29</v>
      </c>
      <c r="J625">
        <v>22.92</v>
      </c>
      <c r="K625" t="s">
        <v>30</v>
      </c>
      <c r="L625" t="s">
        <v>31</v>
      </c>
      <c r="M625" t="s">
        <v>22</v>
      </c>
      <c r="N625" t="s">
        <v>32</v>
      </c>
      <c r="O625" t="s">
        <v>81</v>
      </c>
      <c r="P625" t="s">
        <v>25</v>
      </c>
    </row>
    <row r="626" spans="1:16" x14ac:dyDescent="0.25">
      <c r="A626" s="1">
        <v>45695</v>
      </c>
      <c r="B626" t="s">
        <v>534</v>
      </c>
      <c r="C626">
        <v>91738</v>
      </c>
      <c r="D626" t="s">
        <v>17</v>
      </c>
      <c r="E626">
        <v>5</v>
      </c>
      <c r="F626">
        <v>98.58</v>
      </c>
      <c r="G626" t="s">
        <v>52</v>
      </c>
      <c r="H626">
        <v>0.22</v>
      </c>
      <c r="I626" t="s">
        <v>29</v>
      </c>
      <c r="J626">
        <v>18.23</v>
      </c>
      <c r="K626" t="s">
        <v>30</v>
      </c>
      <c r="L626" t="s">
        <v>21</v>
      </c>
      <c r="M626" t="s">
        <v>22</v>
      </c>
      <c r="N626" t="s">
        <v>23</v>
      </c>
      <c r="O626" t="s">
        <v>81</v>
      </c>
      <c r="P626" t="s">
        <v>40</v>
      </c>
    </row>
    <row r="627" spans="1:16" x14ac:dyDescent="0.25">
      <c r="A627" s="1">
        <v>45695</v>
      </c>
      <c r="B627" t="s">
        <v>129</v>
      </c>
      <c r="C627">
        <v>56533</v>
      </c>
      <c r="D627" t="s">
        <v>27</v>
      </c>
      <c r="E627">
        <v>39</v>
      </c>
      <c r="F627">
        <v>38.450000000000003</v>
      </c>
      <c r="G627" t="s">
        <v>58</v>
      </c>
      <c r="H627">
        <v>0.04</v>
      </c>
      <c r="I627" t="s">
        <v>19</v>
      </c>
      <c r="J627">
        <v>26.38</v>
      </c>
      <c r="K627" t="s">
        <v>37</v>
      </c>
      <c r="L627" t="s">
        <v>21</v>
      </c>
      <c r="M627" t="s">
        <v>22</v>
      </c>
      <c r="N627" t="s">
        <v>53</v>
      </c>
      <c r="O627" t="s">
        <v>33</v>
      </c>
      <c r="P627" t="s">
        <v>34</v>
      </c>
    </row>
    <row r="628" spans="1:16" x14ac:dyDescent="0.25">
      <c r="A628" s="1">
        <v>45695</v>
      </c>
      <c r="B628" t="s">
        <v>435</v>
      </c>
      <c r="C628">
        <v>99551</v>
      </c>
      <c r="D628" t="s">
        <v>49</v>
      </c>
      <c r="E628">
        <v>45</v>
      </c>
      <c r="G628" t="s">
        <v>18</v>
      </c>
      <c r="H628">
        <v>0.4</v>
      </c>
      <c r="I628" t="s">
        <v>61</v>
      </c>
      <c r="J628">
        <v>16.3</v>
      </c>
      <c r="K628" t="s">
        <v>50</v>
      </c>
      <c r="L628" t="s">
        <v>21</v>
      </c>
      <c r="M628" t="s">
        <v>22</v>
      </c>
      <c r="N628" t="s">
        <v>32</v>
      </c>
      <c r="O628" t="s">
        <v>33</v>
      </c>
      <c r="P628" t="s">
        <v>40</v>
      </c>
    </row>
    <row r="629" spans="1:16" x14ac:dyDescent="0.25">
      <c r="A629" s="1">
        <v>45695</v>
      </c>
      <c r="B629" t="s">
        <v>392</v>
      </c>
      <c r="C629">
        <v>93520</v>
      </c>
      <c r="D629" t="s">
        <v>17</v>
      </c>
      <c r="E629">
        <v>8</v>
      </c>
      <c r="F629">
        <v>36.270000000000003</v>
      </c>
      <c r="G629" t="s">
        <v>76</v>
      </c>
      <c r="H629">
        <v>0.26</v>
      </c>
      <c r="I629" t="s">
        <v>29</v>
      </c>
      <c r="J629">
        <v>15.04</v>
      </c>
      <c r="K629" t="s">
        <v>37</v>
      </c>
      <c r="L629" t="s">
        <v>31</v>
      </c>
      <c r="M629" t="s">
        <v>22</v>
      </c>
      <c r="N629" t="s">
        <v>53</v>
      </c>
      <c r="O629" t="s">
        <v>59</v>
      </c>
      <c r="P629" t="s">
        <v>40</v>
      </c>
    </row>
    <row r="630" spans="1:16" x14ac:dyDescent="0.25">
      <c r="A630" s="1">
        <v>45695</v>
      </c>
      <c r="B630" t="s">
        <v>535</v>
      </c>
      <c r="C630">
        <v>38910</v>
      </c>
      <c r="D630" t="s">
        <v>49</v>
      </c>
      <c r="E630">
        <v>12</v>
      </c>
      <c r="F630">
        <v>72.680000000000007</v>
      </c>
      <c r="G630" t="s">
        <v>18</v>
      </c>
      <c r="H630">
        <v>0.09</v>
      </c>
      <c r="I630" t="s">
        <v>61</v>
      </c>
      <c r="J630">
        <v>11.12</v>
      </c>
      <c r="K630" t="s">
        <v>50</v>
      </c>
      <c r="L630" t="s">
        <v>21</v>
      </c>
      <c r="M630" t="s">
        <v>22</v>
      </c>
      <c r="N630" t="s">
        <v>32</v>
      </c>
      <c r="O630" t="s">
        <v>59</v>
      </c>
      <c r="P630" t="s">
        <v>34</v>
      </c>
    </row>
    <row r="631" spans="1:16" x14ac:dyDescent="0.25">
      <c r="A631" s="1">
        <v>45695</v>
      </c>
      <c r="B631" t="s">
        <v>536</v>
      </c>
      <c r="C631">
        <v>67711</v>
      </c>
      <c r="D631" t="s">
        <v>89</v>
      </c>
      <c r="E631">
        <v>1</v>
      </c>
      <c r="F631">
        <v>22.84</v>
      </c>
      <c r="G631" t="s">
        <v>84</v>
      </c>
      <c r="H631">
        <v>0.4</v>
      </c>
      <c r="I631" t="s">
        <v>19</v>
      </c>
      <c r="J631">
        <v>9.86</v>
      </c>
      <c r="K631" t="s">
        <v>30</v>
      </c>
      <c r="L631" t="s">
        <v>31</v>
      </c>
      <c r="M631" t="s">
        <v>22</v>
      </c>
      <c r="N631" t="s">
        <v>53</v>
      </c>
      <c r="O631" t="s">
        <v>81</v>
      </c>
      <c r="P631" t="s">
        <v>25</v>
      </c>
    </row>
    <row r="632" spans="1:16" x14ac:dyDescent="0.25">
      <c r="A632" s="1">
        <v>45695</v>
      </c>
      <c r="B632" t="s">
        <v>537</v>
      </c>
      <c r="C632">
        <v>82747</v>
      </c>
      <c r="D632" t="s">
        <v>66</v>
      </c>
      <c r="E632">
        <v>20</v>
      </c>
      <c r="F632">
        <v>3.97</v>
      </c>
      <c r="G632" t="s">
        <v>52</v>
      </c>
      <c r="H632">
        <v>0.06</v>
      </c>
      <c r="I632" t="s">
        <v>29</v>
      </c>
      <c r="J632">
        <v>21.64</v>
      </c>
      <c r="K632" t="s">
        <v>30</v>
      </c>
      <c r="L632" t="s">
        <v>21</v>
      </c>
      <c r="M632" t="s">
        <v>22</v>
      </c>
      <c r="N632" t="s">
        <v>38</v>
      </c>
      <c r="O632" t="s">
        <v>81</v>
      </c>
      <c r="P632" t="s">
        <v>25</v>
      </c>
    </row>
    <row r="633" spans="1:16" x14ac:dyDescent="0.25">
      <c r="A633" s="1">
        <v>45695</v>
      </c>
      <c r="B633" t="s">
        <v>538</v>
      </c>
      <c r="C633">
        <v>74290</v>
      </c>
      <c r="D633" t="s">
        <v>89</v>
      </c>
      <c r="E633">
        <v>5</v>
      </c>
      <c r="F633">
        <v>26.35</v>
      </c>
      <c r="G633" t="s">
        <v>52</v>
      </c>
      <c r="H633">
        <v>0.23</v>
      </c>
      <c r="I633" t="s">
        <v>29</v>
      </c>
      <c r="J633">
        <v>10.51</v>
      </c>
      <c r="K633" t="s">
        <v>37</v>
      </c>
      <c r="L633" t="s">
        <v>31</v>
      </c>
      <c r="M633" t="s">
        <v>22</v>
      </c>
      <c r="N633" t="s">
        <v>32</v>
      </c>
      <c r="O633" t="s">
        <v>59</v>
      </c>
      <c r="P633" t="s">
        <v>40</v>
      </c>
    </row>
    <row r="634" spans="1:16" x14ac:dyDescent="0.25">
      <c r="A634" s="1">
        <v>45695</v>
      </c>
      <c r="B634" t="s">
        <v>319</v>
      </c>
      <c r="C634">
        <v>70391</v>
      </c>
      <c r="D634" t="s">
        <v>70</v>
      </c>
      <c r="E634">
        <v>28</v>
      </c>
      <c r="F634">
        <v>82.63</v>
      </c>
      <c r="G634" t="s">
        <v>99</v>
      </c>
      <c r="H634">
        <v>0.06</v>
      </c>
      <c r="I634" t="s">
        <v>19</v>
      </c>
      <c r="J634">
        <v>25.15</v>
      </c>
      <c r="K634" t="s">
        <v>37</v>
      </c>
      <c r="L634" t="s">
        <v>21</v>
      </c>
      <c r="M634" t="s">
        <v>22</v>
      </c>
      <c r="N634" t="s">
        <v>38</v>
      </c>
      <c r="O634" t="s">
        <v>81</v>
      </c>
      <c r="P634" t="s">
        <v>40</v>
      </c>
    </row>
    <row r="635" spans="1:16" x14ac:dyDescent="0.25">
      <c r="A635" s="1">
        <v>45695</v>
      </c>
      <c r="B635" t="s">
        <v>63</v>
      </c>
      <c r="C635">
        <v>37849</v>
      </c>
      <c r="D635" t="s">
        <v>66</v>
      </c>
      <c r="E635">
        <v>28</v>
      </c>
      <c r="F635">
        <v>28.72</v>
      </c>
      <c r="G635" t="s">
        <v>43</v>
      </c>
      <c r="H635">
        <v>0.44</v>
      </c>
      <c r="I635" t="s">
        <v>61</v>
      </c>
      <c r="J635">
        <v>14.05</v>
      </c>
      <c r="K635" t="s">
        <v>44</v>
      </c>
      <c r="L635" t="s">
        <v>31</v>
      </c>
      <c r="M635" t="s">
        <v>22</v>
      </c>
      <c r="N635" t="s">
        <v>32</v>
      </c>
      <c r="O635" t="s">
        <v>39</v>
      </c>
      <c r="P635" t="s">
        <v>25</v>
      </c>
    </row>
    <row r="636" spans="1:16" x14ac:dyDescent="0.25">
      <c r="A636" s="1">
        <v>45695</v>
      </c>
      <c r="B636" t="s">
        <v>145</v>
      </c>
      <c r="C636">
        <v>73067</v>
      </c>
      <c r="D636" t="s">
        <v>42</v>
      </c>
      <c r="E636">
        <v>26</v>
      </c>
      <c r="F636">
        <v>81.52</v>
      </c>
      <c r="G636" t="s">
        <v>52</v>
      </c>
      <c r="H636">
        <v>0.18</v>
      </c>
      <c r="I636" t="s">
        <v>29</v>
      </c>
      <c r="J636">
        <v>21.92</v>
      </c>
      <c r="K636" t="s">
        <v>50</v>
      </c>
      <c r="L636" t="s">
        <v>21</v>
      </c>
      <c r="M636" t="s">
        <v>22</v>
      </c>
      <c r="N636" t="s">
        <v>32</v>
      </c>
      <c r="O636" t="s">
        <v>81</v>
      </c>
      <c r="P636" t="s">
        <v>40</v>
      </c>
    </row>
    <row r="637" spans="1:16" x14ac:dyDescent="0.25">
      <c r="A637" s="1">
        <v>45695</v>
      </c>
      <c r="B637" t="s">
        <v>301</v>
      </c>
      <c r="C637">
        <v>72710</v>
      </c>
      <c r="D637" t="s">
        <v>75</v>
      </c>
      <c r="E637">
        <v>18</v>
      </c>
      <c r="F637">
        <v>77.650000000000006</v>
      </c>
      <c r="G637" t="s">
        <v>99</v>
      </c>
      <c r="H637">
        <v>0.43</v>
      </c>
      <c r="I637" t="s">
        <v>19</v>
      </c>
      <c r="J637">
        <v>26.19</v>
      </c>
      <c r="K637" t="s">
        <v>37</v>
      </c>
      <c r="L637" t="s">
        <v>21</v>
      </c>
      <c r="M637" t="s">
        <v>22</v>
      </c>
      <c r="N637" t="s">
        <v>32</v>
      </c>
      <c r="O637" t="s">
        <v>39</v>
      </c>
      <c r="P637" t="s">
        <v>25</v>
      </c>
    </row>
    <row r="638" spans="1:16" x14ac:dyDescent="0.25">
      <c r="A638" s="1">
        <v>45695</v>
      </c>
      <c r="B638" t="s">
        <v>539</v>
      </c>
      <c r="C638">
        <v>93429</v>
      </c>
      <c r="D638" t="s">
        <v>57</v>
      </c>
      <c r="E638">
        <v>23</v>
      </c>
      <c r="F638">
        <v>60.94</v>
      </c>
      <c r="G638" t="s">
        <v>72</v>
      </c>
      <c r="H638">
        <v>0.16</v>
      </c>
      <c r="I638" t="s">
        <v>29</v>
      </c>
      <c r="J638">
        <v>8.5500000000000007</v>
      </c>
      <c r="K638" t="s">
        <v>37</v>
      </c>
      <c r="L638" t="s">
        <v>31</v>
      </c>
      <c r="M638" t="s">
        <v>22</v>
      </c>
      <c r="N638" t="s">
        <v>23</v>
      </c>
      <c r="O638" t="s">
        <v>24</v>
      </c>
      <c r="P638" t="s">
        <v>25</v>
      </c>
    </row>
    <row r="639" spans="1:16" x14ac:dyDescent="0.25">
      <c r="A639" s="1">
        <v>45695</v>
      </c>
      <c r="B639" t="s">
        <v>540</v>
      </c>
      <c r="C639">
        <v>20586</v>
      </c>
      <c r="D639" t="s">
        <v>70</v>
      </c>
      <c r="E639">
        <v>42</v>
      </c>
      <c r="F639">
        <v>18.440000000000001</v>
      </c>
      <c r="G639" t="s">
        <v>47</v>
      </c>
      <c r="H639">
        <v>0.44</v>
      </c>
      <c r="I639" t="s">
        <v>19</v>
      </c>
      <c r="J639">
        <v>8.8800000000000008</v>
      </c>
      <c r="K639" t="s">
        <v>50</v>
      </c>
      <c r="L639" t="s">
        <v>21</v>
      </c>
      <c r="M639" t="s">
        <v>22</v>
      </c>
      <c r="N639" t="s">
        <v>38</v>
      </c>
      <c r="O639" t="s">
        <v>81</v>
      </c>
      <c r="P639" t="s">
        <v>40</v>
      </c>
    </row>
    <row r="640" spans="1:16" x14ac:dyDescent="0.25">
      <c r="A640" s="1">
        <v>45695</v>
      </c>
      <c r="B640" t="s">
        <v>541</v>
      </c>
      <c r="C640">
        <v>55360</v>
      </c>
      <c r="D640" t="s">
        <v>75</v>
      </c>
      <c r="E640">
        <v>18</v>
      </c>
      <c r="F640">
        <v>44.7</v>
      </c>
      <c r="G640" t="s">
        <v>52</v>
      </c>
      <c r="H640">
        <v>0.08</v>
      </c>
      <c r="I640" t="s">
        <v>19</v>
      </c>
      <c r="J640">
        <v>27.27</v>
      </c>
      <c r="K640" t="s">
        <v>44</v>
      </c>
      <c r="L640" t="s">
        <v>21</v>
      </c>
      <c r="M640" t="s">
        <v>22</v>
      </c>
      <c r="N640" t="s">
        <v>38</v>
      </c>
      <c r="O640" t="s">
        <v>59</v>
      </c>
      <c r="P640" t="s">
        <v>40</v>
      </c>
    </row>
    <row r="641" spans="1:16" x14ac:dyDescent="0.25">
      <c r="A641" s="1">
        <v>45695</v>
      </c>
      <c r="B641" t="s">
        <v>403</v>
      </c>
      <c r="C641">
        <v>72921</v>
      </c>
      <c r="D641" t="s">
        <v>17</v>
      </c>
      <c r="E641">
        <v>43</v>
      </c>
      <c r="F641">
        <v>79.89</v>
      </c>
      <c r="G641" t="s">
        <v>58</v>
      </c>
      <c r="H641">
        <v>0.36</v>
      </c>
      <c r="I641" t="s">
        <v>61</v>
      </c>
      <c r="J641">
        <v>24.33</v>
      </c>
      <c r="K641" t="s">
        <v>20</v>
      </c>
      <c r="L641" t="s">
        <v>31</v>
      </c>
      <c r="M641" t="s">
        <v>22</v>
      </c>
      <c r="N641" t="s">
        <v>32</v>
      </c>
      <c r="O641" t="s">
        <v>81</v>
      </c>
      <c r="P641" t="s">
        <v>34</v>
      </c>
    </row>
    <row r="642" spans="1:16" x14ac:dyDescent="0.25">
      <c r="A642" s="1">
        <v>45695</v>
      </c>
      <c r="B642" t="s">
        <v>267</v>
      </c>
      <c r="C642">
        <v>70634</v>
      </c>
      <c r="D642" t="s">
        <v>70</v>
      </c>
      <c r="E642">
        <v>8</v>
      </c>
      <c r="F642">
        <v>24.76</v>
      </c>
      <c r="G642" t="s">
        <v>76</v>
      </c>
      <c r="H642">
        <v>0.2</v>
      </c>
      <c r="I642" t="s">
        <v>29</v>
      </c>
      <c r="J642">
        <v>17.34</v>
      </c>
      <c r="K642" t="s">
        <v>30</v>
      </c>
      <c r="L642" t="s">
        <v>21</v>
      </c>
      <c r="M642" t="s">
        <v>22</v>
      </c>
      <c r="N642" t="s">
        <v>32</v>
      </c>
      <c r="O642" t="s">
        <v>24</v>
      </c>
      <c r="P642" t="s">
        <v>34</v>
      </c>
    </row>
    <row r="643" spans="1:16" x14ac:dyDescent="0.25">
      <c r="A643" s="1">
        <v>45695</v>
      </c>
      <c r="B643" t="s">
        <v>127</v>
      </c>
      <c r="C643">
        <v>90417</v>
      </c>
      <c r="D643" t="s">
        <v>49</v>
      </c>
      <c r="E643">
        <v>24</v>
      </c>
      <c r="F643">
        <v>73.61</v>
      </c>
      <c r="G643" t="s">
        <v>47</v>
      </c>
      <c r="H643">
        <v>0.28000000000000003</v>
      </c>
      <c r="I643" t="s">
        <v>19</v>
      </c>
      <c r="J643">
        <v>11.41</v>
      </c>
      <c r="K643" t="s">
        <v>37</v>
      </c>
      <c r="L643" t="s">
        <v>21</v>
      </c>
      <c r="M643" t="s">
        <v>22</v>
      </c>
      <c r="N643" t="s">
        <v>32</v>
      </c>
      <c r="O643" t="s">
        <v>81</v>
      </c>
      <c r="P643" t="s">
        <v>34</v>
      </c>
    </row>
    <row r="644" spans="1:16" x14ac:dyDescent="0.25">
      <c r="A644" s="1">
        <v>45695</v>
      </c>
      <c r="B644" t="s">
        <v>542</v>
      </c>
      <c r="C644">
        <v>58240</v>
      </c>
      <c r="D644" t="s">
        <v>27</v>
      </c>
      <c r="E644">
        <v>22</v>
      </c>
      <c r="F644">
        <v>95.52</v>
      </c>
      <c r="G644" t="s">
        <v>36</v>
      </c>
      <c r="H644">
        <v>0.49</v>
      </c>
      <c r="I644" t="s">
        <v>29</v>
      </c>
      <c r="J644">
        <v>28.23</v>
      </c>
      <c r="K644" t="s">
        <v>30</v>
      </c>
      <c r="L644" t="s">
        <v>21</v>
      </c>
      <c r="M644" t="s">
        <v>22</v>
      </c>
      <c r="N644" t="s">
        <v>23</v>
      </c>
      <c r="O644" t="s">
        <v>24</v>
      </c>
      <c r="P644" t="s">
        <v>25</v>
      </c>
    </row>
    <row r="645" spans="1:16" x14ac:dyDescent="0.25">
      <c r="A645" s="1">
        <v>45695</v>
      </c>
      <c r="B645" t="s">
        <v>543</v>
      </c>
      <c r="C645">
        <v>98139</v>
      </c>
      <c r="D645" t="s">
        <v>46</v>
      </c>
      <c r="E645">
        <v>20</v>
      </c>
      <c r="F645">
        <v>97.07</v>
      </c>
      <c r="G645" t="s">
        <v>28</v>
      </c>
      <c r="H645">
        <v>0.3</v>
      </c>
      <c r="I645" t="s">
        <v>61</v>
      </c>
      <c r="J645">
        <v>21.5</v>
      </c>
      <c r="K645" t="s">
        <v>20</v>
      </c>
      <c r="L645" t="s">
        <v>21</v>
      </c>
      <c r="M645" t="s">
        <v>22</v>
      </c>
      <c r="N645" t="s">
        <v>32</v>
      </c>
      <c r="O645" t="s">
        <v>59</v>
      </c>
      <c r="P645" t="s">
        <v>25</v>
      </c>
    </row>
    <row r="646" spans="1:16" x14ac:dyDescent="0.25">
      <c r="A646" s="1">
        <v>45695</v>
      </c>
      <c r="B646" t="s">
        <v>523</v>
      </c>
      <c r="C646">
        <v>78265</v>
      </c>
      <c r="D646" t="s">
        <v>70</v>
      </c>
      <c r="E646">
        <v>32</v>
      </c>
      <c r="F646">
        <v>69.19</v>
      </c>
      <c r="G646" t="s">
        <v>55</v>
      </c>
      <c r="H646">
        <v>0.21</v>
      </c>
      <c r="I646" t="s">
        <v>29</v>
      </c>
      <c r="J646">
        <v>8.7799999999999994</v>
      </c>
      <c r="K646" t="s">
        <v>44</v>
      </c>
      <c r="L646" t="s">
        <v>31</v>
      </c>
      <c r="M646" t="s">
        <v>22</v>
      </c>
      <c r="N646" t="s">
        <v>53</v>
      </c>
      <c r="O646" t="s">
        <v>59</v>
      </c>
      <c r="P646" t="s">
        <v>40</v>
      </c>
    </row>
    <row r="647" spans="1:16" x14ac:dyDescent="0.25">
      <c r="A647" s="1">
        <v>45695</v>
      </c>
      <c r="B647" t="s">
        <v>544</v>
      </c>
      <c r="C647">
        <v>13451</v>
      </c>
      <c r="D647" t="s">
        <v>17</v>
      </c>
      <c r="E647">
        <v>37</v>
      </c>
      <c r="F647">
        <v>55.44</v>
      </c>
      <c r="G647" t="s">
        <v>43</v>
      </c>
      <c r="H647">
        <v>0.32</v>
      </c>
      <c r="I647" t="s">
        <v>61</v>
      </c>
      <c r="J647">
        <v>12.74</v>
      </c>
      <c r="K647" t="s">
        <v>20</v>
      </c>
      <c r="L647" t="s">
        <v>31</v>
      </c>
      <c r="M647" t="s">
        <v>111</v>
      </c>
      <c r="N647" t="s">
        <v>23</v>
      </c>
      <c r="O647" t="s">
        <v>33</v>
      </c>
      <c r="P647" t="s">
        <v>34</v>
      </c>
    </row>
    <row r="648" spans="1:16" x14ac:dyDescent="0.25">
      <c r="A648" s="1">
        <v>45696</v>
      </c>
      <c r="B648" t="s">
        <v>545</v>
      </c>
      <c r="C648">
        <v>51699</v>
      </c>
      <c r="D648" t="s">
        <v>17</v>
      </c>
      <c r="E648">
        <v>49</v>
      </c>
      <c r="F648">
        <v>69</v>
      </c>
      <c r="G648" t="s">
        <v>28</v>
      </c>
      <c r="H648">
        <v>0.41</v>
      </c>
      <c r="I648" t="s">
        <v>61</v>
      </c>
      <c r="J648">
        <v>15.01</v>
      </c>
      <c r="K648" t="s">
        <v>50</v>
      </c>
      <c r="L648" t="s">
        <v>31</v>
      </c>
      <c r="M648" t="s">
        <v>22</v>
      </c>
      <c r="N648" t="s">
        <v>32</v>
      </c>
      <c r="O648" t="s">
        <v>24</v>
      </c>
      <c r="P648" t="s">
        <v>25</v>
      </c>
    </row>
    <row r="649" spans="1:16" x14ac:dyDescent="0.25">
      <c r="A649" s="1">
        <v>45696</v>
      </c>
      <c r="B649" t="s">
        <v>387</v>
      </c>
      <c r="C649">
        <v>89840</v>
      </c>
      <c r="D649" t="s">
        <v>17</v>
      </c>
      <c r="E649">
        <v>30</v>
      </c>
      <c r="F649">
        <v>57</v>
      </c>
      <c r="G649" t="s">
        <v>28</v>
      </c>
      <c r="H649">
        <v>0.08</v>
      </c>
      <c r="I649" t="s">
        <v>61</v>
      </c>
      <c r="J649">
        <v>18.14</v>
      </c>
      <c r="K649" t="s">
        <v>50</v>
      </c>
      <c r="L649" t="s">
        <v>31</v>
      </c>
      <c r="M649" t="s">
        <v>22</v>
      </c>
      <c r="N649" t="s">
        <v>23</v>
      </c>
      <c r="O649" t="s">
        <v>24</v>
      </c>
      <c r="P649" t="s">
        <v>34</v>
      </c>
    </row>
    <row r="650" spans="1:16" x14ac:dyDescent="0.25">
      <c r="A650" s="1">
        <v>45696</v>
      </c>
      <c r="B650" t="s">
        <v>546</v>
      </c>
      <c r="C650">
        <v>93763</v>
      </c>
      <c r="D650" t="s">
        <v>57</v>
      </c>
      <c r="E650">
        <v>48</v>
      </c>
      <c r="F650">
        <v>97.14</v>
      </c>
      <c r="G650" t="s">
        <v>55</v>
      </c>
      <c r="H650">
        <v>0.26</v>
      </c>
      <c r="I650" t="s">
        <v>29</v>
      </c>
      <c r="J650">
        <v>28.17</v>
      </c>
      <c r="K650" t="s">
        <v>37</v>
      </c>
      <c r="L650" t="s">
        <v>21</v>
      </c>
      <c r="M650" t="s">
        <v>22</v>
      </c>
      <c r="N650" t="s">
        <v>38</v>
      </c>
      <c r="O650" t="s">
        <v>81</v>
      </c>
      <c r="P650" t="s">
        <v>34</v>
      </c>
    </row>
    <row r="651" spans="1:16" x14ac:dyDescent="0.25">
      <c r="A651" s="1">
        <v>45696</v>
      </c>
      <c r="B651" t="s">
        <v>547</v>
      </c>
      <c r="C651">
        <v>72262</v>
      </c>
      <c r="D651" t="s">
        <v>17</v>
      </c>
      <c r="E651">
        <v>21</v>
      </c>
      <c r="F651">
        <v>99.39</v>
      </c>
      <c r="G651" t="s">
        <v>52</v>
      </c>
      <c r="H651">
        <v>7.0000000000000007E-2</v>
      </c>
      <c r="I651" t="s">
        <v>29</v>
      </c>
      <c r="J651">
        <v>27.39</v>
      </c>
      <c r="K651" t="s">
        <v>30</v>
      </c>
      <c r="L651" t="s">
        <v>31</v>
      </c>
      <c r="M651" t="s">
        <v>111</v>
      </c>
      <c r="N651" t="s">
        <v>23</v>
      </c>
      <c r="O651" t="s">
        <v>39</v>
      </c>
      <c r="P651" t="s">
        <v>34</v>
      </c>
    </row>
    <row r="652" spans="1:16" x14ac:dyDescent="0.25">
      <c r="A652" s="1">
        <v>45696</v>
      </c>
      <c r="B652" t="s">
        <v>543</v>
      </c>
      <c r="C652">
        <v>32370</v>
      </c>
      <c r="D652" t="s">
        <v>66</v>
      </c>
      <c r="E652">
        <v>15</v>
      </c>
      <c r="F652">
        <v>2.71</v>
      </c>
      <c r="G652" t="s">
        <v>84</v>
      </c>
      <c r="H652">
        <v>0.19</v>
      </c>
      <c r="I652" t="s">
        <v>19</v>
      </c>
      <c r="J652">
        <v>13.01</v>
      </c>
      <c r="K652" t="s">
        <v>20</v>
      </c>
      <c r="L652" t="s">
        <v>21</v>
      </c>
      <c r="M652" t="s">
        <v>22</v>
      </c>
      <c r="N652" t="s">
        <v>32</v>
      </c>
      <c r="O652" t="s">
        <v>81</v>
      </c>
      <c r="P652" t="s">
        <v>34</v>
      </c>
    </row>
    <row r="653" spans="1:16" x14ac:dyDescent="0.25">
      <c r="A653" s="1">
        <v>45696</v>
      </c>
      <c r="B653" t="s">
        <v>543</v>
      </c>
      <c r="C653">
        <v>82083</v>
      </c>
      <c r="D653" t="s">
        <v>17</v>
      </c>
      <c r="E653">
        <v>25</v>
      </c>
      <c r="F653">
        <v>52.02</v>
      </c>
      <c r="G653" t="s">
        <v>76</v>
      </c>
      <c r="H653">
        <v>0.17</v>
      </c>
      <c r="I653" t="s">
        <v>19</v>
      </c>
      <c r="J653">
        <v>29.18</v>
      </c>
      <c r="K653" t="s">
        <v>37</v>
      </c>
      <c r="L653" t="s">
        <v>21</v>
      </c>
      <c r="M653" t="s">
        <v>22</v>
      </c>
      <c r="N653" t="s">
        <v>38</v>
      </c>
      <c r="O653" t="s">
        <v>39</v>
      </c>
      <c r="P653" t="s">
        <v>40</v>
      </c>
    </row>
    <row r="654" spans="1:16" x14ac:dyDescent="0.25">
      <c r="A654" s="1">
        <v>45696</v>
      </c>
      <c r="B654" t="s">
        <v>548</v>
      </c>
      <c r="C654">
        <v>11948</v>
      </c>
      <c r="D654" t="s">
        <v>66</v>
      </c>
      <c r="E654">
        <v>7</v>
      </c>
      <c r="F654">
        <v>81.52</v>
      </c>
      <c r="G654" t="s">
        <v>36</v>
      </c>
      <c r="H654">
        <v>0.1</v>
      </c>
      <c r="I654" t="s">
        <v>29</v>
      </c>
      <c r="J654">
        <v>10.8</v>
      </c>
      <c r="K654" t="s">
        <v>37</v>
      </c>
      <c r="L654" t="s">
        <v>31</v>
      </c>
      <c r="M654" t="s">
        <v>22</v>
      </c>
      <c r="N654" t="s">
        <v>23</v>
      </c>
      <c r="O654" t="s">
        <v>24</v>
      </c>
      <c r="P654" t="s">
        <v>40</v>
      </c>
    </row>
    <row r="655" spans="1:16" x14ac:dyDescent="0.25">
      <c r="A655" s="1">
        <v>45696</v>
      </c>
      <c r="B655" t="s">
        <v>133</v>
      </c>
      <c r="C655">
        <v>43168</v>
      </c>
      <c r="D655" t="s">
        <v>57</v>
      </c>
      <c r="E655">
        <v>32</v>
      </c>
      <c r="F655">
        <v>37.08</v>
      </c>
      <c r="G655" t="s">
        <v>55</v>
      </c>
      <c r="H655">
        <v>0</v>
      </c>
      <c r="I655" t="s">
        <v>61</v>
      </c>
      <c r="J655">
        <v>19.940000000000001</v>
      </c>
      <c r="K655" t="s">
        <v>44</v>
      </c>
      <c r="L655" t="s">
        <v>31</v>
      </c>
      <c r="M655" t="s">
        <v>22</v>
      </c>
      <c r="N655" t="s">
        <v>53</v>
      </c>
      <c r="O655" t="s">
        <v>39</v>
      </c>
      <c r="P655" t="s">
        <v>40</v>
      </c>
    </row>
    <row r="656" spans="1:16" x14ac:dyDescent="0.25">
      <c r="A656" s="1">
        <v>45696</v>
      </c>
      <c r="B656" t="s">
        <v>549</v>
      </c>
      <c r="C656">
        <v>56075</v>
      </c>
      <c r="D656" t="s">
        <v>46</v>
      </c>
      <c r="E656">
        <v>23</v>
      </c>
      <c r="F656">
        <v>32.5</v>
      </c>
      <c r="G656" t="s">
        <v>58</v>
      </c>
      <c r="H656">
        <v>0.45</v>
      </c>
      <c r="I656" t="s">
        <v>61</v>
      </c>
      <c r="J656">
        <v>5.0599999999999996</v>
      </c>
      <c r="K656" t="s">
        <v>37</v>
      </c>
      <c r="L656" t="s">
        <v>31</v>
      </c>
      <c r="M656" t="s">
        <v>22</v>
      </c>
      <c r="N656" t="s">
        <v>32</v>
      </c>
      <c r="O656" t="s">
        <v>24</v>
      </c>
      <c r="P656" t="s">
        <v>25</v>
      </c>
    </row>
    <row r="657" spans="1:16" x14ac:dyDescent="0.25">
      <c r="A657" s="1">
        <v>45696</v>
      </c>
      <c r="B657" t="s">
        <v>226</v>
      </c>
      <c r="C657">
        <v>79927</v>
      </c>
      <c r="D657" t="s">
        <v>42</v>
      </c>
      <c r="E657">
        <v>47</v>
      </c>
      <c r="F657">
        <v>32.46</v>
      </c>
      <c r="G657" t="s">
        <v>76</v>
      </c>
      <c r="H657">
        <v>0.28999999999999998</v>
      </c>
      <c r="I657" t="s">
        <v>29</v>
      </c>
      <c r="J657">
        <v>22.62</v>
      </c>
      <c r="K657" t="s">
        <v>50</v>
      </c>
      <c r="L657" t="s">
        <v>21</v>
      </c>
      <c r="M657" t="s">
        <v>22</v>
      </c>
      <c r="N657" t="s">
        <v>32</v>
      </c>
      <c r="O657" t="s">
        <v>39</v>
      </c>
      <c r="P657" t="s">
        <v>34</v>
      </c>
    </row>
    <row r="658" spans="1:16" x14ac:dyDescent="0.25">
      <c r="A658" s="1">
        <v>45696</v>
      </c>
      <c r="B658" t="s">
        <v>550</v>
      </c>
      <c r="C658">
        <v>92314</v>
      </c>
      <c r="D658" t="s">
        <v>70</v>
      </c>
      <c r="E658">
        <v>42</v>
      </c>
      <c r="F658">
        <v>43.9</v>
      </c>
      <c r="G658" t="s">
        <v>58</v>
      </c>
      <c r="H658">
        <v>0.45</v>
      </c>
      <c r="I658" t="s">
        <v>19</v>
      </c>
      <c r="J658">
        <v>25.77</v>
      </c>
      <c r="K658" t="s">
        <v>20</v>
      </c>
      <c r="L658" t="s">
        <v>31</v>
      </c>
      <c r="M658" t="s">
        <v>22</v>
      </c>
      <c r="N658" t="s">
        <v>53</v>
      </c>
      <c r="O658" t="s">
        <v>81</v>
      </c>
      <c r="P658" t="s">
        <v>25</v>
      </c>
    </row>
    <row r="659" spans="1:16" x14ac:dyDescent="0.25">
      <c r="A659" s="1">
        <v>45696</v>
      </c>
      <c r="B659" t="s">
        <v>277</v>
      </c>
      <c r="C659">
        <v>47535</v>
      </c>
      <c r="D659" t="s">
        <v>70</v>
      </c>
      <c r="E659">
        <v>43</v>
      </c>
      <c r="F659">
        <v>78.459999999999994</v>
      </c>
      <c r="G659" t="s">
        <v>72</v>
      </c>
      <c r="H659">
        <v>0.35</v>
      </c>
      <c r="I659" t="s">
        <v>29</v>
      </c>
      <c r="J659">
        <v>10.49</v>
      </c>
      <c r="K659" t="s">
        <v>50</v>
      </c>
      <c r="L659" t="s">
        <v>31</v>
      </c>
      <c r="M659" t="s">
        <v>22</v>
      </c>
      <c r="N659" t="s">
        <v>53</v>
      </c>
      <c r="O659" t="s">
        <v>81</v>
      </c>
      <c r="P659" t="s">
        <v>25</v>
      </c>
    </row>
    <row r="660" spans="1:16" x14ac:dyDescent="0.25">
      <c r="A660" s="1">
        <v>45696</v>
      </c>
      <c r="B660" t="s">
        <v>500</v>
      </c>
      <c r="C660">
        <v>69278</v>
      </c>
      <c r="D660" t="s">
        <v>70</v>
      </c>
      <c r="E660">
        <v>27</v>
      </c>
      <c r="F660">
        <v>97.42</v>
      </c>
      <c r="G660" t="s">
        <v>76</v>
      </c>
      <c r="H660">
        <v>0.31</v>
      </c>
      <c r="I660" t="s">
        <v>19</v>
      </c>
      <c r="J660">
        <v>12.27</v>
      </c>
      <c r="K660" t="s">
        <v>50</v>
      </c>
      <c r="L660" t="s">
        <v>31</v>
      </c>
      <c r="M660" t="s">
        <v>22</v>
      </c>
      <c r="N660" t="s">
        <v>53</v>
      </c>
      <c r="O660" t="s">
        <v>81</v>
      </c>
      <c r="P660" t="s">
        <v>40</v>
      </c>
    </row>
    <row r="661" spans="1:16" x14ac:dyDescent="0.25">
      <c r="A661" s="1">
        <v>45696</v>
      </c>
      <c r="B661" t="s">
        <v>551</v>
      </c>
      <c r="C661">
        <v>64050</v>
      </c>
      <c r="D661" t="s">
        <v>75</v>
      </c>
      <c r="E661">
        <v>5</v>
      </c>
      <c r="F661">
        <v>51.94</v>
      </c>
      <c r="G661" t="s">
        <v>18</v>
      </c>
      <c r="H661">
        <v>0.25</v>
      </c>
      <c r="I661" t="s">
        <v>19</v>
      </c>
      <c r="J661">
        <v>8.6199999999999992</v>
      </c>
      <c r="K661" t="s">
        <v>37</v>
      </c>
      <c r="L661" t="s">
        <v>21</v>
      </c>
      <c r="M661" t="s">
        <v>22</v>
      </c>
      <c r="N661" t="s">
        <v>53</v>
      </c>
      <c r="O661" t="s">
        <v>24</v>
      </c>
      <c r="P661" t="s">
        <v>34</v>
      </c>
    </row>
    <row r="662" spans="1:16" x14ac:dyDescent="0.25">
      <c r="A662" s="1">
        <v>45696</v>
      </c>
      <c r="B662" t="s">
        <v>552</v>
      </c>
      <c r="C662">
        <v>18779</v>
      </c>
      <c r="D662" t="s">
        <v>89</v>
      </c>
      <c r="E662">
        <v>23</v>
      </c>
      <c r="F662">
        <v>86.69</v>
      </c>
      <c r="G662" t="s">
        <v>84</v>
      </c>
      <c r="H662">
        <v>0.37</v>
      </c>
      <c r="I662" t="s">
        <v>61</v>
      </c>
      <c r="J662">
        <v>25.44</v>
      </c>
      <c r="K662" t="s">
        <v>50</v>
      </c>
      <c r="L662" t="s">
        <v>21</v>
      </c>
      <c r="M662" t="s">
        <v>22</v>
      </c>
      <c r="N662" t="s">
        <v>23</v>
      </c>
      <c r="O662" t="s">
        <v>33</v>
      </c>
      <c r="P662" t="s">
        <v>34</v>
      </c>
    </row>
    <row r="663" spans="1:16" x14ac:dyDescent="0.25">
      <c r="A663" s="1">
        <v>45696</v>
      </c>
      <c r="B663" t="s">
        <v>160</v>
      </c>
      <c r="C663">
        <v>43969</v>
      </c>
      <c r="D663" t="s">
        <v>68</v>
      </c>
      <c r="E663">
        <v>38</v>
      </c>
      <c r="F663">
        <v>83.81</v>
      </c>
      <c r="G663" t="s">
        <v>55</v>
      </c>
      <c r="H663">
        <v>0.4</v>
      </c>
      <c r="I663" t="s">
        <v>19</v>
      </c>
      <c r="J663">
        <v>10.64</v>
      </c>
      <c r="K663" t="s">
        <v>30</v>
      </c>
      <c r="L663" t="s">
        <v>31</v>
      </c>
      <c r="M663" t="s">
        <v>22</v>
      </c>
      <c r="N663" t="s">
        <v>23</v>
      </c>
      <c r="O663" t="s">
        <v>24</v>
      </c>
      <c r="P663" t="s">
        <v>40</v>
      </c>
    </row>
    <row r="664" spans="1:16" x14ac:dyDescent="0.25">
      <c r="A664" s="1">
        <v>45696</v>
      </c>
      <c r="B664" t="s">
        <v>553</v>
      </c>
      <c r="C664">
        <v>46316</v>
      </c>
      <c r="D664" t="s">
        <v>75</v>
      </c>
      <c r="E664">
        <v>33</v>
      </c>
      <c r="F664">
        <v>58.19</v>
      </c>
      <c r="G664" t="s">
        <v>76</v>
      </c>
      <c r="H664">
        <v>0.15</v>
      </c>
      <c r="I664" t="s">
        <v>19</v>
      </c>
      <c r="J664">
        <v>26.27</v>
      </c>
      <c r="K664" t="s">
        <v>20</v>
      </c>
      <c r="L664" t="s">
        <v>21</v>
      </c>
      <c r="M664" t="s">
        <v>22</v>
      </c>
      <c r="N664" t="s">
        <v>32</v>
      </c>
      <c r="O664" t="s">
        <v>81</v>
      </c>
      <c r="P664" t="s">
        <v>34</v>
      </c>
    </row>
    <row r="665" spans="1:16" x14ac:dyDescent="0.25">
      <c r="A665" s="1">
        <v>45696</v>
      </c>
      <c r="B665" t="s">
        <v>54</v>
      </c>
      <c r="C665">
        <v>78364</v>
      </c>
      <c r="D665" t="s">
        <v>66</v>
      </c>
      <c r="E665">
        <v>9</v>
      </c>
      <c r="F665">
        <v>73.459999999999994</v>
      </c>
      <c r="G665" t="s">
        <v>99</v>
      </c>
      <c r="H665">
        <v>0.36</v>
      </c>
      <c r="I665" t="s">
        <v>61</v>
      </c>
      <c r="J665">
        <v>13.18</v>
      </c>
      <c r="K665" t="s">
        <v>50</v>
      </c>
      <c r="L665" t="s">
        <v>21</v>
      </c>
      <c r="M665" t="s">
        <v>22</v>
      </c>
      <c r="N665" t="s">
        <v>23</v>
      </c>
      <c r="O665" t="s">
        <v>39</v>
      </c>
      <c r="P665" t="s">
        <v>25</v>
      </c>
    </row>
    <row r="666" spans="1:16" x14ac:dyDescent="0.25">
      <c r="A666" s="1">
        <v>45696</v>
      </c>
      <c r="B666" t="s">
        <v>554</v>
      </c>
      <c r="C666">
        <v>72045</v>
      </c>
      <c r="D666" t="s">
        <v>89</v>
      </c>
      <c r="E666">
        <v>25</v>
      </c>
      <c r="F666">
        <v>51.33</v>
      </c>
      <c r="G666" t="s">
        <v>58</v>
      </c>
      <c r="H666">
        <v>0.14000000000000001</v>
      </c>
      <c r="I666" t="s">
        <v>29</v>
      </c>
      <c r="J666">
        <v>25.04</v>
      </c>
      <c r="K666" t="s">
        <v>44</v>
      </c>
      <c r="L666" t="s">
        <v>21</v>
      </c>
      <c r="M666" t="s">
        <v>22</v>
      </c>
      <c r="N666" t="s">
        <v>38</v>
      </c>
      <c r="O666" t="s">
        <v>24</v>
      </c>
      <c r="P666" t="s">
        <v>25</v>
      </c>
    </row>
    <row r="667" spans="1:16" x14ac:dyDescent="0.25">
      <c r="A667" s="1">
        <v>45696</v>
      </c>
      <c r="B667" t="s">
        <v>555</v>
      </c>
      <c r="C667">
        <v>59001</v>
      </c>
      <c r="D667" t="s">
        <v>70</v>
      </c>
      <c r="E667">
        <v>38</v>
      </c>
      <c r="F667">
        <v>33.909999999999997</v>
      </c>
      <c r="G667" t="s">
        <v>18</v>
      </c>
      <c r="H667">
        <v>0.36</v>
      </c>
      <c r="I667" t="s">
        <v>29</v>
      </c>
      <c r="J667">
        <v>17.14</v>
      </c>
      <c r="K667" t="s">
        <v>44</v>
      </c>
      <c r="L667" t="s">
        <v>31</v>
      </c>
      <c r="M667" t="s">
        <v>22</v>
      </c>
      <c r="N667" t="s">
        <v>23</v>
      </c>
      <c r="O667" t="s">
        <v>33</v>
      </c>
      <c r="P667" t="s">
        <v>25</v>
      </c>
    </row>
    <row r="668" spans="1:16" x14ac:dyDescent="0.25">
      <c r="A668" s="1">
        <v>45696</v>
      </c>
      <c r="B668" t="s">
        <v>135</v>
      </c>
      <c r="C668">
        <v>23418</v>
      </c>
      <c r="D668" t="s">
        <v>17</v>
      </c>
      <c r="E668">
        <v>25</v>
      </c>
      <c r="F668">
        <v>81.09</v>
      </c>
      <c r="G668" t="s">
        <v>72</v>
      </c>
      <c r="H668">
        <v>0.49</v>
      </c>
      <c r="I668" t="s">
        <v>61</v>
      </c>
      <c r="J668">
        <v>23.79</v>
      </c>
      <c r="K668" t="s">
        <v>37</v>
      </c>
      <c r="L668" t="s">
        <v>31</v>
      </c>
      <c r="M668" t="s">
        <v>22</v>
      </c>
      <c r="N668" t="s">
        <v>53</v>
      </c>
      <c r="O668" t="s">
        <v>33</v>
      </c>
      <c r="P668" t="s">
        <v>34</v>
      </c>
    </row>
    <row r="669" spans="1:16" x14ac:dyDescent="0.25">
      <c r="A669" s="1">
        <v>45697</v>
      </c>
      <c r="B669" t="s">
        <v>556</v>
      </c>
      <c r="C669">
        <v>22398</v>
      </c>
      <c r="D669" t="s">
        <v>17</v>
      </c>
      <c r="E669">
        <v>46</v>
      </c>
      <c r="F669">
        <v>9.08</v>
      </c>
      <c r="G669" t="s">
        <v>84</v>
      </c>
      <c r="H669">
        <v>0.49</v>
      </c>
      <c r="I669" t="s">
        <v>61</v>
      </c>
      <c r="J669">
        <v>19.16</v>
      </c>
      <c r="K669" t="s">
        <v>37</v>
      </c>
      <c r="L669" t="s">
        <v>31</v>
      </c>
      <c r="M669" t="s">
        <v>22</v>
      </c>
      <c r="N669" t="s">
        <v>53</v>
      </c>
      <c r="O669" t="s">
        <v>59</v>
      </c>
      <c r="P669" t="s">
        <v>25</v>
      </c>
    </row>
    <row r="670" spans="1:16" x14ac:dyDescent="0.25">
      <c r="A670" s="1">
        <v>45697</v>
      </c>
      <c r="B670" t="s">
        <v>557</v>
      </c>
      <c r="C670">
        <v>86808</v>
      </c>
      <c r="D670" t="s">
        <v>75</v>
      </c>
      <c r="E670">
        <v>19</v>
      </c>
      <c r="F670">
        <v>24.43</v>
      </c>
      <c r="G670" t="s">
        <v>52</v>
      </c>
      <c r="H670">
        <v>0.27</v>
      </c>
      <c r="I670" t="s">
        <v>19</v>
      </c>
      <c r="J670">
        <v>18.79</v>
      </c>
      <c r="K670" t="s">
        <v>20</v>
      </c>
      <c r="L670" t="s">
        <v>31</v>
      </c>
      <c r="M670" t="s">
        <v>111</v>
      </c>
      <c r="N670" t="s">
        <v>23</v>
      </c>
      <c r="O670" t="s">
        <v>39</v>
      </c>
      <c r="P670" t="s">
        <v>25</v>
      </c>
    </row>
    <row r="671" spans="1:16" x14ac:dyDescent="0.25">
      <c r="A671" s="1">
        <v>45697</v>
      </c>
      <c r="B671" t="s">
        <v>502</v>
      </c>
      <c r="C671">
        <v>59319</v>
      </c>
      <c r="D671" t="s">
        <v>66</v>
      </c>
      <c r="E671">
        <v>38</v>
      </c>
      <c r="F671">
        <v>27.85</v>
      </c>
      <c r="G671" t="s">
        <v>58</v>
      </c>
      <c r="H671">
        <v>0.5</v>
      </c>
      <c r="I671" t="s">
        <v>61</v>
      </c>
      <c r="J671">
        <v>25.27</v>
      </c>
      <c r="K671" t="s">
        <v>44</v>
      </c>
      <c r="L671" t="s">
        <v>31</v>
      </c>
      <c r="M671" t="s">
        <v>22</v>
      </c>
      <c r="N671" t="s">
        <v>23</v>
      </c>
      <c r="O671" t="s">
        <v>81</v>
      </c>
      <c r="P671" t="s">
        <v>34</v>
      </c>
    </row>
    <row r="672" spans="1:16" x14ac:dyDescent="0.25">
      <c r="A672" s="1">
        <v>45697</v>
      </c>
      <c r="B672" t="s">
        <v>558</v>
      </c>
      <c r="C672">
        <v>59692</v>
      </c>
      <c r="D672" t="s">
        <v>27</v>
      </c>
      <c r="E672">
        <v>48</v>
      </c>
      <c r="F672">
        <v>1.83</v>
      </c>
      <c r="G672" t="s">
        <v>76</v>
      </c>
      <c r="H672">
        <v>0.02</v>
      </c>
      <c r="I672" t="s">
        <v>29</v>
      </c>
      <c r="J672">
        <v>12.94</v>
      </c>
      <c r="K672" t="s">
        <v>37</v>
      </c>
      <c r="L672" t="s">
        <v>21</v>
      </c>
      <c r="M672" t="s">
        <v>22</v>
      </c>
      <c r="N672" t="s">
        <v>32</v>
      </c>
      <c r="O672" t="s">
        <v>24</v>
      </c>
      <c r="P672" t="s">
        <v>25</v>
      </c>
    </row>
    <row r="673" spans="1:16" x14ac:dyDescent="0.25">
      <c r="A673" s="1">
        <v>45697</v>
      </c>
      <c r="B673" t="s">
        <v>559</v>
      </c>
      <c r="C673">
        <v>31097</v>
      </c>
      <c r="D673" t="s">
        <v>27</v>
      </c>
      <c r="E673">
        <v>34</v>
      </c>
      <c r="F673">
        <v>61.61</v>
      </c>
      <c r="G673" t="s">
        <v>76</v>
      </c>
      <c r="H673">
        <v>0.48</v>
      </c>
      <c r="I673" t="s">
        <v>61</v>
      </c>
      <c r="J673">
        <v>26.2</v>
      </c>
      <c r="K673" t="s">
        <v>44</v>
      </c>
      <c r="L673" t="s">
        <v>21</v>
      </c>
      <c r="M673" t="s">
        <v>22</v>
      </c>
      <c r="N673" t="s">
        <v>23</v>
      </c>
      <c r="O673" t="s">
        <v>24</v>
      </c>
      <c r="P673" t="s">
        <v>34</v>
      </c>
    </row>
    <row r="674" spans="1:16" x14ac:dyDescent="0.25">
      <c r="A674" s="1">
        <v>45697</v>
      </c>
      <c r="B674" t="s">
        <v>560</v>
      </c>
      <c r="C674">
        <v>93894</v>
      </c>
      <c r="D674" t="s">
        <v>42</v>
      </c>
      <c r="E674">
        <v>48</v>
      </c>
      <c r="F674">
        <v>18.559999999999999</v>
      </c>
      <c r="G674" t="s">
        <v>36</v>
      </c>
      <c r="H674">
        <v>0.22</v>
      </c>
      <c r="I674" t="s">
        <v>61</v>
      </c>
      <c r="J674">
        <v>25.4</v>
      </c>
      <c r="K674" t="s">
        <v>50</v>
      </c>
      <c r="L674" t="s">
        <v>21</v>
      </c>
      <c r="M674" t="s">
        <v>22</v>
      </c>
      <c r="N674" t="s">
        <v>32</v>
      </c>
      <c r="O674" t="s">
        <v>24</v>
      </c>
      <c r="P674" t="s">
        <v>25</v>
      </c>
    </row>
    <row r="675" spans="1:16" x14ac:dyDescent="0.25">
      <c r="A675" s="1">
        <v>45697</v>
      </c>
      <c r="B675" t="s">
        <v>222</v>
      </c>
      <c r="C675">
        <v>42853</v>
      </c>
      <c r="D675" t="s">
        <v>49</v>
      </c>
      <c r="E675">
        <v>15</v>
      </c>
      <c r="F675">
        <v>32.840000000000003</v>
      </c>
      <c r="G675" t="s">
        <v>52</v>
      </c>
      <c r="H675">
        <v>0.21</v>
      </c>
      <c r="I675" t="s">
        <v>61</v>
      </c>
      <c r="J675">
        <v>14.08</v>
      </c>
      <c r="K675" t="s">
        <v>44</v>
      </c>
      <c r="L675" t="s">
        <v>21</v>
      </c>
      <c r="M675" t="s">
        <v>22</v>
      </c>
      <c r="N675" t="s">
        <v>38</v>
      </c>
      <c r="O675" t="s">
        <v>81</v>
      </c>
      <c r="P675" t="s">
        <v>40</v>
      </c>
    </row>
    <row r="676" spans="1:16" x14ac:dyDescent="0.25">
      <c r="A676" s="1">
        <v>45697</v>
      </c>
      <c r="B676" t="s">
        <v>561</v>
      </c>
      <c r="C676">
        <v>32877</v>
      </c>
      <c r="D676" t="s">
        <v>68</v>
      </c>
      <c r="E676">
        <v>3</v>
      </c>
      <c r="F676">
        <v>66.63</v>
      </c>
      <c r="G676" t="s">
        <v>36</v>
      </c>
      <c r="H676">
        <v>0.32</v>
      </c>
      <c r="I676" t="s">
        <v>29</v>
      </c>
      <c r="J676">
        <v>17.66</v>
      </c>
      <c r="K676" t="s">
        <v>30</v>
      </c>
      <c r="L676" t="s">
        <v>21</v>
      </c>
      <c r="M676" t="s">
        <v>22</v>
      </c>
      <c r="N676" t="s">
        <v>38</v>
      </c>
      <c r="O676" t="s">
        <v>33</v>
      </c>
      <c r="P676" t="s">
        <v>25</v>
      </c>
    </row>
    <row r="677" spans="1:16" x14ac:dyDescent="0.25">
      <c r="A677" s="1">
        <v>45697</v>
      </c>
      <c r="B677" t="s">
        <v>556</v>
      </c>
      <c r="C677">
        <v>52670</v>
      </c>
      <c r="D677" t="s">
        <v>46</v>
      </c>
      <c r="E677">
        <v>10</v>
      </c>
      <c r="F677">
        <v>86.01</v>
      </c>
      <c r="G677" t="s">
        <v>58</v>
      </c>
      <c r="H677">
        <v>0.39</v>
      </c>
      <c r="I677" t="s">
        <v>19</v>
      </c>
      <c r="J677">
        <v>22.99</v>
      </c>
      <c r="K677" t="s">
        <v>20</v>
      </c>
      <c r="L677" t="s">
        <v>31</v>
      </c>
      <c r="M677" t="s">
        <v>22</v>
      </c>
      <c r="N677" t="s">
        <v>23</v>
      </c>
      <c r="O677" t="s">
        <v>24</v>
      </c>
      <c r="P677" t="s">
        <v>40</v>
      </c>
    </row>
    <row r="678" spans="1:16" x14ac:dyDescent="0.25">
      <c r="A678" s="1">
        <v>45697</v>
      </c>
      <c r="B678" t="s">
        <v>502</v>
      </c>
      <c r="C678">
        <v>10025</v>
      </c>
      <c r="D678" t="s">
        <v>89</v>
      </c>
      <c r="E678">
        <v>18</v>
      </c>
      <c r="F678">
        <v>81.67</v>
      </c>
      <c r="G678" t="s">
        <v>84</v>
      </c>
      <c r="H678">
        <v>0.16</v>
      </c>
      <c r="I678" t="s">
        <v>29</v>
      </c>
      <c r="J678">
        <v>6.93</v>
      </c>
      <c r="K678" t="s">
        <v>30</v>
      </c>
      <c r="L678" t="s">
        <v>21</v>
      </c>
      <c r="M678" t="s">
        <v>22</v>
      </c>
      <c r="N678" t="s">
        <v>32</v>
      </c>
      <c r="O678" t="s">
        <v>59</v>
      </c>
      <c r="P678" t="s">
        <v>25</v>
      </c>
    </row>
    <row r="679" spans="1:16" x14ac:dyDescent="0.25">
      <c r="A679" s="1">
        <v>45697</v>
      </c>
      <c r="B679" t="s">
        <v>562</v>
      </c>
      <c r="C679">
        <v>72865</v>
      </c>
      <c r="D679" t="s">
        <v>75</v>
      </c>
      <c r="E679">
        <v>8</v>
      </c>
      <c r="F679">
        <v>52.65</v>
      </c>
      <c r="G679" t="s">
        <v>52</v>
      </c>
      <c r="H679">
        <v>0.15</v>
      </c>
      <c r="I679" t="s">
        <v>19</v>
      </c>
      <c r="J679">
        <v>24.78</v>
      </c>
      <c r="K679" t="s">
        <v>44</v>
      </c>
      <c r="L679" t="s">
        <v>21</v>
      </c>
      <c r="M679" t="s">
        <v>111</v>
      </c>
      <c r="N679" t="s">
        <v>38</v>
      </c>
      <c r="O679" t="s">
        <v>39</v>
      </c>
      <c r="P679" t="s">
        <v>40</v>
      </c>
    </row>
    <row r="680" spans="1:16" x14ac:dyDescent="0.25">
      <c r="A680" s="1">
        <v>45697</v>
      </c>
      <c r="B680" t="s">
        <v>563</v>
      </c>
      <c r="C680">
        <v>83302</v>
      </c>
      <c r="D680" t="s">
        <v>42</v>
      </c>
      <c r="E680">
        <v>16</v>
      </c>
      <c r="F680">
        <v>49.93</v>
      </c>
      <c r="G680" t="s">
        <v>99</v>
      </c>
      <c r="H680">
        <v>0.49</v>
      </c>
      <c r="I680" t="s">
        <v>61</v>
      </c>
      <c r="J680">
        <v>7.92</v>
      </c>
      <c r="K680" t="s">
        <v>50</v>
      </c>
      <c r="L680" t="s">
        <v>21</v>
      </c>
      <c r="M680" t="s">
        <v>22</v>
      </c>
      <c r="N680" t="s">
        <v>23</v>
      </c>
      <c r="O680" t="s">
        <v>81</v>
      </c>
      <c r="P680" t="s">
        <v>40</v>
      </c>
    </row>
    <row r="681" spans="1:16" x14ac:dyDescent="0.25">
      <c r="A681" s="1">
        <v>45697</v>
      </c>
      <c r="B681" t="s">
        <v>564</v>
      </c>
      <c r="C681">
        <v>62713</v>
      </c>
      <c r="D681" t="s">
        <v>17</v>
      </c>
      <c r="E681">
        <v>8</v>
      </c>
      <c r="F681">
        <v>70.319999999999993</v>
      </c>
      <c r="G681" t="s">
        <v>76</v>
      </c>
      <c r="H681">
        <v>0.31</v>
      </c>
      <c r="I681" t="s">
        <v>61</v>
      </c>
      <c r="J681">
        <v>11.67</v>
      </c>
      <c r="K681" t="s">
        <v>30</v>
      </c>
      <c r="L681" t="s">
        <v>31</v>
      </c>
      <c r="M681" t="s">
        <v>22</v>
      </c>
      <c r="N681" t="s">
        <v>53</v>
      </c>
      <c r="O681" t="s">
        <v>33</v>
      </c>
      <c r="P681" t="s">
        <v>25</v>
      </c>
    </row>
    <row r="682" spans="1:16" x14ac:dyDescent="0.25">
      <c r="A682" s="1">
        <v>45697</v>
      </c>
      <c r="B682" t="s">
        <v>565</v>
      </c>
      <c r="C682">
        <v>70219</v>
      </c>
      <c r="D682" t="s">
        <v>27</v>
      </c>
      <c r="E682">
        <v>7</v>
      </c>
      <c r="F682">
        <v>7.09</v>
      </c>
      <c r="G682" t="s">
        <v>52</v>
      </c>
      <c r="H682">
        <v>0.19</v>
      </c>
      <c r="I682" t="s">
        <v>29</v>
      </c>
      <c r="J682">
        <v>18.63</v>
      </c>
      <c r="K682" t="s">
        <v>30</v>
      </c>
      <c r="L682" t="s">
        <v>21</v>
      </c>
      <c r="M682" t="s">
        <v>22</v>
      </c>
      <c r="N682" t="s">
        <v>32</v>
      </c>
      <c r="O682" t="s">
        <v>81</v>
      </c>
      <c r="P682" t="s">
        <v>25</v>
      </c>
    </row>
    <row r="683" spans="1:16" x14ac:dyDescent="0.25">
      <c r="A683" s="1">
        <v>45697</v>
      </c>
      <c r="B683" t="s">
        <v>531</v>
      </c>
      <c r="C683">
        <v>51110</v>
      </c>
      <c r="D683" t="s">
        <v>89</v>
      </c>
      <c r="E683">
        <v>4</v>
      </c>
      <c r="F683">
        <v>5.79</v>
      </c>
      <c r="G683" t="s">
        <v>36</v>
      </c>
      <c r="H683">
        <v>0.17</v>
      </c>
      <c r="I683" t="s">
        <v>29</v>
      </c>
      <c r="J683">
        <v>23.81</v>
      </c>
      <c r="K683" t="s">
        <v>44</v>
      </c>
      <c r="L683" t="s">
        <v>21</v>
      </c>
      <c r="M683" t="s">
        <v>22</v>
      </c>
      <c r="N683" t="s">
        <v>32</v>
      </c>
      <c r="O683" t="s">
        <v>24</v>
      </c>
      <c r="P683" t="s">
        <v>25</v>
      </c>
    </row>
    <row r="684" spans="1:16" x14ac:dyDescent="0.25">
      <c r="A684" s="1">
        <v>45697</v>
      </c>
      <c r="B684" t="s">
        <v>112</v>
      </c>
      <c r="C684">
        <v>63992</v>
      </c>
      <c r="D684" t="s">
        <v>17</v>
      </c>
      <c r="E684">
        <v>20</v>
      </c>
      <c r="F684">
        <v>54.64</v>
      </c>
      <c r="G684" t="s">
        <v>28</v>
      </c>
      <c r="H684">
        <v>0.48</v>
      </c>
      <c r="I684" t="s">
        <v>61</v>
      </c>
      <c r="J684">
        <v>18.809999999999999</v>
      </c>
      <c r="K684" t="s">
        <v>37</v>
      </c>
      <c r="L684" t="s">
        <v>21</v>
      </c>
      <c r="M684" t="s">
        <v>22</v>
      </c>
      <c r="N684" t="s">
        <v>23</v>
      </c>
      <c r="O684" t="s">
        <v>33</v>
      </c>
      <c r="P684" t="s">
        <v>34</v>
      </c>
    </row>
    <row r="685" spans="1:16" x14ac:dyDescent="0.25">
      <c r="A685" s="1">
        <v>45697</v>
      </c>
      <c r="B685" t="s">
        <v>566</v>
      </c>
      <c r="C685">
        <v>49635</v>
      </c>
      <c r="D685" t="s">
        <v>66</v>
      </c>
      <c r="E685">
        <v>30</v>
      </c>
      <c r="F685">
        <v>42.42</v>
      </c>
      <c r="G685" t="s">
        <v>58</v>
      </c>
      <c r="H685">
        <v>0.42</v>
      </c>
      <c r="I685" t="s">
        <v>61</v>
      </c>
      <c r="J685">
        <v>24.17</v>
      </c>
      <c r="K685" t="s">
        <v>37</v>
      </c>
      <c r="L685" t="s">
        <v>21</v>
      </c>
      <c r="M685" t="s">
        <v>22</v>
      </c>
      <c r="N685" t="s">
        <v>23</v>
      </c>
      <c r="O685" t="s">
        <v>59</v>
      </c>
      <c r="P685" t="s">
        <v>34</v>
      </c>
    </row>
    <row r="686" spans="1:16" x14ac:dyDescent="0.25">
      <c r="A686" s="1">
        <v>45697</v>
      </c>
      <c r="B686" t="s">
        <v>567</v>
      </c>
      <c r="C686">
        <v>63885</v>
      </c>
      <c r="D686" t="s">
        <v>70</v>
      </c>
      <c r="E686">
        <v>32</v>
      </c>
      <c r="F686">
        <v>95.28</v>
      </c>
      <c r="G686" t="s">
        <v>58</v>
      </c>
      <c r="H686">
        <v>0.14000000000000001</v>
      </c>
      <c r="I686" t="s">
        <v>29</v>
      </c>
      <c r="J686">
        <v>7.43</v>
      </c>
      <c r="K686" t="s">
        <v>30</v>
      </c>
      <c r="L686" t="s">
        <v>31</v>
      </c>
      <c r="M686" t="s">
        <v>22</v>
      </c>
      <c r="N686" t="s">
        <v>38</v>
      </c>
      <c r="O686" t="s">
        <v>33</v>
      </c>
      <c r="P686" t="s">
        <v>40</v>
      </c>
    </row>
    <row r="687" spans="1:16" x14ac:dyDescent="0.25">
      <c r="A687" s="1">
        <v>45698</v>
      </c>
      <c r="B687" t="s">
        <v>507</v>
      </c>
      <c r="C687">
        <v>65967</v>
      </c>
      <c r="D687" t="s">
        <v>89</v>
      </c>
      <c r="E687">
        <v>18</v>
      </c>
      <c r="F687">
        <v>5.26</v>
      </c>
      <c r="G687" t="s">
        <v>52</v>
      </c>
      <c r="H687">
        <v>0.27</v>
      </c>
      <c r="I687" t="s">
        <v>61</v>
      </c>
      <c r="J687">
        <v>8.5500000000000007</v>
      </c>
      <c r="K687" t="s">
        <v>44</v>
      </c>
      <c r="L687" t="s">
        <v>31</v>
      </c>
      <c r="M687" t="s">
        <v>22</v>
      </c>
      <c r="N687" t="s">
        <v>32</v>
      </c>
      <c r="O687" t="s">
        <v>33</v>
      </c>
      <c r="P687" t="s">
        <v>25</v>
      </c>
    </row>
    <row r="688" spans="1:16" x14ac:dyDescent="0.25">
      <c r="A688" s="1">
        <v>45698</v>
      </c>
      <c r="B688" t="s">
        <v>568</v>
      </c>
      <c r="C688">
        <v>78087</v>
      </c>
      <c r="D688" t="s">
        <v>49</v>
      </c>
      <c r="E688">
        <v>31</v>
      </c>
      <c r="F688">
        <v>1.72</v>
      </c>
      <c r="G688" t="s">
        <v>84</v>
      </c>
      <c r="H688">
        <v>0.46</v>
      </c>
      <c r="I688" t="s">
        <v>29</v>
      </c>
      <c r="J688">
        <v>22.83</v>
      </c>
      <c r="K688" t="s">
        <v>20</v>
      </c>
      <c r="L688" t="s">
        <v>31</v>
      </c>
      <c r="M688" t="s">
        <v>22</v>
      </c>
      <c r="N688" t="s">
        <v>32</v>
      </c>
      <c r="O688" t="s">
        <v>24</v>
      </c>
      <c r="P688" t="s">
        <v>25</v>
      </c>
    </row>
    <row r="689" spans="1:16" x14ac:dyDescent="0.25">
      <c r="A689" s="1">
        <v>45698</v>
      </c>
      <c r="B689" t="s">
        <v>569</v>
      </c>
      <c r="C689">
        <v>94212</v>
      </c>
      <c r="D689" t="s">
        <v>57</v>
      </c>
      <c r="E689">
        <v>49</v>
      </c>
      <c r="F689">
        <v>23.01</v>
      </c>
      <c r="G689" t="s">
        <v>52</v>
      </c>
      <c r="H689">
        <v>0.21</v>
      </c>
      <c r="I689" t="s">
        <v>61</v>
      </c>
      <c r="J689">
        <v>7.61</v>
      </c>
      <c r="K689" t="s">
        <v>37</v>
      </c>
      <c r="L689" t="s">
        <v>31</v>
      </c>
      <c r="M689" t="s">
        <v>111</v>
      </c>
      <c r="N689" t="s">
        <v>23</v>
      </c>
      <c r="O689" t="s">
        <v>39</v>
      </c>
      <c r="P689" t="s">
        <v>25</v>
      </c>
    </row>
    <row r="690" spans="1:16" x14ac:dyDescent="0.25">
      <c r="A690" s="1">
        <v>45698</v>
      </c>
      <c r="B690" t="s">
        <v>570</v>
      </c>
      <c r="C690">
        <v>40301</v>
      </c>
      <c r="D690" t="s">
        <v>66</v>
      </c>
      <c r="E690">
        <v>48</v>
      </c>
      <c r="F690">
        <v>19.149999999999999</v>
      </c>
      <c r="G690" t="s">
        <v>43</v>
      </c>
      <c r="H690">
        <v>0.42</v>
      </c>
      <c r="I690" t="s">
        <v>61</v>
      </c>
      <c r="J690">
        <v>25.62</v>
      </c>
      <c r="K690" t="s">
        <v>50</v>
      </c>
      <c r="L690" t="s">
        <v>31</v>
      </c>
      <c r="M690" t="s">
        <v>22</v>
      </c>
      <c r="N690" t="s">
        <v>32</v>
      </c>
      <c r="O690" t="s">
        <v>39</v>
      </c>
      <c r="P690" t="s">
        <v>25</v>
      </c>
    </row>
    <row r="691" spans="1:16" x14ac:dyDescent="0.25">
      <c r="A691" s="1">
        <v>45698</v>
      </c>
      <c r="B691" t="s">
        <v>229</v>
      </c>
      <c r="C691">
        <v>99321</v>
      </c>
      <c r="D691" t="s">
        <v>89</v>
      </c>
      <c r="E691">
        <v>25</v>
      </c>
      <c r="F691">
        <v>57.23</v>
      </c>
      <c r="G691" t="s">
        <v>72</v>
      </c>
      <c r="H691">
        <v>0.33</v>
      </c>
      <c r="I691" t="s">
        <v>19</v>
      </c>
      <c r="J691">
        <v>24.18</v>
      </c>
      <c r="K691" t="s">
        <v>30</v>
      </c>
      <c r="L691" t="s">
        <v>31</v>
      </c>
      <c r="M691" t="s">
        <v>22</v>
      </c>
      <c r="N691" t="s">
        <v>53</v>
      </c>
      <c r="O691" t="s">
        <v>33</v>
      </c>
      <c r="P691" t="s">
        <v>34</v>
      </c>
    </row>
    <row r="692" spans="1:16" x14ac:dyDescent="0.25">
      <c r="A692" s="1">
        <v>45698</v>
      </c>
      <c r="B692" t="s">
        <v>295</v>
      </c>
      <c r="C692">
        <v>56835</v>
      </c>
      <c r="D692" t="s">
        <v>70</v>
      </c>
      <c r="E692">
        <v>2</v>
      </c>
      <c r="F692">
        <v>60.23</v>
      </c>
      <c r="G692" t="s">
        <v>36</v>
      </c>
      <c r="H692">
        <v>0.33</v>
      </c>
      <c r="I692" t="s">
        <v>61</v>
      </c>
      <c r="J692">
        <v>23.11</v>
      </c>
      <c r="K692" t="s">
        <v>44</v>
      </c>
      <c r="L692" t="s">
        <v>31</v>
      </c>
      <c r="M692" t="s">
        <v>111</v>
      </c>
      <c r="N692" t="s">
        <v>53</v>
      </c>
      <c r="O692" t="s">
        <v>59</v>
      </c>
      <c r="P692" t="s">
        <v>25</v>
      </c>
    </row>
    <row r="693" spans="1:16" x14ac:dyDescent="0.25">
      <c r="A693" s="1">
        <v>45698</v>
      </c>
      <c r="B693" t="s">
        <v>571</v>
      </c>
      <c r="C693">
        <v>45795</v>
      </c>
      <c r="D693" t="s">
        <v>57</v>
      </c>
      <c r="E693">
        <v>34</v>
      </c>
      <c r="F693">
        <v>76.099999999999994</v>
      </c>
      <c r="G693" t="s">
        <v>99</v>
      </c>
      <c r="H693">
        <v>0.12</v>
      </c>
      <c r="I693" t="s">
        <v>29</v>
      </c>
      <c r="J693">
        <v>27.12</v>
      </c>
      <c r="K693" t="s">
        <v>44</v>
      </c>
      <c r="L693" t="s">
        <v>31</v>
      </c>
      <c r="M693" t="s">
        <v>22</v>
      </c>
      <c r="N693" t="s">
        <v>32</v>
      </c>
      <c r="O693" t="s">
        <v>59</v>
      </c>
      <c r="P693" t="s">
        <v>40</v>
      </c>
    </row>
    <row r="694" spans="1:16" x14ac:dyDescent="0.25">
      <c r="A694" s="1">
        <v>45698</v>
      </c>
      <c r="B694" t="s">
        <v>384</v>
      </c>
      <c r="C694">
        <v>30125</v>
      </c>
      <c r="D694" t="s">
        <v>66</v>
      </c>
      <c r="E694">
        <v>47</v>
      </c>
      <c r="F694">
        <v>65.58</v>
      </c>
      <c r="G694" t="s">
        <v>43</v>
      </c>
      <c r="H694">
        <v>0.34</v>
      </c>
      <c r="I694" t="s">
        <v>61</v>
      </c>
      <c r="J694">
        <v>14.49</v>
      </c>
      <c r="K694" t="s">
        <v>50</v>
      </c>
      <c r="L694" t="s">
        <v>21</v>
      </c>
      <c r="M694" t="s">
        <v>22</v>
      </c>
      <c r="N694" t="s">
        <v>38</v>
      </c>
      <c r="O694" t="s">
        <v>59</v>
      </c>
      <c r="P694" t="s">
        <v>34</v>
      </c>
    </row>
    <row r="695" spans="1:16" x14ac:dyDescent="0.25">
      <c r="A695" s="1">
        <v>45698</v>
      </c>
      <c r="B695" t="s">
        <v>480</v>
      </c>
      <c r="C695">
        <v>85535</v>
      </c>
      <c r="D695" t="s">
        <v>49</v>
      </c>
      <c r="E695">
        <v>3</v>
      </c>
      <c r="F695">
        <v>82.79</v>
      </c>
      <c r="G695" t="s">
        <v>47</v>
      </c>
      <c r="H695">
        <v>0.48</v>
      </c>
      <c r="I695" t="s">
        <v>19</v>
      </c>
      <c r="J695">
        <v>25.04</v>
      </c>
      <c r="K695" t="s">
        <v>44</v>
      </c>
      <c r="L695" t="s">
        <v>21</v>
      </c>
      <c r="M695" t="s">
        <v>22</v>
      </c>
      <c r="N695" t="s">
        <v>23</v>
      </c>
      <c r="O695" t="s">
        <v>33</v>
      </c>
      <c r="P695" t="s">
        <v>25</v>
      </c>
    </row>
    <row r="696" spans="1:16" x14ac:dyDescent="0.25">
      <c r="A696" s="1">
        <v>45698</v>
      </c>
      <c r="B696" t="s">
        <v>572</v>
      </c>
      <c r="C696">
        <v>24209</v>
      </c>
      <c r="D696" t="s">
        <v>89</v>
      </c>
      <c r="E696">
        <v>21</v>
      </c>
      <c r="F696">
        <v>31.98</v>
      </c>
      <c r="G696" t="s">
        <v>43</v>
      </c>
      <c r="H696">
        <v>0.47</v>
      </c>
      <c r="I696" t="s">
        <v>19</v>
      </c>
      <c r="J696">
        <v>5.82</v>
      </c>
      <c r="K696" t="s">
        <v>37</v>
      </c>
      <c r="L696" t="s">
        <v>31</v>
      </c>
      <c r="M696" t="s">
        <v>22</v>
      </c>
      <c r="N696" t="s">
        <v>53</v>
      </c>
      <c r="O696" t="s">
        <v>33</v>
      </c>
      <c r="P696" t="s">
        <v>34</v>
      </c>
    </row>
    <row r="697" spans="1:16" x14ac:dyDescent="0.25">
      <c r="A697" s="1">
        <v>45698</v>
      </c>
      <c r="B697" t="s">
        <v>573</v>
      </c>
      <c r="C697">
        <v>48689</v>
      </c>
      <c r="D697" t="s">
        <v>89</v>
      </c>
      <c r="E697">
        <v>31</v>
      </c>
      <c r="F697">
        <v>22.61</v>
      </c>
      <c r="G697" t="s">
        <v>52</v>
      </c>
      <c r="H697">
        <v>0.48</v>
      </c>
      <c r="I697" t="s">
        <v>61</v>
      </c>
      <c r="J697">
        <v>8.58</v>
      </c>
      <c r="K697" t="s">
        <v>30</v>
      </c>
      <c r="L697" t="s">
        <v>31</v>
      </c>
      <c r="M697" t="s">
        <v>22</v>
      </c>
      <c r="N697" t="s">
        <v>23</v>
      </c>
      <c r="O697" t="s">
        <v>59</v>
      </c>
      <c r="P697" t="s">
        <v>25</v>
      </c>
    </row>
    <row r="698" spans="1:16" x14ac:dyDescent="0.25">
      <c r="A698" s="1">
        <v>45698</v>
      </c>
      <c r="B698" t="s">
        <v>574</v>
      </c>
      <c r="C698">
        <v>55946</v>
      </c>
      <c r="D698" t="s">
        <v>57</v>
      </c>
      <c r="E698">
        <v>48</v>
      </c>
      <c r="F698">
        <v>57.6</v>
      </c>
      <c r="G698" t="s">
        <v>36</v>
      </c>
      <c r="H698">
        <v>0.01</v>
      </c>
      <c r="I698" t="s">
        <v>29</v>
      </c>
      <c r="J698">
        <v>18.649999999999999</v>
      </c>
      <c r="K698" t="s">
        <v>20</v>
      </c>
      <c r="L698" t="s">
        <v>31</v>
      </c>
      <c r="M698" t="s">
        <v>22</v>
      </c>
      <c r="N698" t="s">
        <v>53</v>
      </c>
      <c r="O698" t="s">
        <v>81</v>
      </c>
      <c r="P698" t="s">
        <v>25</v>
      </c>
    </row>
    <row r="699" spans="1:16" x14ac:dyDescent="0.25">
      <c r="A699" s="1">
        <v>45698</v>
      </c>
      <c r="B699" t="s">
        <v>575</v>
      </c>
      <c r="C699">
        <v>85188</v>
      </c>
      <c r="D699" t="s">
        <v>42</v>
      </c>
      <c r="E699">
        <v>2</v>
      </c>
      <c r="F699">
        <v>95.94</v>
      </c>
      <c r="G699" t="s">
        <v>76</v>
      </c>
      <c r="H699">
        <v>0.49</v>
      </c>
      <c r="I699" t="s">
        <v>29</v>
      </c>
      <c r="J699">
        <v>18.940000000000001</v>
      </c>
      <c r="K699" t="s">
        <v>44</v>
      </c>
      <c r="L699" t="s">
        <v>21</v>
      </c>
      <c r="M699" t="s">
        <v>22</v>
      </c>
      <c r="N699" t="s">
        <v>32</v>
      </c>
      <c r="O699" t="s">
        <v>81</v>
      </c>
      <c r="P699" t="s">
        <v>34</v>
      </c>
    </row>
    <row r="700" spans="1:16" x14ac:dyDescent="0.25">
      <c r="A700" s="1">
        <v>45698</v>
      </c>
      <c r="B700" t="s">
        <v>576</v>
      </c>
      <c r="C700">
        <v>56000</v>
      </c>
      <c r="D700" t="s">
        <v>89</v>
      </c>
      <c r="E700">
        <v>48</v>
      </c>
      <c r="F700">
        <v>89.69</v>
      </c>
      <c r="G700" t="s">
        <v>58</v>
      </c>
      <c r="H700">
        <v>0.31</v>
      </c>
      <c r="I700" t="s">
        <v>29</v>
      </c>
      <c r="J700">
        <v>21.24</v>
      </c>
      <c r="K700" t="s">
        <v>50</v>
      </c>
      <c r="L700" t="s">
        <v>21</v>
      </c>
      <c r="M700" t="s">
        <v>22</v>
      </c>
      <c r="N700" t="s">
        <v>38</v>
      </c>
      <c r="O700" t="s">
        <v>59</v>
      </c>
      <c r="P700" t="s">
        <v>25</v>
      </c>
    </row>
    <row r="701" spans="1:16" x14ac:dyDescent="0.25">
      <c r="A701" s="1">
        <v>45698</v>
      </c>
      <c r="B701" t="s">
        <v>397</v>
      </c>
      <c r="C701">
        <v>12591</v>
      </c>
      <c r="D701" t="s">
        <v>27</v>
      </c>
      <c r="E701">
        <v>30</v>
      </c>
      <c r="F701">
        <v>49.31</v>
      </c>
      <c r="G701" t="s">
        <v>72</v>
      </c>
      <c r="H701">
        <v>0.48</v>
      </c>
      <c r="I701" t="s">
        <v>61</v>
      </c>
      <c r="J701">
        <v>25.46</v>
      </c>
      <c r="K701" t="s">
        <v>20</v>
      </c>
      <c r="L701" t="s">
        <v>31</v>
      </c>
      <c r="M701" t="s">
        <v>22</v>
      </c>
      <c r="N701" t="s">
        <v>23</v>
      </c>
      <c r="O701" t="s">
        <v>59</v>
      </c>
      <c r="P701" t="s">
        <v>34</v>
      </c>
    </row>
    <row r="702" spans="1:16" x14ac:dyDescent="0.25">
      <c r="A702" s="1">
        <v>45698</v>
      </c>
      <c r="B702" t="s">
        <v>459</v>
      </c>
      <c r="C702">
        <v>87633</v>
      </c>
      <c r="D702" t="s">
        <v>17</v>
      </c>
      <c r="E702">
        <v>16</v>
      </c>
      <c r="F702">
        <v>98.1</v>
      </c>
      <c r="G702" t="s">
        <v>55</v>
      </c>
      <c r="H702">
        <v>0.31</v>
      </c>
      <c r="I702" t="s">
        <v>19</v>
      </c>
      <c r="J702">
        <v>5.07</v>
      </c>
      <c r="K702" t="s">
        <v>50</v>
      </c>
      <c r="L702" t="s">
        <v>21</v>
      </c>
      <c r="M702" t="s">
        <v>22</v>
      </c>
      <c r="N702" t="s">
        <v>23</v>
      </c>
      <c r="O702" t="s">
        <v>59</v>
      </c>
      <c r="P702" t="s">
        <v>25</v>
      </c>
    </row>
    <row r="703" spans="1:16" x14ac:dyDescent="0.25">
      <c r="A703" s="1">
        <v>45698</v>
      </c>
      <c r="B703" t="s">
        <v>261</v>
      </c>
      <c r="C703">
        <v>10485</v>
      </c>
      <c r="D703" t="s">
        <v>46</v>
      </c>
      <c r="E703">
        <v>45</v>
      </c>
      <c r="F703">
        <v>56.78</v>
      </c>
      <c r="G703" t="s">
        <v>84</v>
      </c>
      <c r="H703">
        <v>0.28000000000000003</v>
      </c>
      <c r="I703" t="s">
        <v>19</v>
      </c>
      <c r="J703">
        <v>13.2</v>
      </c>
      <c r="K703" t="s">
        <v>30</v>
      </c>
      <c r="L703" t="s">
        <v>31</v>
      </c>
      <c r="M703" t="s">
        <v>22</v>
      </c>
      <c r="N703" t="s">
        <v>23</v>
      </c>
      <c r="O703" t="s">
        <v>59</v>
      </c>
      <c r="P703" t="s">
        <v>25</v>
      </c>
    </row>
    <row r="704" spans="1:16" x14ac:dyDescent="0.25">
      <c r="A704" s="1">
        <v>45698</v>
      </c>
      <c r="B704" t="s">
        <v>485</v>
      </c>
      <c r="C704">
        <v>38601</v>
      </c>
      <c r="D704" t="s">
        <v>49</v>
      </c>
      <c r="E704">
        <v>38</v>
      </c>
      <c r="F704">
        <v>85.64</v>
      </c>
      <c r="G704" t="s">
        <v>28</v>
      </c>
      <c r="H704">
        <v>0.06</v>
      </c>
      <c r="I704" t="s">
        <v>61</v>
      </c>
      <c r="J704">
        <v>9.35</v>
      </c>
      <c r="K704" t="s">
        <v>44</v>
      </c>
      <c r="L704" t="s">
        <v>31</v>
      </c>
      <c r="M704" t="s">
        <v>22</v>
      </c>
      <c r="N704" t="s">
        <v>32</v>
      </c>
      <c r="O704" t="s">
        <v>24</v>
      </c>
      <c r="P704" t="s">
        <v>40</v>
      </c>
    </row>
    <row r="705" spans="1:16" x14ac:dyDescent="0.25">
      <c r="A705" s="1">
        <v>45698</v>
      </c>
      <c r="B705" t="s">
        <v>204</v>
      </c>
      <c r="C705">
        <v>30556</v>
      </c>
      <c r="D705" t="s">
        <v>89</v>
      </c>
      <c r="E705">
        <v>28</v>
      </c>
      <c r="F705">
        <v>40.61</v>
      </c>
      <c r="G705" t="s">
        <v>84</v>
      </c>
      <c r="H705">
        <v>0.1</v>
      </c>
      <c r="I705" t="s">
        <v>29</v>
      </c>
      <c r="J705">
        <v>22.23</v>
      </c>
      <c r="K705" t="s">
        <v>30</v>
      </c>
      <c r="L705" t="s">
        <v>21</v>
      </c>
      <c r="M705" t="s">
        <v>22</v>
      </c>
      <c r="N705" t="s">
        <v>38</v>
      </c>
      <c r="O705" t="s">
        <v>81</v>
      </c>
      <c r="P705" t="s">
        <v>25</v>
      </c>
    </row>
    <row r="706" spans="1:16" x14ac:dyDescent="0.25">
      <c r="A706" s="1">
        <v>45698</v>
      </c>
      <c r="B706" t="s">
        <v>577</v>
      </c>
      <c r="C706">
        <v>72481</v>
      </c>
      <c r="D706" t="s">
        <v>49</v>
      </c>
      <c r="E706">
        <v>17</v>
      </c>
      <c r="F706">
        <v>47.85</v>
      </c>
      <c r="G706" t="s">
        <v>99</v>
      </c>
      <c r="H706">
        <v>0.46</v>
      </c>
      <c r="I706" t="s">
        <v>19</v>
      </c>
      <c r="J706">
        <v>12.87</v>
      </c>
      <c r="K706" t="s">
        <v>50</v>
      </c>
      <c r="L706" t="s">
        <v>31</v>
      </c>
      <c r="M706" t="s">
        <v>22</v>
      </c>
      <c r="N706" t="s">
        <v>38</v>
      </c>
      <c r="O706" t="s">
        <v>33</v>
      </c>
      <c r="P706" t="s">
        <v>40</v>
      </c>
    </row>
    <row r="707" spans="1:16" x14ac:dyDescent="0.25">
      <c r="A707" s="1">
        <v>45698</v>
      </c>
      <c r="B707" t="s">
        <v>578</v>
      </c>
      <c r="C707">
        <v>35255</v>
      </c>
      <c r="D707" t="s">
        <v>27</v>
      </c>
      <c r="E707">
        <v>39</v>
      </c>
      <c r="F707">
        <v>71.75</v>
      </c>
      <c r="G707" t="s">
        <v>47</v>
      </c>
      <c r="H707">
        <v>0.39</v>
      </c>
      <c r="I707" t="s">
        <v>19</v>
      </c>
      <c r="J707">
        <v>26.9</v>
      </c>
      <c r="K707" t="s">
        <v>44</v>
      </c>
      <c r="L707" t="s">
        <v>21</v>
      </c>
      <c r="M707" t="s">
        <v>22</v>
      </c>
      <c r="N707" t="s">
        <v>23</v>
      </c>
      <c r="O707" t="s">
        <v>33</v>
      </c>
      <c r="P707" t="s">
        <v>40</v>
      </c>
    </row>
    <row r="708" spans="1:16" x14ac:dyDescent="0.25">
      <c r="A708" s="1">
        <v>45699</v>
      </c>
      <c r="B708" t="s">
        <v>238</v>
      </c>
      <c r="C708">
        <v>37331</v>
      </c>
      <c r="D708" t="s">
        <v>46</v>
      </c>
      <c r="E708">
        <v>19</v>
      </c>
      <c r="F708">
        <v>76.349999999999994</v>
      </c>
      <c r="G708" t="s">
        <v>99</v>
      </c>
      <c r="H708">
        <v>0.04</v>
      </c>
      <c r="I708" t="s">
        <v>19</v>
      </c>
      <c r="J708">
        <v>8.1199999999999992</v>
      </c>
      <c r="K708" t="s">
        <v>37</v>
      </c>
      <c r="L708" t="s">
        <v>31</v>
      </c>
      <c r="M708" t="s">
        <v>22</v>
      </c>
      <c r="N708" t="s">
        <v>32</v>
      </c>
      <c r="O708" t="s">
        <v>81</v>
      </c>
      <c r="P708" t="s">
        <v>40</v>
      </c>
    </row>
    <row r="709" spans="1:16" x14ac:dyDescent="0.25">
      <c r="A709" s="1">
        <v>45699</v>
      </c>
      <c r="B709" t="s">
        <v>579</v>
      </c>
      <c r="C709">
        <v>94124</v>
      </c>
      <c r="D709" t="s">
        <v>70</v>
      </c>
      <c r="E709">
        <v>18</v>
      </c>
      <c r="F709">
        <v>75.02</v>
      </c>
      <c r="G709" t="s">
        <v>58</v>
      </c>
      <c r="H709">
        <v>0.28000000000000003</v>
      </c>
      <c r="I709" t="s">
        <v>19</v>
      </c>
      <c r="J709">
        <v>25.96</v>
      </c>
      <c r="K709" t="s">
        <v>50</v>
      </c>
      <c r="L709" t="s">
        <v>21</v>
      </c>
      <c r="M709" t="s">
        <v>111</v>
      </c>
      <c r="N709" t="s">
        <v>53</v>
      </c>
      <c r="O709" t="s">
        <v>24</v>
      </c>
      <c r="P709" t="s">
        <v>40</v>
      </c>
    </row>
    <row r="710" spans="1:16" x14ac:dyDescent="0.25">
      <c r="A710" s="1">
        <v>45699</v>
      </c>
      <c r="B710" t="s">
        <v>48</v>
      </c>
      <c r="C710">
        <v>20530</v>
      </c>
      <c r="D710" t="s">
        <v>27</v>
      </c>
      <c r="E710">
        <v>46</v>
      </c>
      <c r="F710">
        <v>24.32</v>
      </c>
      <c r="G710" t="s">
        <v>72</v>
      </c>
      <c r="H710">
        <v>0.46</v>
      </c>
      <c r="I710" t="s">
        <v>61</v>
      </c>
      <c r="J710">
        <v>8.76</v>
      </c>
      <c r="K710" t="s">
        <v>37</v>
      </c>
      <c r="L710" t="s">
        <v>31</v>
      </c>
      <c r="M710" t="s">
        <v>22</v>
      </c>
      <c r="N710" t="s">
        <v>53</v>
      </c>
      <c r="O710" t="s">
        <v>39</v>
      </c>
      <c r="P710" t="s">
        <v>34</v>
      </c>
    </row>
    <row r="711" spans="1:16" x14ac:dyDescent="0.25">
      <c r="A711" s="1">
        <v>45699</v>
      </c>
      <c r="B711" t="s">
        <v>580</v>
      </c>
      <c r="C711">
        <v>44764</v>
      </c>
      <c r="D711" t="s">
        <v>27</v>
      </c>
      <c r="E711">
        <v>38</v>
      </c>
      <c r="F711">
        <v>94.48</v>
      </c>
      <c r="G711" t="s">
        <v>72</v>
      </c>
      <c r="H711">
        <v>0.24</v>
      </c>
      <c r="I711" t="s">
        <v>61</v>
      </c>
      <c r="J711">
        <v>17.38</v>
      </c>
      <c r="K711" t="s">
        <v>20</v>
      </c>
      <c r="L711" t="s">
        <v>21</v>
      </c>
      <c r="M711" t="s">
        <v>22</v>
      </c>
      <c r="N711" t="s">
        <v>23</v>
      </c>
      <c r="O711" t="s">
        <v>59</v>
      </c>
      <c r="P711" t="s">
        <v>34</v>
      </c>
    </row>
    <row r="712" spans="1:16" x14ac:dyDescent="0.25">
      <c r="A712" s="1">
        <v>45699</v>
      </c>
      <c r="B712" t="s">
        <v>351</v>
      </c>
      <c r="C712">
        <v>90655</v>
      </c>
      <c r="D712" t="s">
        <v>68</v>
      </c>
      <c r="E712">
        <v>26</v>
      </c>
      <c r="F712">
        <v>54.18</v>
      </c>
      <c r="G712" t="s">
        <v>99</v>
      </c>
      <c r="H712">
        <v>0.31</v>
      </c>
      <c r="I712" t="s">
        <v>19</v>
      </c>
      <c r="J712">
        <v>27.9</v>
      </c>
      <c r="K712" t="s">
        <v>20</v>
      </c>
      <c r="L712" t="s">
        <v>31</v>
      </c>
      <c r="M712" t="s">
        <v>22</v>
      </c>
      <c r="N712" t="s">
        <v>53</v>
      </c>
      <c r="O712" t="s">
        <v>59</v>
      </c>
      <c r="P712" t="s">
        <v>25</v>
      </c>
    </row>
    <row r="713" spans="1:16" x14ac:dyDescent="0.25">
      <c r="A713" s="1">
        <v>45699</v>
      </c>
      <c r="B713" t="s">
        <v>581</v>
      </c>
      <c r="C713">
        <v>12938</v>
      </c>
      <c r="D713" t="s">
        <v>89</v>
      </c>
      <c r="E713">
        <v>40</v>
      </c>
      <c r="F713">
        <v>35.64</v>
      </c>
      <c r="G713" t="s">
        <v>99</v>
      </c>
      <c r="H713">
        <v>0.38</v>
      </c>
      <c r="I713" t="s">
        <v>29</v>
      </c>
      <c r="J713">
        <v>13.05</v>
      </c>
      <c r="K713" t="s">
        <v>727</v>
      </c>
      <c r="L713" t="s">
        <v>31</v>
      </c>
      <c r="M713" t="s">
        <v>22</v>
      </c>
      <c r="N713" t="s">
        <v>32</v>
      </c>
      <c r="O713" t="s">
        <v>59</v>
      </c>
      <c r="P713" t="s">
        <v>25</v>
      </c>
    </row>
    <row r="714" spans="1:16" x14ac:dyDescent="0.25">
      <c r="A714" s="1">
        <v>45699</v>
      </c>
      <c r="B714" t="s">
        <v>582</v>
      </c>
      <c r="C714">
        <v>43162</v>
      </c>
      <c r="D714" t="s">
        <v>57</v>
      </c>
      <c r="E714">
        <v>28</v>
      </c>
      <c r="F714">
        <v>11.52</v>
      </c>
      <c r="G714" t="s">
        <v>36</v>
      </c>
      <c r="H714">
        <v>0.11</v>
      </c>
      <c r="I714" t="s">
        <v>19</v>
      </c>
      <c r="J714">
        <v>20.68</v>
      </c>
      <c r="K714" t="s">
        <v>50</v>
      </c>
      <c r="L714" t="s">
        <v>31</v>
      </c>
      <c r="M714" t="s">
        <v>22</v>
      </c>
      <c r="N714" t="s">
        <v>38</v>
      </c>
      <c r="O714" t="s">
        <v>59</v>
      </c>
      <c r="P714" t="s">
        <v>25</v>
      </c>
    </row>
    <row r="715" spans="1:16" x14ac:dyDescent="0.25">
      <c r="A715" s="1">
        <v>45699</v>
      </c>
      <c r="B715" t="s">
        <v>278</v>
      </c>
      <c r="C715">
        <v>88856</v>
      </c>
      <c r="D715" t="s">
        <v>17</v>
      </c>
      <c r="E715">
        <v>47</v>
      </c>
      <c r="F715">
        <v>42.18</v>
      </c>
      <c r="G715" t="s">
        <v>99</v>
      </c>
      <c r="H715">
        <v>0.33</v>
      </c>
      <c r="I715" t="s">
        <v>29</v>
      </c>
      <c r="J715">
        <v>25.87</v>
      </c>
      <c r="K715" t="s">
        <v>37</v>
      </c>
      <c r="L715" t="s">
        <v>31</v>
      </c>
      <c r="M715" t="s">
        <v>22</v>
      </c>
      <c r="N715" t="s">
        <v>32</v>
      </c>
      <c r="O715" t="s">
        <v>59</v>
      </c>
      <c r="P715" t="s">
        <v>25</v>
      </c>
    </row>
    <row r="716" spans="1:16" x14ac:dyDescent="0.25">
      <c r="A716" s="1">
        <v>45699</v>
      </c>
      <c r="B716" t="s">
        <v>35</v>
      </c>
      <c r="C716">
        <v>35474</v>
      </c>
      <c r="D716" t="s">
        <v>75</v>
      </c>
      <c r="E716">
        <v>7</v>
      </c>
      <c r="F716">
        <v>59.24</v>
      </c>
      <c r="G716" t="s">
        <v>52</v>
      </c>
      <c r="H716">
        <v>0.41</v>
      </c>
      <c r="I716" t="s">
        <v>61</v>
      </c>
      <c r="J716">
        <v>5.21</v>
      </c>
      <c r="K716" t="s">
        <v>37</v>
      </c>
      <c r="L716" t="s">
        <v>31</v>
      </c>
      <c r="M716" t="s">
        <v>22</v>
      </c>
      <c r="N716" t="s">
        <v>38</v>
      </c>
      <c r="O716" t="s">
        <v>39</v>
      </c>
      <c r="P716" t="s">
        <v>40</v>
      </c>
    </row>
    <row r="717" spans="1:16" x14ac:dyDescent="0.25">
      <c r="A717" s="1">
        <v>45699</v>
      </c>
      <c r="B717" t="s">
        <v>472</v>
      </c>
      <c r="C717">
        <v>44314</v>
      </c>
      <c r="D717" t="s">
        <v>42</v>
      </c>
      <c r="E717">
        <v>39</v>
      </c>
      <c r="F717">
        <v>79.16</v>
      </c>
      <c r="G717" t="s">
        <v>55</v>
      </c>
      <c r="H717">
        <v>0.11</v>
      </c>
      <c r="I717" t="s">
        <v>29</v>
      </c>
      <c r="J717">
        <v>16.760000000000002</v>
      </c>
      <c r="K717" t="s">
        <v>20</v>
      </c>
      <c r="L717" t="s">
        <v>31</v>
      </c>
      <c r="M717" t="s">
        <v>22</v>
      </c>
      <c r="N717" t="s">
        <v>38</v>
      </c>
      <c r="O717" t="s">
        <v>24</v>
      </c>
      <c r="P717" t="s">
        <v>25</v>
      </c>
    </row>
    <row r="718" spans="1:16" x14ac:dyDescent="0.25">
      <c r="A718" s="1">
        <v>45699</v>
      </c>
      <c r="B718" t="s">
        <v>334</v>
      </c>
      <c r="C718">
        <v>36525</v>
      </c>
      <c r="D718" t="s">
        <v>42</v>
      </c>
      <c r="E718">
        <v>26</v>
      </c>
      <c r="F718">
        <v>33.130000000000003</v>
      </c>
      <c r="G718" t="s">
        <v>28</v>
      </c>
      <c r="H718">
        <v>0.11</v>
      </c>
      <c r="I718" t="s">
        <v>61</v>
      </c>
      <c r="J718">
        <v>19.21</v>
      </c>
      <c r="K718" t="s">
        <v>37</v>
      </c>
      <c r="L718" t="s">
        <v>21</v>
      </c>
      <c r="M718" t="s">
        <v>22</v>
      </c>
      <c r="N718" t="s">
        <v>38</v>
      </c>
      <c r="O718" t="s">
        <v>59</v>
      </c>
      <c r="P718" t="s">
        <v>25</v>
      </c>
    </row>
    <row r="719" spans="1:16" x14ac:dyDescent="0.25">
      <c r="A719" s="1">
        <v>45699</v>
      </c>
      <c r="B719" t="s">
        <v>583</v>
      </c>
      <c r="C719">
        <v>44089</v>
      </c>
      <c r="D719" t="s">
        <v>46</v>
      </c>
      <c r="E719">
        <v>42</v>
      </c>
      <c r="F719">
        <v>89.95</v>
      </c>
      <c r="G719" t="s">
        <v>28</v>
      </c>
      <c r="H719">
        <v>0.28000000000000003</v>
      </c>
      <c r="I719" t="s">
        <v>19</v>
      </c>
      <c r="J719">
        <v>13.23</v>
      </c>
      <c r="K719" t="s">
        <v>30</v>
      </c>
      <c r="L719" t="s">
        <v>21</v>
      </c>
      <c r="M719" t="s">
        <v>22</v>
      </c>
      <c r="N719" t="s">
        <v>23</v>
      </c>
      <c r="O719" t="s">
        <v>33</v>
      </c>
      <c r="P719" t="s">
        <v>40</v>
      </c>
    </row>
    <row r="720" spans="1:16" x14ac:dyDescent="0.25">
      <c r="A720" s="1">
        <v>45699</v>
      </c>
      <c r="B720" t="s">
        <v>584</v>
      </c>
      <c r="C720">
        <v>38370</v>
      </c>
      <c r="D720" t="s">
        <v>17</v>
      </c>
      <c r="E720">
        <v>43</v>
      </c>
      <c r="F720">
        <v>86.15</v>
      </c>
      <c r="G720" t="s">
        <v>76</v>
      </c>
      <c r="H720">
        <v>0.37</v>
      </c>
      <c r="I720" t="s">
        <v>29</v>
      </c>
      <c r="J720">
        <v>17.61</v>
      </c>
      <c r="K720" t="s">
        <v>30</v>
      </c>
      <c r="L720" t="s">
        <v>21</v>
      </c>
      <c r="M720" t="s">
        <v>22</v>
      </c>
      <c r="N720" t="s">
        <v>23</v>
      </c>
      <c r="O720" t="s">
        <v>24</v>
      </c>
      <c r="P720" t="s">
        <v>40</v>
      </c>
    </row>
    <row r="721" spans="1:16" x14ac:dyDescent="0.25">
      <c r="A721" s="1">
        <v>45699</v>
      </c>
      <c r="B721" t="s">
        <v>585</v>
      </c>
      <c r="C721">
        <v>39484</v>
      </c>
      <c r="D721" t="s">
        <v>46</v>
      </c>
      <c r="E721">
        <v>35</v>
      </c>
      <c r="F721">
        <v>85.41</v>
      </c>
      <c r="G721" t="s">
        <v>58</v>
      </c>
      <c r="H721">
        <v>0.35</v>
      </c>
      <c r="I721" t="s">
        <v>61</v>
      </c>
      <c r="J721">
        <v>6.85</v>
      </c>
      <c r="K721" t="s">
        <v>50</v>
      </c>
      <c r="L721" t="s">
        <v>31</v>
      </c>
      <c r="M721" t="s">
        <v>22</v>
      </c>
      <c r="N721" t="s">
        <v>32</v>
      </c>
      <c r="O721" t="s">
        <v>33</v>
      </c>
      <c r="P721" t="s">
        <v>34</v>
      </c>
    </row>
    <row r="722" spans="1:16" x14ac:dyDescent="0.25">
      <c r="A722" s="1">
        <v>45699</v>
      </c>
      <c r="B722" t="s">
        <v>586</v>
      </c>
      <c r="C722">
        <v>78265</v>
      </c>
      <c r="D722" t="s">
        <v>75</v>
      </c>
      <c r="E722">
        <v>8</v>
      </c>
      <c r="F722">
        <v>97.03</v>
      </c>
      <c r="G722" t="s">
        <v>36</v>
      </c>
      <c r="H722">
        <v>0.15</v>
      </c>
      <c r="I722" t="s">
        <v>29</v>
      </c>
      <c r="J722">
        <v>13.4</v>
      </c>
      <c r="K722" t="s">
        <v>30</v>
      </c>
      <c r="L722" t="s">
        <v>21</v>
      </c>
      <c r="M722" t="s">
        <v>22</v>
      </c>
      <c r="N722" t="s">
        <v>32</v>
      </c>
      <c r="O722" t="s">
        <v>59</v>
      </c>
      <c r="P722" t="s">
        <v>34</v>
      </c>
    </row>
    <row r="723" spans="1:16" x14ac:dyDescent="0.25">
      <c r="A723" s="1">
        <v>45699</v>
      </c>
      <c r="B723" t="s">
        <v>587</v>
      </c>
      <c r="C723">
        <v>38443</v>
      </c>
      <c r="D723" t="s">
        <v>49</v>
      </c>
      <c r="E723">
        <v>45</v>
      </c>
      <c r="F723">
        <v>84.9</v>
      </c>
      <c r="G723" t="s">
        <v>72</v>
      </c>
      <c r="H723">
        <v>0.25</v>
      </c>
      <c r="I723" t="s">
        <v>19</v>
      </c>
      <c r="J723">
        <v>21.68</v>
      </c>
      <c r="K723" t="s">
        <v>20</v>
      </c>
      <c r="L723" t="s">
        <v>21</v>
      </c>
      <c r="M723" t="s">
        <v>111</v>
      </c>
      <c r="N723" t="s">
        <v>32</v>
      </c>
      <c r="O723" t="s">
        <v>59</v>
      </c>
      <c r="P723" t="s">
        <v>25</v>
      </c>
    </row>
    <row r="724" spans="1:16" x14ac:dyDescent="0.25">
      <c r="A724" s="1">
        <v>45699</v>
      </c>
      <c r="B724" t="s">
        <v>588</v>
      </c>
      <c r="C724">
        <v>73835</v>
      </c>
      <c r="D724" t="s">
        <v>49</v>
      </c>
      <c r="E724">
        <v>4</v>
      </c>
      <c r="F724">
        <v>46.58</v>
      </c>
      <c r="G724" t="s">
        <v>99</v>
      </c>
      <c r="H724">
        <v>0.28999999999999998</v>
      </c>
      <c r="I724" t="s">
        <v>29</v>
      </c>
      <c r="J724">
        <v>12.45</v>
      </c>
      <c r="K724" t="s">
        <v>44</v>
      </c>
      <c r="L724" t="s">
        <v>21</v>
      </c>
      <c r="M724" t="s">
        <v>22</v>
      </c>
      <c r="N724" t="s">
        <v>53</v>
      </c>
      <c r="O724" t="s">
        <v>81</v>
      </c>
      <c r="P724" t="s">
        <v>40</v>
      </c>
    </row>
    <row r="725" spans="1:16" x14ac:dyDescent="0.25">
      <c r="A725" s="1">
        <v>45699</v>
      </c>
      <c r="B725" t="s">
        <v>331</v>
      </c>
      <c r="C725">
        <v>14406</v>
      </c>
      <c r="D725" t="s">
        <v>49</v>
      </c>
      <c r="E725">
        <v>21</v>
      </c>
      <c r="F725">
        <v>67.37</v>
      </c>
      <c r="G725" t="s">
        <v>43</v>
      </c>
      <c r="H725">
        <v>0.06</v>
      </c>
      <c r="I725" t="s">
        <v>29</v>
      </c>
      <c r="J725">
        <v>11.59</v>
      </c>
      <c r="K725" t="s">
        <v>44</v>
      </c>
      <c r="L725" t="s">
        <v>31</v>
      </c>
      <c r="M725" t="s">
        <v>22</v>
      </c>
      <c r="N725" t="s">
        <v>38</v>
      </c>
      <c r="O725" t="s">
        <v>81</v>
      </c>
      <c r="P725" t="s">
        <v>25</v>
      </c>
    </row>
    <row r="726" spans="1:16" x14ac:dyDescent="0.25">
      <c r="A726" s="1">
        <v>45699</v>
      </c>
      <c r="B726" t="s">
        <v>589</v>
      </c>
      <c r="C726">
        <v>68635</v>
      </c>
      <c r="D726" t="s">
        <v>57</v>
      </c>
      <c r="E726">
        <v>27</v>
      </c>
      <c r="F726">
        <v>14.66</v>
      </c>
      <c r="G726" t="s">
        <v>72</v>
      </c>
      <c r="H726">
        <v>0.21</v>
      </c>
      <c r="I726" t="s">
        <v>61</v>
      </c>
      <c r="J726">
        <v>27.75</v>
      </c>
      <c r="K726" t="s">
        <v>50</v>
      </c>
      <c r="L726" t="s">
        <v>31</v>
      </c>
      <c r="M726" t="s">
        <v>22</v>
      </c>
      <c r="N726" t="s">
        <v>38</v>
      </c>
      <c r="O726" t="s">
        <v>24</v>
      </c>
      <c r="P726" t="s">
        <v>40</v>
      </c>
    </row>
    <row r="727" spans="1:16" x14ac:dyDescent="0.25">
      <c r="A727" s="1">
        <v>45699</v>
      </c>
      <c r="B727" t="s">
        <v>590</v>
      </c>
      <c r="C727">
        <v>77809</v>
      </c>
      <c r="D727" t="s">
        <v>89</v>
      </c>
      <c r="E727">
        <v>39</v>
      </c>
      <c r="F727">
        <v>15.07</v>
      </c>
      <c r="G727" t="s">
        <v>18</v>
      </c>
      <c r="H727">
        <v>0.25</v>
      </c>
      <c r="I727" t="s">
        <v>19</v>
      </c>
      <c r="J727">
        <v>29.61</v>
      </c>
      <c r="K727" t="s">
        <v>37</v>
      </c>
      <c r="L727" t="s">
        <v>31</v>
      </c>
      <c r="M727" t="s">
        <v>22</v>
      </c>
      <c r="N727" t="s">
        <v>32</v>
      </c>
      <c r="O727" t="s">
        <v>81</v>
      </c>
      <c r="P727" t="s">
        <v>34</v>
      </c>
    </row>
    <row r="728" spans="1:16" x14ac:dyDescent="0.25">
      <c r="A728" s="1">
        <v>45699</v>
      </c>
      <c r="B728" t="s">
        <v>591</v>
      </c>
      <c r="C728">
        <v>74466</v>
      </c>
      <c r="D728" t="s">
        <v>89</v>
      </c>
      <c r="E728">
        <v>22</v>
      </c>
      <c r="F728">
        <v>63.83</v>
      </c>
      <c r="G728" t="s">
        <v>28</v>
      </c>
      <c r="H728">
        <v>0.15</v>
      </c>
      <c r="I728" t="s">
        <v>61</v>
      </c>
      <c r="J728">
        <v>20.3</v>
      </c>
      <c r="K728" t="s">
        <v>20</v>
      </c>
      <c r="L728" t="s">
        <v>21</v>
      </c>
      <c r="M728" t="s">
        <v>22</v>
      </c>
      <c r="N728" t="s">
        <v>23</v>
      </c>
      <c r="O728" t="s">
        <v>33</v>
      </c>
      <c r="P728" t="s">
        <v>34</v>
      </c>
    </row>
    <row r="729" spans="1:16" x14ac:dyDescent="0.25">
      <c r="A729" s="1">
        <v>45699</v>
      </c>
      <c r="B729" t="s">
        <v>592</v>
      </c>
      <c r="C729">
        <v>88295</v>
      </c>
      <c r="D729" t="s">
        <v>17</v>
      </c>
      <c r="E729">
        <v>23</v>
      </c>
      <c r="F729">
        <v>29.32</v>
      </c>
      <c r="G729" t="s">
        <v>18</v>
      </c>
      <c r="H729">
        <v>0.21</v>
      </c>
      <c r="I729" t="s">
        <v>19</v>
      </c>
      <c r="J729">
        <v>17.13</v>
      </c>
      <c r="K729" t="s">
        <v>30</v>
      </c>
      <c r="L729" t="s">
        <v>21</v>
      </c>
      <c r="M729" t="s">
        <v>22</v>
      </c>
      <c r="N729" t="s">
        <v>32</v>
      </c>
      <c r="O729" t="s">
        <v>33</v>
      </c>
      <c r="P729" t="s">
        <v>25</v>
      </c>
    </row>
    <row r="730" spans="1:16" x14ac:dyDescent="0.25">
      <c r="A730" s="1">
        <v>45700</v>
      </c>
      <c r="B730" t="s">
        <v>140</v>
      </c>
      <c r="C730">
        <v>97179</v>
      </c>
      <c r="D730" t="s">
        <v>46</v>
      </c>
      <c r="E730">
        <v>46</v>
      </c>
      <c r="F730">
        <v>67.959999999999994</v>
      </c>
      <c r="G730" t="s">
        <v>72</v>
      </c>
      <c r="H730">
        <v>0.45</v>
      </c>
      <c r="I730" t="s">
        <v>29</v>
      </c>
      <c r="J730">
        <v>6.87</v>
      </c>
      <c r="K730" t="s">
        <v>20</v>
      </c>
      <c r="L730" t="s">
        <v>31</v>
      </c>
      <c r="M730" t="s">
        <v>22</v>
      </c>
      <c r="N730" t="s">
        <v>23</v>
      </c>
      <c r="O730" t="s">
        <v>724</v>
      </c>
      <c r="P730" t="s">
        <v>34</v>
      </c>
    </row>
    <row r="731" spans="1:16" x14ac:dyDescent="0.25">
      <c r="A731" s="1">
        <v>45700</v>
      </c>
      <c r="B731" t="s">
        <v>593</v>
      </c>
      <c r="C731">
        <v>25840</v>
      </c>
      <c r="D731" t="s">
        <v>27</v>
      </c>
      <c r="E731">
        <v>3</v>
      </c>
      <c r="F731">
        <v>75.180000000000007</v>
      </c>
      <c r="G731" t="s">
        <v>58</v>
      </c>
      <c r="H731">
        <v>0.39</v>
      </c>
      <c r="I731" t="s">
        <v>29</v>
      </c>
      <c r="J731">
        <v>29.79</v>
      </c>
      <c r="K731" t="s">
        <v>37</v>
      </c>
      <c r="L731" t="s">
        <v>31</v>
      </c>
      <c r="M731" t="s">
        <v>22</v>
      </c>
      <c r="N731" t="s">
        <v>32</v>
      </c>
      <c r="O731" t="s">
        <v>59</v>
      </c>
      <c r="P731" t="s">
        <v>25</v>
      </c>
    </row>
    <row r="732" spans="1:16" x14ac:dyDescent="0.25">
      <c r="A732" s="1">
        <v>45700</v>
      </c>
      <c r="B732" t="s">
        <v>594</v>
      </c>
      <c r="C732">
        <v>42199</v>
      </c>
      <c r="D732" t="s">
        <v>89</v>
      </c>
      <c r="E732">
        <v>44</v>
      </c>
      <c r="F732">
        <v>2.7</v>
      </c>
      <c r="G732" t="s">
        <v>28</v>
      </c>
      <c r="H732">
        <v>0.27</v>
      </c>
      <c r="I732" t="s">
        <v>19</v>
      </c>
      <c r="J732">
        <v>21.89</v>
      </c>
      <c r="K732" t="s">
        <v>20</v>
      </c>
      <c r="L732" t="s">
        <v>21</v>
      </c>
      <c r="M732" t="s">
        <v>22</v>
      </c>
      <c r="N732" t="s">
        <v>32</v>
      </c>
      <c r="O732" t="s">
        <v>33</v>
      </c>
      <c r="P732" t="s">
        <v>34</v>
      </c>
    </row>
    <row r="733" spans="1:16" x14ac:dyDescent="0.25">
      <c r="A733" s="1">
        <v>45700</v>
      </c>
      <c r="B733" t="s">
        <v>595</v>
      </c>
      <c r="C733">
        <v>28308</v>
      </c>
      <c r="D733" t="s">
        <v>68</v>
      </c>
      <c r="E733">
        <v>8</v>
      </c>
      <c r="F733">
        <v>7.28</v>
      </c>
      <c r="G733" t="s">
        <v>55</v>
      </c>
      <c r="H733">
        <v>0.06</v>
      </c>
      <c r="I733" t="s">
        <v>19</v>
      </c>
      <c r="J733">
        <v>24.08</v>
      </c>
      <c r="K733" t="s">
        <v>44</v>
      </c>
      <c r="L733" t="s">
        <v>31</v>
      </c>
      <c r="M733" t="s">
        <v>111</v>
      </c>
      <c r="N733" t="s">
        <v>53</v>
      </c>
      <c r="O733" t="s">
        <v>59</v>
      </c>
      <c r="P733" t="s">
        <v>34</v>
      </c>
    </row>
    <row r="734" spans="1:16" x14ac:dyDescent="0.25">
      <c r="A734" s="1">
        <v>45700</v>
      </c>
      <c r="B734" t="s">
        <v>596</v>
      </c>
      <c r="C734">
        <v>20509</v>
      </c>
      <c r="D734" t="s">
        <v>75</v>
      </c>
      <c r="E734">
        <v>14</v>
      </c>
      <c r="F734">
        <v>32.17</v>
      </c>
      <c r="G734" t="s">
        <v>72</v>
      </c>
      <c r="H734">
        <v>0.04</v>
      </c>
      <c r="I734" t="s">
        <v>61</v>
      </c>
      <c r="J734">
        <v>6.73</v>
      </c>
      <c r="K734" t="s">
        <v>37</v>
      </c>
      <c r="L734" t="s">
        <v>31</v>
      </c>
      <c r="M734" t="s">
        <v>22</v>
      </c>
      <c r="N734" t="s">
        <v>53</v>
      </c>
      <c r="O734" t="s">
        <v>24</v>
      </c>
      <c r="P734" t="s">
        <v>40</v>
      </c>
    </row>
    <row r="735" spans="1:16" x14ac:dyDescent="0.25">
      <c r="A735" s="1">
        <v>45700</v>
      </c>
      <c r="B735" t="s">
        <v>91</v>
      </c>
      <c r="C735">
        <v>49597</v>
      </c>
      <c r="D735" t="s">
        <v>27</v>
      </c>
      <c r="E735">
        <v>27</v>
      </c>
      <c r="F735">
        <v>82.79</v>
      </c>
      <c r="G735" t="s">
        <v>18</v>
      </c>
      <c r="H735">
        <v>0.48</v>
      </c>
      <c r="I735" t="s">
        <v>61</v>
      </c>
      <c r="J735">
        <v>29.3</v>
      </c>
      <c r="K735" t="s">
        <v>20</v>
      </c>
      <c r="L735" t="s">
        <v>21</v>
      </c>
      <c r="M735" t="s">
        <v>22</v>
      </c>
      <c r="N735" t="s">
        <v>23</v>
      </c>
      <c r="O735" t="s">
        <v>59</v>
      </c>
      <c r="P735" t="s">
        <v>40</v>
      </c>
    </row>
    <row r="736" spans="1:16" x14ac:dyDescent="0.25">
      <c r="A736" s="1">
        <v>45700</v>
      </c>
      <c r="B736" t="s">
        <v>597</v>
      </c>
      <c r="C736">
        <v>88802</v>
      </c>
      <c r="D736" t="s">
        <v>46</v>
      </c>
      <c r="E736">
        <v>49</v>
      </c>
      <c r="F736">
        <v>72.569999999999993</v>
      </c>
      <c r="G736" t="s">
        <v>99</v>
      </c>
      <c r="H736">
        <v>0</v>
      </c>
      <c r="I736" t="s">
        <v>61</v>
      </c>
      <c r="J736">
        <v>12.43</v>
      </c>
      <c r="K736" t="s">
        <v>44</v>
      </c>
      <c r="L736" t="s">
        <v>31</v>
      </c>
      <c r="M736" t="s">
        <v>22</v>
      </c>
      <c r="N736" t="s">
        <v>38</v>
      </c>
      <c r="O736" t="s">
        <v>33</v>
      </c>
      <c r="P736" t="s">
        <v>34</v>
      </c>
    </row>
    <row r="737" spans="1:16" x14ac:dyDescent="0.25">
      <c r="A737" s="1">
        <v>45700</v>
      </c>
      <c r="B737" t="s">
        <v>286</v>
      </c>
      <c r="C737">
        <v>24170</v>
      </c>
      <c r="D737" t="s">
        <v>75</v>
      </c>
      <c r="E737">
        <v>25</v>
      </c>
      <c r="F737">
        <v>81.41</v>
      </c>
      <c r="G737" t="s">
        <v>99</v>
      </c>
      <c r="H737">
        <v>0.12</v>
      </c>
      <c r="I737" t="s">
        <v>61</v>
      </c>
      <c r="J737">
        <v>15.64</v>
      </c>
      <c r="K737" t="s">
        <v>44</v>
      </c>
      <c r="L737" t="s">
        <v>31</v>
      </c>
      <c r="M737" t="s">
        <v>111</v>
      </c>
      <c r="N737" t="s">
        <v>38</v>
      </c>
      <c r="O737" t="s">
        <v>24</v>
      </c>
      <c r="P737" t="s">
        <v>34</v>
      </c>
    </row>
    <row r="738" spans="1:16" x14ac:dyDescent="0.25">
      <c r="A738" s="1">
        <v>45700</v>
      </c>
      <c r="B738" t="s">
        <v>443</v>
      </c>
      <c r="C738">
        <v>45661</v>
      </c>
      <c r="D738" t="s">
        <v>66</v>
      </c>
      <c r="E738">
        <v>1</v>
      </c>
      <c r="F738">
        <v>63.07</v>
      </c>
      <c r="G738" t="s">
        <v>84</v>
      </c>
      <c r="H738">
        <v>0.31</v>
      </c>
      <c r="I738" t="s">
        <v>19</v>
      </c>
      <c r="J738">
        <v>8.15</v>
      </c>
      <c r="K738" t="s">
        <v>44</v>
      </c>
      <c r="L738" t="s">
        <v>31</v>
      </c>
      <c r="M738" t="s">
        <v>22</v>
      </c>
      <c r="N738" t="s">
        <v>53</v>
      </c>
      <c r="O738" t="s">
        <v>39</v>
      </c>
      <c r="P738" t="s">
        <v>34</v>
      </c>
    </row>
    <row r="739" spans="1:16" x14ac:dyDescent="0.25">
      <c r="A739" s="1">
        <v>45700</v>
      </c>
      <c r="B739" t="s">
        <v>598</v>
      </c>
      <c r="C739">
        <v>18907</v>
      </c>
      <c r="D739" t="s">
        <v>89</v>
      </c>
      <c r="E739">
        <v>36</v>
      </c>
      <c r="F739">
        <v>94.65</v>
      </c>
      <c r="G739" t="s">
        <v>58</v>
      </c>
      <c r="H739">
        <v>0.25</v>
      </c>
      <c r="I739" t="s">
        <v>29</v>
      </c>
      <c r="J739">
        <v>22.59</v>
      </c>
      <c r="K739" t="s">
        <v>50</v>
      </c>
      <c r="L739" t="s">
        <v>21</v>
      </c>
      <c r="M739" t="s">
        <v>22</v>
      </c>
      <c r="N739" t="s">
        <v>23</v>
      </c>
      <c r="O739" t="s">
        <v>59</v>
      </c>
      <c r="P739" t="s">
        <v>34</v>
      </c>
    </row>
    <row r="740" spans="1:16" x14ac:dyDescent="0.25">
      <c r="A740" s="1">
        <v>45700</v>
      </c>
      <c r="B740" t="s">
        <v>180</v>
      </c>
      <c r="C740">
        <v>66617</v>
      </c>
      <c r="D740" t="s">
        <v>42</v>
      </c>
      <c r="E740">
        <v>24</v>
      </c>
      <c r="F740">
        <v>85.51</v>
      </c>
      <c r="G740" t="s">
        <v>76</v>
      </c>
      <c r="H740">
        <v>0.33</v>
      </c>
      <c r="I740" t="s">
        <v>19</v>
      </c>
      <c r="J740">
        <v>28.3</v>
      </c>
      <c r="K740" t="s">
        <v>37</v>
      </c>
      <c r="L740" t="s">
        <v>31</v>
      </c>
      <c r="M740" t="s">
        <v>22</v>
      </c>
      <c r="N740" t="s">
        <v>53</v>
      </c>
      <c r="O740" t="s">
        <v>33</v>
      </c>
      <c r="P740" t="s">
        <v>34</v>
      </c>
    </row>
    <row r="741" spans="1:16" x14ac:dyDescent="0.25">
      <c r="A741" s="1">
        <v>45700</v>
      </c>
      <c r="B741" t="s">
        <v>85</v>
      </c>
      <c r="C741">
        <v>24364</v>
      </c>
      <c r="D741" t="s">
        <v>75</v>
      </c>
      <c r="E741">
        <v>43</v>
      </c>
      <c r="F741">
        <v>40.479999999999997</v>
      </c>
      <c r="G741" t="s">
        <v>47</v>
      </c>
      <c r="H741">
        <v>0.21</v>
      </c>
      <c r="I741" t="s">
        <v>61</v>
      </c>
      <c r="J741">
        <v>28.03</v>
      </c>
      <c r="K741" t="s">
        <v>20</v>
      </c>
      <c r="L741" t="s">
        <v>31</v>
      </c>
      <c r="M741" t="s">
        <v>22</v>
      </c>
      <c r="N741" t="s">
        <v>38</v>
      </c>
      <c r="O741" t="s">
        <v>59</v>
      </c>
      <c r="P741" t="s">
        <v>25</v>
      </c>
    </row>
    <row r="742" spans="1:16" x14ac:dyDescent="0.25">
      <c r="A742" s="1">
        <v>45700</v>
      </c>
      <c r="B742" t="s">
        <v>599</v>
      </c>
      <c r="C742">
        <v>20613</v>
      </c>
      <c r="D742" t="s">
        <v>75</v>
      </c>
      <c r="E742">
        <v>31</v>
      </c>
      <c r="F742">
        <v>65.88</v>
      </c>
      <c r="G742" t="s">
        <v>58</v>
      </c>
      <c r="H742">
        <v>0.18</v>
      </c>
      <c r="I742" t="s">
        <v>61</v>
      </c>
      <c r="J742">
        <v>10.92</v>
      </c>
      <c r="K742" s="4" t="s">
        <v>727</v>
      </c>
      <c r="L742" t="s">
        <v>21</v>
      </c>
      <c r="M742" t="s">
        <v>22</v>
      </c>
      <c r="N742" t="s">
        <v>53</v>
      </c>
      <c r="O742" t="s">
        <v>59</v>
      </c>
      <c r="P742" t="s">
        <v>40</v>
      </c>
    </row>
    <row r="743" spans="1:16" x14ac:dyDescent="0.25">
      <c r="A743" s="1">
        <v>45700</v>
      </c>
      <c r="B743" t="s">
        <v>62</v>
      </c>
      <c r="C743">
        <v>23673</v>
      </c>
      <c r="D743" t="s">
        <v>42</v>
      </c>
      <c r="E743">
        <v>27</v>
      </c>
      <c r="F743">
        <v>69.33</v>
      </c>
      <c r="G743" t="s">
        <v>58</v>
      </c>
      <c r="H743">
        <v>0.43</v>
      </c>
      <c r="I743" t="s">
        <v>61</v>
      </c>
      <c r="J743">
        <v>23.65</v>
      </c>
      <c r="K743" t="s">
        <v>50</v>
      </c>
      <c r="L743" t="s">
        <v>21</v>
      </c>
      <c r="M743" t="s">
        <v>22</v>
      </c>
      <c r="N743" t="s">
        <v>32</v>
      </c>
      <c r="O743" t="s">
        <v>39</v>
      </c>
      <c r="P743" t="s">
        <v>25</v>
      </c>
    </row>
    <row r="744" spans="1:16" x14ac:dyDescent="0.25">
      <c r="A744" s="1">
        <v>45700</v>
      </c>
      <c r="B744" t="s">
        <v>80</v>
      </c>
      <c r="C744">
        <v>84574</v>
      </c>
      <c r="D744" t="s">
        <v>46</v>
      </c>
      <c r="E744">
        <v>43</v>
      </c>
      <c r="F744">
        <v>27.6</v>
      </c>
      <c r="G744" t="s">
        <v>36</v>
      </c>
      <c r="H744">
        <v>0.23</v>
      </c>
      <c r="I744" t="s">
        <v>61</v>
      </c>
      <c r="J744">
        <v>14.95</v>
      </c>
      <c r="K744" t="s">
        <v>50</v>
      </c>
      <c r="L744" t="s">
        <v>31</v>
      </c>
      <c r="M744" t="s">
        <v>22</v>
      </c>
      <c r="N744" t="s">
        <v>23</v>
      </c>
      <c r="O744" t="s">
        <v>33</v>
      </c>
      <c r="P744" t="s">
        <v>34</v>
      </c>
    </row>
    <row r="745" spans="1:16" x14ac:dyDescent="0.25">
      <c r="A745" s="1">
        <v>45700</v>
      </c>
      <c r="B745" t="s">
        <v>600</v>
      </c>
      <c r="C745">
        <v>58786</v>
      </c>
      <c r="D745" t="s">
        <v>27</v>
      </c>
      <c r="E745">
        <v>28</v>
      </c>
      <c r="F745">
        <v>66.760000000000005</v>
      </c>
      <c r="G745" t="s">
        <v>36</v>
      </c>
      <c r="H745">
        <v>0.23</v>
      </c>
      <c r="I745" t="s">
        <v>19</v>
      </c>
      <c r="J745">
        <v>19.420000000000002</v>
      </c>
      <c r="K745" t="s">
        <v>50</v>
      </c>
      <c r="L745" t="s">
        <v>31</v>
      </c>
      <c r="M745" t="s">
        <v>22</v>
      </c>
      <c r="N745" t="s">
        <v>23</v>
      </c>
      <c r="O745" t="s">
        <v>33</v>
      </c>
      <c r="P745" t="s">
        <v>34</v>
      </c>
    </row>
    <row r="746" spans="1:16" x14ac:dyDescent="0.25">
      <c r="A746" s="1">
        <v>45700</v>
      </c>
      <c r="B746" t="s">
        <v>402</v>
      </c>
      <c r="C746">
        <v>63943</v>
      </c>
      <c r="D746" t="s">
        <v>75</v>
      </c>
      <c r="E746">
        <v>31</v>
      </c>
      <c r="F746">
        <v>13.9</v>
      </c>
      <c r="G746" t="s">
        <v>84</v>
      </c>
      <c r="H746">
        <v>0.27</v>
      </c>
      <c r="I746" t="s">
        <v>61</v>
      </c>
      <c r="J746">
        <v>14.15</v>
      </c>
      <c r="K746" t="s">
        <v>20</v>
      </c>
      <c r="L746" t="s">
        <v>31</v>
      </c>
      <c r="M746" t="s">
        <v>22</v>
      </c>
      <c r="N746" t="s">
        <v>23</v>
      </c>
      <c r="O746" t="s">
        <v>81</v>
      </c>
      <c r="P746" t="s">
        <v>40</v>
      </c>
    </row>
    <row r="747" spans="1:16" x14ac:dyDescent="0.25">
      <c r="A747" s="1">
        <v>45700</v>
      </c>
      <c r="B747" t="s">
        <v>601</v>
      </c>
      <c r="C747">
        <v>33149</v>
      </c>
      <c r="D747" t="s">
        <v>70</v>
      </c>
      <c r="E747">
        <v>30</v>
      </c>
      <c r="F747">
        <v>22.8</v>
      </c>
      <c r="G747" t="s">
        <v>28</v>
      </c>
      <c r="H747">
        <v>0.21</v>
      </c>
      <c r="I747" t="s">
        <v>19</v>
      </c>
      <c r="J747">
        <v>26.41</v>
      </c>
      <c r="K747" t="s">
        <v>44</v>
      </c>
      <c r="L747" t="s">
        <v>31</v>
      </c>
      <c r="M747" t="s">
        <v>22</v>
      </c>
      <c r="N747" t="s">
        <v>32</v>
      </c>
      <c r="O747" t="s">
        <v>59</v>
      </c>
      <c r="P747" t="s">
        <v>25</v>
      </c>
    </row>
    <row r="748" spans="1:16" x14ac:dyDescent="0.25">
      <c r="A748" s="1">
        <v>45700</v>
      </c>
      <c r="B748" t="s">
        <v>587</v>
      </c>
      <c r="C748">
        <v>40773</v>
      </c>
      <c r="D748" t="s">
        <v>27</v>
      </c>
      <c r="E748">
        <v>13</v>
      </c>
      <c r="F748">
        <v>94.81</v>
      </c>
      <c r="G748" t="s">
        <v>52</v>
      </c>
      <c r="H748">
        <v>0.27</v>
      </c>
      <c r="I748" t="s">
        <v>19</v>
      </c>
      <c r="J748">
        <v>12.8</v>
      </c>
      <c r="K748" t="s">
        <v>30</v>
      </c>
      <c r="L748" t="s">
        <v>31</v>
      </c>
      <c r="M748" t="s">
        <v>22</v>
      </c>
      <c r="N748" t="s">
        <v>38</v>
      </c>
      <c r="O748" t="s">
        <v>24</v>
      </c>
      <c r="P748" t="s">
        <v>40</v>
      </c>
    </row>
    <row r="749" spans="1:16" x14ac:dyDescent="0.25">
      <c r="A749" s="1">
        <v>45700</v>
      </c>
      <c r="B749" t="s">
        <v>602</v>
      </c>
      <c r="C749">
        <v>92099</v>
      </c>
      <c r="D749" t="s">
        <v>27</v>
      </c>
      <c r="E749">
        <v>12</v>
      </c>
      <c r="F749">
        <v>57.92</v>
      </c>
      <c r="G749" t="s">
        <v>55</v>
      </c>
      <c r="H749">
        <v>0.5</v>
      </c>
      <c r="I749" t="s">
        <v>61</v>
      </c>
      <c r="J749">
        <v>5.68</v>
      </c>
      <c r="K749" t="s">
        <v>20</v>
      </c>
      <c r="L749" t="s">
        <v>31</v>
      </c>
      <c r="M749" t="s">
        <v>111</v>
      </c>
      <c r="N749" t="s">
        <v>32</v>
      </c>
      <c r="O749" t="s">
        <v>59</v>
      </c>
      <c r="P749" t="s">
        <v>40</v>
      </c>
    </row>
    <row r="750" spans="1:16" x14ac:dyDescent="0.25">
      <c r="A750" s="1">
        <v>45701</v>
      </c>
      <c r="B750" t="s">
        <v>603</v>
      </c>
      <c r="C750">
        <v>22213</v>
      </c>
      <c r="D750" t="s">
        <v>70</v>
      </c>
      <c r="E750">
        <v>30</v>
      </c>
      <c r="F750">
        <v>58.01</v>
      </c>
      <c r="G750" t="s">
        <v>72</v>
      </c>
      <c r="H750">
        <v>0.27</v>
      </c>
      <c r="I750" t="s">
        <v>19</v>
      </c>
      <c r="J750">
        <v>6.7</v>
      </c>
      <c r="K750" t="s">
        <v>44</v>
      </c>
      <c r="L750" t="s">
        <v>31</v>
      </c>
      <c r="M750" t="s">
        <v>22</v>
      </c>
      <c r="N750" t="s">
        <v>38</v>
      </c>
      <c r="O750" t="s">
        <v>24</v>
      </c>
      <c r="P750" t="s">
        <v>40</v>
      </c>
    </row>
    <row r="751" spans="1:16" x14ac:dyDescent="0.25">
      <c r="A751" s="1">
        <v>45701</v>
      </c>
      <c r="B751" t="s">
        <v>604</v>
      </c>
      <c r="C751">
        <v>53514</v>
      </c>
      <c r="D751" t="s">
        <v>57</v>
      </c>
      <c r="E751">
        <v>43</v>
      </c>
      <c r="F751">
        <v>56.9</v>
      </c>
      <c r="G751" t="s">
        <v>47</v>
      </c>
      <c r="H751">
        <v>0.09</v>
      </c>
      <c r="I751" t="s">
        <v>29</v>
      </c>
      <c r="J751">
        <v>12.43</v>
      </c>
      <c r="K751" t="s">
        <v>37</v>
      </c>
      <c r="L751" t="s">
        <v>21</v>
      </c>
      <c r="M751" t="s">
        <v>22</v>
      </c>
      <c r="N751" t="s">
        <v>53</v>
      </c>
      <c r="O751" t="s">
        <v>81</v>
      </c>
      <c r="P751" t="s">
        <v>25</v>
      </c>
    </row>
    <row r="752" spans="1:16" x14ac:dyDescent="0.25">
      <c r="A752" s="1">
        <v>45701</v>
      </c>
      <c r="B752" t="s">
        <v>597</v>
      </c>
      <c r="C752">
        <v>59142</v>
      </c>
      <c r="D752" t="s">
        <v>89</v>
      </c>
      <c r="E752">
        <v>48</v>
      </c>
      <c r="F752">
        <v>12.47</v>
      </c>
      <c r="G752" t="s">
        <v>99</v>
      </c>
      <c r="H752">
        <v>0.18</v>
      </c>
      <c r="I752" t="s">
        <v>29</v>
      </c>
      <c r="J752">
        <v>9.49</v>
      </c>
      <c r="K752" t="s">
        <v>20</v>
      </c>
      <c r="L752" t="s">
        <v>31</v>
      </c>
      <c r="M752" t="s">
        <v>22</v>
      </c>
      <c r="N752" t="s">
        <v>32</v>
      </c>
      <c r="O752" t="s">
        <v>24</v>
      </c>
      <c r="P752" t="s">
        <v>25</v>
      </c>
    </row>
    <row r="753" spans="1:16" x14ac:dyDescent="0.25">
      <c r="A753" s="1">
        <v>45701</v>
      </c>
      <c r="B753" t="s">
        <v>127</v>
      </c>
      <c r="C753">
        <v>16455</v>
      </c>
      <c r="D753" t="s">
        <v>70</v>
      </c>
      <c r="E753">
        <v>49</v>
      </c>
      <c r="F753">
        <v>14.27</v>
      </c>
      <c r="G753" t="s">
        <v>76</v>
      </c>
      <c r="H753">
        <v>0.41</v>
      </c>
      <c r="I753" t="s">
        <v>29</v>
      </c>
      <c r="J753">
        <v>11.91</v>
      </c>
      <c r="K753" t="s">
        <v>30</v>
      </c>
      <c r="L753" t="s">
        <v>31</v>
      </c>
      <c r="M753" t="s">
        <v>22</v>
      </c>
      <c r="N753" t="s">
        <v>53</v>
      </c>
      <c r="O753" t="s">
        <v>59</v>
      </c>
      <c r="P753" t="s">
        <v>40</v>
      </c>
    </row>
    <row r="754" spans="1:16" x14ac:dyDescent="0.25">
      <c r="A754" s="1">
        <v>45701</v>
      </c>
      <c r="B754" t="s">
        <v>605</v>
      </c>
      <c r="C754">
        <v>57141</v>
      </c>
      <c r="D754" t="s">
        <v>66</v>
      </c>
      <c r="E754">
        <v>39</v>
      </c>
      <c r="F754">
        <v>86.32</v>
      </c>
      <c r="G754" t="s">
        <v>36</v>
      </c>
      <c r="H754">
        <v>0.06</v>
      </c>
      <c r="I754" t="s">
        <v>61</v>
      </c>
      <c r="J754">
        <v>15.49</v>
      </c>
      <c r="K754" t="s">
        <v>30</v>
      </c>
      <c r="L754" t="s">
        <v>31</v>
      </c>
      <c r="M754" t="s">
        <v>111</v>
      </c>
      <c r="N754" t="s">
        <v>23</v>
      </c>
      <c r="O754" t="s">
        <v>24</v>
      </c>
      <c r="P754" t="s">
        <v>34</v>
      </c>
    </row>
    <row r="755" spans="1:16" x14ac:dyDescent="0.25">
      <c r="A755" s="1">
        <v>45701</v>
      </c>
      <c r="B755" t="s">
        <v>172</v>
      </c>
      <c r="C755">
        <v>75513</v>
      </c>
      <c r="D755" t="s">
        <v>46</v>
      </c>
      <c r="E755">
        <v>4</v>
      </c>
      <c r="F755">
        <v>28.14</v>
      </c>
      <c r="G755" t="s">
        <v>55</v>
      </c>
      <c r="H755">
        <v>0</v>
      </c>
      <c r="I755" t="s">
        <v>61</v>
      </c>
      <c r="J755">
        <v>9.24</v>
      </c>
      <c r="K755" t="s">
        <v>30</v>
      </c>
      <c r="L755" t="s">
        <v>31</v>
      </c>
      <c r="M755" t="s">
        <v>22</v>
      </c>
      <c r="N755" t="s">
        <v>23</v>
      </c>
      <c r="O755" t="s">
        <v>39</v>
      </c>
      <c r="P755" t="s">
        <v>40</v>
      </c>
    </row>
    <row r="756" spans="1:16" x14ac:dyDescent="0.25">
      <c r="A756" s="1">
        <v>45701</v>
      </c>
      <c r="B756" t="s">
        <v>606</v>
      </c>
      <c r="C756">
        <v>90392</v>
      </c>
      <c r="D756" t="s">
        <v>17</v>
      </c>
      <c r="E756">
        <v>17</v>
      </c>
      <c r="F756">
        <v>47.37</v>
      </c>
      <c r="G756" t="s">
        <v>76</v>
      </c>
      <c r="H756">
        <v>0.15</v>
      </c>
      <c r="I756" t="s">
        <v>19</v>
      </c>
      <c r="J756">
        <v>29.96</v>
      </c>
      <c r="K756" t="s">
        <v>30</v>
      </c>
      <c r="L756" t="s">
        <v>21</v>
      </c>
      <c r="M756" t="s">
        <v>111</v>
      </c>
      <c r="N756" t="s">
        <v>38</v>
      </c>
      <c r="O756" t="s">
        <v>33</v>
      </c>
      <c r="P756" t="s">
        <v>34</v>
      </c>
    </row>
    <row r="757" spans="1:16" x14ac:dyDescent="0.25">
      <c r="A757" s="1">
        <v>45701</v>
      </c>
      <c r="B757" t="s">
        <v>607</v>
      </c>
      <c r="C757">
        <v>75065</v>
      </c>
      <c r="D757" t="s">
        <v>68</v>
      </c>
      <c r="E757">
        <v>44</v>
      </c>
      <c r="F757">
        <v>1.54</v>
      </c>
      <c r="G757" t="s">
        <v>43</v>
      </c>
      <c r="H757">
        <v>0.14000000000000001</v>
      </c>
      <c r="I757" t="s">
        <v>19</v>
      </c>
      <c r="J757">
        <v>12.87</v>
      </c>
      <c r="K757" t="s">
        <v>30</v>
      </c>
      <c r="L757" t="s">
        <v>21</v>
      </c>
      <c r="M757" t="s">
        <v>22</v>
      </c>
      <c r="N757" t="s">
        <v>53</v>
      </c>
      <c r="O757" t="s">
        <v>39</v>
      </c>
      <c r="P757" t="s">
        <v>34</v>
      </c>
    </row>
    <row r="758" spans="1:16" x14ac:dyDescent="0.25">
      <c r="A758" s="1">
        <v>45701</v>
      </c>
      <c r="B758" t="s">
        <v>608</v>
      </c>
      <c r="C758">
        <v>56000</v>
      </c>
      <c r="D758" t="s">
        <v>89</v>
      </c>
      <c r="E758">
        <v>1</v>
      </c>
      <c r="F758">
        <v>13.94</v>
      </c>
      <c r="G758" t="s">
        <v>43</v>
      </c>
      <c r="H758">
        <v>0.05</v>
      </c>
      <c r="I758" t="s">
        <v>61</v>
      </c>
      <c r="J758">
        <v>19.28</v>
      </c>
      <c r="K758" t="s">
        <v>50</v>
      </c>
      <c r="L758" t="s">
        <v>31</v>
      </c>
      <c r="M758" t="s">
        <v>111</v>
      </c>
      <c r="N758" t="s">
        <v>23</v>
      </c>
      <c r="O758" t="s">
        <v>33</v>
      </c>
      <c r="P758" t="s">
        <v>25</v>
      </c>
    </row>
    <row r="759" spans="1:16" x14ac:dyDescent="0.25">
      <c r="A759" s="1">
        <v>45701</v>
      </c>
      <c r="B759" t="s">
        <v>151</v>
      </c>
      <c r="C759">
        <v>39906</v>
      </c>
      <c r="D759" t="s">
        <v>27</v>
      </c>
      <c r="E759">
        <v>44</v>
      </c>
      <c r="F759">
        <v>52.56</v>
      </c>
      <c r="G759" t="s">
        <v>76</v>
      </c>
      <c r="H759">
        <v>0.41</v>
      </c>
      <c r="I759" t="s">
        <v>29</v>
      </c>
      <c r="J759">
        <v>28.13</v>
      </c>
      <c r="K759" t="s">
        <v>20</v>
      </c>
      <c r="L759" t="s">
        <v>31</v>
      </c>
      <c r="M759" t="s">
        <v>22</v>
      </c>
      <c r="N759" t="s">
        <v>23</v>
      </c>
      <c r="O759" t="s">
        <v>59</v>
      </c>
      <c r="P759" t="s">
        <v>40</v>
      </c>
    </row>
    <row r="760" spans="1:16" x14ac:dyDescent="0.25">
      <c r="A760" s="1">
        <v>45701</v>
      </c>
      <c r="B760" t="s">
        <v>609</v>
      </c>
      <c r="C760">
        <v>33789</v>
      </c>
      <c r="D760" t="s">
        <v>70</v>
      </c>
      <c r="E760">
        <v>16</v>
      </c>
      <c r="F760">
        <v>6.55</v>
      </c>
      <c r="G760" t="s">
        <v>47</v>
      </c>
      <c r="H760">
        <v>0.44</v>
      </c>
      <c r="I760" t="s">
        <v>61</v>
      </c>
      <c r="J760">
        <v>20.149999999999999</v>
      </c>
      <c r="K760" t="s">
        <v>20</v>
      </c>
      <c r="L760" t="s">
        <v>31</v>
      </c>
      <c r="M760" t="s">
        <v>111</v>
      </c>
      <c r="N760" t="s">
        <v>53</v>
      </c>
      <c r="O760" t="s">
        <v>33</v>
      </c>
      <c r="P760" t="s">
        <v>40</v>
      </c>
    </row>
    <row r="761" spans="1:16" x14ac:dyDescent="0.25">
      <c r="A761" s="1">
        <v>45701</v>
      </c>
      <c r="B761" t="s">
        <v>610</v>
      </c>
      <c r="C761">
        <v>25174</v>
      </c>
      <c r="D761" t="s">
        <v>66</v>
      </c>
      <c r="E761">
        <v>10</v>
      </c>
      <c r="F761">
        <v>73.92</v>
      </c>
      <c r="G761" t="s">
        <v>43</v>
      </c>
      <c r="H761">
        <v>0.41</v>
      </c>
      <c r="I761" t="s">
        <v>29</v>
      </c>
      <c r="J761">
        <v>26.43</v>
      </c>
      <c r="K761" t="s">
        <v>20</v>
      </c>
      <c r="L761" t="s">
        <v>31</v>
      </c>
      <c r="M761" t="s">
        <v>22</v>
      </c>
      <c r="N761" t="s">
        <v>38</v>
      </c>
      <c r="O761" t="s">
        <v>33</v>
      </c>
      <c r="P761" t="s">
        <v>34</v>
      </c>
    </row>
    <row r="762" spans="1:16" x14ac:dyDescent="0.25">
      <c r="A762" s="1">
        <v>45701</v>
      </c>
      <c r="B762" t="s">
        <v>611</v>
      </c>
      <c r="C762">
        <v>86332</v>
      </c>
      <c r="D762" t="s">
        <v>89</v>
      </c>
      <c r="E762">
        <v>2</v>
      </c>
      <c r="F762">
        <v>38.44</v>
      </c>
      <c r="G762" t="s">
        <v>52</v>
      </c>
      <c r="H762">
        <v>0.3</v>
      </c>
      <c r="I762" t="s">
        <v>19</v>
      </c>
      <c r="J762">
        <v>19.66</v>
      </c>
      <c r="K762" t="s">
        <v>44</v>
      </c>
      <c r="L762" t="s">
        <v>21</v>
      </c>
      <c r="M762" t="s">
        <v>22</v>
      </c>
      <c r="N762" t="s">
        <v>53</v>
      </c>
      <c r="O762" t="s">
        <v>33</v>
      </c>
      <c r="P762" t="s">
        <v>34</v>
      </c>
    </row>
    <row r="763" spans="1:16" x14ac:dyDescent="0.25">
      <c r="A763" s="1">
        <v>45701</v>
      </c>
      <c r="B763" t="s">
        <v>612</v>
      </c>
      <c r="C763">
        <v>48221</v>
      </c>
      <c r="D763" t="s">
        <v>42</v>
      </c>
      <c r="E763">
        <v>11</v>
      </c>
      <c r="F763">
        <v>99.17</v>
      </c>
      <c r="G763" t="s">
        <v>58</v>
      </c>
      <c r="H763">
        <v>0.28000000000000003</v>
      </c>
      <c r="I763" t="s">
        <v>29</v>
      </c>
      <c r="J763">
        <v>21.08</v>
      </c>
      <c r="K763" t="s">
        <v>44</v>
      </c>
      <c r="L763" t="s">
        <v>31</v>
      </c>
      <c r="M763" t="s">
        <v>22</v>
      </c>
      <c r="N763" t="s">
        <v>32</v>
      </c>
      <c r="O763" t="s">
        <v>39</v>
      </c>
      <c r="P763" t="s">
        <v>40</v>
      </c>
    </row>
    <row r="764" spans="1:16" x14ac:dyDescent="0.25">
      <c r="A764" s="1">
        <v>45701</v>
      </c>
      <c r="B764" t="s">
        <v>613</v>
      </c>
      <c r="C764">
        <v>65448</v>
      </c>
      <c r="D764" t="s">
        <v>66</v>
      </c>
      <c r="E764">
        <v>3</v>
      </c>
      <c r="F764">
        <v>26.1</v>
      </c>
      <c r="G764" t="s">
        <v>28</v>
      </c>
      <c r="H764">
        <v>0.48</v>
      </c>
      <c r="I764" t="s">
        <v>19</v>
      </c>
      <c r="J764">
        <v>10.45</v>
      </c>
      <c r="K764" t="s">
        <v>20</v>
      </c>
      <c r="L764" t="s">
        <v>31</v>
      </c>
      <c r="M764" t="s">
        <v>22</v>
      </c>
      <c r="N764" t="s">
        <v>23</v>
      </c>
      <c r="O764" t="s">
        <v>33</v>
      </c>
      <c r="P764" t="s">
        <v>34</v>
      </c>
    </row>
    <row r="765" spans="1:16" x14ac:dyDescent="0.25">
      <c r="A765" s="1">
        <v>45701</v>
      </c>
      <c r="B765" t="s">
        <v>163</v>
      </c>
      <c r="C765">
        <v>27058</v>
      </c>
      <c r="D765" t="s">
        <v>17</v>
      </c>
      <c r="E765">
        <v>8</v>
      </c>
      <c r="F765">
        <v>28.36</v>
      </c>
      <c r="G765" t="s">
        <v>84</v>
      </c>
      <c r="H765">
        <v>0.22</v>
      </c>
      <c r="I765" t="s">
        <v>19</v>
      </c>
      <c r="J765">
        <v>19</v>
      </c>
      <c r="K765" t="s">
        <v>20</v>
      </c>
      <c r="L765" t="s">
        <v>31</v>
      </c>
      <c r="M765" t="s">
        <v>22</v>
      </c>
      <c r="N765" t="s">
        <v>53</v>
      </c>
      <c r="O765" t="s">
        <v>33</v>
      </c>
      <c r="P765" t="s">
        <v>40</v>
      </c>
    </row>
    <row r="766" spans="1:16" x14ac:dyDescent="0.25">
      <c r="A766" s="1">
        <v>45701</v>
      </c>
      <c r="B766" t="s">
        <v>614</v>
      </c>
      <c r="C766">
        <v>97050</v>
      </c>
      <c r="D766" t="s">
        <v>17</v>
      </c>
      <c r="E766">
        <v>16</v>
      </c>
      <c r="F766">
        <v>96.46</v>
      </c>
      <c r="G766" t="s">
        <v>84</v>
      </c>
      <c r="H766">
        <v>0.05</v>
      </c>
      <c r="I766" t="s">
        <v>29</v>
      </c>
      <c r="J766">
        <v>12.15</v>
      </c>
      <c r="K766" t="s">
        <v>30</v>
      </c>
      <c r="L766" t="s">
        <v>21</v>
      </c>
      <c r="M766" t="s">
        <v>22</v>
      </c>
      <c r="N766" t="s">
        <v>53</v>
      </c>
      <c r="O766" t="s">
        <v>59</v>
      </c>
      <c r="P766" t="s">
        <v>34</v>
      </c>
    </row>
    <row r="767" spans="1:16" x14ac:dyDescent="0.25">
      <c r="A767" s="1">
        <v>45701</v>
      </c>
      <c r="B767" t="s">
        <v>615</v>
      </c>
      <c r="C767">
        <v>39808</v>
      </c>
      <c r="D767" t="s">
        <v>75</v>
      </c>
      <c r="E767">
        <v>47</v>
      </c>
      <c r="F767">
        <v>30.39</v>
      </c>
      <c r="G767" t="s">
        <v>55</v>
      </c>
      <c r="H767">
        <v>0.1</v>
      </c>
      <c r="I767" t="s">
        <v>19</v>
      </c>
      <c r="J767">
        <v>21.53</v>
      </c>
      <c r="K767" t="s">
        <v>50</v>
      </c>
      <c r="L767" t="s">
        <v>31</v>
      </c>
      <c r="M767" t="s">
        <v>22</v>
      </c>
      <c r="N767" t="s">
        <v>53</v>
      </c>
      <c r="O767" t="s">
        <v>59</v>
      </c>
      <c r="P767" t="s">
        <v>25</v>
      </c>
    </row>
    <row r="768" spans="1:16" x14ac:dyDescent="0.25">
      <c r="A768" s="1">
        <v>45701</v>
      </c>
      <c r="B768" t="s">
        <v>616</v>
      </c>
      <c r="C768">
        <v>39233</v>
      </c>
      <c r="D768" t="s">
        <v>89</v>
      </c>
      <c r="E768">
        <v>9</v>
      </c>
      <c r="F768">
        <v>67.260000000000005</v>
      </c>
      <c r="G768" t="s">
        <v>84</v>
      </c>
      <c r="H768">
        <v>0.37</v>
      </c>
      <c r="I768" t="s">
        <v>19</v>
      </c>
      <c r="J768">
        <v>11.74</v>
      </c>
      <c r="K768" t="s">
        <v>20</v>
      </c>
      <c r="L768" t="s">
        <v>31</v>
      </c>
      <c r="M768" t="s">
        <v>22</v>
      </c>
      <c r="N768" t="s">
        <v>32</v>
      </c>
      <c r="O768" t="s">
        <v>39</v>
      </c>
      <c r="P768" t="s">
        <v>40</v>
      </c>
    </row>
    <row r="769" spans="1:16" x14ac:dyDescent="0.25">
      <c r="A769" s="1">
        <v>45701</v>
      </c>
      <c r="B769" t="s">
        <v>617</v>
      </c>
      <c r="C769">
        <v>35544</v>
      </c>
      <c r="D769" t="s">
        <v>27</v>
      </c>
      <c r="E769">
        <v>46</v>
      </c>
      <c r="F769">
        <v>68.92</v>
      </c>
      <c r="G769" t="s">
        <v>58</v>
      </c>
      <c r="H769">
        <v>0.38</v>
      </c>
      <c r="I769" t="s">
        <v>29</v>
      </c>
      <c r="J769">
        <v>15.96</v>
      </c>
      <c r="K769" t="s">
        <v>20</v>
      </c>
      <c r="L769" t="s">
        <v>31</v>
      </c>
      <c r="M769" t="s">
        <v>22</v>
      </c>
      <c r="N769" t="s">
        <v>32</v>
      </c>
      <c r="O769" t="s">
        <v>39</v>
      </c>
      <c r="P769" t="s">
        <v>34</v>
      </c>
    </row>
    <row r="770" spans="1:16" x14ac:dyDescent="0.25">
      <c r="A770" s="1">
        <v>45701</v>
      </c>
      <c r="B770" t="s">
        <v>618</v>
      </c>
      <c r="C770">
        <v>35150</v>
      </c>
      <c r="D770" t="s">
        <v>70</v>
      </c>
      <c r="E770">
        <v>46</v>
      </c>
      <c r="F770">
        <v>83.44</v>
      </c>
      <c r="G770" t="s">
        <v>55</v>
      </c>
      <c r="H770">
        <v>0.24</v>
      </c>
      <c r="I770" t="s">
        <v>19</v>
      </c>
      <c r="J770">
        <v>21.49</v>
      </c>
      <c r="K770" t="s">
        <v>37</v>
      </c>
      <c r="L770" t="s">
        <v>31</v>
      </c>
      <c r="M770" t="s">
        <v>111</v>
      </c>
      <c r="N770" t="s">
        <v>32</v>
      </c>
      <c r="O770" t="s">
        <v>81</v>
      </c>
      <c r="P770" t="s">
        <v>25</v>
      </c>
    </row>
    <row r="771" spans="1:16" x14ac:dyDescent="0.25">
      <c r="A771" s="1">
        <v>45701</v>
      </c>
      <c r="B771" t="s">
        <v>219</v>
      </c>
      <c r="C771">
        <v>16019</v>
      </c>
      <c r="D771" t="s">
        <v>68</v>
      </c>
      <c r="E771">
        <v>27</v>
      </c>
      <c r="F771">
        <v>97.02</v>
      </c>
      <c r="G771" t="s">
        <v>52</v>
      </c>
      <c r="H771">
        <v>0.19</v>
      </c>
      <c r="I771" t="s">
        <v>61</v>
      </c>
      <c r="J771">
        <v>16.47</v>
      </c>
      <c r="K771" s="4" t="s">
        <v>729</v>
      </c>
      <c r="L771" t="s">
        <v>21</v>
      </c>
      <c r="M771" t="s">
        <v>22</v>
      </c>
      <c r="N771" t="s">
        <v>32</v>
      </c>
      <c r="O771" t="s">
        <v>59</v>
      </c>
      <c r="P771" t="s">
        <v>25</v>
      </c>
    </row>
    <row r="772" spans="1:16" x14ac:dyDescent="0.25">
      <c r="A772" s="1">
        <v>45702</v>
      </c>
      <c r="B772" t="s">
        <v>337</v>
      </c>
      <c r="C772">
        <v>28197</v>
      </c>
      <c r="D772" t="s">
        <v>17</v>
      </c>
      <c r="E772">
        <v>22</v>
      </c>
      <c r="F772">
        <v>57.2</v>
      </c>
      <c r="G772" t="s">
        <v>28</v>
      </c>
      <c r="H772">
        <v>7.0000000000000007E-2</v>
      </c>
      <c r="I772" t="s">
        <v>19</v>
      </c>
      <c r="J772">
        <v>18.399999999999999</v>
      </c>
      <c r="K772" t="s">
        <v>37</v>
      </c>
      <c r="L772" t="s">
        <v>31</v>
      </c>
      <c r="M772" t="s">
        <v>22</v>
      </c>
      <c r="N772" t="s">
        <v>23</v>
      </c>
      <c r="O772" t="s">
        <v>24</v>
      </c>
      <c r="P772" t="s">
        <v>25</v>
      </c>
    </row>
    <row r="773" spans="1:16" x14ac:dyDescent="0.25">
      <c r="A773" s="1">
        <v>45702</v>
      </c>
      <c r="B773" t="s">
        <v>247</v>
      </c>
      <c r="C773">
        <v>21633</v>
      </c>
      <c r="D773" t="s">
        <v>75</v>
      </c>
      <c r="E773">
        <v>27</v>
      </c>
      <c r="F773">
        <v>55.2</v>
      </c>
      <c r="G773" t="s">
        <v>18</v>
      </c>
      <c r="H773">
        <v>0.06</v>
      </c>
      <c r="I773" t="s">
        <v>61</v>
      </c>
      <c r="J773">
        <v>14.25</v>
      </c>
      <c r="K773" t="s">
        <v>44</v>
      </c>
      <c r="L773" t="s">
        <v>31</v>
      </c>
      <c r="M773" t="s">
        <v>22</v>
      </c>
      <c r="N773" t="s">
        <v>32</v>
      </c>
      <c r="O773" t="s">
        <v>39</v>
      </c>
      <c r="P773" t="s">
        <v>40</v>
      </c>
    </row>
    <row r="774" spans="1:16" x14ac:dyDescent="0.25">
      <c r="A774" s="1">
        <v>45702</v>
      </c>
      <c r="B774" t="s">
        <v>619</v>
      </c>
      <c r="C774">
        <v>68604</v>
      </c>
      <c r="D774" t="s">
        <v>17</v>
      </c>
      <c r="E774">
        <v>38</v>
      </c>
      <c r="F774">
        <v>34.590000000000003</v>
      </c>
      <c r="G774" t="s">
        <v>47</v>
      </c>
      <c r="H774">
        <v>0.46</v>
      </c>
      <c r="I774" t="s">
        <v>19</v>
      </c>
      <c r="J774">
        <v>20.57</v>
      </c>
      <c r="K774" t="s">
        <v>30</v>
      </c>
      <c r="L774" t="s">
        <v>31</v>
      </c>
      <c r="M774" t="s">
        <v>22</v>
      </c>
      <c r="N774" t="s">
        <v>23</v>
      </c>
      <c r="O774" t="s">
        <v>81</v>
      </c>
      <c r="P774" t="s">
        <v>25</v>
      </c>
    </row>
    <row r="775" spans="1:16" x14ac:dyDescent="0.25">
      <c r="A775" s="1">
        <v>45702</v>
      </c>
      <c r="B775" t="s">
        <v>334</v>
      </c>
      <c r="C775">
        <v>90393</v>
      </c>
      <c r="D775" t="s">
        <v>68</v>
      </c>
      <c r="E775">
        <v>6</v>
      </c>
      <c r="F775">
        <v>50.45</v>
      </c>
      <c r="G775" t="s">
        <v>55</v>
      </c>
      <c r="H775">
        <v>0.25</v>
      </c>
      <c r="I775" t="s">
        <v>19</v>
      </c>
      <c r="J775">
        <v>27.28</v>
      </c>
      <c r="K775" t="s">
        <v>20</v>
      </c>
      <c r="L775" t="s">
        <v>21</v>
      </c>
      <c r="M775" t="s">
        <v>22</v>
      </c>
      <c r="N775" t="s">
        <v>38</v>
      </c>
      <c r="O775" t="s">
        <v>39</v>
      </c>
      <c r="P775" t="s">
        <v>34</v>
      </c>
    </row>
    <row r="776" spans="1:16" x14ac:dyDescent="0.25">
      <c r="A776" s="1">
        <v>45702</v>
      </c>
      <c r="B776" t="s">
        <v>185</v>
      </c>
      <c r="C776">
        <v>72789</v>
      </c>
      <c r="D776" t="s">
        <v>42</v>
      </c>
      <c r="E776">
        <v>21</v>
      </c>
      <c r="F776">
        <v>20.61</v>
      </c>
      <c r="G776" t="s">
        <v>99</v>
      </c>
      <c r="H776">
        <v>0.12</v>
      </c>
      <c r="I776" t="s">
        <v>61</v>
      </c>
      <c r="J776">
        <v>13.46</v>
      </c>
      <c r="K776" t="s">
        <v>50</v>
      </c>
      <c r="L776" t="s">
        <v>31</v>
      </c>
      <c r="M776" t="s">
        <v>22</v>
      </c>
      <c r="N776" t="s">
        <v>53</v>
      </c>
      <c r="O776" t="s">
        <v>24</v>
      </c>
      <c r="P776" t="s">
        <v>34</v>
      </c>
    </row>
    <row r="777" spans="1:16" x14ac:dyDescent="0.25">
      <c r="A777" s="1">
        <v>45702</v>
      </c>
      <c r="B777" t="s">
        <v>145</v>
      </c>
      <c r="C777">
        <v>59870</v>
      </c>
      <c r="D777" t="s">
        <v>57</v>
      </c>
      <c r="E777">
        <v>7</v>
      </c>
      <c r="F777">
        <v>81.41</v>
      </c>
      <c r="G777" t="s">
        <v>72</v>
      </c>
      <c r="H777">
        <v>0.37</v>
      </c>
      <c r="I777" t="s">
        <v>61</v>
      </c>
      <c r="J777">
        <v>28.89</v>
      </c>
      <c r="K777" t="s">
        <v>50</v>
      </c>
      <c r="L777" t="s">
        <v>21</v>
      </c>
      <c r="M777" t="s">
        <v>22</v>
      </c>
      <c r="N777" t="s">
        <v>23</v>
      </c>
      <c r="O777" t="s">
        <v>81</v>
      </c>
      <c r="P777" t="s">
        <v>40</v>
      </c>
    </row>
    <row r="778" spans="1:16" x14ac:dyDescent="0.25">
      <c r="A778" s="1">
        <v>45702</v>
      </c>
      <c r="B778" t="s">
        <v>168</v>
      </c>
      <c r="C778">
        <v>62995</v>
      </c>
      <c r="D778" t="s">
        <v>57</v>
      </c>
      <c r="E778">
        <v>10</v>
      </c>
      <c r="F778">
        <v>7.45</v>
      </c>
      <c r="G778" t="s">
        <v>99</v>
      </c>
      <c r="H778">
        <v>0.13</v>
      </c>
      <c r="I778" t="s">
        <v>29</v>
      </c>
      <c r="J778">
        <v>28.73</v>
      </c>
      <c r="K778" t="s">
        <v>37</v>
      </c>
      <c r="L778" t="s">
        <v>31</v>
      </c>
      <c r="M778" t="s">
        <v>22</v>
      </c>
      <c r="N778" t="s">
        <v>53</v>
      </c>
      <c r="O778" t="s">
        <v>39</v>
      </c>
      <c r="P778" t="s">
        <v>25</v>
      </c>
    </row>
    <row r="779" spans="1:16" x14ac:dyDescent="0.25">
      <c r="A779" s="1">
        <v>45702</v>
      </c>
      <c r="B779" t="s">
        <v>148</v>
      </c>
      <c r="C779">
        <v>45850</v>
      </c>
      <c r="D779" t="s">
        <v>89</v>
      </c>
      <c r="E779">
        <v>47</v>
      </c>
      <c r="F779">
        <v>79.78</v>
      </c>
      <c r="G779" t="s">
        <v>99</v>
      </c>
      <c r="H779">
        <v>0.36</v>
      </c>
      <c r="I779" t="s">
        <v>29</v>
      </c>
      <c r="J779">
        <v>26.21</v>
      </c>
      <c r="K779" t="s">
        <v>44</v>
      </c>
      <c r="L779" t="s">
        <v>31</v>
      </c>
      <c r="M779" t="s">
        <v>22</v>
      </c>
      <c r="N779" t="s">
        <v>32</v>
      </c>
      <c r="O779" t="s">
        <v>81</v>
      </c>
      <c r="P779" t="s">
        <v>40</v>
      </c>
    </row>
    <row r="780" spans="1:16" x14ac:dyDescent="0.25">
      <c r="A780" s="1">
        <v>45702</v>
      </c>
      <c r="B780" t="s">
        <v>620</v>
      </c>
      <c r="C780">
        <v>24103</v>
      </c>
      <c r="D780" t="s">
        <v>89</v>
      </c>
      <c r="E780">
        <v>16</v>
      </c>
      <c r="F780">
        <v>96.08</v>
      </c>
      <c r="G780" t="s">
        <v>28</v>
      </c>
      <c r="H780">
        <v>0.1</v>
      </c>
      <c r="I780" t="s">
        <v>61</v>
      </c>
      <c r="J780">
        <v>16.52</v>
      </c>
      <c r="K780" t="s">
        <v>50</v>
      </c>
      <c r="L780" t="s">
        <v>21</v>
      </c>
      <c r="M780" t="s">
        <v>22</v>
      </c>
      <c r="N780" t="s">
        <v>53</v>
      </c>
      <c r="O780" s="4" t="s">
        <v>724</v>
      </c>
      <c r="P780" t="s">
        <v>40</v>
      </c>
    </row>
    <row r="781" spans="1:16" x14ac:dyDescent="0.25">
      <c r="A781" s="1">
        <v>45702</v>
      </c>
      <c r="B781" t="s">
        <v>485</v>
      </c>
      <c r="C781">
        <v>44835</v>
      </c>
      <c r="D781" t="s">
        <v>42</v>
      </c>
      <c r="E781">
        <v>34</v>
      </c>
      <c r="F781">
        <v>77.94</v>
      </c>
      <c r="G781" t="s">
        <v>36</v>
      </c>
      <c r="H781">
        <v>0.24</v>
      </c>
      <c r="I781" t="s">
        <v>61</v>
      </c>
      <c r="J781">
        <v>19.43</v>
      </c>
      <c r="K781" t="s">
        <v>44</v>
      </c>
      <c r="L781" t="s">
        <v>31</v>
      </c>
      <c r="M781" t="s">
        <v>22</v>
      </c>
      <c r="N781" t="s">
        <v>23</v>
      </c>
      <c r="O781" t="s">
        <v>81</v>
      </c>
      <c r="P781" t="s">
        <v>25</v>
      </c>
    </row>
    <row r="782" spans="1:16" x14ac:dyDescent="0.25">
      <c r="A782" s="1">
        <v>45702</v>
      </c>
      <c r="B782" t="s">
        <v>135</v>
      </c>
      <c r="C782">
        <v>45616</v>
      </c>
      <c r="D782" t="s">
        <v>68</v>
      </c>
      <c r="E782">
        <v>34</v>
      </c>
      <c r="F782">
        <v>86.56</v>
      </c>
      <c r="G782" t="s">
        <v>58</v>
      </c>
      <c r="H782">
        <v>0.15</v>
      </c>
      <c r="I782" t="s">
        <v>19</v>
      </c>
      <c r="J782">
        <v>15.15</v>
      </c>
      <c r="K782" t="s">
        <v>20</v>
      </c>
      <c r="L782" t="s">
        <v>21</v>
      </c>
      <c r="M782" t="s">
        <v>111</v>
      </c>
      <c r="N782" t="s">
        <v>38</v>
      </c>
      <c r="O782" t="s">
        <v>81</v>
      </c>
      <c r="P782" t="s">
        <v>25</v>
      </c>
    </row>
    <row r="783" spans="1:16" x14ac:dyDescent="0.25">
      <c r="A783" s="1">
        <v>45702</v>
      </c>
      <c r="B783" t="s">
        <v>541</v>
      </c>
      <c r="C783">
        <v>52528</v>
      </c>
      <c r="D783" t="s">
        <v>49</v>
      </c>
      <c r="E783">
        <v>7</v>
      </c>
      <c r="F783">
        <v>98.99</v>
      </c>
      <c r="G783" t="s">
        <v>52</v>
      </c>
      <c r="H783">
        <v>0.41</v>
      </c>
      <c r="I783" t="s">
        <v>61</v>
      </c>
      <c r="J783">
        <v>13.95</v>
      </c>
      <c r="K783" t="s">
        <v>20</v>
      </c>
      <c r="L783" t="s">
        <v>31</v>
      </c>
      <c r="M783" t="s">
        <v>22</v>
      </c>
      <c r="N783" t="s">
        <v>32</v>
      </c>
      <c r="O783" t="s">
        <v>81</v>
      </c>
      <c r="P783" t="s">
        <v>34</v>
      </c>
    </row>
    <row r="784" spans="1:16" x14ac:dyDescent="0.25">
      <c r="A784" s="1">
        <v>45702</v>
      </c>
      <c r="B784" t="s">
        <v>621</v>
      </c>
      <c r="C784">
        <v>52012</v>
      </c>
      <c r="D784" t="s">
        <v>17</v>
      </c>
      <c r="E784">
        <v>26</v>
      </c>
      <c r="F784">
        <v>15.52</v>
      </c>
      <c r="G784" t="s">
        <v>43</v>
      </c>
      <c r="H784">
        <v>0.49</v>
      </c>
      <c r="I784" t="s">
        <v>61</v>
      </c>
      <c r="J784">
        <v>28.39</v>
      </c>
      <c r="K784" t="s">
        <v>37</v>
      </c>
      <c r="L784" t="s">
        <v>31</v>
      </c>
      <c r="M784" t="s">
        <v>22</v>
      </c>
      <c r="N784" t="s">
        <v>23</v>
      </c>
      <c r="O784" t="s">
        <v>39</v>
      </c>
      <c r="P784" t="s">
        <v>40</v>
      </c>
    </row>
    <row r="785" spans="1:16" x14ac:dyDescent="0.25">
      <c r="A785" s="1">
        <v>45702</v>
      </c>
      <c r="B785" t="s">
        <v>535</v>
      </c>
      <c r="C785">
        <v>37731</v>
      </c>
      <c r="D785" t="s">
        <v>46</v>
      </c>
      <c r="E785">
        <v>18</v>
      </c>
      <c r="F785">
        <v>70.14</v>
      </c>
      <c r="G785" t="s">
        <v>84</v>
      </c>
      <c r="H785">
        <v>0.11</v>
      </c>
      <c r="I785" t="s">
        <v>19</v>
      </c>
      <c r="J785">
        <v>21.35</v>
      </c>
      <c r="K785" t="s">
        <v>50</v>
      </c>
      <c r="L785" t="s">
        <v>31</v>
      </c>
      <c r="M785" t="s">
        <v>22</v>
      </c>
      <c r="N785" t="s">
        <v>38</v>
      </c>
      <c r="O785" t="s">
        <v>39</v>
      </c>
      <c r="P785" t="s">
        <v>25</v>
      </c>
    </row>
    <row r="786" spans="1:16" x14ac:dyDescent="0.25">
      <c r="A786" s="1">
        <v>45702</v>
      </c>
      <c r="B786" t="s">
        <v>622</v>
      </c>
      <c r="C786">
        <v>99673</v>
      </c>
      <c r="D786" t="s">
        <v>17</v>
      </c>
      <c r="E786">
        <v>10</v>
      </c>
      <c r="F786">
        <v>96.19</v>
      </c>
      <c r="G786" t="s">
        <v>36</v>
      </c>
      <c r="H786">
        <v>0.35</v>
      </c>
      <c r="I786" t="s">
        <v>29</v>
      </c>
      <c r="J786">
        <v>22.39</v>
      </c>
      <c r="K786" t="s">
        <v>44</v>
      </c>
      <c r="L786" t="s">
        <v>31</v>
      </c>
      <c r="M786" t="s">
        <v>22</v>
      </c>
      <c r="N786" t="s">
        <v>23</v>
      </c>
      <c r="O786" t="s">
        <v>39</v>
      </c>
      <c r="P786" t="s">
        <v>25</v>
      </c>
    </row>
    <row r="787" spans="1:16" x14ac:dyDescent="0.25">
      <c r="A787" s="1">
        <v>45702</v>
      </c>
      <c r="B787" t="s">
        <v>623</v>
      </c>
      <c r="C787">
        <v>55205</v>
      </c>
      <c r="D787" t="s">
        <v>66</v>
      </c>
      <c r="E787">
        <v>40</v>
      </c>
      <c r="F787">
        <v>55.16</v>
      </c>
      <c r="G787" t="s">
        <v>99</v>
      </c>
      <c r="H787">
        <v>0.26</v>
      </c>
      <c r="I787" t="s">
        <v>19</v>
      </c>
      <c r="J787">
        <v>8.3699999999999992</v>
      </c>
      <c r="K787" t="s">
        <v>44</v>
      </c>
      <c r="L787" t="s">
        <v>21</v>
      </c>
      <c r="M787" t="s">
        <v>22</v>
      </c>
      <c r="N787" t="s">
        <v>23</v>
      </c>
      <c r="O787" t="s">
        <v>81</v>
      </c>
      <c r="P787" t="s">
        <v>25</v>
      </c>
    </row>
    <row r="788" spans="1:16" x14ac:dyDescent="0.25">
      <c r="A788" s="1">
        <v>45702</v>
      </c>
      <c r="B788" t="s">
        <v>391</v>
      </c>
      <c r="C788">
        <v>83545</v>
      </c>
      <c r="D788" t="s">
        <v>27</v>
      </c>
      <c r="E788">
        <v>29</v>
      </c>
      <c r="F788">
        <v>84.49</v>
      </c>
      <c r="G788" t="s">
        <v>36</v>
      </c>
      <c r="H788">
        <v>0.44</v>
      </c>
      <c r="I788" t="s">
        <v>19</v>
      </c>
      <c r="J788">
        <v>8.86</v>
      </c>
      <c r="K788" t="s">
        <v>50</v>
      </c>
      <c r="L788" t="s">
        <v>21</v>
      </c>
      <c r="M788" t="s">
        <v>22</v>
      </c>
      <c r="N788" t="s">
        <v>23</v>
      </c>
      <c r="O788" t="s">
        <v>39</v>
      </c>
      <c r="P788" t="s">
        <v>40</v>
      </c>
    </row>
    <row r="789" spans="1:16" x14ac:dyDescent="0.25">
      <c r="A789" s="1">
        <v>45702</v>
      </c>
      <c r="B789" t="s">
        <v>624</v>
      </c>
      <c r="C789">
        <v>87789</v>
      </c>
      <c r="D789" t="s">
        <v>27</v>
      </c>
      <c r="E789">
        <v>14</v>
      </c>
      <c r="F789">
        <v>9.48</v>
      </c>
      <c r="G789" t="s">
        <v>58</v>
      </c>
      <c r="H789">
        <v>0.14000000000000001</v>
      </c>
      <c r="I789" t="s">
        <v>61</v>
      </c>
      <c r="J789">
        <v>5.71</v>
      </c>
      <c r="K789" t="s">
        <v>44</v>
      </c>
      <c r="L789" t="s">
        <v>21</v>
      </c>
      <c r="M789" t="s">
        <v>22</v>
      </c>
      <c r="N789" t="s">
        <v>38</v>
      </c>
      <c r="O789" t="s">
        <v>39</v>
      </c>
      <c r="P789" t="s">
        <v>34</v>
      </c>
    </row>
    <row r="790" spans="1:16" x14ac:dyDescent="0.25">
      <c r="A790" s="1">
        <v>45702</v>
      </c>
      <c r="B790" t="s">
        <v>625</v>
      </c>
      <c r="C790">
        <v>15458</v>
      </c>
      <c r="D790" t="s">
        <v>70</v>
      </c>
      <c r="E790">
        <v>14</v>
      </c>
      <c r="F790">
        <v>54.79</v>
      </c>
      <c r="G790" t="s">
        <v>52</v>
      </c>
      <c r="H790">
        <v>0.06</v>
      </c>
      <c r="I790" t="s">
        <v>19</v>
      </c>
      <c r="J790">
        <v>13.06</v>
      </c>
      <c r="K790" t="s">
        <v>44</v>
      </c>
      <c r="L790" t="s">
        <v>21</v>
      </c>
      <c r="M790" t="s">
        <v>22</v>
      </c>
      <c r="N790" t="s">
        <v>53</v>
      </c>
      <c r="O790" t="s">
        <v>59</v>
      </c>
      <c r="P790" t="s">
        <v>25</v>
      </c>
    </row>
    <row r="791" spans="1:16" x14ac:dyDescent="0.25">
      <c r="A791" s="1">
        <v>45702</v>
      </c>
      <c r="B791" t="s">
        <v>509</v>
      </c>
      <c r="C791">
        <v>11087</v>
      </c>
      <c r="D791" t="s">
        <v>42</v>
      </c>
      <c r="E791">
        <v>38</v>
      </c>
      <c r="F791">
        <v>96.08</v>
      </c>
      <c r="G791" t="s">
        <v>47</v>
      </c>
      <c r="H791">
        <v>0.02</v>
      </c>
      <c r="I791" t="s">
        <v>61</v>
      </c>
      <c r="J791">
        <v>20.350000000000001</v>
      </c>
      <c r="K791" t="s">
        <v>44</v>
      </c>
      <c r="L791" t="s">
        <v>21</v>
      </c>
      <c r="M791" t="s">
        <v>111</v>
      </c>
      <c r="N791" t="s">
        <v>23</v>
      </c>
      <c r="O791" t="s">
        <v>39</v>
      </c>
      <c r="P791" t="s">
        <v>25</v>
      </c>
    </row>
    <row r="792" spans="1:16" x14ac:dyDescent="0.25">
      <c r="A792" s="1">
        <v>45703</v>
      </c>
      <c r="B792" t="s">
        <v>626</v>
      </c>
      <c r="C792">
        <v>56584</v>
      </c>
      <c r="D792" t="s">
        <v>17</v>
      </c>
      <c r="E792">
        <v>8</v>
      </c>
      <c r="F792">
        <v>74.430000000000007</v>
      </c>
      <c r="G792" t="s">
        <v>28</v>
      </c>
      <c r="H792">
        <v>0.02</v>
      </c>
      <c r="I792" t="s">
        <v>29</v>
      </c>
      <c r="J792">
        <v>20.67</v>
      </c>
      <c r="K792" t="s">
        <v>30</v>
      </c>
      <c r="L792" t="s">
        <v>21</v>
      </c>
      <c r="M792" t="s">
        <v>22</v>
      </c>
      <c r="N792" t="s">
        <v>23</v>
      </c>
      <c r="O792" t="s">
        <v>24</v>
      </c>
      <c r="P792" t="s">
        <v>25</v>
      </c>
    </row>
    <row r="793" spans="1:16" x14ac:dyDescent="0.25">
      <c r="A793" s="1">
        <v>45703</v>
      </c>
      <c r="B793" t="s">
        <v>215</v>
      </c>
      <c r="C793">
        <v>31417</v>
      </c>
      <c r="D793" t="s">
        <v>70</v>
      </c>
      <c r="E793">
        <v>10</v>
      </c>
      <c r="F793">
        <v>5.04</v>
      </c>
      <c r="G793" t="s">
        <v>84</v>
      </c>
      <c r="H793">
        <v>0.42</v>
      </c>
      <c r="I793" t="s">
        <v>29</v>
      </c>
      <c r="J793">
        <v>12.44</v>
      </c>
      <c r="K793" t="s">
        <v>37</v>
      </c>
      <c r="L793" t="s">
        <v>21</v>
      </c>
      <c r="M793" t="s">
        <v>111</v>
      </c>
      <c r="N793" t="s">
        <v>53</v>
      </c>
      <c r="O793" t="s">
        <v>33</v>
      </c>
      <c r="P793" t="s">
        <v>25</v>
      </c>
    </row>
    <row r="794" spans="1:16" x14ac:dyDescent="0.25">
      <c r="A794" s="1">
        <v>45703</v>
      </c>
      <c r="B794" t="s">
        <v>620</v>
      </c>
      <c r="C794">
        <v>58505</v>
      </c>
      <c r="D794" t="s">
        <v>68</v>
      </c>
      <c r="E794">
        <v>29</v>
      </c>
      <c r="F794">
        <v>24.55</v>
      </c>
      <c r="G794" t="s">
        <v>58</v>
      </c>
      <c r="H794">
        <v>0.35</v>
      </c>
      <c r="I794" t="s">
        <v>61</v>
      </c>
      <c r="J794">
        <v>25.31</v>
      </c>
      <c r="K794" t="s">
        <v>30</v>
      </c>
      <c r="L794" t="s">
        <v>31</v>
      </c>
      <c r="M794" t="s">
        <v>22</v>
      </c>
      <c r="N794" t="s">
        <v>53</v>
      </c>
      <c r="O794" t="s">
        <v>33</v>
      </c>
      <c r="P794" t="s">
        <v>25</v>
      </c>
    </row>
    <row r="795" spans="1:16" x14ac:dyDescent="0.25">
      <c r="A795" s="1">
        <v>45703</v>
      </c>
      <c r="B795" t="s">
        <v>627</v>
      </c>
      <c r="C795">
        <v>76414</v>
      </c>
      <c r="D795" t="s">
        <v>42</v>
      </c>
      <c r="E795">
        <v>19</v>
      </c>
      <c r="F795">
        <v>68.81</v>
      </c>
      <c r="G795" t="s">
        <v>36</v>
      </c>
      <c r="H795">
        <v>0.06</v>
      </c>
      <c r="I795" t="s">
        <v>61</v>
      </c>
      <c r="J795">
        <v>18.940000000000001</v>
      </c>
      <c r="K795" t="s">
        <v>44</v>
      </c>
      <c r="L795" t="s">
        <v>31</v>
      </c>
      <c r="M795" t="s">
        <v>22</v>
      </c>
      <c r="N795" t="s">
        <v>53</v>
      </c>
      <c r="O795" t="s">
        <v>39</v>
      </c>
      <c r="P795" t="s">
        <v>25</v>
      </c>
    </row>
    <row r="796" spans="1:16" x14ac:dyDescent="0.25">
      <c r="A796" s="1">
        <v>45703</v>
      </c>
      <c r="B796" t="s">
        <v>67</v>
      </c>
      <c r="C796">
        <v>10462</v>
      </c>
      <c r="D796" t="s">
        <v>17</v>
      </c>
      <c r="E796">
        <v>39</v>
      </c>
      <c r="F796">
        <v>99.14</v>
      </c>
      <c r="G796" t="s">
        <v>58</v>
      </c>
      <c r="H796">
        <v>0.46</v>
      </c>
      <c r="I796" t="s">
        <v>29</v>
      </c>
      <c r="J796">
        <v>8.3000000000000007</v>
      </c>
      <c r="K796" t="s">
        <v>37</v>
      </c>
      <c r="L796" t="s">
        <v>21</v>
      </c>
      <c r="M796" t="s">
        <v>22</v>
      </c>
      <c r="N796" t="s">
        <v>32</v>
      </c>
      <c r="O796" t="s">
        <v>39</v>
      </c>
      <c r="P796" t="s">
        <v>40</v>
      </c>
    </row>
    <row r="797" spans="1:16" x14ac:dyDescent="0.25">
      <c r="A797" s="1">
        <v>45703</v>
      </c>
      <c r="B797" t="s">
        <v>271</v>
      </c>
      <c r="C797">
        <v>73925</v>
      </c>
      <c r="D797" t="s">
        <v>46</v>
      </c>
      <c r="E797">
        <v>36</v>
      </c>
      <c r="F797">
        <v>80.900000000000006</v>
      </c>
      <c r="G797" t="s">
        <v>84</v>
      </c>
      <c r="H797">
        <v>0.32</v>
      </c>
      <c r="I797" t="s">
        <v>19</v>
      </c>
      <c r="J797">
        <v>16.600000000000001</v>
      </c>
      <c r="K797" t="s">
        <v>20</v>
      </c>
      <c r="L797" t="s">
        <v>31</v>
      </c>
      <c r="M797" t="s">
        <v>22</v>
      </c>
      <c r="N797" t="s">
        <v>38</v>
      </c>
      <c r="O797" t="s">
        <v>24</v>
      </c>
      <c r="P797" t="s">
        <v>34</v>
      </c>
    </row>
    <row r="798" spans="1:16" x14ac:dyDescent="0.25">
      <c r="A798" s="1">
        <v>45703</v>
      </c>
      <c r="B798" t="s">
        <v>628</v>
      </c>
      <c r="C798">
        <v>14277</v>
      </c>
      <c r="D798" t="s">
        <v>66</v>
      </c>
      <c r="E798">
        <v>49</v>
      </c>
      <c r="F798">
        <v>35.71</v>
      </c>
      <c r="G798" t="s">
        <v>55</v>
      </c>
      <c r="H798">
        <v>0.08</v>
      </c>
      <c r="I798" t="s">
        <v>19</v>
      </c>
      <c r="J798">
        <v>8.43</v>
      </c>
      <c r="K798" t="s">
        <v>44</v>
      </c>
      <c r="L798" t="s">
        <v>21</v>
      </c>
      <c r="M798" t="s">
        <v>22</v>
      </c>
      <c r="N798" t="s">
        <v>38</v>
      </c>
      <c r="O798" t="s">
        <v>24</v>
      </c>
      <c r="P798" t="s">
        <v>25</v>
      </c>
    </row>
    <row r="799" spans="1:16" x14ac:dyDescent="0.25">
      <c r="A799" s="1">
        <v>45703</v>
      </c>
      <c r="B799" t="s">
        <v>629</v>
      </c>
      <c r="C799">
        <v>68333</v>
      </c>
      <c r="D799" t="s">
        <v>66</v>
      </c>
      <c r="E799">
        <v>18</v>
      </c>
      <c r="F799">
        <v>99.85</v>
      </c>
      <c r="G799" t="s">
        <v>18</v>
      </c>
      <c r="H799">
        <v>0.18</v>
      </c>
      <c r="I799" t="s">
        <v>61</v>
      </c>
      <c r="J799">
        <v>28.81</v>
      </c>
      <c r="K799" t="s">
        <v>30</v>
      </c>
      <c r="L799" t="s">
        <v>21</v>
      </c>
      <c r="M799" t="s">
        <v>22</v>
      </c>
      <c r="N799" t="s">
        <v>38</v>
      </c>
      <c r="O799" t="s">
        <v>59</v>
      </c>
      <c r="P799" t="s">
        <v>34</v>
      </c>
    </row>
    <row r="800" spans="1:16" x14ac:dyDescent="0.25">
      <c r="A800" s="1">
        <v>45703</v>
      </c>
      <c r="B800" t="s">
        <v>600</v>
      </c>
      <c r="C800">
        <v>31064</v>
      </c>
      <c r="D800" t="s">
        <v>46</v>
      </c>
      <c r="E800">
        <v>31</v>
      </c>
      <c r="F800">
        <v>20.7</v>
      </c>
      <c r="G800" t="s">
        <v>47</v>
      </c>
      <c r="H800">
        <v>0.15</v>
      </c>
      <c r="I800" t="s">
        <v>29</v>
      </c>
      <c r="J800">
        <v>10.46</v>
      </c>
      <c r="K800" t="s">
        <v>30</v>
      </c>
      <c r="L800" t="s">
        <v>31</v>
      </c>
      <c r="M800" t="s">
        <v>22</v>
      </c>
      <c r="N800" t="s">
        <v>38</v>
      </c>
      <c r="O800" t="s">
        <v>33</v>
      </c>
      <c r="P800" t="s">
        <v>40</v>
      </c>
    </row>
    <row r="801" spans="1:16" x14ac:dyDescent="0.25">
      <c r="A801" s="1">
        <v>45703</v>
      </c>
      <c r="B801" t="s">
        <v>556</v>
      </c>
      <c r="C801">
        <v>13549</v>
      </c>
      <c r="D801" t="s">
        <v>49</v>
      </c>
      <c r="E801">
        <v>44</v>
      </c>
      <c r="F801">
        <v>27.67</v>
      </c>
      <c r="G801" t="s">
        <v>47</v>
      </c>
      <c r="H801">
        <v>0.13</v>
      </c>
      <c r="I801" t="s">
        <v>19</v>
      </c>
      <c r="J801">
        <v>10.15</v>
      </c>
      <c r="K801" t="s">
        <v>44</v>
      </c>
      <c r="L801" t="s">
        <v>31</v>
      </c>
      <c r="M801" t="s">
        <v>22</v>
      </c>
      <c r="N801" t="s">
        <v>53</v>
      </c>
      <c r="O801" t="s">
        <v>24</v>
      </c>
      <c r="P801" t="s">
        <v>34</v>
      </c>
    </row>
    <row r="802" spans="1:16" x14ac:dyDescent="0.25">
      <c r="A802" s="1">
        <v>45703</v>
      </c>
      <c r="B802" t="s">
        <v>140</v>
      </c>
      <c r="C802">
        <v>82564</v>
      </c>
      <c r="D802" t="s">
        <v>49</v>
      </c>
      <c r="E802">
        <v>14</v>
      </c>
      <c r="F802">
        <v>56.1</v>
      </c>
      <c r="G802" t="s">
        <v>43</v>
      </c>
      <c r="H802">
        <v>0.34</v>
      </c>
      <c r="I802" t="s">
        <v>19</v>
      </c>
      <c r="J802">
        <v>20.48</v>
      </c>
      <c r="K802" t="s">
        <v>30</v>
      </c>
      <c r="L802" t="s">
        <v>31</v>
      </c>
      <c r="M802" t="s">
        <v>22</v>
      </c>
      <c r="N802" t="s">
        <v>38</v>
      </c>
      <c r="O802" t="s">
        <v>39</v>
      </c>
      <c r="P802" t="s">
        <v>25</v>
      </c>
    </row>
    <row r="803" spans="1:16" x14ac:dyDescent="0.25">
      <c r="A803" s="1">
        <v>45703</v>
      </c>
      <c r="B803" t="s">
        <v>630</v>
      </c>
      <c r="C803">
        <v>65407</v>
      </c>
      <c r="D803" t="s">
        <v>66</v>
      </c>
      <c r="E803">
        <v>45</v>
      </c>
      <c r="F803">
        <v>28.62</v>
      </c>
      <c r="G803" t="s">
        <v>28</v>
      </c>
      <c r="H803">
        <v>0.42</v>
      </c>
      <c r="I803" t="s">
        <v>29</v>
      </c>
      <c r="J803">
        <v>6.26</v>
      </c>
      <c r="K803" t="s">
        <v>20</v>
      </c>
      <c r="L803" t="s">
        <v>31</v>
      </c>
      <c r="M803" t="s">
        <v>22</v>
      </c>
      <c r="N803" t="s">
        <v>32</v>
      </c>
      <c r="O803" t="s">
        <v>39</v>
      </c>
      <c r="P803" t="s">
        <v>34</v>
      </c>
    </row>
    <row r="804" spans="1:16" x14ac:dyDescent="0.25">
      <c r="A804" s="1">
        <v>45703</v>
      </c>
      <c r="B804" t="s">
        <v>186</v>
      </c>
      <c r="C804">
        <v>86831</v>
      </c>
      <c r="D804" t="s">
        <v>49</v>
      </c>
      <c r="E804">
        <v>40</v>
      </c>
      <c r="F804">
        <v>40.93</v>
      </c>
      <c r="G804" t="s">
        <v>18</v>
      </c>
      <c r="H804">
        <v>0.16</v>
      </c>
      <c r="I804" t="s">
        <v>29</v>
      </c>
      <c r="J804">
        <v>10.68</v>
      </c>
      <c r="K804" t="s">
        <v>50</v>
      </c>
      <c r="L804" t="s">
        <v>31</v>
      </c>
      <c r="M804" t="s">
        <v>22</v>
      </c>
      <c r="N804" t="s">
        <v>38</v>
      </c>
      <c r="O804" t="s">
        <v>33</v>
      </c>
      <c r="P804" t="s">
        <v>25</v>
      </c>
    </row>
    <row r="805" spans="1:16" x14ac:dyDescent="0.25">
      <c r="A805" s="1">
        <v>45703</v>
      </c>
      <c r="B805" t="s">
        <v>526</v>
      </c>
      <c r="C805">
        <v>35791</v>
      </c>
      <c r="D805" t="s">
        <v>66</v>
      </c>
      <c r="E805">
        <v>24</v>
      </c>
      <c r="F805">
        <v>90.05</v>
      </c>
      <c r="G805" t="s">
        <v>47</v>
      </c>
      <c r="H805">
        <v>0.28999999999999998</v>
      </c>
      <c r="I805" t="s">
        <v>61</v>
      </c>
      <c r="J805">
        <v>29.01</v>
      </c>
      <c r="K805" t="s">
        <v>44</v>
      </c>
      <c r="L805" t="s">
        <v>31</v>
      </c>
      <c r="M805" t="s">
        <v>22</v>
      </c>
      <c r="N805" t="s">
        <v>32</v>
      </c>
      <c r="O805" t="s">
        <v>39</v>
      </c>
      <c r="P805" t="s">
        <v>40</v>
      </c>
    </row>
    <row r="806" spans="1:16" x14ac:dyDescent="0.25">
      <c r="A806" s="1">
        <v>45703</v>
      </c>
      <c r="B806" t="s">
        <v>631</v>
      </c>
      <c r="C806">
        <v>79690</v>
      </c>
      <c r="D806" t="s">
        <v>89</v>
      </c>
      <c r="E806">
        <v>47</v>
      </c>
      <c r="F806">
        <v>48.2</v>
      </c>
      <c r="G806" t="s">
        <v>36</v>
      </c>
      <c r="H806">
        <v>0.14000000000000001</v>
      </c>
      <c r="I806" t="s">
        <v>61</v>
      </c>
      <c r="J806">
        <v>8.15</v>
      </c>
      <c r="K806" t="s">
        <v>20</v>
      </c>
      <c r="L806" t="s">
        <v>31</v>
      </c>
      <c r="M806" t="s">
        <v>22</v>
      </c>
      <c r="N806" t="s">
        <v>53</v>
      </c>
      <c r="O806" t="s">
        <v>33</v>
      </c>
      <c r="P806" t="s">
        <v>34</v>
      </c>
    </row>
    <row r="807" spans="1:16" x14ac:dyDescent="0.25">
      <c r="A807" s="1">
        <v>45703</v>
      </c>
      <c r="B807" t="s">
        <v>632</v>
      </c>
      <c r="C807">
        <v>66761</v>
      </c>
      <c r="D807" t="s">
        <v>17</v>
      </c>
      <c r="E807">
        <v>29</v>
      </c>
      <c r="F807">
        <v>82.33</v>
      </c>
      <c r="G807" t="s">
        <v>28</v>
      </c>
      <c r="H807">
        <v>0.2</v>
      </c>
      <c r="I807" t="s">
        <v>19</v>
      </c>
      <c r="J807">
        <v>22.07</v>
      </c>
      <c r="K807" t="s">
        <v>44</v>
      </c>
      <c r="L807" t="s">
        <v>31</v>
      </c>
      <c r="M807" t="s">
        <v>22</v>
      </c>
      <c r="N807" t="s">
        <v>53</v>
      </c>
      <c r="O807" t="s">
        <v>33</v>
      </c>
      <c r="P807" t="s">
        <v>40</v>
      </c>
    </row>
    <row r="808" spans="1:16" x14ac:dyDescent="0.25">
      <c r="A808" s="1">
        <v>45703</v>
      </c>
      <c r="B808" t="s">
        <v>162</v>
      </c>
      <c r="C808">
        <v>31936</v>
      </c>
      <c r="D808" t="s">
        <v>70</v>
      </c>
      <c r="E808">
        <v>34</v>
      </c>
      <c r="F808">
        <v>76.2</v>
      </c>
      <c r="G808" t="s">
        <v>36</v>
      </c>
      <c r="H808">
        <v>0.32</v>
      </c>
      <c r="I808" t="s">
        <v>29</v>
      </c>
      <c r="J808">
        <v>20.29</v>
      </c>
      <c r="K808" t="s">
        <v>30</v>
      </c>
      <c r="L808" t="s">
        <v>31</v>
      </c>
      <c r="M808" t="s">
        <v>111</v>
      </c>
      <c r="N808" t="s">
        <v>38</v>
      </c>
      <c r="O808" t="s">
        <v>24</v>
      </c>
      <c r="P808" t="s">
        <v>34</v>
      </c>
    </row>
    <row r="809" spans="1:16" x14ac:dyDescent="0.25">
      <c r="A809" s="1">
        <v>45703</v>
      </c>
      <c r="B809" t="s">
        <v>633</v>
      </c>
      <c r="C809">
        <v>41889</v>
      </c>
      <c r="D809" t="s">
        <v>68</v>
      </c>
      <c r="E809">
        <v>5</v>
      </c>
      <c r="F809">
        <v>92.08</v>
      </c>
      <c r="G809" t="s">
        <v>28</v>
      </c>
      <c r="H809">
        <v>0.04</v>
      </c>
      <c r="I809" t="s">
        <v>19</v>
      </c>
      <c r="J809">
        <v>6.21</v>
      </c>
      <c r="K809" t="s">
        <v>44</v>
      </c>
      <c r="L809" t="s">
        <v>31</v>
      </c>
      <c r="M809" t="s">
        <v>111</v>
      </c>
      <c r="N809" t="s">
        <v>53</v>
      </c>
      <c r="O809" t="s">
        <v>24</v>
      </c>
      <c r="P809" t="s">
        <v>25</v>
      </c>
    </row>
    <row r="810" spans="1:16" x14ac:dyDescent="0.25">
      <c r="A810" s="1">
        <v>45703</v>
      </c>
      <c r="B810" t="s">
        <v>258</v>
      </c>
      <c r="C810">
        <v>99021</v>
      </c>
      <c r="D810" t="s">
        <v>89</v>
      </c>
      <c r="E810">
        <v>31</v>
      </c>
      <c r="F810">
        <v>59.74</v>
      </c>
      <c r="G810" t="s">
        <v>18</v>
      </c>
      <c r="H810">
        <v>0.12</v>
      </c>
      <c r="I810" t="s">
        <v>61</v>
      </c>
      <c r="J810">
        <v>24.35</v>
      </c>
      <c r="K810" t="s">
        <v>44</v>
      </c>
      <c r="L810" t="s">
        <v>21</v>
      </c>
      <c r="M810" t="s">
        <v>111</v>
      </c>
      <c r="N810" t="s">
        <v>38</v>
      </c>
      <c r="O810" t="s">
        <v>39</v>
      </c>
      <c r="P810" t="s">
        <v>40</v>
      </c>
    </row>
    <row r="811" spans="1:16" x14ac:dyDescent="0.25">
      <c r="A811" s="1">
        <v>45703</v>
      </c>
      <c r="B811" t="s">
        <v>624</v>
      </c>
      <c r="C811">
        <v>57119</v>
      </c>
      <c r="D811" t="s">
        <v>66</v>
      </c>
      <c r="E811">
        <v>7</v>
      </c>
      <c r="F811">
        <v>88.69</v>
      </c>
      <c r="G811" t="s">
        <v>43</v>
      </c>
      <c r="H811">
        <v>0.44</v>
      </c>
      <c r="I811" t="s">
        <v>29</v>
      </c>
      <c r="J811">
        <v>26.69</v>
      </c>
      <c r="K811" t="s">
        <v>30</v>
      </c>
      <c r="L811" t="s">
        <v>21</v>
      </c>
      <c r="M811" t="s">
        <v>22</v>
      </c>
      <c r="N811" t="s">
        <v>53</v>
      </c>
      <c r="O811" t="s">
        <v>59</v>
      </c>
      <c r="P811" t="s">
        <v>34</v>
      </c>
    </row>
    <row r="812" spans="1:16" x14ac:dyDescent="0.25">
      <c r="A812" s="1">
        <v>45703</v>
      </c>
      <c r="B812" t="s">
        <v>215</v>
      </c>
      <c r="C812">
        <v>47078</v>
      </c>
      <c r="D812" t="s">
        <v>68</v>
      </c>
      <c r="E812">
        <v>47</v>
      </c>
      <c r="F812">
        <v>57.27</v>
      </c>
      <c r="G812" t="s">
        <v>36</v>
      </c>
      <c r="H812">
        <v>0.38</v>
      </c>
      <c r="I812" t="s">
        <v>29</v>
      </c>
      <c r="J812">
        <v>23.4</v>
      </c>
      <c r="K812" t="s">
        <v>37</v>
      </c>
      <c r="L812" t="s">
        <v>21</v>
      </c>
      <c r="M812" t="s">
        <v>22</v>
      </c>
      <c r="N812" t="s">
        <v>32</v>
      </c>
      <c r="O812" t="s">
        <v>24</v>
      </c>
      <c r="P812" t="s">
        <v>34</v>
      </c>
    </row>
    <row r="813" spans="1:16" x14ac:dyDescent="0.25">
      <c r="A813" s="1">
        <v>45703</v>
      </c>
      <c r="B813" t="s">
        <v>129</v>
      </c>
      <c r="C813">
        <v>74396</v>
      </c>
      <c r="D813" t="s">
        <v>68</v>
      </c>
      <c r="E813">
        <v>22</v>
      </c>
      <c r="F813">
        <v>46.61</v>
      </c>
      <c r="G813" t="s">
        <v>55</v>
      </c>
      <c r="H813">
        <v>0.24</v>
      </c>
      <c r="I813" t="s">
        <v>19</v>
      </c>
      <c r="J813">
        <v>11.04</v>
      </c>
      <c r="K813" t="s">
        <v>50</v>
      </c>
      <c r="L813" t="s">
        <v>31</v>
      </c>
      <c r="M813" t="s">
        <v>22</v>
      </c>
      <c r="N813" t="s">
        <v>32</v>
      </c>
      <c r="O813" t="s">
        <v>59</v>
      </c>
      <c r="P813" t="s">
        <v>25</v>
      </c>
    </row>
    <row r="814" spans="1:16" x14ac:dyDescent="0.25">
      <c r="A814" s="1">
        <v>45703</v>
      </c>
      <c r="B814" t="s">
        <v>251</v>
      </c>
      <c r="C814">
        <v>22055</v>
      </c>
      <c r="D814" t="s">
        <v>49</v>
      </c>
      <c r="E814">
        <v>17</v>
      </c>
      <c r="F814">
        <v>42.22</v>
      </c>
      <c r="G814" t="s">
        <v>52</v>
      </c>
      <c r="H814">
        <v>0.48</v>
      </c>
      <c r="I814" t="s">
        <v>29</v>
      </c>
      <c r="J814">
        <v>14.28</v>
      </c>
      <c r="K814" t="s">
        <v>37</v>
      </c>
      <c r="L814" t="s">
        <v>31</v>
      </c>
      <c r="M814" t="s">
        <v>22</v>
      </c>
      <c r="N814" t="s">
        <v>23</v>
      </c>
      <c r="O814" t="s">
        <v>33</v>
      </c>
      <c r="P814" t="s">
        <v>25</v>
      </c>
    </row>
    <row r="815" spans="1:16" x14ac:dyDescent="0.25">
      <c r="A815" s="1">
        <v>45704</v>
      </c>
      <c r="B815" t="s">
        <v>540</v>
      </c>
      <c r="C815">
        <v>92330</v>
      </c>
      <c r="D815" t="s">
        <v>89</v>
      </c>
      <c r="E815">
        <v>32</v>
      </c>
      <c r="F815">
        <v>96.36</v>
      </c>
      <c r="G815" t="s">
        <v>43</v>
      </c>
      <c r="H815">
        <v>0.33</v>
      </c>
      <c r="I815" t="s">
        <v>29</v>
      </c>
      <c r="J815">
        <v>26.32</v>
      </c>
      <c r="K815" t="s">
        <v>44</v>
      </c>
      <c r="L815" t="s">
        <v>21</v>
      </c>
      <c r="M815" t="s">
        <v>22</v>
      </c>
      <c r="N815" t="s">
        <v>32</v>
      </c>
      <c r="O815" t="s">
        <v>81</v>
      </c>
      <c r="P815" t="s">
        <v>25</v>
      </c>
    </row>
    <row r="816" spans="1:16" x14ac:dyDescent="0.25">
      <c r="A816" s="1">
        <v>45704</v>
      </c>
      <c r="B816" t="s">
        <v>634</v>
      </c>
      <c r="C816">
        <v>31955</v>
      </c>
      <c r="D816" t="s">
        <v>49</v>
      </c>
      <c r="E816">
        <v>3</v>
      </c>
      <c r="F816">
        <v>3.82</v>
      </c>
      <c r="G816" t="s">
        <v>52</v>
      </c>
      <c r="H816">
        <v>0.02</v>
      </c>
      <c r="I816" t="s">
        <v>61</v>
      </c>
      <c r="J816">
        <v>6.77</v>
      </c>
      <c r="K816" t="s">
        <v>50</v>
      </c>
      <c r="L816" t="s">
        <v>21</v>
      </c>
      <c r="M816" t="s">
        <v>22</v>
      </c>
      <c r="N816" t="s">
        <v>53</v>
      </c>
      <c r="O816" t="s">
        <v>59</v>
      </c>
      <c r="P816" t="s">
        <v>40</v>
      </c>
    </row>
    <row r="817" spans="1:16" x14ac:dyDescent="0.25">
      <c r="A817" s="1">
        <v>45704</v>
      </c>
      <c r="B817" t="s">
        <v>228</v>
      </c>
      <c r="C817">
        <v>47046</v>
      </c>
      <c r="D817" t="s">
        <v>17</v>
      </c>
      <c r="E817">
        <v>28</v>
      </c>
      <c r="F817">
        <v>52.44</v>
      </c>
      <c r="G817" t="s">
        <v>58</v>
      </c>
      <c r="H817">
        <v>0.48</v>
      </c>
      <c r="I817" t="s">
        <v>19</v>
      </c>
      <c r="J817">
        <v>10.52</v>
      </c>
      <c r="K817" t="s">
        <v>37</v>
      </c>
      <c r="L817" t="s">
        <v>31</v>
      </c>
      <c r="M817" t="s">
        <v>22</v>
      </c>
      <c r="N817" t="s">
        <v>53</v>
      </c>
      <c r="O817" t="s">
        <v>39</v>
      </c>
      <c r="P817" t="s">
        <v>25</v>
      </c>
    </row>
    <row r="818" spans="1:16" x14ac:dyDescent="0.25">
      <c r="A818" s="1">
        <v>45704</v>
      </c>
      <c r="B818" t="s">
        <v>442</v>
      </c>
      <c r="C818">
        <v>37477</v>
      </c>
      <c r="D818" t="s">
        <v>89</v>
      </c>
      <c r="E818">
        <v>43</v>
      </c>
      <c r="F818">
        <v>68.8</v>
      </c>
      <c r="G818" t="s">
        <v>52</v>
      </c>
      <c r="H818">
        <v>0.41</v>
      </c>
      <c r="I818" t="s">
        <v>29</v>
      </c>
      <c r="J818">
        <v>21.97</v>
      </c>
      <c r="K818" t="s">
        <v>50</v>
      </c>
      <c r="L818" t="s">
        <v>31</v>
      </c>
      <c r="M818" t="s">
        <v>22</v>
      </c>
      <c r="N818" t="s">
        <v>38</v>
      </c>
      <c r="O818" t="s">
        <v>81</v>
      </c>
      <c r="P818" t="s">
        <v>34</v>
      </c>
    </row>
    <row r="819" spans="1:16" x14ac:dyDescent="0.25">
      <c r="A819" s="1">
        <v>45704</v>
      </c>
      <c r="B819" t="s">
        <v>351</v>
      </c>
      <c r="C819">
        <v>38444</v>
      </c>
      <c r="D819" t="s">
        <v>46</v>
      </c>
      <c r="E819">
        <v>42</v>
      </c>
      <c r="F819">
        <v>14.6</v>
      </c>
      <c r="G819" t="s">
        <v>55</v>
      </c>
      <c r="H819">
        <v>0.01</v>
      </c>
      <c r="I819" t="s">
        <v>61</v>
      </c>
      <c r="J819">
        <v>12.78</v>
      </c>
      <c r="K819" t="s">
        <v>50</v>
      </c>
      <c r="L819" t="s">
        <v>31</v>
      </c>
      <c r="M819" t="s">
        <v>22</v>
      </c>
      <c r="N819" t="s">
        <v>32</v>
      </c>
      <c r="O819" t="s">
        <v>39</v>
      </c>
      <c r="P819" t="s">
        <v>40</v>
      </c>
    </row>
    <row r="820" spans="1:16" x14ac:dyDescent="0.25">
      <c r="A820" s="1">
        <v>45704</v>
      </c>
      <c r="B820" t="s">
        <v>572</v>
      </c>
      <c r="C820">
        <v>67095</v>
      </c>
      <c r="D820" t="s">
        <v>70</v>
      </c>
      <c r="E820">
        <v>15</v>
      </c>
      <c r="F820">
        <v>61.68</v>
      </c>
      <c r="G820" t="s">
        <v>55</v>
      </c>
      <c r="H820">
        <v>0.15</v>
      </c>
      <c r="I820" t="s">
        <v>29</v>
      </c>
      <c r="J820">
        <v>25.72</v>
      </c>
      <c r="K820" t="s">
        <v>30</v>
      </c>
      <c r="L820" t="s">
        <v>31</v>
      </c>
      <c r="M820" t="s">
        <v>22</v>
      </c>
      <c r="N820" t="s">
        <v>53</v>
      </c>
      <c r="O820" t="s">
        <v>39</v>
      </c>
      <c r="P820" t="s">
        <v>40</v>
      </c>
    </row>
    <row r="821" spans="1:16" x14ac:dyDescent="0.25">
      <c r="A821" s="1">
        <v>45704</v>
      </c>
      <c r="B821" t="s">
        <v>635</v>
      </c>
      <c r="C821">
        <v>52337</v>
      </c>
      <c r="D821" t="s">
        <v>66</v>
      </c>
      <c r="E821">
        <v>39</v>
      </c>
      <c r="F821">
        <v>86.85</v>
      </c>
      <c r="G821" t="s">
        <v>72</v>
      </c>
      <c r="H821">
        <v>0.37</v>
      </c>
      <c r="I821" t="s">
        <v>29</v>
      </c>
      <c r="J821">
        <v>18</v>
      </c>
      <c r="K821" t="s">
        <v>50</v>
      </c>
      <c r="L821" t="s">
        <v>21</v>
      </c>
      <c r="M821" t="s">
        <v>22</v>
      </c>
      <c r="N821" t="s">
        <v>38</v>
      </c>
      <c r="O821" t="s">
        <v>81</v>
      </c>
      <c r="P821" t="s">
        <v>25</v>
      </c>
    </row>
    <row r="822" spans="1:16" x14ac:dyDescent="0.25">
      <c r="A822" s="1">
        <v>45704</v>
      </c>
      <c r="B822" t="s">
        <v>368</v>
      </c>
      <c r="C822">
        <v>64538</v>
      </c>
      <c r="D822" t="s">
        <v>68</v>
      </c>
      <c r="E822">
        <v>40</v>
      </c>
      <c r="F822">
        <v>21.34</v>
      </c>
      <c r="G822" t="s">
        <v>43</v>
      </c>
      <c r="H822">
        <v>0.44</v>
      </c>
      <c r="I822" t="s">
        <v>61</v>
      </c>
      <c r="J822">
        <v>23.59</v>
      </c>
      <c r="K822" t="s">
        <v>30</v>
      </c>
      <c r="L822" t="s">
        <v>31</v>
      </c>
      <c r="M822" t="s">
        <v>22</v>
      </c>
      <c r="N822" t="s">
        <v>38</v>
      </c>
      <c r="O822" s="4" t="s">
        <v>724</v>
      </c>
      <c r="P822" t="s">
        <v>40</v>
      </c>
    </row>
    <row r="823" spans="1:16" x14ac:dyDescent="0.25">
      <c r="A823" s="1">
        <v>45704</v>
      </c>
      <c r="B823" t="s">
        <v>636</v>
      </c>
      <c r="C823">
        <v>21877</v>
      </c>
      <c r="D823" t="s">
        <v>70</v>
      </c>
      <c r="E823">
        <v>22</v>
      </c>
      <c r="F823">
        <v>69.34</v>
      </c>
      <c r="G823" t="s">
        <v>55</v>
      </c>
      <c r="H823">
        <v>0.17</v>
      </c>
      <c r="I823" t="s">
        <v>29</v>
      </c>
      <c r="J823">
        <v>15.15</v>
      </c>
      <c r="K823" s="4" t="s">
        <v>728</v>
      </c>
      <c r="L823" t="s">
        <v>31</v>
      </c>
      <c r="M823" t="s">
        <v>22</v>
      </c>
      <c r="N823" t="s">
        <v>32</v>
      </c>
      <c r="O823" t="s">
        <v>59</v>
      </c>
      <c r="P823" t="s">
        <v>25</v>
      </c>
    </row>
    <row r="824" spans="1:16" x14ac:dyDescent="0.25">
      <c r="A824" s="1">
        <v>45704</v>
      </c>
      <c r="B824" t="s">
        <v>637</v>
      </c>
      <c r="C824">
        <v>23413</v>
      </c>
      <c r="D824" t="s">
        <v>42</v>
      </c>
      <c r="E824">
        <v>19</v>
      </c>
      <c r="F824">
        <v>33.380000000000003</v>
      </c>
      <c r="G824" t="s">
        <v>36</v>
      </c>
      <c r="H824">
        <v>0.49</v>
      </c>
      <c r="I824" t="s">
        <v>29</v>
      </c>
      <c r="J824">
        <v>11.14</v>
      </c>
      <c r="K824" t="s">
        <v>30</v>
      </c>
      <c r="L824" t="s">
        <v>21</v>
      </c>
      <c r="M824" t="s">
        <v>22</v>
      </c>
      <c r="N824" t="s">
        <v>23</v>
      </c>
      <c r="O824" t="s">
        <v>24</v>
      </c>
      <c r="P824" t="s">
        <v>40</v>
      </c>
    </row>
    <row r="825" spans="1:16" x14ac:dyDescent="0.25">
      <c r="A825" s="1">
        <v>45704</v>
      </c>
      <c r="B825" t="s">
        <v>638</v>
      </c>
      <c r="C825">
        <v>83577</v>
      </c>
      <c r="D825" t="s">
        <v>57</v>
      </c>
      <c r="E825">
        <v>45</v>
      </c>
      <c r="F825">
        <v>17.899999999999999</v>
      </c>
      <c r="G825" t="s">
        <v>55</v>
      </c>
      <c r="H825">
        <v>0.09</v>
      </c>
      <c r="I825" t="s">
        <v>61</v>
      </c>
      <c r="J825">
        <v>18.13</v>
      </c>
      <c r="K825" t="s">
        <v>20</v>
      </c>
      <c r="L825" t="s">
        <v>21</v>
      </c>
      <c r="M825" t="s">
        <v>22</v>
      </c>
      <c r="N825" t="s">
        <v>23</v>
      </c>
      <c r="O825" t="s">
        <v>81</v>
      </c>
      <c r="P825" t="s">
        <v>25</v>
      </c>
    </row>
    <row r="826" spans="1:16" x14ac:dyDescent="0.25">
      <c r="A826" s="1">
        <v>45704</v>
      </c>
      <c r="B826" t="s">
        <v>139</v>
      </c>
      <c r="C826">
        <v>95071</v>
      </c>
      <c r="D826" t="s">
        <v>89</v>
      </c>
      <c r="E826">
        <v>11</v>
      </c>
      <c r="F826">
        <v>56.04</v>
      </c>
      <c r="G826" t="s">
        <v>36</v>
      </c>
      <c r="H826">
        <v>0.44</v>
      </c>
      <c r="I826" t="s">
        <v>29</v>
      </c>
      <c r="J826">
        <v>15.72</v>
      </c>
      <c r="K826" t="s">
        <v>44</v>
      </c>
      <c r="L826" t="s">
        <v>21</v>
      </c>
      <c r="M826" t="s">
        <v>22</v>
      </c>
      <c r="N826" t="s">
        <v>53</v>
      </c>
      <c r="O826" t="s">
        <v>81</v>
      </c>
      <c r="P826" t="s">
        <v>34</v>
      </c>
    </row>
    <row r="827" spans="1:16" x14ac:dyDescent="0.25">
      <c r="A827" s="1">
        <v>45704</v>
      </c>
      <c r="B827" t="s">
        <v>639</v>
      </c>
      <c r="C827">
        <v>48281</v>
      </c>
      <c r="D827" t="s">
        <v>27</v>
      </c>
      <c r="E827">
        <v>13</v>
      </c>
      <c r="F827">
        <v>19.329999999999998</v>
      </c>
      <c r="G827" t="s">
        <v>52</v>
      </c>
      <c r="H827">
        <v>0.22</v>
      </c>
      <c r="I827" t="s">
        <v>19</v>
      </c>
      <c r="J827">
        <v>18.670000000000002</v>
      </c>
      <c r="K827" t="s">
        <v>30</v>
      </c>
      <c r="L827" t="s">
        <v>21</v>
      </c>
      <c r="M827" t="s">
        <v>111</v>
      </c>
      <c r="N827" t="s">
        <v>53</v>
      </c>
      <c r="O827" t="s">
        <v>59</v>
      </c>
      <c r="P827" t="s">
        <v>34</v>
      </c>
    </row>
    <row r="828" spans="1:16" x14ac:dyDescent="0.25">
      <c r="A828" s="1">
        <v>45704</v>
      </c>
      <c r="B828" t="s">
        <v>640</v>
      </c>
      <c r="C828">
        <v>80915</v>
      </c>
      <c r="D828" t="s">
        <v>70</v>
      </c>
      <c r="E828">
        <v>39</v>
      </c>
      <c r="F828">
        <v>6.98</v>
      </c>
      <c r="G828" t="s">
        <v>36</v>
      </c>
      <c r="H828">
        <v>0.46</v>
      </c>
      <c r="I828" t="s">
        <v>61</v>
      </c>
      <c r="J828">
        <v>23.39</v>
      </c>
      <c r="K828" t="s">
        <v>44</v>
      </c>
      <c r="L828" t="s">
        <v>31</v>
      </c>
      <c r="M828" t="s">
        <v>22</v>
      </c>
      <c r="N828" t="s">
        <v>53</v>
      </c>
      <c r="O828" t="s">
        <v>24</v>
      </c>
      <c r="P828" t="s">
        <v>40</v>
      </c>
    </row>
    <row r="829" spans="1:16" x14ac:dyDescent="0.25">
      <c r="A829" s="1">
        <v>45704</v>
      </c>
      <c r="B829" t="s">
        <v>641</v>
      </c>
      <c r="C829">
        <v>57661</v>
      </c>
      <c r="D829" t="s">
        <v>68</v>
      </c>
      <c r="E829">
        <v>28</v>
      </c>
      <c r="F829">
        <v>69.650000000000006</v>
      </c>
      <c r="G829" t="s">
        <v>52</v>
      </c>
      <c r="H829">
        <v>0.41</v>
      </c>
      <c r="I829" t="s">
        <v>19</v>
      </c>
      <c r="J829">
        <v>18.600000000000001</v>
      </c>
      <c r="K829" t="s">
        <v>37</v>
      </c>
      <c r="L829" t="s">
        <v>31</v>
      </c>
      <c r="M829" t="s">
        <v>22</v>
      </c>
      <c r="N829" t="s">
        <v>53</v>
      </c>
      <c r="O829" t="s">
        <v>39</v>
      </c>
      <c r="P829" t="s">
        <v>34</v>
      </c>
    </row>
    <row r="830" spans="1:16" x14ac:dyDescent="0.25">
      <c r="A830" s="1">
        <v>45704</v>
      </c>
      <c r="B830" t="s">
        <v>642</v>
      </c>
      <c r="C830">
        <v>65719</v>
      </c>
      <c r="D830" t="s">
        <v>70</v>
      </c>
      <c r="E830">
        <v>2</v>
      </c>
      <c r="F830">
        <v>59.94</v>
      </c>
      <c r="G830" t="s">
        <v>47</v>
      </c>
      <c r="H830">
        <v>0.03</v>
      </c>
      <c r="I830" t="s">
        <v>29</v>
      </c>
      <c r="J830">
        <v>21.15</v>
      </c>
      <c r="K830" t="s">
        <v>30</v>
      </c>
      <c r="L830" t="s">
        <v>21</v>
      </c>
      <c r="M830" t="s">
        <v>22</v>
      </c>
      <c r="N830" t="s">
        <v>32</v>
      </c>
      <c r="O830" t="s">
        <v>59</v>
      </c>
      <c r="P830" t="s">
        <v>40</v>
      </c>
    </row>
    <row r="831" spans="1:16" x14ac:dyDescent="0.25">
      <c r="A831" s="1">
        <v>45704</v>
      </c>
      <c r="B831" t="s">
        <v>600</v>
      </c>
      <c r="C831">
        <v>46846</v>
      </c>
      <c r="D831" t="s">
        <v>42</v>
      </c>
      <c r="E831">
        <v>45</v>
      </c>
      <c r="F831">
        <v>13.22</v>
      </c>
      <c r="G831" t="s">
        <v>58</v>
      </c>
      <c r="H831">
        <v>0.04</v>
      </c>
      <c r="I831" t="s">
        <v>19</v>
      </c>
      <c r="J831">
        <v>22.21</v>
      </c>
      <c r="K831" t="s">
        <v>20</v>
      </c>
      <c r="L831" t="s">
        <v>31</v>
      </c>
      <c r="M831" t="s">
        <v>22</v>
      </c>
      <c r="N831" t="s">
        <v>23</v>
      </c>
      <c r="O831" t="s">
        <v>24</v>
      </c>
      <c r="P831" t="s">
        <v>34</v>
      </c>
    </row>
    <row r="832" spans="1:16" x14ac:dyDescent="0.25">
      <c r="A832" s="1">
        <v>45704</v>
      </c>
      <c r="B832" t="s">
        <v>643</v>
      </c>
      <c r="C832">
        <v>71988</v>
      </c>
      <c r="D832" t="s">
        <v>27</v>
      </c>
      <c r="E832">
        <v>35</v>
      </c>
      <c r="F832">
        <v>53.22</v>
      </c>
      <c r="G832" t="s">
        <v>76</v>
      </c>
      <c r="H832">
        <v>0.34</v>
      </c>
      <c r="I832" t="s">
        <v>29</v>
      </c>
      <c r="J832">
        <v>6.28</v>
      </c>
      <c r="K832" t="s">
        <v>44</v>
      </c>
      <c r="L832" t="s">
        <v>21</v>
      </c>
      <c r="M832" t="s">
        <v>22</v>
      </c>
      <c r="N832" t="s">
        <v>53</v>
      </c>
      <c r="O832" t="s">
        <v>81</v>
      </c>
      <c r="P832" t="s">
        <v>25</v>
      </c>
    </row>
    <row r="833" spans="1:16" x14ac:dyDescent="0.25">
      <c r="A833" s="1">
        <v>45704</v>
      </c>
      <c r="B833" t="s">
        <v>453</v>
      </c>
      <c r="C833">
        <v>17580</v>
      </c>
      <c r="D833" t="s">
        <v>17</v>
      </c>
      <c r="E833">
        <v>30</v>
      </c>
      <c r="F833">
        <v>50.14</v>
      </c>
      <c r="G833" t="s">
        <v>76</v>
      </c>
      <c r="H833">
        <v>0.17</v>
      </c>
      <c r="I833" t="s">
        <v>61</v>
      </c>
      <c r="J833">
        <v>23.25</v>
      </c>
      <c r="K833" t="s">
        <v>20</v>
      </c>
      <c r="L833" t="s">
        <v>31</v>
      </c>
      <c r="M833" t="s">
        <v>22</v>
      </c>
      <c r="N833" t="s">
        <v>38</v>
      </c>
      <c r="O833" t="s">
        <v>59</v>
      </c>
      <c r="P833" t="s">
        <v>25</v>
      </c>
    </row>
    <row r="834" spans="1:16" x14ac:dyDescent="0.25">
      <c r="A834" s="1">
        <v>45704</v>
      </c>
      <c r="B834" t="s">
        <v>644</v>
      </c>
      <c r="C834">
        <v>18378</v>
      </c>
      <c r="D834" t="s">
        <v>70</v>
      </c>
      <c r="E834">
        <v>28</v>
      </c>
      <c r="F834">
        <v>82.34</v>
      </c>
      <c r="G834" t="s">
        <v>55</v>
      </c>
      <c r="H834">
        <v>0.15</v>
      </c>
      <c r="I834" t="s">
        <v>19</v>
      </c>
      <c r="J834">
        <v>22.64</v>
      </c>
      <c r="K834" t="s">
        <v>37</v>
      </c>
      <c r="L834" t="s">
        <v>31</v>
      </c>
      <c r="M834" t="s">
        <v>22</v>
      </c>
      <c r="N834" t="s">
        <v>38</v>
      </c>
      <c r="O834" t="s">
        <v>81</v>
      </c>
      <c r="P834" t="s">
        <v>40</v>
      </c>
    </row>
    <row r="835" spans="1:16" x14ac:dyDescent="0.25">
      <c r="A835" s="1">
        <v>45704</v>
      </c>
      <c r="B835" t="s">
        <v>389</v>
      </c>
      <c r="C835">
        <v>90144</v>
      </c>
      <c r="D835" t="s">
        <v>46</v>
      </c>
      <c r="E835">
        <v>39</v>
      </c>
      <c r="F835">
        <v>95.75</v>
      </c>
      <c r="G835" t="s">
        <v>55</v>
      </c>
      <c r="H835">
        <v>0.04</v>
      </c>
      <c r="I835" t="s">
        <v>61</v>
      </c>
      <c r="J835">
        <v>11.43</v>
      </c>
      <c r="K835" t="s">
        <v>37</v>
      </c>
      <c r="L835" t="s">
        <v>21</v>
      </c>
      <c r="M835" t="s">
        <v>22</v>
      </c>
      <c r="N835" t="s">
        <v>23</v>
      </c>
      <c r="O835" t="s">
        <v>24</v>
      </c>
      <c r="P835" t="s">
        <v>40</v>
      </c>
    </row>
    <row r="836" spans="1:16" x14ac:dyDescent="0.25">
      <c r="A836" s="1">
        <v>45704</v>
      </c>
      <c r="B836" t="s">
        <v>261</v>
      </c>
      <c r="C836">
        <v>97316</v>
      </c>
      <c r="D836" t="s">
        <v>57</v>
      </c>
      <c r="E836">
        <v>33</v>
      </c>
      <c r="F836">
        <v>24.85</v>
      </c>
      <c r="G836" t="s">
        <v>99</v>
      </c>
      <c r="H836">
        <v>0.39</v>
      </c>
      <c r="I836" t="s">
        <v>29</v>
      </c>
      <c r="J836">
        <v>6.77</v>
      </c>
      <c r="K836" t="s">
        <v>20</v>
      </c>
      <c r="L836" t="s">
        <v>31</v>
      </c>
      <c r="M836" t="s">
        <v>111</v>
      </c>
      <c r="N836" t="s">
        <v>23</v>
      </c>
      <c r="O836" t="s">
        <v>81</v>
      </c>
      <c r="P836" t="s">
        <v>25</v>
      </c>
    </row>
    <row r="837" spans="1:16" x14ac:dyDescent="0.25">
      <c r="A837" s="1">
        <v>45705</v>
      </c>
      <c r="B837" t="s">
        <v>645</v>
      </c>
      <c r="C837">
        <v>98433</v>
      </c>
      <c r="D837" t="s">
        <v>46</v>
      </c>
      <c r="E837">
        <v>31</v>
      </c>
      <c r="F837">
        <v>43.94</v>
      </c>
      <c r="G837" t="s">
        <v>55</v>
      </c>
      <c r="H837">
        <v>0.11</v>
      </c>
      <c r="I837" t="s">
        <v>61</v>
      </c>
      <c r="J837">
        <v>26.43</v>
      </c>
      <c r="K837" t="s">
        <v>50</v>
      </c>
      <c r="L837" t="s">
        <v>31</v>
      </c>
      <c r="M837" t="s">
        <v>22</v>
      </c>
      <c r="N837" t="s">
        <v>38</v>
      </c>
      <c r="O837" t="s">
        <v>39</v>
      </c>
      <c r="P837" t="s">
        <v>25</v>
      </c>
    </row>
    <row r="838" spans="1:16" x14ac:dyDescent="0.25">
      <c r="A838" s="1">
        <v>45705</v>
      </c>
      <c r="B838" t="s">
        <v>580</v>
      </c>
      <c r="C838">
        <v>38176</v>
      </c>
      <c r="D838" t="s">
        <v>70</v>
      </c>
      <c r="E838">
        <v>31</v>
      </c>
      <c r="F838">
        <v>96.68</v>
      </c>
      <c r="G838" t="s">
        <v>18</v>
      </c>
      <c r="H838">
        <v>0.14000000000000001</v>
      </c>
      <c r="I838" t="s">
        <v>19</v>
      </c>
      <c r="J838">
        <v>12.72</v>
      </c>
      <c r="K838" t="s">
        <v>30</v>
      </c>
      <c r="L838" t="s">
        <v>31</v>
      </c>
      <c r="M838" t="s">
        <v>22</v>
      </c>
      <c r="N838" t="s">
        <v>53</v>
      </c>
      <c r="O838" s="4" t="s">
        <v>724</v>
      </c>
      <c r="P838" t="s">
        <v>25</v>
      </c>
    </row>
    <row r="839" spans="1:16" x14ac:dyDescent="0.25">
      <c r="A839" s="1">
        <v>45705</v>
      </c>
      <c r="B839" t="s">
        <v>238</v>
      </c>
      <c r="C839">
        <v>36296</v>
      </c>
      <c r="D839" t="s">
        <v>46</v>
      </c>
      <c r="E839">
        <v>10</v>
      </c>
      <c r="F839">
        <v>36.22</v>
      </c>
      <c r="G839" t="s">
        <v>58</v>
      </c>
      <c r="H839">
        <v>0.08</v>
      </c>
      <c r="I839" t="s">
        <v>29</v>
      </c>
      <c r="J839">
        <v>10.71</v>
      </c>
      <c r="K839" t="s">
        <v>30</v>
      </c>
      <c r="L839" t="s">
        <v>31</v>
      </c>
      <c r="M839" t="s">
        <v>22</v>
      </c>
      <c r="N839" t="s">
        <v>53</v>
      </c>
      <c r="O839" t="s">
        <v>81</v>
      </c>
      <c r="P839" t="s">
        <v>40</v>
      </c>
    </row>
    <row r="840" spans="1:16" x14ac:dyDescent="0.25">
      <c r="A840" s="1">
        <v>45705</v>
      </c>
      <c r="B840" t="s">
        <v>432</v>
      </c>
      <c r="C840">
        <v>18429</v>
      </c>
      <c r="D840" t="s">
        <v>70</v>
      </c>
      <c r="E840">
        <v>44</v>
      </c>
      <c r="F840">
        <v>7.52</v>
      </c>
      <c r="G840" t="s">
        <v>28</v>
      </c>
      <c r="H840">
        <v>0.42</v>
      </c>
      <c r="I840" t="s">
        <v>61</v>
      </c>
      <c r="J840">
        <v>7.6</v>
      </c>
      <c r="K840" t="s">
        <v>20</v>
      </c>
      <c r="L840" t="s">
        <v>21</v>
      </c>
      <c r="M840" t="s">
        <v>22</v>
      </c>
      <c r="N840" t="s">
        <v>53</v>
      </c>
      <c r="O840" t="s">
        <v>24</v>
      </c>
      <c r="P840" t="s">
        <v>40</v>
      </c>
    </row>
    <row r="841" spans="1:16" x14ac:dyDescent="0.25">
      <c r="A841" s="1">
        <v>45705</v>
      </c>
      <c r="B841" t="s">
        <v>646</v>
      </c>
      <c r="C841">
        <v>11344</v>
      </c>
      <c r="D841" t="s">
        <v>89</v>
      </c>
      <c r="E841">
        <v>18</v>
      </c>
      <c r="F841">
        <v>57.7</v>
      </c>
      <c r="G841" t="s">
        <v>47</v>
      </c>
      <c r="H841">
        <v>0.44</v>
      </c>
      <c r="I841" t="s">
        <v>61</v>
      </c>
      <c r="J841">
        <v>20.76</v>
      </c>
      <c r="K841" t="s">
        <v>50</v>
      </c>
      <c r="L841" t="s">
        <v>21</v>
      </c>
      <c r="M841" t="s">
        <v>22</v>
      </c>
      <c r="N841" t="s">
        <v>53</v>
      </c>
      <c r="O841" t="s">
        <v>39</v>
      </c>
      <c r="P841" t="s">
        <v>25</v>
      </c>
    </row>
    <row r="842" spans="1:16" x14ac:dyDescent="0.25">
      <c r="A842" s="1">
        <v>45705</v>
      </c>
      <c r="B842" t="s">
        <v>647</v>
      </c>
      <c r="C842">
        <v>92244</v>
      </c>
      <c r="D842" t="s">
        <v>68</v>
      </c>
      <c r="E842">
        <v>31</v>
      </c>
      <c r="F842">
        <v>26.63</v>
      </c>
      <c r="G842" t="s">
        <v>72</v>
      </c>
      <c r="H842">
        <v>0.12</v>
      </c>
      <c r="I842" t="s">
        <v>19</v>
      </c>
      <c r="J842">
        <v>21.97</v>
      </c>
      <c r="K842" t="s">
        <v>30</v>
      </c>
      <c r="L842" t="s">
        <v>21</v>
      </c>
      <c r="M842" t="s">
        <v>22</v>
      </c>
      <c r="N842" t="s">
        <v>23</v>
      </c>
      <c r="O842" t="s">
        <v>24</v>
      </c>
      <c r="P842" t="s">
        <v>40</v>
      </c>
    </row>
    <row r="843" spans="1:16" x14ac:dyDescent="0.25">
      <c r="A843" s="1">
        <v>45705</v>
      </c>
      <c r="B843" t="s">
        <v>243</v>
      </c>
      <c r="C843">
        <v>83467</v>
      </c>
      <c r="D843" t="s">
        <v>57</v>
      </c>
      <c r="E843">
        <v>1</v>
      </c>
      <c r="F843">
        <v>49.48</v>
      </c>
      <c r="G843" t="s">
        <v>72</v>
      </c>
      <c r="H843">
        <v>0.26</v>
      </c>
      <c r="I843" t="s">
        <v>29</v>
      </c>
      <c r="J843">
        <v>14.04</v>
      </c>
      <c r="K843" t="s">
        <v>37</v>
      </c>
      <c r="L843" t="s">
        <v>31</v>
      </c>
      <c r="M843" t="s">
        <v>22</v>
      </c>
      <c r="N843" t="s">
        <v>53</v>
      </c>
      <c r="O843" t="s">
        <v>59</v>
      </c>
      <c r="P843" t="s">
        <v>40</v>
      </c>
    </row>
    <row r="844" spans="1:16" x14ac:dyDescent="0.25">
      <c r="A844" s="1">
        <v>45705</v>
      </c>
      <c r="B844" t="s">
        <v>506</v>
      </c>
      <c r="C844">
        <v>50071</v>
      </c>
      <c r="D844" t="s">
        <v>27</v>
      </c>
      <c r="E844">
        <v>26</v>
      </c>
      <c r="F844">
        <v>11.97</v>
      </c>
      <c r="G844" t="s">
        <v>99</v>
      </c>
      <c r="H844">
        <v>0.26</v>
      </c>
      <c r="I844" t="s">
        <v>29</v>
      </c>
      <c r="J844">
        <v>22.46</v>
      </c>
      <c r="K844" t="s">
        <v>50</v>
      </c>
      <c r="L844" t="s">
        <v>31</v>
      </c>
      <c r="M844" t="s">
        <v>22</v>
      </c>
      <c r="N844" t="s">
        <v>38</v>
      </c>
      <c r="O844" t="s">
        <v>33</v>
      </c>
      <c r="P844" t="s">
        <v>25</v>
      </c>
    </row>
    <row r="845" spans="1:16" x14ac:dyDescent="0.25">
      <c r="A845" s="1">
        <v>45705</v>
      </c>
      <c r="B845" t="s">
        <v>542</v>
      </c>
      <c r="C845">
        <v>56913</v>
      </c>
      <c r="D845" t="s">
        <v>57</v>
      </c>
      <c r="E845">
        <v>15</v>
      </c>
      <c r="F845">
        <v>17.89</v>
      </c>
      <c r="G845" t="s">
        <v>76</v>
      </c>
      <c r="H845">
        <v>0.49</v>
      </c>
      <c r="I845" t="s">
        <v>29</v>
      </c>
      <c r="J845">
        <v>16.149999999999999</v>
      </c>
      <c r="K845" t="s">
        <v>44</v>
      </c>
      <c r="L845" t="s">
        <v>21</v>
      </c>
      <c r="M845" t="s">
        <v>22</v>
      </c>
      <c r="N845" t="s">
        <v>23</v>
      </c>
      <c r="O845" s="4" t="s">
        <v>724</v>
      </c>
      <c r="P845" t="s">
        <v>34</v>
      </c>
    </row>
    <row r="846" spans="1:16" x14ac:dyDescent="0.25">
      <c r="A846" s="1">
        <v>45705</v>
      </c>
      <c r="B846" t="s">
        <v>481</v>
      </c>
      <c r="C846">
        <v>57073</v>
      </c>
      <c r="D846" t="s">
        <v>89</v>
      </c>
      <c r="E846">
        <v>7</v>
      </c>
      <c r="F846">
        <v>91.76</v>
      </c>
      <c r="G846" t="s">
        <v>58</v>
      </c>
      <c r="H846">
        <v>0</v>
      </c>
      <c r="I846" t="s">
        <v>19</v>
      </c>
      <c r="J846">
        <v>8.44</v>
      </c>
      <c r="K846" t="s">
        <v>44</v>
      </c>
      <c r="L846" t="s">
        <v>31</v>
      </c>
      <c r="M846" t="s">
        <v>22</v>
      </c>
      <c r="N846" t="s">
        <v>23</v>
      </c>
      <c r="O846" t="s">
        <v>81</v>
      </c>
      <c r="P846" t="s">
        <v>25</v>
      </c>
    </row>
    <row r="847" spans="1:16" x14ac:dyDescent="0.25">
      <c r="A847" s="1">
        <v>45705</v>
      </c>
      <c r="B847" t="s">
        <v>64</v>
      </c>
      <c r="C847">
        <v>35808</v>
      </c>
      <c r="D847" t="s">
        <v>49</v>
      </c>
      <c r="E847">
        <v>47</v>
      </c>
      <c r="F847">
        <v>5.36</v>
      </c>
      <c r="G847" t="s">
        <v>28</v>
      </c>
      <c r="H847">
        <v>7.0000000000000007E-2</v>
      </c>
      <c r="I847" t="s">
        <v>29</v>
      </c>
      <c r="J847">
        <v>21.55</v>
      </c>
      <c r="K847" t="s">
        <v>37</v>
      </c>
      <c r="L847" t="s">
        <v>31</v>
      </c>
      <c r="M847" t="s">
        <v>22</v>
      </c>
      <c r="N847" t="s">
        <v>53</v>
      </c>
      <c r="O847" t="s">
        <v>81</v>
      </c>
      <c r="P847" t="s">
        <v>40</v>
      </c>
    </row>
    <row r="848" spans="1:16" x14ac:dyDescent="0.25">
      <c r="A848" s="1">
        <v>45705</v>
      </c>
      <c r="B848" t="s">
        <v>534</v>
      </c>
      <c r="C848">
        <v>48136</v>
      </c>
      <c r="D848" t="s">
        <v>57</v>
      </c>
      <c r="E848">
        <v>20</v>
      </c>
      <c r="F848">
        <v>35.83</v>
      </c>
      <c r="G848" t="s">
        <v>47</v>
      </c>
      <c r="H848">
        <v>0.45</v>
      </c>
      <c r="I848" t="s">
        <v>29</v>
      </c>
      <c r="J848">
        <v>15.25</v>
      </c>
      <c r="K848" t="s">
        <v>50</v>
      </c>
      <c r="L848" t="s">
        <v>31</v>
      </c>
      <c r="M848" t="s">
        <v>22</v>
      </c>
      <c r="N848" t="s">
        <v>32</v>
      </c>
      <c r="O848" t="s">
        <v>59</v>
      </c>
      <c r="P848" t="s">
        <v>34</v>
      </c>
    </row>
    <row r="849" spans="1:16" x14ac:dyDescent="0.25">
      <c r="A849" s="1">
        <v>45705</v>
      </c>
      <c r="B849" t="s">
        <v>648</v>
      </c>
      <c r="C849">
        <v>66829</v>
      </c>
      <c r="D849" t="s">
        <v>17</v>
      </c>
      <c r="E849">
        <v>49</v>
      </c>
      <c r="F849">
        <v>22.77</v>
      </c>
      <c r="G849" t="s">
        <v>52</v>
      </c>
      <c r="H849">
        <v>0.39</v>
      </c>
      <c r="I849" t="s">
        <v>29</v>
      </c>
      <c r="J849">
        <v>10.87</v>
      </c>
      <c r="K849" t="s">
        <v>50</v>
      </c>
      <c r="L849" t="s">
        <v>21</v>
      </c>
      <c r="M849" t="s">
        <v>22</v>
      </c>
      <c r="N849" t="s">
        <v>23</v>
      </c>
      <c r="O849" t="s">
        <v>33</v>
      </c>
      <c r="P849" t="s">
        <v>25</v>
      </c>
    </row>
    <row r="850" spans="1:16" x14ac:dyDescent="0.25">
      <c r="A850" s="1">
        <v>45705</v>
      </c>
      <c r="B850" t="s">
        <v>649</v>
      </c>
      <c r="C850">
        <v>53173</v>
      </c>
      <c r="D850" t="s">
        <v>70</v>
      </c>
      <c r="E850">
        <v>21</v>
      </c>
      <c r="F850">
        <v>87.56</v>
      </c>
      <c r="G850" t="s">
        <v>18</v>
      </c>
      <c r="H850">
        <v>0.24</v>
      </c>
      <c r="I850" t="s">
        <v>61</v>
      </c>
      <c r="J850">
        <v>23.16</v>
      </c>
      <c r="K850" t="s">
        <v>30</v>
      </c>
      <c r="L850" t="s">
        <v>21</v>
      </c>
      <c r="M850" t="s">
        <v>22</v>
      </c>
      <c r="N850" t="s">
        <v>32</v>
      </c>
      <c r="O850" t="s">
        <v>81</v>
      </c>
      <c r="P850" t="s">
        <v>34</v>
      </c>
    </row>
    <row r="851" spans="1:16" x14ac:dyDescent="0.25">
      <c r="A851" s="1">
        <v>45705</v>
      </c>
      <c r="B851" t="s">
        <v>650</v>
      </c>
      <c r="C851">
        <v>72811</v>
      </c>
      <c r="D851" t="s">
        <v>70</v>
      </c>
      <c r="E851">
        <v>40</v>
      </c>
      <c r="F851">
        <v>82.55</v>
      </c>
      <c r="G851" t="s">
        <v>47</v>
      </c>
      <c r="H851">
        <v>0.11</v>
      </c>
      <c r="I851" t="s">
        <v>29</v>
      </c>
      <c r="J851">
        <v>20.14</v>
      </c>
      <c r="K851" t="s">
        <v>50</v>
      </c>
      <c r="L851" t="s">
        <v>31</v>
      </c>
      <c r="M851" t="s">
        <v>22</v>
      </c>
      <c r="N851" t="s">
        <v>53</v>
      </c>
      <c r="O851" t="s">
        <v>33</v>
      </c>
      <c r="P851" t="s">
        <v>40</v>
      </c>
    </row>
    <row r="852" spans="1:16" x14ac:dyDescent="0.25">
      <c r="A852" s="1">
        <v>45705</v>
      </c>
      <c r="B852" t="s">
        <v>651</v>
      </c>
      <c r="C852">
        <v>14652</v>
      </c>
      <c r="D852" t="s">
        <v>70</v>
      </c>
      <c r="E852">
        <v>12</v>
      </c>
      <c r="F852">
        <v>94.92</v>
      </c>
      <c r="G852" t="s">
        <v>43</v>
      </c>
      <c r="H852">
        <v>0.19</v>
      </c>
      <c r="I852" t="s">
        <v>19</v>
      </c>
      <c r="J852">
        <v>18.239999999999998</v>
      </c>
      <c r="K852" t="s">
        <v>50</v>
      </c>
      <c r="L852" t="s">
        <v>21</v>
      </c>
      <c r="M852" t="s">
        <v>22</v>
      </c>
      <c r="N852" t="s">
        <v>53</v>
      </c>
      <c r="O852" t="s">
        <v>81</v>
      </c>
      <c r="P852" t="s">
        <v>40</v>
      </c>
    </row>
    <row r="853" spans="1:16" x14ac:dyDescent="0.25">
      <c r="A853" s="1">
        <v>45705</v>
      </c>
      <c r="B853" t="s">
        <v>129</v>
      </c>
      <c r="C853">
        <v>12909</v>
      </c>
      <c r="D853" t="s">
        <v>42</v>
      </c>
      <c r="E853">
        <v>22</v>
      </c>
      <c r="F853">
        <v>4</v>
      </c>
      <c r="G853" t="s">
        <v>18</v>
      </c>
      <c r="H853">
        <v>0.33</v>
      </c>
      <c r="I853" t="s">
        <v>19</v>
      </c>
      <c r="J853">
        <v>27.05</v>
      </c>
      <c r="K853" t="s">
        <v>50</v>
      </c>
      <c r="L853" t="s">
        <v>31</v>
      </c>
      <c r="M853" t="s">
        <v>22</v>
      </c>
      <c r="N853" t="s">
        <v>53</v>
      </c>
      <c r="O853" t="s">
        <v>33</v>
      </c>
      <c r="P853" t="s">
        <v>25</v>
      </c>
    </row>
    <row r="854" spans="1:16" x14ac:dyDescent="0.25">
      <c r="A854" s="1">
        <v>45705</v>
      </c>
      <c r="B854" t="s">
        <v>545</v>
      </c>
      <c r="C854">
        <v>51186</v>
      </c>
      <c r="D854" t="s">
        <v>75</v>
      </c>
      <c r="E854">
        <v>9</v>
      </c>
      <c r="F854">
        <v>89.87</v>
      </c>
      <c r="G854" t="s">
        <v>36</v>
      </c>
      <c r="H854">
        <v>0.21</v>
      </c>
      <c r="I854" t="s">
        <v>19</v>
      </c>
      <c r="J854">
        <v>12.11</v>
      </c>
      <c r="K854" t="s">
        <v>50</v>
      </c>
      <c r="L854" t="s">
        <v>21</v>
      </c>
      <c r="M854" t="s">
        <v>22</v>
      </c>
      <c r="N854" t="s">
        <v>53</v>
      </c>
      <c r="O854" t="s">
        <v>39</v>
      </c>
      <c r="P854" t="s">
        <v>25</v>
      </c>
    </row>
    <row r="855" spans="1:16" x14ac:dyDescent="0.25">
      <c r="A855" s="1">
        <v>45705</v>
      </c>
      <c r="B855" t="s">
        <v>652</v>
      </c>
      <c r="C855">
        <v>71371</v>
      </c>
      <c r="D855" t="s">
        <v>68</v>
      </c>
      <c r="E855">
        <v>13</v>
      </c>
      <c r="F855">
        <v>28.18</v>
      </c>
      <c r="G855" t="s">
        <v>28</v>
      </c>
      <c r="H855">
        <v>0.06</v>
      </c>
      <c r="I855" t="s">
        <v>61</v>
      </c>
      <c r="J855">
        <v>29.96</v>
      </c>
      <c r="K855" t="s">
        <v>50</v>
      </c>
      <c r="L855" t="s">
        <v>21</v>
      </c>
      <c r="M855" t="s">
        <v>22</v>
      </c>
      <c r="N855" t="s">
        <v>23</v>
      </c>
      <c r="O855" s="4" t="s">
        <v>724</v>
      </c>
      <c r="P855" t="s">
        <v>40</v>
      </c>
    </row>
    <row r="856" spans="1:16" x14ac:dyDescent="0.25">
      <c r="A856" s="1">
        <v>45705</v>
      </c>
      <c r="B856" t="s">
        <v>460</v>
      </c>
      <c r="C856">
        <v>55435</v>
      </c>
      <c r="D856" t="s">
        <v>70</v>
      </c>
      <c r="E856">
        <v>35</v>
      </c>
      <c r="F856">
        <v>84.49</v>
      </c>
      <c r="G856" t="s">
        <v>76</v>
      </c>
      <c r="H856">
        <v>0.44</v>
      </c>
      <c r="I856" t="s">
        <v>61</v>
      </c>
      <c r="J856">
        <v>25.44</v>
      </c>
      <c r="K856" t="s">
        <v>44</v>
      </c>
      <c r="L856" t="s">
        <v>31</v>
      </c>
      <c r="M856" t="s">
        <v>22</v>
      </c>
      <c r="N856" t="s">
        <v>53</v>
      </c>
      <c r="O856" t="s">
        <v>81</v>
      </c>
      <c r="P856" t="s">
        <v>25</v>
      </c>
    </row>
    <row r="857" spans="1:16" x14ac:dyDescent="0.25">
      <c r="A857" s="1">
        <v>45705</v>
      </c>
      <c r="B857" t="s">
        <v>69</v>
      </c>
      <c r="C857">
        <v>94592</v>
      </c>
      <c r="D857" t="s">
        <v>27</v>
      </c>
      <c r="E857">
        <v>11</v>
      </c>
      <c r="F857">
        <v>76.3</v>
      </c>
      <c r="G857" t="s">
        <v>99</v>
      </c>
      <c r="H857">
        <v>0.13</v>
      </c>
      <c r="I857" t="s">
        <v>29</v>
      </c>
      <c r="J857">
        <v>12.96</v>
      </c>
      <c r="K857" t="s">
        <v>20</v>
      </c>
      <c r="L857" t="s">
        <v>31</v>
      </c>
      <c r="M857" t="s">
        <v>22</v>
      </c>
      <c r="N857" t="s">
        <v>53</v>
      </c>
      <c r="O857" t="s">
        <v>24</v>
      </c>
      <c r="P857" t="s">
        <v>25</v>
      </c>
    </row>
    <row r="858" spans="1:16" x14ac:dyDescent="0.25">
      <c r="A858" s="1">
        <v>45705</v>
      </c>
      <c r="B858" t="s">
        <v>260</v>
      </c>
      <c r="C858">
        <v>69134</v>
      </c>
      <c r="D858" t="s">
        <v>46</v>
      </c>
      <c r="E858">
        <v>14</v>
      </c>
      <c r="F858">
        <v>42.14</v>
      </c>
      <c r="G858" t="s">
        <v>99</v>
      </c>
      <c r="H858">
        <v>0.16</v>
      </c>
      <c r="I858" t="s">
        <v>19</v>
      </c>
      <c r="J858">
        <v>26.12</v>
      </c>
      <c r="K858" t="s">
        <v>44</v>
      </c>
      <c r="L858" t="s">
        <v>31</v>
      </c>
      <c r="M858" t="s">
        <v>22</v>
      </c>
      <c r="N858" t="s">
        <v>38</v>
      </c>
      <c r="O858" t="s">
        <v>33</v>
      </c>
      <c r="P858" t="s">
        <v>34</v>
      </c>
    </row>
    <row r="859" spans="1:16" x14ac:dyDescent="0.25">
      <c r="A859" s="1">
        <v>45705</v>
      </c>
      <c r="B859" t="s">
        <v>319</v>
      </c>
      <c r="C859">
        <v>51656</v>
      </c>
      <c r="D859" t="s">
        <v>70</v>
      </c>
      <c r="E859">
        <v>31</v>
      </c>
      <c r="F859">
        <v>48.95</v>
      </c>
      <c r="G859" t="s">
        <v>72</v>
      </c>
      <c r="H859">
        <v>0.42</v>
      </c>
      <c r="I859" t="s">
        <v>19</v>
      </c>
      <c r="J859">
        <v>24.52</v>
      </c>
      <c r="K859" t="s">
        <v>20</v>
      </c>
      <c r="L859" t="s">
        <v>21</v>
      </c>
      <c r="M859" t="s">
        <v>22</v>
      </c>
      <c r="N859" t="s">
        <v>53</v>
      </c>
      <c r="O859" t="s">
        <v>39</v>
      </c>
      <c r="P859" t="s">
        <v>40</v>
      </c>
    </row>
    <row r="860" spans="1:16" x14ac:dyDescent="0.25">
      <c r="A860" s="1">
        <v>45706</v>
      </c>
      <c r="B860" t="s">
        <v>653</v>
      </c>
      <c r="C860">
        <v>50603</v>
      </c>
      <c r="D860" t="s">
        <v>70</v>
      </c>
      <c r="E860">
        <v>3</v>
      </c>
      <c r="F860">
        <v>79.81</v>
      </c>
      <c r="G860" t="s">
        <v>55</v>
      </c>
      <c r="H860">
        <v>0.4</v>
      </c>
      <c r="I860" t="s">
        <v>61</v>
      </c>
      <c r="J860">
        <v>6.44</v>
      </c>
      <c r="K860" t="s">
        <v>44</v>
      </c>
      <c r="L860" t="s">
        <v>31</v>
      </c>
      <c r="M860" t="s">
        <v>22</v>
      </c>
      <c r="N860" t="s">
        <v>23</v>
      </c>
      <c r="O860" t="s">
        <v>39</v>
      </c>
      <c r="P860" t="s">
        <v>25</v>
      </c>
    </row>
    <row r="861" spans="1:16" x14ac:dyDescent="0.25">
      <c r="A861" s="1">
        <v>45706</v>
      </c>
      <c r="B861" t="s">
        <v>564</v>
      </c>
      <c r="C861">
        <v>47181</v>
      </c>
      <c r="D861" t="s">
        <v>66</v>
      </c>
      <c r="E861">
        <v>43</v>
      </c>
      <c r="F861">
        <v>43.43</v>
      </c>
      <c r="G861" t="s">
        <v>28</v>
      </c>
      <c r="H861">
        <v>0.01</v>
      </c>
      <c r="I861" t="s">
        <v>19</v>
      </c>
      <c r="J861">
        <v>12.2</v>
      </c>
      <c r="K861" t="s">
        <v>30</v>
      </c>
      <c r="L861" t="s">
        <v>31</v>
      </c>
      <c r="M861" t="s">
        <v>22</v>
      </c>
      <c r="N861" t="s">
        <v>32</v>
      </c>
      <c r="O861" t="s">
        <v>59</v>
      </c>
      <c r="P861" t="s">
        <v>25</v>
      </c>
    </row>
    <row r="862" spans="1:16" x14ac:dyDescent="0.25">
      <c r="A862" s="1">
        <v>45706</v>
      </c>
      <c r="B862" t="s">
        <v>604</v>
      </c>
      <c r="C862">
        <v>63876</v>
      </c>
      <c r="D862" t="s">
        <v>89</v>
      </c>
      <c r="E862">
        <v>36</v>
      </c>
      <c r="F862">
        <v>51.28</v>
      </c>
      <c r="G862" t="s">
        <v>28</v>
      </c>
      <c r="H862">
        <v>0.09</v>
      </c>
      <c r="I862" t="s">
        <v>29</v>
      </c>
      <c r="J862">
        <v>28.51</v>
      </c>
      <c r="K862" t="s">
        <v>44</v>
      </c>
      <c r="L862" t="s">
        <v>21</v>
      </c>
      <c r="M862" t="s">
        <v>22</v>
      </c>
      <c r="N862" t="s">
        <v>23</v>
      </c>
      <c r="O862" t="s">
        <v>81</v>
      </c>
      <c r="P862" t="s">
        <v>34</v>
      </c>
    </row>
    <row r="863" spans="1:16" x14ac:dyDescent="0.25">
      <c r="A863" s="1">
        <v>45706</v>
      </c>
      <c r="B863" t="s">
        <v>507</v>
      </c>
      <c r="C863">
        <v>32123</v>
      </c>
      <c r="D863" t="s">
        <v>70</v>
      </c>
      <c r="E863">
        <v>23</v>
      </c>
      <c r="F863">
        <v>75.760000000000005</v>
      </c>
      <c r="G863" t="s">
        <v>52</v>
      </c>
      <c r="H863">
        <v>0.31</v>
      </c>
      <c r="I863" t="s">
        <v>29</v>
      </c>
      <c r="J863">
        <v>12.71</v>
      </c>
      <c r="K863" t="s">
        <v>50</v>
      </c>
      <c r="L863" t="s">
        <v>31</v>
      </c>
      <c r="M863" t="s">
        <v>22</v>
      </c>
      <c r="N863" t="s">
        <v>32</v>
      </c>
      <c r="O863" t="s">
        <v>24</v>
      </c>
      <c r="P863" t="s">
        <v>40</v>
      </c>
    </row>
    <row r="864" spans="1:16" x14ac:dyDescent="0.25">
      <c r="A864" s="1">
        <v>45706</v>
      </c>
      <c r="B864" t="s">
        <v>595</v>
      </c>
      <c r="C864">
        <v>95905</v>
      </c>
      <c r="D864" t="s">
        <v>42</v>
      </c>
      <c r="E864">
        <v>22</v>
      </c>
      <c r="F864">
        <v>53.07</v>
      </c>
      <c r="G864" t="s">
        <v>84</v>
      </c>
      <c r="H864">
        <v>0.21</v>
      </c>
      <c r="I864" t="s">
        <v>19</v>
      </c>
      <c r="J864">
        <v>21.76</v>
      </c>
      <c r="K864" t="s">
        <v>44</v>
      </c>
      <c r="L864" t="s">
        <v>21</v>
      </c>
      <c r="M864" t="s">
        <v>22</v>
      </c>
      <c r="N864" t="s">
        <v>32</v>
      </c>
      <c r="O864" t="s">
        <v>81</v>
      </c>
      <c r="P864" t="s">
        <v>34</v>
      </c>
    </row>
    <row r="865" spans="1:16" x14ac:dyDescent="0.25">
      <c r="A865" s="1">
        <v>45706</v>
      </c>
      <c r="B865" t="s">
        <v>654</v>
      </c>
      <c r="C865">
        <v>73537</v>
      </c>
      <c r="D865" t="s">
        <v>75</v>
      </c>
      <c r="E865">
        <v>15</v>
      </c>
      <c r="F865">
        <v>36.21</v>
      </c>
      <c r="G865" t="s">
        <v>43</v>
      </c>
      <c r="H865">
        <v>0.18</v>
      </c>
      <c r="I865" t="s">
        <v>19</v>
      </c>
      <c r="J865">
        <v>24.05</v>
      </c>
      <c r="K865" t="s">
        <v>20</v>
      </c>
      <c r="L865" t="s">
        <v>21</v>
      </c>
      <c r="M865" t="s">
        <v>22</v>
      </c>
      <c r="N865" t="s">
        <v>23</v>
      </c>
      <c r="O865" t="s">
        <v>59</v>
      </c>
      <c r="P865" t="s">
        <v>25</v>
      </c>
    </row>
    <row r="866" spans="1:16" x14ac:dyDescent="0.25">
      <c r="A866" s="1">
        <v>45706</v>
      </c>
      <c r="B866" t="s">
        <v>655</v>
      </c>
      <c r="C866">
        <v>56278</v>
      </c>
      <c r="D866" t="s">
        <v>57</v>
      </c>
      <c r="E866">
        <v>46</v>
      </c>
      <c r="F866">
        <v>66.62</v>
      </c>
      <c r="G866" t="s">
        <v>72</v>
      </c>
      <c r="H866">
        <v>0.23</v>
      </c>
      <c r="I866" t="s">
        <v>19</v>
      </c>
      <c r="J866">
        <v>9.18</v>
      </c>
      <c r="K866" t="s">
        <v>30</v>
      </c>
      <c r="L866" t="s">
        <v>21</v>
      </c>
      <c r="M866" t="s">
        <v>22</v>
      </c>
      <c r="N866" t="s">
        <v>23</v>
      </c>
      <c r="O866" t="s">
        <v>59</v>
      </c>
      <c r="P866" t="s">
        <v>40</v>
      </c>
    </row>
    <row r="867" spans="1:16" x14ac:dyDescent="0.25">
      <c r="A867" s="1">
        <v>45706</v>
      </c>
      <c r="B867" t="s">
        <v>656</v>
      </c>
      <c r="C867">
        <v>62574</v>
      </c>
      <c r="D867" t="s">
        <v>57</v>
      </c>
      <c r="E867">
        <v>31</v>
      </c>
      <c r="F867">
        <v>64</v>
      </c>
      <c r="G867" t="s">
        <v>36</v>
      </c>
      <c r="H867">
        <v>0.1</v>
      </c>
      <c r="I867" t="s">
        <v>29</v>
      </c>
      <c r="J867">
        <v>19.98</v>
      </c>
      <c r="K867" t="s">
        <v>30</v>
      </c>
      <c r="L867" t="s">
        <v>21</v>
      </c>
      <c r="M867" t="s">
        <v>22</v>
      </c>
      <c r="N867" t="s">
        <v>23</v>
      </c>
      <c r="O867" t="s">
        <v>59</v>
      </c>
      <c r="P867" t="s">
        <v>34</v>
      </c>
    </row>
    <row r="868" spans="1:16" x14ac:dyDescent="0.25">
      <c r="A868" s="1">
        <v>45706</v>
      </c>
      <c r="B868" t="s">
        <v>657</v>
      </c>
      <c r="C868">
        <v>23955</v>
      </c>
      <c r="D868" t="s">
        <v>49</v>
      </c>
      <c r="E868">
        <v>45</v>
      </c>
      <c r="F868">
        <v>56</v>
      </c>
      <c r="G868" t="s">
        <v>76</v>
      </c>
      <c r="H868">
        <v>0.38</v>
      </c>
      <c r="I868" t="s">
        <v>19</v>
      </c>
      <c r="J868">
        <v>15.73</v>
      </c>
      <c r="K868" t="s">
        <v>50</v>
      </c>
      <c r="L868" t="s">
        <v>31</v>
      </c>
      <c r="M868" t="s">
        <v>22</v>
      </c>
      <c r="N868" t="s">
        <v>23</v>
      </c>
      <c r="O868" t="s">
        <v>33</v>
      </c>
      <c r="P868" t="s">
        <v>40</v>
      </c>
    </row>
    <row r="869" spans="1:16" x14ac:dyDescent="0.25">
      <c r="A869" s="1">
        <v>45706</v>
      </c>
      <c r="B869" t="s">
        <v>658</v>
      </c>
      <c r="C869">
        <v>41341</v>
      </c>
      <c r="D869" t="s">
        <v>89</v>
      </c>
      <c r="E869">
        <v>14</v>
      </c>
      <c r="F869">
        <v>60.95</v>
      </c>
      <c r="G869" t="s">
        <v>47</v>
      </c>
      <c r="H869">
        <v>0.32</v>
      </c>
      <c r="I869" t="s">
        <v>19</v>
      </c>
      <c r="J869">
        <v>28.47</v>
      </c>
      <c r="K869" t="s">
        <v>20</v>
      </c>
      <c r="L869" t="s">
        <v>31</v>
      </c>
      <c r="M869" t="s">
        <v>22</v>
      </c>
      <c r="N869" t="s">
        <v>53</v>
      </c>
      <c r="O869" t="s">
        <v>81</v>
      </c>
      <c r="P869" t="s">
        <v>25</v>
      </c>
    </row>
    <row r="870" spans="1:16" x14ac:dyDescent="0.25">
      <c r="A870" s="1">
        <v>45706</v>
      </c>
      <c r="B870" t="s">
        <v>594</v>
      </c>
      <c r="C870">
        <v>16559</v>
      </c>
      <c r="D870" t="s">
        <v>57</v>
      </c>
      <c r="E870">
        <v>30</v>
      </c>
      <c r="F870">
        <v>39.97</v>
      </c>
      <c r="G870" t="s">
        <v>72</v>
      </c>
      <c r="H870">
        <v>0.38</v>
      </c>
      <c r="I870" t="s">
        <v>61</v>
      </c>
      <c r="J870">
        <v>17.03</v>
      </c>
      <c r="K870" t="s">
        <v>37</v>
      </c>
      <c r="L870" t="s">
        <v>21</v>
      </c>
      <c r="M870" t="s">
        <v>22</v>
      </c>
      <c r="N870" t="s">
        <v>38</v>
      </c>
      <c r="O870" t="s">
        <v>59</v>
      </c>
      <c r="P870" t="s">
        <v>40</v>
      </c>
    </row>
    <row r="871" spans="1:16" x14ac:dyDescent="0.25">
      <c r="A871" s="1">
        <v>45706</v>
      </c>
      <c r="B871" t="s">
        <v>444</v>
      </c>
      <c r="C871">
        <v>88209</v>
      </c>
      <c r="D871" t="s">
        <v>17</v>
      </c>
      <c r="E871">
        <v>48</v>
      </c>
      <c r="F871">
        <v>38.47</v>
      </c>
      <c r="G871" t="s">
        <v>43</v>
      </c>
      <c r="H871">
        <v>0.3</v>
      </c>
      <c r="I871" t="s">
        <v>61</v>
      </c>
      <c r="J871">
        <v>6.98</v>
      </c>
      <c r="K871" t="s">
        <v>37</v>
      </c>
      <c r="L871" t="s">
        <v>31</v>
      </c>
      <c r="M871" t="s">
        <v>22</v>
      </c>
      <c r="N871" t="s">
        <v>23</v>
      </c>
      <c r="O871" t="s">
        <v>39</v>
      </c>
      <c r="P871" t="s">
        <v>25</v>
      </c>
    </row>
    <row r="872" spans="1:16" x14ac:dyDescent="0.25">
      <c r="A872" s="1">
        <v>45706</v>
      </c>
      <c r="B872" t="s">
        <v>521</v>
      </c>
      <c r="C872">
        <v>43994</v>
      </c>
      <c r="D872" t="s">
        <v>70</v>
      </c>
      <c r="E872">
        <v>24</v>
      </c>
      <c r="F872">
        <v>85.12</v>
      </c>
      <c r="G872" t="s">
        <v>36</v>
      </c>
      <c r="H872">
        <v>0.34</v>
      </c>
      <c r="I872" t="s">
        <v>61</v>
      </c>
      <c r="J872">
        <v>28.21</v>
      </c>
      <c r="K872" t="s">
        <v>50</v>
      </c>
      <c r="L872" t="s">
        <v>31</v>
      </c>
      <c r="M872" t="s">
        <v>111</v>
      </c>
      <c r="N872" t="s">
        <v>53</v>
      </c>
      <c r="O872" t="s">
        <v>33</v>
      </c>
      <c r="P872" t="s">
        <v>25</v>
      </c>
    </row>
    <row r="873" spans="1:16" x14ac:dyDescent="0.25">
      <c r="A873" s="1">
        <v>45706</v>
      </c>
      <c r="B873" t="s">
        <v>659</v>
      </c>
      <c r="C873">
        <v>75060</v>
      </c>
      <c r="D873" t="s">
        <v>46</v>
      </c>
      <c r="E873">
        <v>19</v>
      </c>
      <c r="F873">
        <v>38.54</v>
      </c>
      <c r="G873" t="s">
        <v>76</v>
      </c>
      <c r="H873">
        <v>0.13</v>
      </c>
      <c r="I873" t="s">
        <v>29</v>
      </c>
      <c r="J873">
        <v>15.93</v>
      </c>
      <c r="K873" t="s">
        <v>37</v>
      </c>
      <c r="L873" t="s">
        <v>21</v>
      </c>
      <c r="M873" t="s">
        <v>22</v>
      </c>
      <c r="N873" t="s">
        <v>23</v>
      </c>
      <c r="O873" t="s">
        <v>24</v>
      </c>
      <c r="P873" t="s">
        <v>34</v>
      </c>
    </row>
    <row r="874" spans="1:16" x14ac:dyDescent="0.25">
      <c r="A874" s="1">
        <v>45706</v>
      </c>
      <c r="B874" t="s">
        <v>277</v>
      </c>
      <c r="C874">
        <v>21483</v>
      </c>
      <c r="D874" t="s">
        <v>70</v>
      </c>
      <c r="E874">
        <v>7</v>
      </c>
      <c r="F874">
        <v>74.83</v>
      </c>
      <c r="G874" t="s">
        <v>47</v>
      </c>
      <c r="H874">
        <v>0.28999999999999998</v>
      </c>
      <c r="I874" t="s">
        <v>29</v>
      </c>
      <c r="J874">
        <v>16.87</v>
      </c>
      <c r="K874" t="s">
        <v>37</v>
      </c>
      <c r="L874" t="s">
        <v>31</v>
      </c>
      <c r="M874" t="s">
        <v>111</v>
      </c>
      <c r="N874" t="s">
        <v>32</v>
      </c>
      <c r="O874" t="s">
        <v>39</v>
      </c>
      <c r="P874" t="s">
        <v>25</v>
      </c>
    </row>
    <row r="875" spans="1:16" x14ac:dyDescent="0.25">
      <c r="A875" s="1">
        <v>45706</v>
      </c>
      <c r="B875" t="s">
        <v>594</v>
      </c>
      <c r="C875">
        <v>71444</v>
      </c>
      <c r="D875" t="s">
        <v>89</v>
      </c>
      <c r="E875">
        <v>45</v>
      </c>
      <c r="F875">
        <v>77.680000000000007</v>
      </c>
      <c r="G875" t="s">
        <v>28</v>
      </c>
      <c r="H875">
        <v>0.18</v>
      </c>
      <c r="I875" t="s">
        <v>61</v>
      </c>
      <c r="J875">
        <v>27.18</v>
      </c>
      <c r="K875" t="s">
        <v>44</v>
      </c>
      <c r="L875" t="s">
        <v>31</v>
      </c>
      <c r="M875" t="s">
        <v>22</v>
      </c>
      <c r="N875" t="s">
        <v>23</v>
      </c>
      <c r="O875" t="s">
        <v>81</v>
      </c>
      <c r="P875" t="s">
        <v>40</v>
      </c>
    </row>
    <row r="876" spans="1:16" x14ac:dyDescent="0.25">
      <c r="A876" s="1">
        <v>45706</v>
      </c>
      <c r="B876" t="s">
        <v>472</v>
      </c>
      <c r="C876">
        <v>18724</v>
      </c>
      <c r="D876" t="s">
        <v>57</v>
      </c>
      <c r="E876">
        <v>47</v>
      </c>
      <c r="F876">
        <v>78.31</v>
      </c>
      <c r="G876" t="s">
        <v>43</v>
      </c>
      <c r="H876">
        <v>0.09</v>
      </c>
      <c r="I876" t="s">
        <v>61</v>
      </c>
      <c r="J876">
        <v>19.77</v>
      </c>
      <c r="K876" t="s">
        <v>44</v>
      </c>
      <c r="L876" t="s">
        <v>31</v>
      </c>
      <c r="M876" t="s">
        <v>22</v>
      </c>
      <c r="N876" t="s">
        <v>38</v>
      </c>
      <c r="O876" t="s">
        <v>39</v>
      </c>
      <c r="P876" t="s">
        <v>34</v>
      </c>
    </row>
    <row r="877" spans="1:16" x14ac:dyDescent="0.25">
      <c r="A877" s="1">
        <v>45706</v>
      </c>
      <c r="B877" t="s">
        <v>660</v>
      </c>
      <c r="C877">
        <v>19711</v>
      </c>
      <c r="D877" t="s">
        <v>27</v>
      </c>
      <c r="E877">
        <v>18</v>
      </c>
      <c r="F877">
        <v>32.86</v>
      </c>
      <c r="G877" t="s">
        <v>58</v>
      </c>
      <c r="H877">
        <v>0.38</v>
      </c>
      <c r="I877" t="s">
        <v>61</v>
      </c>
      <c r="J877">
        <v>20.07</v>
      </c>
      <c r="K877" t="s">
        <v>20</v>
      </c>
      <c r="L877" t="s">
        <v>31</v>
      </c>
      <c r="M877" t="s">
        <v>22</v>
      </c>
      <c r="N877" t="s">
        <v>23</v>
      </c>
      <c r="O877" t="s">
        <v>39</v>
      </c>
      <c r="P877" t="s">
        <v>34</v>
      </c>
    </row>
    <row r="878" spans="1:16" x14ac:dyDescent="0.25">
      <c r="A878" s="1">
        <v>45706</v>
      </c>
      <c r="B878" t="s">
        <v>507</v>
      </c>
      <c r="C878">
        <v>47444</v>
      </c>
      <c r="D878" t="s">
        <v>49</v>
      </c>
      <c r="E878">
        <v>11</v>
      </c>
      <c r="F878">
        <v>81.62</v>
      </c>
      <c r="G878" t="s">
        <v>84</v>
      </c>
      <c r="H878">
        <v>0.05</v>
      </c>
      <c r="I878" t="s">
        <v>61</v>
      </c>
      <c r="J878">
        <v>14.82</v>
      </c>
      <c r="K878" t="s">
        <v>44</v>
      </c>
      <c r="L878" t="s">
        <v>21</v>
      </c>
      <c r="M878" t="s">
        <v>22</v>
      </c>
      <c r="N878" t="s">
        <v>53</v>
      </c>
      <c r="O878" t="s">
        <v>81</v>
      </c>
      <c r="P878" t="s">
        <v>34</v>
      </c>
    </row>
    <row r="879" spans="1:16" x14ac:dyDescent="0.25">
      <c r="A879" s="1">
        <v>45706</v>
      </c>
      <c r="B879" t="s">
        <v>558</v>
      </c>
      <c r="C879">
        <v>69355</v>
      </c>
      <c r="D879" t="s">
        <v>70</v>
      </c>
      <c r="E879">
        <v>25</v>
      </c>
      <c r="F879">
        <v>58.02</v>
      </c>
      <c r="G879" t="s">
        <v>99</v>
      </c>
      <c r="H879">
        <v>0.13</v>
      </c>
      <c r="I879" t="s">
        <v>19</v>
      </c>
      <c r="J879">
        <v>25.71</v>
      </c>
      <c r="K879" t="s">
        <v>30</v>
      </c>
      <c r="L879" t="s">
        <v>31</v>
      </c>
      <c r="M879" t="s">
        <v>111</v>
      </c>
      <c r="N879" t="s">
        <v>23</v>
      </c>
      <c r="O879" t="s">
        <v>81</v>
      </c>
      <c r="P879" t="s">
        <v>34</v>
      </c>
    </row>
    <row r="880" spans="1:16" x14ac:dyDescent="0.25">
      <c r="A880" s="1">
        <v>45706</v>
      </c>
      <c r="B880" t="s">
        <v>317</v>
      </c>
      <c r="C880">
        <v>17413</v>
      </c>
      <c r="D880" t="s">
        <v>89</v>
      </c>
      <c r="E880">
        <v>30</v>
      </c>
      <c r="F880">
        <v>10.64</v>
      </c>
      <c r="G880" t="s">
        <v>43</v>
      </c>
      <c r="H880">
        <v>0.27</v>
      </c>
      <c r="I880" t="s">
        <v>29</v>
      </c>
      <c r="J880">
        <v>24.44</v>
      </c>
      <c r="K880" t="s">
        <v>20</v>
      </c>
      <c r="L880" t="s">
        <v>31</v>
      </c>
      <c r="M880" t="s">
        <v>22</v>
      </c>
      <c r="N880" t="s">
        <v>38</v>
      </c>
      <c r="O880" t="s">
        <v>39</v>
      </c>
      <c r="P880" t="s">
        <v>40</v>
      </c>
    </row>
    <row r="881" spans="1:16" x14ac:dyDescent="0.25">
      <c r="A881" s="1">
        <v>45707</v>
      </c>
      <c r="B881" t="s">
        <v>661</v>
      </c>
      <c r="C881">
        <v>87346</v>
      </c>
      <c r="D881" t="s">
        <v>17</v>
      </c>
      <c r="E881">
        <v>12</v>
      </c>
      <c r="F881">
        <v>48.18</v>
      </c>
      <c r="G881" t="s">
        <v>84</v>
      </c>
      <c r="H881">
        <v>0.5</v>
      </c>
      <c r="I881" t="s">
        <v>29</v>
      </c>
      <c r="J881">
        <v>28.42</v>
      </c>
      <c r="K881" t="s">
        <v>30</v>
      </c>
      <c r="L881" t="s">
        <v>21</v>
      </c>
      <c r="M881" t="s">
        <v>22</v>
      </c>
      <c r="N881" t="s">
        <v>38</v>
      </c>
      <c r="O881" t="s">
        <v>33</v>
      </c>
      <c r="P881" t="s">
        <v>34</v>
      </c>
    </row>
    <row r="882" spans="1:16" x14ac:dyDescent="0.25">
      <c r="A882" s="1">
        <v>45707</v>
      </c>
      <c r="B882" t="s">
        <v>662</v>
      </c>
      <c r="C882">
        <v>53034</v>
      </c>
      <c r="D882" t="s">
        <v>57</v>
      </c>
      <c r="E882">
        <v>48</v>
      </c>
      <c r="F882">
        <v>90.66</v>
      </c>
      <c r="G882" t="s">
        <v>52</v>
      </c>
      <c r="H882">
        <v>0.24</v>
      </c>
      <c r="I882" t="s">
        <v>29</v>
      </c>
      <c r="J882">
        <v>28.96</v>
      </c>
      <c r="K882" t="s">
        <v>50</v>
      </c>
      <c r="L882" t="s">
        <v>31</v>
      </c>
      <c r="M882" t="s">
        <v>22</v>
      </c>
      <c r="N882" t="s">
        <v>23</v>
      </c>
      <c r="O882" t="s">
        <v>81</v>
      </c>
      <c r="P882" t="s">
        <v>34</v>
      </c>
    </row>
    <row r="883" spans="1:16" x14ac:dyDescent="0.25">
      <c r="A883" s="1">
        <v>45707</v>
      </c>
      <c r="B883" t="s">
        <v>663</v>
      </c>
      <c r="C883">
        <v>44976</v>
      </c>
      <c r="D883" t="s">
        <v>75</v>
      </c>
      <c r="E883">
        <v>21</v>
      </c>
      <c r="F883">
        <v>80.16</v>
      </c>
      <c r="G883" t="s">
        <v>47</v>
      </c>
      <c r="H883">
        <v>0.46</v>
      </c>
      <c r="I883" t="s">
        <v>19</v>
      </c>
      <c r="J883">
        <v>10.35</v>
      </c>
      <c r="K883" t="s">
        <v>20</v>
      </c>
      <c r="L883" t="s">
        <v>21</v>
      </c>
      <c r="M883" t="s">
        <v>22</v>
      </c>
      <c r="N883" t="s">
        <v>32</v>
      </c>
      <c r="O883" t="s">
        <v>81</v>
      </c>
      <c r="P883" t="s">
        <v>25</v>
      </c>
    </row>
    <row r="884" spans="1:16" x14ac:dyDescent="0.25">
      <c r="A884" s="1">
        <v>45707</v>
      </c>
      <c r="B884" t="s">
        <v>373</v>
      </c>
      <c r="C884">
        <v>68037</v>
      </c>
      <c r="D884" t="s">
        <v>68</v>
      </c>
      <c r="E884">
        <v>10</v>
      </c>
      <c r="F884">
        <v>29.08</v>
      </c>
      <c r="G884" t="s">
        <v>76</v>
      </c>
      <c r="H884">
        <v>0.3</v>
      </c>
      <c r="I884" t="s">
        <v>19</v>
      </c>
      <c r="J884">
        <v>12.47</v>
      </c>
      <c r="K884" t="s">
        <v>30</v>
      </c>
      <c r="L884" t="s">
        <v>21</v>
      </c>
      <c r="M884" t="s">
        <v>22</v>
      </c>
      <c r="N884" t="s">
        <v>23</v>
      </c>
      <c r="O884" t="s">
        <v>39</v>
      </c>
      <c r="P884" t="s">
        <v>34</v>
      </c>
    </row>
    <row r="885" spans="1:16" x14ac:dyDescent="0.25">
      <c r="A885" s="1">
        <v>45707</v>
      </c>
      <c r="B885" t="s">
        <v>606</v>
      </c>
      <c r="C885">
        <v>54577</v>
      </c>
      <c r="D885" t="s">
        <v>66</v>
      </c>
      <c r="E885">
        <v>34</v>
      </c>
      <c r="F885">
        <v>26.28</v>
      </c>
      <c r="G885" t="s">
        <v>55</v>
      </c>
      <c r="H885">
        <v>0.1</v>
      </c>
      <c r="I885" t="s">
        <v>19</v>
      </c>
      <c r="J885">
        <v>18.96</v>
      </c>
      <c r="K885" t="s">
        <v>37</v>
      </c>
      <c r="L885" t="s">
        <v>21</v>
      </c>
      <c r="M885" t="s">
        <v>111</v>
      </c>
      <c r="N885" t="s">
        <v>38</v>
      </c>
      <c r="O885" t="s">
        <v>59</v>
      </c>
      <c r="P885" t="s">
        <v>25</v>
      </c>
    </row>
    <row r="886" spans="1:16" x14ac:dyDescent="0.25">
      <c r="A886" s="1">
        <v>45707</v>
      </c>
      <c r="B886" t="s">
        <v>238</v>
      </c>
      <c r="C886">
        <v>93820</v>
      </c>
      <c r="D886" t="s">
        <v>57</v>
      </c>
      <c r="E886">
        <v>25</v>
      </c>
      <c r="F886">
        <v>4.49</v>
      </c>
      <c r="G886" t="s">
        <v>58</v>
      </c>
      <c r="H886">
        <v>0.37</v>
      </c>
      <c r="I886" t="s">
        <v>19</v>
      </c>
      <c r="J886">
        <v>11.11</v>
      </c>
      <c r="K886" t="s">
        <v>20</v>
      </c>
      <c r="L886" t="s">
        <v>21</v>
      </c>
      <c r="M886" t="s">
        <v>22</v>
      </c>
      <c r="N886" t="s">
        <v>23</v>
      </c>
      <c r="O886" t="s">
        <v>39</v>
      </c>
      <c r="P886" t="s">
        <v>25</v>
      </c>
    </row>
    <row r="887" spans="1:16" x14ac:dyDescent="0.25">
      <c r="A887" s="1">
        <v>45707</v>
      </c>
      <c r="B887" t="s">
        <v>63</v>
      </c>
      <c r="C887">
        <v>48466</v>
      </c>
      <c r="D887" t="s">
        <v>27</v>
      </c>
      <c r="E887">
        <v>45</v>
      </c>
      <c r="F887">
        <v>88.28</v>
      </c>
      <c r="G887" t="s">
        <v>52</v>
      </c>
      <c r="H887">
        <v>0.36</v>
      </c>
      <c r="I887" t="s">
        <v>19</v>
      </c>
      <c r="J887">
        <v>21.08</v>
      </c>
      <c r="K887" t="s">
        <v>20</v>
      </c>
      <c r="L887" t="s">
        <v>21</v>
      </c>
      <c r="M887" t="s">
        <v>22</v>
      </c>
      <c r="N887" t="s">
        <v>32</v>
      </c>
      <c r="O887" t="s">
        <v>81</v>
      </c>
      <c r="P887" t="s">
        <v>40</v>
      </c>
    </row>
    <row r="888" spans="1:16" x14ac:dyDescent="0.25">
      <c r="A888" s="1">
        <v>45707</v>
      </c>
      <c r="B888" t="s">
        <v>494</v>
      </c>
      <c r="C888">
        <v>41579</v>
      </c>
      <c r="D888" t="s">
        <v>17</v>
      </c>
      <c r="E888">
        <v>23</v>
      </c>
      <c r="F888">
        <v>71.760000000000005</v>
      </c>
      <c r="G888" t="s">
        <v>47</v>
      </c>
      <c r="H888">
        <v>0.21</v>
      </c>
      <c r="I888" t="s">
        <v>19</v>
      </c>
      <c r="J888">
        <v>6.61</v>
      </c>
      <c r="K888" t="s">
        <v>50</v>
      </c>
      <c r="L888" t="s">
        <v>21</v>
      </c>
      <c r="M888" t="s">
        <v>22</v>
      </c>
      <c r="N888" t="s">
        <v>53</v>
      </c>
      <c r="O888" t="s">
        <v>33</v>
      </c>
      <c r="P888" t="s">
        <v>34</v>
      </c>
    </row>
    <row r="889" spans="1:16" x14ac:dyDescent="0.25">
      <c r="A889" s="1">
        <v>45707</v>
      </c>
      <c r="B889" t="s">
        <v>610</v>
      </c>
      <c r="C889">
        <v>53699</v>
      </c>
      <c r="D889" t="s">
        <v>57</v>
      </c>
      <c r="E889">
        <v>11</v>
      </c>
      <c r="F889">
        <v>73.209999999999994</v>
      </c>
      <c r="G889" t="s">
        <v>76</v>
      </c>
      <c r="H889">
        <v>0.32</v>
      </c>
      <c r="I889" t="s">
        <v>19</v>
      </c>
      <c r="J889">
        <v>15.69</v>
      </c>
      <c r="K889" t="s">
        <v>37</v>
      </c>
      <c r="L889" t="s">
        <v>31</v>
      </c>
      <c r="M889" t="s">
        <v>22</v>
      </c>
      <c r="N889" t="s">
        <v>38</v>
      </c>
      <c r="O889" t="s">
        <v>39</v>
      </c>
      <c r="P889" t="s">
        <v>34</v>
      </c>
    </row>
    <row r="890" spans="1:16" x14ac:dyDescent="0.25">
      <c r="A890" s="1">
        <v>45707</v>
      </c>
      <c r="B890" t="s">
        <v>664</v>
      </c>
      <c r="C890">
        <v>33054</v>
      </c>
      <c r="D890" t="s">
        <v>17</v>
      </c>
      <c r="E890">
        <v>33</v>
      </c>
      <c r="F890">
        <v>25.57</v>
      </c>
      <c r="G890" t="s">
        <v>55</v>
      </c>
      <c r="H890">
        <v>0.03</v>
      </c>
      <c r="I890" t="s">
        <v>61</v>
      </c>
      <c r="J890">
        <v>28.14</v>
      </c>
      <c r="K890" t="s">
        <v>44</v>
      </c>
      <c r="L890" t="s">
        <v>31</v>
      </c>
      <c r="M890" t="s">
        <v>22</v>
      </c>
      <c r="N890" t="s">
        <v>23</v>
      </c>
      <c r="O890" t="s">
        <v>24</v>
      </c>
      <c r="P890" t="s">
        <v>25</v>
      </c>
    </row>
    <row r="891" spans="1:16" x14ac:dyDescent="0.25">
      <c r="A891" s="1">
        <v>45707</v>
      </c>
      <c r="B891" t="s">
        <v>665</v>
      </c>
      <c r="C891">
        <v>20432</v>
      </c>
      <c r="D891" t="s">
        <v>75</v>
      </c>
      <c r="E891">
        <v>37</v>
      </c>
      <c r="F891">
        <v>54.76</v>
      </c>
      <c r="G891" t="s">
        <v>76</v>
      </c>
      <c r="H891">
        <v>0.25</v>
      </c>
      <c r="I891" t="s">
        <v>19</v>
      </c>
      <c r="J891">
        <v>17.63</v>
      </c>
      <c r="K891" t="s">
        <v>44</v>
      </c>
      <c r="L891" t="s">
        <v>31</v>
      </c>
      <c r="M891" t="s">
        <v>22</v>
      </c>
      <c r="N891" t="s">
        <v>38</v>
      </c>
      <c r="O891" t="s">
        <v>24</v>
      </c>
      <c r="P891" t="s">
        <v>40</v>
      </c>
    </row>
    <row r="892" spans="1:16" x14ac:dyDescent="0.25">
      <c r="A892" s="1">
        <v>45707</v>
      </c>
      <c r="B892" t="s">
        <v>666</v>
      </c>
      <c r="C892">
        <v>54134</v>
      </c>
      <c r="D892" t="s">
        <v>46</v>
      </c>
      <c r="E892">
        <v>21</v>
      </c>
      <c r="F892">
        <v>72.27</v>
      </c>
      <c r="G892" t="s">
        <v>43</v>
      </c>
      <c r="H892">
        <v>0.21</v>
      </c>
      <c r="I892" t="s">
        <v>61</v>
      </c>
      <c r="J892">
        <v>23.43</v>
      </c>
      <c r="K892" t="s">
        <v>50</v>
      </c>
      <c r="L892" t="s">
        <v>21</v>
      </c>
      <c r="M892" t="s">
        <v>22</v>
      </c>
      <c r="N892" t="s">
        <v>23</v>
      </c>
      <c r="O892" t="s">
        <v>33</v>
      </c>
      <c r="P892" t="s">
        <v>34</v>
      </c>
    </row>
    <row r="893" spans="1:16" x14ac:dyDescent="0.25">
      <c r="A893" s="1">
        <v>45707</v>
      </c>
      <c r="B893" t="s">
        <v>232</v>
      </c>
      <c r="C893">
        <v>32162</v>
      </c>
      <c r="D893" t="s">
        <v>42</v>
      </c>
      <c r="E893">
        <v>32</v>
      </c>
      <c r="F893">
        <v>42.81</v>
      </c>
      <c r="G893" t="s">
        <v>47</v>
      </c>
      <c r="H893">
        <v>0.22</v>
      </c>
      <c r="I893" t="s">
        <v>61</v>
      </c>
      <c r="J893">
        <v>14.93</v>
      </c>
      <c r="K893" t="s">
        <v>30</v>
      </c>
      <c r="L893" t="s">
        <v>31</v>
      </c>
      <c r="M893" t="s">
        <v>22</v>
      </c>
      <c r="N893" t="s">
        <v>23</v>
      </c>
      <c r="O893" t="s">
        <v>59</v>
      </c>
      <c r="P893" t="s">
        <v>40</v>
      </c>
    </row>
    <row r="894" spans="1:16" x14ac:dyDescent="0.25">
      <c r="A894" s="1">
        <v>45707</v>
      </c>
      <c r="B894" t="s">
        <v>631</v>
      </c>
      <c r="C894">
        <v>24264</v>
      </c>
      <c r="D894" t="s">
        <v>70</v>
      </c>
      <c r="E894">
        <v>22</v>
      </c>
      <c r="F894">
        <v>11.1</v>
      </c>
      <c r="G894" t="s">
        <v>43</v>
      </c>
      <c r="H894">
        <v>0.36</v>
      </c>
      <c r="I894" t="s">
        <v>29</v>
      </c>
      <c r="J894">
        <v>29.91</v>
      </c>
      <c r="K894" t="s">
        <v>50</v>
      </c>
      <c r="L894" t="s">
        <v>31</v>
      </c>
      <c r="M894" t="s">
        <v>22</v>
      </c>
      <c r="N894" t="s">
        <v>53</v>
      </c>
      <c r="O894" t="s">
        <v>39</v>
      </c>
      <c r="P894" t="s">
        <v>34</v>
      </c>
    </row>
    <row r="895" spans="1:16" x14ac:dyDescent="0.25">
      <c r="A895" s="1">
        <v>45707</v>
      </c>
      <c r="B895" t="s">
        <v>667</v>
      </c>
      <c r="C895">
        <v>50318</v>
      </c>
      <c r="D895" t="s">
        <v>66</v>
      </c>
      <c r="E895">
        <v>17</v>
      </c>
      <c r="F895">
        <v>33.99</v>
      </c>
      <c r="G895" t="s">
        <v>58</v>
      </c>
      <c r="H895">
        <v>0.44</v>
      </c>
      <c r="I895" t="s">
        <v>29</v>
      </c>
      <c r="J895">
        <v>7.83</v>
      </c>
      <c r="K895" t="s">
        <v>44</v>
      </c>
      <c r="L895" t="s">
        <v>31</v>
      </c>
      <c r="M895" t="s">
        <v>22</v>
      </c>
      <c r="N895" t="s">
        <v>32</v>
      </c>
      <c r="O895" t="s">
        <v>723</v>
      </c>
      <c r="P895" t="s">
        <v>40</v>
      </c>
    </row>
    <row r="896" spans="1:16" x14ac:dyDescent="0.25">
      <c r="A896" s="1">
        <v>45707</v>
      </c>
      <c r="B896" t="s">
        <v>558</v>
      </c>
      <c r="C896">
        <v>24466</v>
      </c>
      <c r="D896" t="s">
        <v>17</v>
      </c>
      <c r="E896">
        <v>44</v>
      </c>
      <c r="F896">
        <v>62.05</v>
      </c>
      <c r="G896" t="s">
        <v>18</v>
      </c>
      <c r="H896">
        <v>0.13</v>
      </c>
      <c r="I896" t="s">
        <v>19</v>
      </c>
      <c r="J896">
        <v>15.4</v>
      </c>
      <c r="K896" s="4" t="s">
        <v>727</v>
      </c>
      <c r="L896" t="s">
        <v>21</v>
      </c>
      <c r="M896" t="s">
        <v>22</v>
      </c>
      <c r="N896" t="s">
        <v>38</v>
      </c>
      <c r="O896" t="s">
        <v>59</v>
      </c>
      <c r="P896" t="s">
        <v>25</v>
      </c>
    </row>
    <row r="897" spans="1:16" x14ac:dyDescent="0.25">
      <c r="A897" s="1">
        <v>45707</v>
      </c>
      <c r="B897" t="s">
        <v>668</v>
      </c>
      <c r="C897">
        <v>42553</v>
      </c>
      <c r="D897" t="s">
        <v>27</v>
      </c>
      <c r="E897">
        <v>28</v>
      </c>
      <c r="F897">
        <v>98.25</v>
      </c>
      <c r="G897" t="s">
        <v>55</v>
      </c>
      <c r="H897">
        <v>0.44</v>
      </c>
      <c r="I897" t="s">
        <v>29</v>
      </c>
      <c r="J897">
        <v>28.2</v>
      </c>
      <c r="K897" t="s">
        <v>50</v>
      </c>
      <c r="L897" t="s">
        <v>21</v>
      </c>
      <c r="M897" t="s">
        <v>22</v>
      </c>
      <c r="N897" t="s">
        <v>23</v>
      </c>
      <c r="O897" t="s">
        <v>59</v>
      </c>
      <c r="P897" t="s">
        <v>34</v>
      </c>
    </row>
    <row r="898" spans="1:16" x14ac:dyDescent="0.25">
      <c r="A898" s="1">
        <v>45707</v>
      </c>
      <c r="B898" t="s">
        <v>307</v>
      </c>
      <c r="C898">
        <v>61744</v>
      </c>
      <c r="D898" t="s">
        <v>66</v>
      </c>
      <c r="E898">
        <v>43</v>
      </c>
      <c r="F898">
        <v>80.09</v>
      </c>
      <c r="G898" t="s">
        <v>52</v>
      </c>
      <c r="H898">
        <v>0.17</v>
      </c>
      <c r="I898" t="s">
        <v>29</v>
      </c>
      <c r="J898">
        <v>27.31</v>
      </c>
      <c r="K898" t="s">
        <v>30</v>
      </c>
      <c r="L898" t="s">
        <v>31</v>
      </c>
      <c r="M898" t="s">
        <v>22</v>
      </c>
      <c r="N898" t="s">
        <v>32</v>
      </c>
      <c r="O898" t="s">
        <v>33</v>
      </c>
      <c r="P898" t="s">
        <v>25</v>
      </c>
    </row>
    <row r="899" spans="1:16" x14ac:dyDescent="0.25">
      <c r="A899" s="1">
        <v>45707</v>
      </c>
      <c r="B899" t="s">
        <v>669</v>
      </c>
      <c r="C899">
        <v>82618</v>
      </c>
      <c r="D899" t="s">
        <v>57</v>
      </c>
      <c r="E899">
        <v>47</v>
      </c>
      <c r="F899">
        <v>58.23</v>
      </c>
      <c r="G899" t="s">
        <v>52</v>
      </c>
      <c r="H899">
        <v>0.15</v>
      </c>
      <c r="I899" t="s">
        <v>19</v>
      </c>
      <c r="J899">
        <v>17.27</v>
      </c>
      <c r="K899" t="s">
        <v>44</v>
      </c>
      <c r="L899" t="s">
        <v>21</v>
      </c>
      <c r="M899" t="s">
        <v>22</v>
      </c>
      <c r="N899" t="s">
        <v>32</v>
      </c>
      <c r="O899" t="s">
        <v>59</v>
      </c>
      <c r="P899" t="s">
        <v>25</v>
      </c>
    </row>
    <row r="900" spans="1:16" x14ac:dyDescent="0.25">
      <c r="A900" s="1">
        <v>45707</v>
      </c>
      <c r="B900" t="s">
        <v>670</v>
      </c>
      <c r="C900">
        <v>98718</v>
      </c>
      <c r="D900" t="s">
        <v>49</v>
      </c>
      <c r="E900">
        <v>44</v>
      </c>
      <c r="F900">
        <v>32.200000000000003</v>
      </c>
      <c r="G900" t="s">
        <v>52</v>
      </c>
      <c r="H900">
        <v>0.44</v>
      </c>
      <c r="I900" t="s">
        <v>61</v>
      </c>
      <c r="J900">
        <v>27.03</v>
      </c>
      <c r="K900" t="s">
        <v>50</v>
      </c>
      <c r="L900" t="s">
        <v>21</v>
      </c>
      <c r="M900" t="s">
        <v>22</v>
      </c>
      <c r="N900" t="s">
        <v>38</v>
      </c>
      <c r="O900" t="s">
        <v>59</v>
      </c>
      <c r="P900" t="s">
        <v>25</v>
      </c>
    </row>
    <row r="901" spans="1:16" x14ac:dyDescent="0.25">
      <c r="A901" s="1">
        <v>45707</v>
      </c>
      <c r="B901" t="s">
        <v>295</v>
      </c>
      <c r="C901">
        <v>16392</v>
      </c>
      <c r="D901" t="s">
        <v>17</v>
      </c>
      <c r="E901">
        <v>47</v>
      </c>
      <c r="F901">
        <v>42.46</v>
      </c>
      <c r="G901" t="s">
        <v>43</v>
      </c>
      <c r="H901">
        <v>0.37</v>
      </c>
      <c r="I901" t="s">
        <v>19</v>
      </c>
      <c r="J901">
        <v>18.309999999999999</v>
      </c>
      <c r="K901" t="s">
        <v>50</v>
      </c>
      <c r="L901" t="s">
        <v>21</v>
      </c>
      <c r="M901" t="s">
        <v>22</v>
      </c>
      <c r="N901" t="s">
        <v>53</v>
      </c>
      <c r="O901" t="s">
        <v>39</v>
      </c>
      <c r="P901" t="s">
        <v>34</v>
      </c>
    </row>
    <row r="902" spans="1:16" x14ac:dyDescent="0.25">
      <c r="A902" s="1">
        <v>45708</v>
      </c>
      <c r="B902" t="s">
        <v>501</v>
      </c>
      <c r="C902">
        <v>89475</v>
      </c>
      <c r="D902" t="s">
        <v>17</v>
      </c>
      <c r="E902">
        <v>14</v>
      </c>
      <c r="F902">
        <v>28.59</v>
      </c>
      <c r="G902" t="s">
        <v>72</v>
      </c>
      <c r="H902">
        <v>0.19</v>
      </c>
      <c r="I902" t="s">
        <v>19</v>
      </c>
      <c r="J902">
        <v>19.02</v>
      </c>
      <c r="K902" t="s">
        <v>37</v>
      </c>
      <c r="L902" t="s">
        <v>21</v>
      </c>
      <c r="M902" t="s">
        <v>22</v>
      </c>
      <c r="N902" t="s">
        <v>32</v>
      </c>
      <c r="O902" t="s">
        <v>59</v>
      </c>
      <c r="P902" t="s">
        <v>34</v>
      </c>
    </row>
    <row r="903" spans="1:16" x14ac:dyDescent="0.25">
      <c r="A903" s="1">
        <v>45708</v>
      </c>
      <c r="B903" t="s">
        <v>301</v>
      </c>
      <c r="C903">
        <v>18320</v>
      </c>
      <c r="D903" t="s">
        <v>42</v>
      </c>
      <c r="E903">
        <v>27</v>
      </c>
      <c r="F903">
        <v>44.06</v>
      </c>
      <c r="G903" t="s">
        <v>84</v>
      </c>
      <c r="H903">
        <v>0.14000000000000001</v>
      </c>
      <c r="I903" t="s">
        <v>19</v>
      </c>
      <c r="J903">
        <v>20.81</v>
      </c>
      <c r="K903" t="s">
        <v>30</v>
      </c>
      <c r="L903" t="s">
        <v>31</v>
      </c>
      <c r="M903" t="s">
        <v>22</v>
      </c>
      <c r="N903" t="s">
        <v>53</v>
      </c>
      <c r="O903" t="s">
        <v>24</v>
      </c>
      <c r="P903" t="s">
        <v>40</v>
      </c>
    </row>
    <row r="904" spans="1:16" x14ac:dyDescent="0.25">
      <c r="A904" s="1">
        <v>45708</v>
      </c>
      <c r="B904" t="s">
        <v>671</v>
      </c>
      <c r="C904">
        <v>75040</v>
      </c>
      <c r="D904" t="s">
        <v>66</v>
      </c>
      <c r="E904">
        <v>7</v>
      </c>
      <c r="F904">
        <v>29.72</v>
      </c>
      <c r="G904" t="s">
        <v>58</v>
      </c>
      <c r="H904">
        <v>0.47</v>
      </c>
      <c r="I904" t="s">
        <v>29</v>
      </c>
      <c r="J904">
        <v>6.36</v>
      </c>
      <c r="K904" t="s">
        <v>50</v>
      </c>
      <c r="L904" t="s">
        <v>31</v>
      </c>
      <c r="M904" t="s">
        <v>22</v>
      </c>
      <c r="N904" t="s">
        <v>53</v>
      </c>
      <c r="O904" t="s">
        <v>24</v>
      </c>
      <c r="P904" t="s">
        <v>40</v>
      </c>
    </row>
    <row r="905" spans="1:16" x14ac:dyDescent="0.25">
      <c r="A905" s="1">
        <v>45708</v>
      </c>
      <c r="B905" t="s">
        <v>672</v>
      </c>
      <c r="C905">
        <v>29022</v>
      </c>
      <c r="D905" t="s">
        <v>46</v>
      </c>
      <c r="E905">
        <v>31</v>
      </c>
      <c r="F905">
        <v>91.14</v>
      </c>
      <c r="G905" t="s">
        <v>76</v>
      </c>
      <c r="H905">
        <v>0.17</v>
      </c>
      <c r="I905" t="s">
        <v>19</v>
      </c>
      <c r="J905">
        <v>10.08</v>
      </c>
      <c r="K905" t="s">
        <v>37</v>
      </c>
      <c r="L905" t="s">
        <v>31</v>
      </c>
      <c r="M905" t="s">
        <v>22</v>
      </c>
      <c r="N905" t="s">
        <v>38</v>
      </c>
      <c r="O905" t="s">
        <v>33</v>
      </c>
      <c r="P905" t="s">
        <v>40</v>
      </c>
    </row>
    <row r="906" spans="1:16" x14ac:dyDescent="0.25">
      <c r="A906" s="1">
        <v>45708</v>
      </c>
      <c r="B906" t="s">
        <v>673</v>
      </c>
      <c r="C906">
        <v>55797</v>
      </c>
      <c r="D906" t="s">
        <v>27</v>
      </c>
      <c r="E906">
        <v>12</v>
      </c>
      <c r="F906">
        <v>58.14</v>
      </c>
      <c r="G906" t="s">
        <v>55</v>
      </c>
      <c r="H906">
        <v>0.26</v>
      </c>
      <c r="I906" t="s">
        <v>19</v>
      </c>
      <c r="J906">
        <v>15.68</v>
      </c>
      <c r="K906" t="s">
        <v>50</v>
      </c>
      <c r="L906" t="s">
        <v>31</v>
      </c>
      <c r="M906" t="s">
        <v>22</v>
      </c>
      <c r="N906" t="s">
        <v>38</v>
      </c>
      <c r="O906" t="s">
        <v>24</v>
      </c>
      <c r="P906" t="s">
        <v>34</v>
      </c>
    </row>
    <row r="907" spans="1:16" x14ac:dyDescent="0.25">
      <c r="A907" s="1">
        <v>45708</v>
      </c>
      <c r="B907" t="s">
        <v>207</v>
      </c>
      <c r="C907">
        <v>24779</v>
      </c>
      <c r="D907" t="s">
        <v>68</v>
      </c>
      <c r="E907">
        <v>2</v>
      </c>
      <c r="F907">
        <v>91.6</v>
      </c>
      <c r="G907" t="s">
        <v>55</v>
      </c>
      <c r="H907">
        <v>0.02</v>
      </c>
      <c r="I907" t="s">
        <v>61</v>
      </c>
      <c r="J907">
        <v>5.55</v>
      </c>
      <c r="K907" t="s">
        <v>20</v>
      </c>
      <c r="L907" t="s">
        <v>21</v>
      </c>
      <c r="M907" t="s">
        <v>22</v>
      </c>
      <c r="N907" t="s">
        <v>38</v>
      </c>
      <c r="O907" t="s">
        <v>24</v>
      </c>
      <c r="P907" t="s">
        <v>25</v>
      </c>
    </row>
    <row r="908" spans="1:16" x14ac:dyDescent="0.25">
      <c r="A908" s="1">
        <v>45708</v>
      </c>
      <c r="B908" t="s">
        <v>232</v>
      </c>
      <c r="C908">
        <v>86755</v>
      </c>
      <c r="D908" t="s">
        <v>57</v>
      </c>
      <c r="E908">
        <v>47</v>
      </c>
      <c r="F908">
        <v>77.73</v>
      </c>
      <c r="G908" t="s">
        <v>58</v>
      </c>
      <c r="H908">
        <v>0.48</v>
      </c>
      <c r="I908" t="s">
        <v>61</v>
      </c>
      <c r="J908">
        <v>10.94</v>
      </c>
      <c r="K908" t="s">
        <v>20</v>
      </c>
      <c r="L908" t="s">
        <v>31</v>
      </c>
      <c r="M908" t="s">
        <v>22</v>
      </c>
      <c r="N908" t="s">
        <v>23</v>
      </c>
      <c r="O908" t="s">
        <v>33</v>
      </c>
      <c r="P908" t="s">
        <v>25</v>
      </c>
    </row>
    <row r="909" spans="1:16" x14ac:dyDescent="0.25">
      <c r="A909" s="1">
        <v>45708</v>
      </c>
      <c r="B909" t="s">
        <v>674</v>
      </c>
      <c r="C909">
        <v>21386</v>
      </c>
      <c r="D909" t="s">
        <v>46</v>
      </c>
      <c r="E909">
        <v>22</v>
      </c>
      <c r="F909">
        <v>78.06</v>
      </c>
      <c r="G909" t="s">
        <v>52</v>
      </c>
      <c r="H909">
        <v>0.34</v>
      </c>
      <c r="I909" t="s">
        <v>19</v>
      </c>
      <c r="J909">
        <v>20.43</v>
      </c>
      <c r="K909" t="s">
        <v>30</v>
      </c>
      <c r="L909" t="s">
        <v>31</v>
      </c>
      <c r="M909" t="s">
        <v>22</v>
      </c>
      <c r="N909" t="s">
        <v>38</v>
      </c>
      <c r="O909" t="s">
        <v>39</v>
      </c>
      <c r="P909" t="s">
        <v>25</v>
      </c>
    </row>
    <row r="910" spans="1:16" x14ac:dyDescent="0.25">
      <c r="A910" s="1">
        <v>45708</v>
      </c>
      <c r="B910" t="s">
        <v>675</v>
      </c>
      <c r="C910">
        <v>65815</v>
      </c>
      <c r="D910" t="s">
        <v>49</v>
      </c>
      <c r="E910">
        <v>8</v>
      </c>
      <c r="F910">
        <v>7.56</v>
      </c>
      <c r="G910" t="s">
        <v>43</v>
      </c>
      <c r="H910">
        <v>0.13</v>
      </c>
      <c r="I910" t="s">
        <v>61</v>
      </c>
      <c r="J910">
        <v>6.69</v>
      </c>
      <c r="K910" t="s">
        <v>37</v>
      </c>
      <c r="L910" t="s">
        <v>21</v>
      </c>
      <c r="M910" t="s">
        <v>22</v>
      </c>
      <c r="N910" t="s">
        <v>53</v>
      </c>
      <c r="O910" t="s">
        <v>39</v>
      </c>
      <c r="P910" t="s">
        <v>40</v>
      </c>
    </row>
    <row r="911" spans="1:16" x14ac:dyDescent="0.25">
      <c r="A911" s="1">
        <v>45708</v>
      </c>
      <c r="B911" t="s">
        <v>656</v>
      </c>
      <c r="C911">
        <v>87853</v>
      </c>
      <c r="D911" t="s">
        <v>42</v>
      </c>
      <c r="E911">
        <v>16</v>
      </c>
      <c r="F911">
        <v>73.739999999999995</v>
      </c>
      <c r="G911" t="s">
        <v>58</v>
      </c>
      <c r="H911">
        <v>0.28999999999999998</v>
      </c>
      <c r="I911" t="s">
        <v>29</v>
      </c>
      <c r="J911">
        <v>26.09</v>
      </c>
      <c r="K911" t="s">
        <v>50</v>
      </c>
      <c r="L911" t="s">
        <v>21</v>
      </c>
      <c r="M911" t="s">
        <v>22</v>
      </c>
      <c r="N911" t="s">
        <v>32</v>
      </c>
      <c r="O911" t="s">
        <v>81</v>
      </c>
      <c r="P911" t="s">
        <v>25</v>
      </c>
    </row>
    <row r="912" spans="1:16" x14ac:dyDescent="0.25">
      <c r="A912" s="1">
        <v>45708</v>
      </c>
      <c r="B912" t="s">
        <v>676</v>
      </c>
      <c r="C912">
        <v>91352</v>
      </c>
      <c r="D912" t="s">
        <v>27</v>
      </c>
      <c r="E912">
        <v>25</v>
      </c>
      <c r="F912">
        <v>40.11</v>
      </c>
      <c r="G912" t="s">
        <v>43</v>
      </c>
      <c r="H912">
        <v>0.22</v>
      </c>
      <c r="I912" t="s">
        <v>61</v>
      </c>
      <c r="J912">
        <v>18.95</v>
      </c>
      <c r="K912" t="s">
        <v>37</v>
      </c>
      <c r="L912" t="s">
        <v>21</v>
      </c>
      <c r="M912" t="s">
        <v>22</v>
      </c>
      <c r="N912" t="s">
        <v>38</v>
      </c>
      <c r="O912" t="s">
        <v>24</v>
      </c>
      <c r="P912" t="s">
        <v>34</v>
      </c>
    </row>
    <row r="913" spans="1:16" x14ac:dyDescent="0.25">
      <c r="A913" s="1">
        <v>45708</v>
      </c>
      <c r="B913" t="s">
        <v>677</v>
      </c>
      <c r="C913">
        <v>19390</v>
      </c>
      <c r="D913" t="s">
        <v>49</v>
      </c>
      <c r="E913">
        <v>3</v>
      </c>
      <c r="F913">
        <v>52.96</v>
      </c>
      <c r="G913" t="s">
        <v>99</v>
      </c>
      <c r="H913">
        <v>0.4</v>
      </c>
      <c r="I913" t="s">
        <v>29</v>
      </c>
      <c r="J913">
        <v>17.100000000000001</v>
      </c>
      <c r="K913" t="s">
        <v>30</v>
      </c>
      <c r="L913" t="s">
        <v>21</v>
      </c>
      <c r="M913" t="s">
        <v>22</v>
      </c>
      <c r="N913" t="s">
        <v>53</v>
      </c>
      <c r="O913" t="s">
        <v>33</v>
      </c>
      <c r="P913" t="s">
        <v>40</v>
      </c>
    </row>
    <row r="914" spans="1:16" x14ac:dyDescent="0.25">
      <c r="A914" s="1">
        <v>45708</v>
      </c>
      <c r="B914" t="s">
        <v>124</v>
      </c>
      <c r="C914">
        <v>54703</v>
      </c>
      <c r="D914" t="s">
        <v>68</v>
      </c>
      <c r="E914">
        <v>19</v>
      </c>
      <c r="F914">
        <v>58.34</v>
      </c>
      <c r="G914" t="s">
        <v>28</v>
      </c>
      <c r="H914">
        <v>0.12</v>
      </c>
      <c r="I914" t="s">
        <v>29</v>
      </c>
      <c r="J914">
        <v>23.3</v>
      </c>
      <c r="K914" t="s">
        <v>44</v>
      </c>
      <c r="L914" t="s">
        <v>21</v>
      </c>
      <c r="M914" t="s">
        <v>22</v>
      </c>
      <c r="N914" t="s">
        <v>32</v>
      </c>
      <c r="O914" t="s">
        <v>24</v>
      </c>
      <c r="P914" t="s">
        <v>25</v>
      </c>
    </row>
    <row r="915" spans="1:16" x14ac:dyDescent="0.25">
      <c r="A915" s="1">
        <v>45708</v>
      </c>
      <c r="B915" t="s">
        <v>465</v>
      </c>
      <c r="C915">
        <v>74222</v>
      </c>
      <c r="D915" t="s">
        <v>46</v>
      </c>
      <c r="E915">
        <v>29</v>
      </c>
      <c r="F915">
        <v>32.9</v>
      </c>
      <c r="G915" t="s">
        <v>72</v>
      </c>
      <c r="H915">
        <v>0.04</v>
      </c>
      <c r="I915" t="s">
        <v>19</v>
      </c>
      <c r="J915">
        <v>11.36</v>
      </c>
      <c r="K915" t="s">
        <v>20</v>
      </c>
      <c r="L915" t="s">
        <v>31</v>
      </c>
      <c r="M915" t="s">
        <v>22</v>
      </c>
      <c r="N915" t="s">
        <v>32</v>
      </c>
      <c r="O915" t="s">
        <v>24</v>
      </c>
      <c r="P915" t="s">
        <v>25</v>
      </c>
    </row>
    <row r="916" spans="1:16" x14ac:dyDescent="0.25">
      <c r="A916" s="1">
        <v>45708</v>
      </c>
      <c r="B916" t="s">
        <v>485</v>
      </c>
      <c r="C916">
        <v>10401</v>
      </c>
      <c r="D916" t="s">
        <v>57</v>
      </c>
      <c r="E916">
        <v>5</v>
      </c>
      <c r="F916">
        <v>52.11</v>
      </c>
      <c r="G916" t="s">
        <v>36</v>
      </c>
      <c r="H916">
        <v>0.43</v>
      </c>
      <c r="I916" t="s">
        <v>19</v>
      </c>
      <c r="J916">
        <v>24.15</v>
      </c>
      <c r="K916" t="s">
        <v>50</v>
      </c>
      <c r="L916" t="s">
        <v>21</v>
      </c>
      <c r="M916" t="s">
        <v>22</v>
      </c>
      <c r="N916" t="s">
        <v>23</v>
      </c>
      <c r="O916" t="s">
        <v>24</v>
      </c>
      <c r="P916" t="s">
        <v>25</v>
      </c>
    </row>
    <row r="917" spans="1:16" x14ac:dyDescent="0.25">
      <c r="A917" s="1">
        <v>45708</v>
      </c>
      <c r="B917" t="s">
        <v>393</v>
      </c>
      <c r="C917">
        <v>92862</v>
      </c>
      <c r="D917" t="s">
        <v>46</v>
      </c>
      <c r="E917">
        <v>20</v>
      </c>
      <c r="F917">
        <v>5.51</v>
      </c>
      <c r="G917" t="s">
        <v>18</v>
      </c>
      <c r="H917">
        <v>0.23</v>
      </c>
      <c r="I917" t="s">
        <v>19</v>
      </c>
      <c r="J917">
        <v>22.63</v>
      </c>
      <c r="K917" t="s">
        <v>37</v>
      </c>
      <c r="L917" t="s">
        <v>31</v>
      </c>
      <c r="M917" t="s">
        <v>22</v>
      </c>
      <c r="N917" t="s">
        <v>38</v>
      </c>
      <c r="O917" t="s">
        <v>81</v>
      </c>
      <c r="P917" t="s">
        <v>40</v>
      </c>
    </row>
    <row r="918" spans="1:16" x14ac:dyDescent="0.25">
      <c r="A918" s="1">
        <v>45708</v>
      </c>
      <c r="B918" t="s">
        <v>678</v>
      </c>
      <c r="C918">
        <v>78644</v>
      </c>
      <c r="D918" t="s">
        <v>17</v>
      </c>
      <c r="E918">
        <v>33</v>
      </c>
      <c r="F918">
        <v>39.04</v>
      </c>
      <c r="G918" t="s">
        <v>36</v>
      </c>
      <c r="H918">
        <v>0.12</v>
      </c>
      <c r="I918" t="s">
        <v>61</v>
      </c>
      <c r="J918">
        <v>8.01</v>
      </c>
      <c r="K918" t="s">
        <v>44</v>
      </c>
      <c r="L918" t="s">
        <v>31</v>
      </c>
      <c r="M918" t="s">
        <v>22</v>
      </c>
      <c r="N918" t="s">
        <v>38</v>
      </c>
      <c r="O918" t="s">
        <v>24</v>
      </c>
      <c r="P918" t="s">
        <v>40</v>
      </c>
    </row>
    <row r="919" spans="1:16" x14ac:dyDescent="0.25">
      <c r="A919" s="1">
        <v>45708</v>
      </c>
      <c r="B919" t="s">
        <v>349</v>
      </c>
      <c r="C919">
        <v>51915</v>
      </c>
      <c r="D919" t="s">
        <v>68</v>
      </c>
      <c r="E919">
        <v>1</v>
      </c>
      <c r="F919">
        <v>48.17</v>
      </c>
      <c r="G919" t="s">
        <v>18</v>
      </c>
      <c r="H919">
        <v>0.3</v>
      </c>
      <c r="I919" t="s">
        <v>29</v>
      </c>
      <c r="J919">
        <v>15.26</v>
      </c>
      <c r="K919" t="s">
        <v>30</v>
      </c>
      <c r="L919" t="s">
        <v>31</v>
      </c>
      <c r="M919" t="s">
        <v>22</v>
      </c>
      <c r="N919" t="s">
        <v>23</v>
      </c>
      <c r="O919" t="s">
        <v>81</v>
      </c>
      <c r="P919" t="s">
        <v>40</v>
      </c>
    </row>
    <row r="920" spans="1:16" x14ac:dyDescent="0.25">
      <c r="A920" s="1">
        <v>45708</v>
      </c>
      <c r="B920" t="s">
        <v>679</v>
      </c>
      <c r="C920">
        <v>55106</v>
      </c>
      <c r="D920" t="s">
        <v>46</v>
      </c>
      <c r="E920">
        <v>32</v>
      </c>
      <c r="F920">
        <v>41.14</v>
      </c>
      <c r="G920" t="s">
        <v>76</v>
      </c>
      <c r="H920">
        <v>0.34</v>
      </c>
      <c r="I920" t="s">
        <v>19</v>
      </c>
      <c r="J920">
        <v>22.67</v>
      </c>
      <c r="K920" t="s">
        <v>44</v>
      </c>
      <c r="L920" t="s">
        <v>21</v>
      </c>
      <c r="M920" t="s">
        <v>22</v>
      </c>
      <c r="N920" t="s">
        <v>23</v>
      </c>
      <c r="O920" t="s">
        <v>39</v>
      </c>
      <c r="P920" t="s">
        <v>25</v>
      </c>
    </row>
    <row r="921" spans="1:16" x14ac:dyDescent="0.25">
      <c r="A921" s="1">
        <v>45708</v>
      </c>
      <c r="B921" t="s">
        <v>202</v>
      </c>
      <c r="C921">
        <v>24318</v>
      </c>
      <c r="D921" t="s">
        <v>49</v>
      </c>
      <c r="E921">
        <v>29</v>
      </c>
      <c r="F921">
        <v>48.89</v>
      </c>
      <c r="G921" t="s">
        <v>28</v>
      </c>
      <c r="H921">
        <v>0.41</v>
      </c>
      <c r="I921" t="s">
        <v>61</v>
      </c>
      <c r="J921">
        <v>29.4</v>
      </c>
      <c r="K921" t="s">
        <v>44</v>
      </c>
      <c r="L921" t="s">
        <v>21</v>
      </c>
      <c r="M921" t="s">
        <v>22</v>
      </c>
      <c r="N921" t="s">
        <v>23</v>
      </c>
      <c r="O921" t="s">
        <v>39</v>
      </c>
      <c r="P921" t="s">
        <v>34</v>
      </c>
    </row>
    <row r="922" spans="1:16" x14ac:dyDescent="0.25">
      <c r="A922" s="1">
        <v>45708</v>
      </c>
      <c r="B922" t="s">
        <v>159</v>
      </c>
      <c r="C922">
        <v>59040</v>
      </c>
      <c r="D922" t="s">
        <v>68</v>
      </c>
      <c r="E922">
        <v>38</v>
      </c>
      <c r="F922">
        <v>31.25</v>
      </c>
      <c r="G922" t="s">
        <v>36</v>
      </c>
      <c r="H922">
        <v>0.43</v>
      </c>
      <c r="I922" t="s">
        <v>61</v>
      </c>
      <c r="J922">
        <v>19.53</v>
      </c>
      <c r="K922" t="s">
        <v>50</v>
      </c>
      <c r="L922" t="s">
        <v>31</v>
      </c>
      <c r="M922" t="s">
        <v>22</v>
      </c>
      <c r="N922" t="s">
        <v>23</v>
      </c>
      <c r="O922" t="s">
        <v>81</v>
      </c>
      <c r="P922" t="s">
        <v>25</v>
      </c>
    </row>
    <row r="923" spans="1:16" x14ac:dyDescent="0.25">
      <c r="A923" s="1">
        <v>45709</v>
      </c>
      <c r="B923" t="s">
        <v>680</v>
      </c>
      <c r="C923">
        <v>74237</v>
      </c>
      <c r="D923" t="s">
        <v>66</v>
      </c>
      <c r="E923">
        <v>23</v>
      </c>
      <c r="F923">
        <v>91.36</v>
      </c>
      <c r="G923" t="s">
        <v>47</v>
      </c>
      <c r="H923">
        <v>0.32</v>
      </c>
      <c r="I923" t="s">
        <v>19</v>
      </c>
      <c r="J923">
        <v>24.4</v>
      </c>
      <c r="K923" t="s">
        <v>44</v>
      </c>
      <c r="L923" t="s">
        <v>31</v>
      </c>
      <c r="M923" t="s">
        <v>22</v>
      </c>
      <c r="N923" t="s">
        <v>38</v>
      </c>
      <c r="O923" t="s">
        <v>59</v>
      </c>
      <c r="P923" t="s">
        <v>34</v>
      </c>
    </row>
    <row r="924" spans="1:16" x14ac:dyDescent="0.25">
      <c r="A924" s="1">
        <v>45709</v>
      </c>
      <c r="B924" t="s">
        <v>545</v>
      </c>
      <c r="C924">
        <v>70528</v>
      </c>
      <c r="D924" t="s">
        <v>57</v>
      </c>
      <c r="E924">
        <v>10</v>
      </c>
      <c r="F924">
        <v>98.02</v>
      </c>
      <c r="G924" t="s">
        <v>36</v>
      </c>
      <c r="H924">
        <v>0.36</v>
      </c>
      <c r="I924" t="s">
        <v>29</v>
      </c>
      <c r="J924">
        <v>15.99</v>
      </c>
      <c r="K924" t="s">
        <v>30</v>
      </c>
      <c r="L924" t="s">
        <v>21</v>
      </c>
      <c r="M924" t="s">
        <v>22</v>
      </c>
      <c r="N924" t="s">
        <v>23</v>
      </c>
      <c r="O924" t="s">
        <v>24</v>
      </c>
      <c r="P924" t="s">
        <v>34</v>
      </c>
    </row>
    <row r="925" spans="1:16" x14ac:dyDescent="0.25">
      <c r="A925" s="1">
        <v>45709</v>
      </c>
      <c r="B925" t="s">
        <v>663</v>
      </c>
      <c r="C925">
        <v>40067</v>
      </c>
      <c r="D925" t="s">
        <v>46</v>
      </c>
      <c r="E925">
        <v>12</v>
      </c>
      <c r="F925">
        <v>29.65</v>
      </c>
      <c r="G925" t="s">
        <v>28</v>
      </c>
      <c r="H925">
        <v>0.17</v>
      </c>
      <c r="I925" t="s">
        <v>29</v>
      </c>
      <c r="J925">
        <v>28.19</v>
      </c>
      <c r="K925" t="s">
        <v>44</v>
      </c>
      <c r="L925" t="s">
        <v>31</v>
      </c>
      <c r="M925" t="s">
        <v>22</v>
      </c>
      <c r="N925" t="s">
        <v>23</v>
      </c>
      <c r="O925" t="s">
        <v>24</v>
      </c>
      <c r="P925" t="s">
        <v>25</v>
      </c>
    </row>
    <row r="926" spans="1:16" x14ac:dyDescent="0.25">
      <c r="A926" s="1">
        <v>45709</v>
      </c>
      <c r="B926" t="s">
        <v>567</v>
      </c>
      <c r="C926">
        <v>94010</v>
      </c>
      <c r="D926" t="s">
        <v>46</v>
      </c>
      <c r="E926">
        <v>35</v>
      </c>
      <c r="F926">
        <v>73.55</v>
      </c>
      <c r="G926" t="s">
        <v>76</v>
      </c>
      <c r="H926">
        <v>0.28000000000000003</v>
      </c>
      <c r="I926" t="s">
        <v>19</v>
      </c>
      <c r="J926">
        <v>25.66</v>
      </c>
      <c r="K926" t="s">
        <v>37</v>
      </c>
      <c r="L926" t="s">
        <v>31</v>
      </c>
      <c r="M926" t="s">
        <v>22</v>
      </c>
      <c r="N926" t="s">
        <v>23</v>
      </c>
      <c r="O926" t="s">
        <v>81</v>
      </c>
      <c r="P926" t="s">
        <v>25</v>
      </c>
    </row>
    <row r="927" spans="1:16" x14ac:dyDescent="0.25">
      <c r="A927" s="1">
        <v>45709</v>
      </c>
      <c r="B927" t="s">
        <v>411</v>
      </c>
      <c r="C927">
        <v>15053</v>
      </c>
      <c r="D927" t="s">
        <v>42</v>
      </c>
      <c r="E927">
        <v>47</v>
      </c>
      <c r="F927">
        <v>90.15</v>
      </c>
      <c r="G927" t="s">
        <v>55</v>
      </c>
      <c r="H927">
        <v>0.48</v>
      </c>
      <c r="I927" t="s">
        <v>29</v>
      </c>
      <c r="J927">
        <v>8.1</v>
      </c>
      <c r="K927" t="s">
        <v>30</v>
      </c>
      <c r="L927" t="s">
        <v>21</v>
      </c>
      <c r="M927" t="s">
        <v>22</v>
      </c>
      <c r="N927" t="s">
        <v>53</v>
      </c>
      <c r="O927" t="s">
        <v>81</v>
      </c>
      <c r="P927" t="s">
        <v>25</v>
      </c>
    </row>
    <row r="928" spans="1:16" x14ac:dyDescent="0.25">
      <c r="A928" s="1">
        <v>45709</v>
      </c>
      <c r="B928" t="s">
        <v>482</v>
      </c>
      <c r="C928">
        <v>15923</v>
      </c>
      <c r="D928" t="s">
        <v>27</v>
      </c>
      <c r="E928">
        <v>9</v>
      </c>
      <c r="F928">
        <v>33.83</v>
      </c>
      <c r="G928" t="s">
        <v>52</v>
      </c>
      <c r="H928">
        <v>0.35</v>
      </c>
      <c r="I928" t="s">
        <v>61</v>
      </c>
      <c r="J928">
        <v>29.29</v>
      </c>
      <c r="K928" s="4" t="s">
        <v>729</v>
      </c>
      <c r="L928" t="s">
        <v>21</v>
      </c>
      <c r="M928" t="s">
        <v>111</v>
      </c>
      <c r="N928" t="s">
        <v>53</v>
      </c>
      <c r="O928" t="s">
        <v>59</v>
      </c>
      <c r="P928" t="s">
        <v>25</v>
      </c>
    </row>
    <row r="929" spans="1:16" x14ac:dyDescent="0.25">
      <c r="A929" s="1">
        <v>45709</v>
      </c>
      <c r="B929" t="s">
        <v>681</v>
      </c>
      <c r="C929">
        <v>77655</v>
      </c>
      <c r="D929" t="s">
        <v>57</v>
      </c>
      <c r="E929">
        <v>11</v>
      </c>
      <c r="F929">
        <v>49.12</v>
      </c>
      <c r="G929" t="s">
        <v>36</v>
      </c>
      <c r="H929">
        <v>0.11</v>
      </c>
      <c r="I929" t="s">
        <v>61</v>
      </c>
      <c r="J929">
        <v>21.8</v>
      </c>
      <c r="K929" t="s">
        <v>37</v>
      </c>
      <c r="L929" t="s">
        <v>31</v>
      </c>
      <c r="M929" t="s">
        <v>22</v>
      </c>
      <c r="N929" t="s">
        <v>23</v>
      </c>
      <c r="O929" t="s">
        <v>24</v>
      </c>
      <c r="P929" t="s">
        <v>34</v>
      </c>
    </row>
    <row r="930" spans="1:16" x14ac:dyDescent="0.25">
      <c r="A930" s="1">
        <v>45709</v>
      </c>
      <c r="B930" t="s">
        <v>682</v>
      </c>
      <c r="C930">
        <v>65326</v>
      </c>
      <c r="D930" t="s">
        <v>17</v>
      </c>
      <c r="E930">
        <v>38</v>
      </c>
      <c r="F930">
        <v>82.21</v>
      </c>
      <c r="G930" t="s">
        <v>36</v>
      </c>
      <c r="H930">
        <v>0.49</v>
      </c>
      <c r="I930" t="s">
        <v>29</v>
      </c>
      <c r="J930">
        <v>6.14</v>
      </c>
      <c r="K930" t="s">
        <v>37</v>
      </c>
      <c r="L930" t="s">
        <v>21</v>
      </c>
      <c r="M930" t="s">
        <v>111</v>
      </c>
      <c r="N930" t="s">
        <v>23</v>
      </c>
      <c r="O930" t="s">
        <v>39</v>
      </c>
      <c r="P930" t="s">
        <v>25</v>
      </c>
    </row>
    <row r="931" spans="1:16" x14ac:dyDescent="0.25">
      <c r="A931" s="1">
        <v>45709</v>
      </c>
      <c r="B931" t="s">
        <v>453</v>
      </c>
      <c r="C931">
        <v>52858</v>
      </c>
      <c r="D931" t="s">
        <v>66</v>
      </c>
      <c r="E931">
        <v>4</v>
      </c>
      <c r="F931">
        <v>84.49</v>
      </c>
      <c r="G931" t="s">
        <v>76</v>
      </c>
      <c r="H931">
        <v>0.2</v>
      </c>
      <c r="I931" t="s">
        <v>29</v>
      </c>
      <c r="J931">
        <v>26.84</v>
      </c>
      <c r="K931" t="s">
        <v>44</v>
      </c>
      <c r="L931" t="s">
        <v>21</v>
      </c>
      <c r="M931" t="s">
        <v>111</v>
      </c>
      <c r="N931" t="s">
        <v>38</v>
      </c>
      <c r="O931" t="s">
        <v>59</v>
      </c>
      <c r="P931" t="s">
        <v>40</v>
      </c>
    </row>
    <row r="932" spans="1:16" x14ac:dyDescent="0.25">
      <c r="A932" s="1">
        <v>45709</v>
      </c>
      <c r="B932" t="s">
        <v>481</v>
      </c>
      <c r="C932">
        <v>36398</v>
      </c>
      <c r="D932" t="s">
        <v>46</v>
      </c>
      <c r="E932">
        <v>19</v>
      </c>
      <c r="F932">
        <v>25.01</v>
      </c>
      <c r="G932" t="s">
        <v>28</v>
      </c>
      <c r="H932">
        <v>0.04</v>
      </c>
      <c r="I932" t="s">
        <v>19</v>
      </c>
      <c r="J932">
        <v>21.59</v>
      </c>
      <c r="K932" t="s">
        <v>37</v>
      </c>
      <c r="L932" t="s">
        <v>31</v>
      </c>
      <c r="M932" t="s">
        <v>22</v>
      </c>
      <c r="N932" t="s">
        <v>23</v>
      </c>
      <c r="O932" t="s">
        <v>81</v>
      </c>
      <c r="P932" t="s">
        <v>34</v>
      </c>
    </row>
    <row r="933" spans="1:16" x14ac:dyDescent="0.25">
      <c r="A933" s="1">
        <v>45709</v>
      </c>
      <c r="B933" t="s">
        <v>133</v>
      </c>
      <c r="C933">
        <v>82087</v>
      </c>
      <c r="D933" t="s">
        <v>17</v>
      </c>
      <c r="E933">
        <v>21</v>
      </c>
      <c r="F933">
        <v>34.979999999999997</v>
      </c>
      <c r="G933" t="s">
        <v>76</v>
      </c>
      <c r="H933">
        <v>0.38</v>
      </c>
      <c r="I933" t="s">
        <v>29</v>
      </c>
      <c r="J933">
        <v>6.27</v>
      </c>
      <c r="K933" t="s">
        <v>37</v>
      </c>
      <c r="L933" t="s">
        <v>31</v>
      </c>
      <c r="M933" t="s">
        <v>111</v>
      </c>
      <c r="N933" t="s">
        <v>38</v>
      </c>
      <c r="O933" t="s">
        <v>59</v>
      </c>
      <c r="P933" t="s">
        <v>25</v>
      </c>
    </row>
    <row r="934" spans="1:16" x14ac:dyDescent="0.25">
      <c r="A934" s="1">
        <v>45709</v>
      </c>
      <c r="B934" t="s">
        <v>413</v>
      </c>
      <c r="C934">
        <v>19333</v>
      </c>
      <c r="D934" t="s">
        <v>49</v>
      </c>
      <c r="E934">
        <v>6</v>
      </c>
      <c r="F934">
        <v>47.46</v>
      </c>
      <c r="G934" t="s">
        <v>43</v>
      </c>
      <c r="H934">
        <v>0.48</v>
      </c>
      <c r="I934" t="s">
        <v>29</v>
      </c>
      <c r="J934">
        <v>27.6</v>
      </c>
      <c r="K934" t="s">
        <v>44</v>
      </c>
      <c r="L934" t="s">
        <v>31</v>
      </c>
      <c r="M934" t="s">
        <v>111</v>
      </c>
      <c r="N934" t="s">
        <v>32</v>
      </c>
      <c r="O934" t="s">
        <v>39</v>
      </c>
      <c r="P934" t="s">
        <v>40</v>
      </c>
    </row>
    <row r="935" spans="1:16" x14ac:dyDescent="0.25">
      <c r="A935" s="1">
        <v>45709</v>
      </c>
      <c r="B935" t="s">
        <v>307</v>
      </c>
      <c r="C935">
        <v>85528</v>
      </c>
      <c r="D935" t="s">
        <v>49</v>
      </c>
      <c r="E935">
        <v>44</v>
      </c>
      <c r="F935">
        <v>94.77</v>
      </c>
      <c r="G935" t="s">
        <v>99</v>
      </c>
      <c r="H935">
        <v>0.2</v>
      </c>
      <c r="I935" t="s">
        <v>29</v>
      </c>
      <c r="J935">
        <v>17.45</v>
      </c>
      <c r="K935" t="s">
        <v>20</v>
      </c>
      <c r="L935" t="s">
        <v>21</v>
      </c>
      <c r="M935" t="s">
        <v>22</v>
      </c>
      <c r="N935" t="s">
        <v>32</v>
      </c>
      <c r="O935" t="s">
        <v>39</v>
      </c>
      <c r="P935" t="s">
        <v>34</v>
      </c>
    </row>
    <row r="936" spans="1:16" x14ac:dyDescent="0.25">
      <c r="A936" s="1">
        <v>45709</v>
      </c>
      <c r="B936" t="s">
        <v>329</v>
      </c>
      <c r="C936">
        <v>77552</v>
      </c>
      <c r="D936" t="s">
        <v>70</v>
      </c>
      <c r="E936">
        <v>39</v>
      </c>
      <c r="F936">
        <v>40.57</v>
      </c>
      <c r="G936" t="s">
        <v>28</v>
      </c>
      <c r="H936">
        <v>0.39</v>
      </c>
      <c r="I936" t="s">
        <v>29</v>
      </c>
      <c r="J936">
        <v>26.94</v>
      </c>
      <c r="K936" t="s">
        <v>50</v>
      </c>
      <c r="L936" t="s">
        <v>21</v>
      </c>
      <c r="M936" t="s">
        <v>22</v>
      </c>
      <c r="N936" t="s">
        <v>32</v>
      </c>
      <c r="O936" t="s">
        <v>24</v>
      </c>
      <c r="P936" t="s">
        <v>25</v>
      </c>
    </row>
    <row r="937" spans="1:16" x14ac:dyDescent="0.25">
      <c r="A937" s="1">
        <v>45709</v>
      </c>
      <c r="B937" t="s">
        <v>683</v>
      </c>
      <c r="C937">
        <v>21189</v>
      </c>
      <c r="D937" t="s">
        <v>75</v>
      </c>
      <c r="E937">
        <v>7</v>
      </c>
      <c r="F937">
        <v>33.82</v>
      </c>
      <c r="G937" t="s">
        <v>43</v>
      </c>
      <c r="H937">
        <v>0.38</v>
      </c>
      <c r="I937" t="s">
        <v>29</v>
      </c>
      <c r="J937">
        <v>12.31</v>
      </c>
      <c r="K937" t="s">
        <v>44</v>
      </c>
      <c r="L937" t="s">
        <v>21</v>
      </c>
      <c r="M937" t="s">
        <v>22</v>
      </c>
      <c r="N937" t="s">
        <v>53</v>
      </c>
      <c r="O937" t="s">
        <v>33</v>
      </c>
      <c r="P937" t="s">
        <v>34</v>
      </c>
    </row>
    <row r="938" spans="1:16" x14ac:dyDescent="0.25">
      <c r="A938" s="1">
        <v>45709</v>
      </c>
      <c r="B938" t="s">
        <v>432</v>
      </c>
      <c r="C938">
        <v>26884</v>
      </c>
      <c r="D938" t="s">
        <v>70</v>
      </c>
      <c r="E938">
        <v>45</v>
      </c>
      <c r="F938">
        <v>2.44</v>
      </c>
      <c r="G938" t="s">
        <v>84</v>
      </c>
      <c r="H938">
        <v>0.48</v>
      </c>
      <c r="I938" t="s">
        <v>19</v>
      </c>
      <c r="J938">
        <v>16.93</v>
      </c>
      <c r="K938" t="s">
        <v>44</v>
      </c>
      <c r="L938" t="s">
        <v>31</v>
      </c>
      <c r="M938" t="s">
        <v>22</v>
      </c>
      <c r="N938" t="s">
        <v>38</v>
      </c>
      <c r="O938" s="4" t="s">
        <v>724</v>
      </c>
      <c r="P938" t="s">
        <v>34</v>
      </c>
    </row>
    <row r="939" spans="1:16" x14ac:dyDescent="0.25">
      <c r="A939" s="1">
        <v>45709</v>
      </c>
      <c r="B939" t="s">
        <v>684</v>
      </c>
      <c r="C939">
        <v>11584</v>
      </c>
      <c r="D939" t="s">
        <v>49</v>
      </c>
      <c r="E939">
        <v>36</v>
      </c>
      <c r="F939">
        <v>50.62</v>
      </c>
      <c r="G939" t="s">
        <v>72</v>
      </c>
      <c r="H939">
        <v>0.08</v>
      </c>
      <c r="I939" t="s">
        <v>61</v>
      </c>
      <c r="J939">
        <v>6.82</v>
      </c>
      <c r="K939" t="s">
        <v>44</v>
      </c>
      <c r="L939" t="s">
        <v>31</v>
      </c>
      <c r="M939" t="s">
        <v>22</v>
      </c>
      <c r="N939" t="s">
        <v>32</v>
      </c>
      <c r="O939" t="s">
        <v>39</v>
      </c>
      <c r="P939" t="s">
        <v>25</v>
      </c>
    </row>
    <row r="940" spans="1:16" x14ac:dyDescent="0.25">
      <c r="A940" s="1">
        <v>45709</v>
      </c>
      <c r="B940" t="s">
        <v>473</v>
      </c>
      <c r="C940">
        <v>34518</v>
      </c>
      <c r="D940" t="s">
        <v>75</v>
      </c>
      <c r="E940">
        <v>39</v>
      </c>
      <c r="F940">
        <v>89.21</v>
      </c>
      <c r="G940" t="s">
        <v>18</v>
      </c>
      <c r="H940">
        <v>0.34</v>
      </c>
      <c r="I940" t="s">
        <v>29</v>
      </c>
      <c r="J940">
        <v>26.81</v>
      </c>
      <c r="K940" t="s">
        <v>30</v>
      </c>
      <c r="L940" t="s">
        <v>31</v>
      </c>
      <c r="M940" t="s">
        <v>22</v>
      </c>
      <c r="N940" t="s">
        <v>38</v>
      </c>
      <c r="O940" t="s">
        <v>59</v>
      </c>
      <c r="P940" t="s">
        <v>34</v>
      </c>
    </row>
    <row r="941" spans="1:16" x14ac:dyDescent="0.25">
      <c r="A941" s="1">
        <v>45709</v>
      </c>
      <c r="B941" t="s">
        <v>685</v>
      </c>
      <c r="C941">
        <v>55347</v>
      </c>
      <c r="D941" t="s">
        <v>42</v>
      </c>
      <c r="E941">
        <v>15</v>
      </c>
      <c r="F941">
        <v>68.260000000000005</v>
      </c>
      <c r="G941" t="s">
        <v>43</v>
      </c>
      <c r="H941">
        <v>0.35</v>
      </c>
      <c r="I941" t="s">
        <v>19</v>
      </c>
      <c r="J941">
        <v>21.44</v>
      </c>
      <c r="K941" t="s">
        <v>37</v>
      </c>
      <c r="L941" t="s">
        <v>21</v>
      </c>
      <c r="M941" t="s">
        <v>111</v>
      </c>
      <c r="N941" t="s">
        <v>23</v>
      </c>
      <c r="O941" t="s">
        <v>81</v>
      </c>
      <c r="P941" t="s">
        <v>40</v>
      </c>
    </row>
    <row r="942" spans="1:16" x14ac:dyDescent="0.25">
      <c r="A942" s="1">
        <v>45709</v>
      </c>
      <c r="B942" t="s">
        <v>686</v>
      </c>
      <c r="C942">
        <v>66830</v>
      </c>
      <c r="D942" t="s">
        <v>27</v>
      </c>
      <c r="E942">
        <v>9</v>
      </c>
      <c r="F942">
        <v>24.45</v>
      </c>
      <c r="G942" t="s">
        <v>76</v>
      </c>
      <c r="H942">
        <v>0.35</v>
      </c>
      <c r="I942" t="s">
        <v>61</v>
      </c>
      <c r="J942">
        <v>27.69</v>
      </c>
      <c r="K942" t="s">
        <v>44</v>
      </c>
      <c r="L942" t="s">
        <v>21</v>
      </c>
      <c r="M942" t="s">
        <v>22</v>
      </c>
      <c r="N942" t="s">
        <v>53</v>
      </c>
      <c r="O942" t="s">
        <v>24</v>
      </c>
      <c r="P942" t="s">
        <v>34</v>
      </c>
    </row>
    <row r="943" spans="1:16" x14ac:dyDescent="0.25">
      <c r="A943" s="1">
        <v>45709</v>
      </c>
      <c r="B943" t="s">
        <v>687</v>
      </c>
      <c r="C943">
        <v>66038</v>
      </c>
      <c r="D943" t="s">
        <v>70</v>
      </c>
      <c r="E943">
        <v>47</v>
      </c>
      <c r="F943">
        <v>12.24</v>
      </c>
      <c r="G943" t="s">
        <v>52</v>
      </c>
      <c r="H943">
        <v>0.14000000000000001</v>
      </c>
      <c r="I943" t="s">
        <v>61</v>
      </c>
      <c r="J943">
        <v>20.190000000000001</v>
      </c>
      <c r="K943" t="s">
        <v>20</v>
      </c>
      <c r="L943" t="s">
        <v>31</v>
      </c>
      <c r="M943" t="s">
        <v>22</v>
      </c>
      <c r="N943" t="s">
        <v>38</v>
      </c>
      <c r="O943" t="s">
        <v>39</v>
      </c>
      <c r="P943" t="s">
        <v>34</v>
      </c>
    </row>
    <row r="944" spans="1:16" x14ac:dyDescent="0.25">
      <c r="A944" s="1">
        <v>45709</v>
      </c>
      <c r="B944" t="s">
        <v>688</v>
      </c>
      <c r="C944">
        <v>30393</v>
      </c>
      <c r="D944" t="s">
        <v>57</v>
      </c>
      <c r="E944">
        <v>22</v>
      </c>
      <c r="F944">
        <v>37.89</v>
      </c>
      <c r="G944" t="s">
        <v>28</v>
      </c>
      <c r="H944">
        <v>0</v>
      </c>
      <c r="I944" t="s">
        <v>19</v>
      </c>
      <c r="J944">
        <v>16.18</v>
      </c>
      <c r="K944" t="s">
        <v>44</v>
      </c>
      <c r="L944" t="s">
        <v>31</v>
      </c>
      <c r="M944" t="s">
        <v>22</v>
      </c>
      <c r="N944" t="s">
        <v>32</v>
      </c>
      <c r="O944" t="s">
        <v>59</v>
      </c>
      <c r="P944" t="s">
        <v>25</v>
      </c>
    </row>
    <row r="945" spans="1:16" x14ac:dyDescent="0.25">
      <c r="A945" s="1">
        <v>45710</v>
      </c>
      <c r="B945" t="s">
        <v>689</v>
      </c>
      <c r="C945">
        <v>19084</v>
      </c>
      <c r="D945" t="s">
        <v>68</v>
      </c>
      <c r="E945">
        <v>11</v>
      </c>
      <c r="F945">
        <v>73.45</v>
      </c>
      <c r="G945" t="s">
        <v>55</v>
      </c>
      <c r="H945">
        <v>0.47</v>
      </c>
      <c r="I945" t="s">
        <v>19</v>
      </c>
      <c r="J945">
        <v>20.85</v>
      </c>
      <c r="K945" t="s">
        <v>30</v>
      </c>
      <c r="L945" t="s">
        <v>21</v>
      </c>
      <c r="M945" t="s">
        <v>22</v>
      </c>
      <c r="N945" t="s">
        <v>32</v>
      </c>
      <c r="O945" t="s">
        <v>723</v>
      </c>
      <c r="P945" t="s">
        <v>40</v>
      </c>
    </row>
    <row r="946" spans="1:16" x14ac:dyDescent="0.25">
      <c r="A946" s="1">
        <v>45710</v>
      </c>
      <c r="B946" t="s">
        <v>690</v>
      </c>
      <c r="C946">
        <v>80488</v>
      </c>
      <c r="D946" t="s">
        <v>46</v>
      </c>
      <c r="E946">
        <v>35</v>
      </c>
      <c r="F946">
        <v>94.4</v>
      </c>
      <c r="G946" t="s">
        <v>76</v>
      </c>
      <c r="H946">
        <v>0.2</v>
      </c>
      <c r="I946" t="s">
        <v>61</v>
      </c>
      <c r="J946">
        <v>5.13</v>
      </c>
      <c r="K946" t="s">
        <v>50</v>
      </c>
      <c r="L946" t="s">
        <v>31</v>
      </c>
      <c r="M946" t="s">
        <v>111</v>
      </c>
      <c r="N946" t="s">
        <v>38</v>
      </c>
      <c r="O946" t="s">
        <v>81</v>
      </c>
      <c r="P946" t="s">
        <v>25</v>
      </c>
    </row>
    <row r="947" spans="1:16" x14ac:dyDescent="0.25">
      <c r="A947" s="1">
        <v>45710</v>
      </c>
      <c r="B947" t="s">
        <v>174</v>
      </c>
      <c r="C947">
        <v>29621</v>
      </c>
      <c r="D947" t="s">
        <v>66</v>
      </c>
      <c r="E947">
        <v>17</v>
      </c>
      <c r="F947">
        <v>39.29</v>
      </c>
      <c r="G947" t="s">
        <v>55</v>
      </c>
      <c r="H947">
        <v>0.3</v>
      </c>
      <c r="I947" t="s">
        <v>29</v>
      </c>
      <c r="J947">
        <v>7.4</v>
      </c>
      <c r="K947" t="s">
        <v>50</v>
      </c>
      <c r="L947" t="s">
        <v>21</v>
      </c>
      <c r="M947" t="s">
        <v>22</v>
      </c>
      <c r="N947" t="s">
        <v>53</v>
      </c>
      <c r="O947" t="s">
        <v>24</v>
      </c>
      <c r="P947" t="s">
        <v>25</v>
      </c>
    </row>
    <row r="948" spans="1:16" x14ac:dyDescent="0.25">
      <c r="A948" s="1">
        <v>45710</v>
      </c>
      <c r="B948" t="s">
        <v>691</v>
      </c>
      <c r="C948">
        <v>63859</v>
      </c>
      <c r="D948" t="s">
        <v>57</v>
      </c>
      <c r="E948">
        <v>9</v>
      </c>
      <c r="F948">
        <v>75.69</v>
      </c>
      <c r="G948" t="s">
        <v>55</v>
      </c>
      <c r="H948">
        <v>0.21</v>
      </c>
      <c r="I948" t="s">
        <v>29</v>
      </c>
      <c r="J948">
        <v>8.2799999999999994</v>
      </c>
      <c r="K948" t="s">
        <v>37</v>
      </c>
      <c r="L948" t="s">
        <v>21</v>
      </c>
      <c r="M948" t="s">
        <v>111</v>
      </c>
      <c r="N948" t="s">
        <v>38</v>
      </c>
      <c r="O948" t="s">
        <v>39</v>
      </c>
      <c r="P948" t="s">
        <v>40</v>
      </c>
    </row>
    <row r="949" spans="1:16" x14ac:dyDescent="0.25">
      <c r="A949" s="1">
        <v>45710</v>
      </c>
      <c r="B949" t="s">
        <v>692</v>
      </c>
      <c r="C949">
        <v>45443</v>
      </c>
      <c r="D949" t="s">
        <v>57</v>
      </c>
      <c r="E949">
        <v>34</v>
      </c>
      <c r="F949">
        <v>51.13</v>
      </c>
      <c r="G949" t="s">
        <v>76</v>
      </c>
      <c r="H949">
        <v>0.21</v>
      </c>
      <c r="I949" t="s">
        <v>29</v>
      </c>
      <c r="J949">
        <v>20.95</v>
      </c>
      <c r="K949" t="s">
        <v>44</v>
      </c>
      <c r="L949" t="s">
        <v>21</v>
      </c>
      <c r="M949" t="s">
        <v>22</v>
      </c>
      <c r="N949" t="s">
        <v>23</v>
      </c>
      <c r="O949" t="s">
        <v>39</v>
      </c>
      <c r="P949" t="s">
        <v>25</v>
      </c>
    </row>
    <row r="950" spans="1:16" x14ac:dyDescent="0.25">
      <c r="A950" s="1">
        <v>45710</v>
      </c>
      <c r="B950" t="s">
        <v>693</v>
      </c>
      <c r="C950">
        <v>90598</v>
      </c>
      <c r="D950" t="s">
        <v>89</v>
      </c>
      <c r="E950">
        <v>46</v>
      </c>
      <c r="F950">
        <v>53.87</v>
      </c>
      <c r="G950" t="s">
        <v>52</v>
      </c>
      <c r="H950">
        <v>0.17</v>
      </c>
      <c r="I950" t="s">
        <v>19</v>
      </c>
      <c r="J950">
        <v>10.41</v>
      </c>
      <c r="K950" t="s">
        <v>30</v>
      </c>
      <c r="L950" t="s">
        <v>31</v>
      </c>
      <c r="M950" t="s">
        <v>22</v>
      </c>
      <c r="N950" t="s">
        <v>23</v>
      </c>
      <c r="O950" t="s">
        <v>59</v>
      </c>
      <c r="P950" t="s">
        <v>40</v>
      </c>
    </row>
    <row r="951" spans="1:16" x14ac:dyDescent="0.25">
      <c r="A951" s="1">
        <v>45710</v>
      </c>
      <c r="B951" t="s">
        <v>694</v>
      </c>
      <c r="C951">
        <v>41810</v>
      </c>
      <c r="D951" t="s">
        <v>57</v>
      </c>
      <c r="E951">
        <v>40</v>
      </c>
      <c r="F951">
        <v>27.85</v>
      </c>
      <c r="G951" t="s">
        <v>72</v>
      </c>
      <c r="H951">
        <v>0.38</v>
      </c>
      <c r="I951" t="s">
        <v>29</v>
      </c>
      <c r="J951">
        <v>22.42</v>
      </c>
      <c r="K951" t="s">
        <v>44</v>
      </c>
      <c r="L951" t="s">
        <v>31</v>
      </c>
      <c r="M951" t="s">
        <v>111</v>
      </c>
      <c r="N951" t="s">
        <v>38</v>
      </c>
      <c r="O951" t="s">
        <v>39</v>
      </c>
      <c r="P951" t="s">
        <v>25</v>
      </c>
    </row>
    <row r="952" spans="1:16" x14ac:dyDescent="0.25">
      <c r="A952" s="1">
        <v>45710</v>
      </c>
      <c r="B952" t="s">
        <v>695</v>
      </c>
      <c r="C952">
        <v>34468</v>
      </c>
      <c r="D952" t="s">
        <v>68</v>
      </c>
      <c r="E952">
        <v>30</v>
      </c>
      <c r="F952">
        <v>28.41</v>
      </c>
      <c r="G952" t="s">
        <v>36</v>
      </c>
      <c r="H952">
        <v>0.21</v>
      </c>
      <c r="I952" t="s">
        <v>19</v>
      </c>
      <c r="J952">
        <v>22.16</v>
      </c>
      <c r="K952" t="s">
        <v>44</v>
      </c>
      <c r="L952" t="s">
        <v>21</v>
      </c>
      <c r="M952" t="s">
        <v>22</v>
      </c>
      <c r="N952" t="s">
        <v>32</v>
      </c>
      <c r="O952" t="s">
        <v>39</v>
      </c>
      <c r="P952" t="s">
        <v>25</v>
      </c>
    </row>
    <row r="953" spans="1:16" x14ac:dyDescent="0.25">
      <c r="A953" s="1">
        <v>45710</v>
      </c>
      <c r="B953" t="s">
        <v>696</v>
      </c>
      <c r="C953">
        <v>93011</v>
      </c>
      <c r="D953" t="s">
        <v>57</v>
      </c>
      <c r="E953">
        <v>22</v>
      </c>
      <c r="F953">
        <v>58.35</v>
      </c>
      <c r="G953" t="s">
        <v>58</v>
      </c>
      <c r="H953">
        <v>0.39</v>
      </c>
      <c r="I953" t="s">
        <v>61</v>
      </c>
      <c r="J953">
        <v>21.92</v>
      </c>
      <c r="K953" t="s">
        <v>50</v>
      </c>
      <c r="L953" t="s">
        <v>21</v>
      </c>
      <c r="M953" t="s">
        <v>22</v>
      </c>
      <c r="N953" t="s">
        <v>32</v>
      </c>
      <c r="O953" t="s">
        <v>59</v>
      </c>
      <c r="P953" t="s">
        <v>40</v>
      </c>
    </row>
    <row r="954" spans="1:16" x14ac:dyDescent="0.25">
      <c r="A954" s="1">
        <v>45710</v>
      </c>
      <c r="B954" t="s">
        <v>380</v>
      </c>
      <c r="C954">
        <v>51802</v>
      </c>
      <c r="D954" t="s">
        <v>70</v>
      </c>
      <c r="E954">
        <v>26</v>
      </c>
      <c r="F954">
        <v>40.28</v>
      </c>
      <c r="G954" t="s">
        <v>28</v>
      </c>
      <c r="H954">
        <v>0.41</v>
      </c>
      <c r="I954" t="s">
        <v>29</v>
      </c>
      <c r="J954">
        <v>21.02</v>
      </c>
      <c r="K954" t="s">
        <v>37</v>
      </c>
      <c r="L954" t="s">
        <v>21</v>
      </c>
      <c r="M954" t="s">
        <v>22</v>
      </c>
      <c r="N954" t="s">
        <v>53</v>
      </c>
      <c r="O954" t="s">
        <v>59</v>
      </c>
      <c r="P954" t="s">
        <v>34</v>
      </c>
    </row>
    <row r="955" spans="1:16" x14ac:dyDescent="0.25">
      <c r="A955" s="1">
        <v>45710</v>
      </c>
      <c r="B955" t="s">
        <v>681</v>
      </c>
      <c r="C955">
        <v>30256</v>
      </c>
      <c r="D955" t="s">
        <v>46</v>
      </c>
      <c r="E955">
        <v>30</v>
      </c>
      <c r="F955">
        <v>30.92</v>
      </c>
      <c r="G955" t="s">
        <v>28</v>
      </c>
      <c r="H955">
        <v>0.17</v>
      </c>
      <c r="I955" t="s">
        <v>29</v>
      </c>
      <c r="J955">
        <v>5.1100000000000003</v>
      </c>
      <c r="K955" t="s">
        <v>50</v>
      </c>
      <c r="L955" t="s">
        <v>31</v>
      </c>
      <c r="M955" t="s">
        <v>22</v>
      </c>
      <c r="N955" t="s">
        <v>32</v>
      </c>
      <c r="O955" t="s">
        <v>39</v>
      </c>
      <c r="P955" t="s">
        <v>25</v>
      </c>
    </row>
    <row r="956" spans="1:16" x14ac:dyDescent="0.25">
      <c r="A956" s="1">
        <v>45710</v>
      </c>
      <c r="B956" t="s">
        <v>486</v>
      </c>
      <c r="C956">
        <v>28561</v>
      </c>
      <c r="D956" t="s">
        <v>46</v>
      </c>
      <c r="E956">
        <v>12</v>
      </c>
      <c r="F956">
        <v>68.66</v>
      </c>
      <c r="G956" t="s">
        <v>28</v>
      </c>
      <c r="H956">
        <v>0.28999999999999998</v>
      </c>
      <c r="I956" t="s">
        <v>19</v>
      </c>
      <c r="J956">
        <v>29.74</v>
      </c>
      <c r="K956" t="s">
        <v>30</v>
      </c>
      <c r="L956" t="s">
        <v>21</v>
      </c>
      <c r="M956" t="s">
        <v>22</v>
      </c>
      <c r="N956" t="s">
        <v>32</v>
      </c>
      <c r="O956" t="s">
        <v>59</v>
      </c>
      <c r="P956" t="s">
        <v>40</v>
      </c>
    </row>
    <row r="957" spans="1:16" x14ac:dyDescent="0.25">
      <c r="A957" s="1">
        <v>45710</v>
      </c>
      <c r="B957" t="s">
        <v>272</v>
      </c>
      <c r="C957">
        <v>14580</v>
      </c>
      <c r="D957" t="s">
        <v>57</v>
      </c>
      <c r="E957">
        <v>36</v>
      </c>
      <c r="F957">
        <v>8.01</v>
      </c>
      <c r="G957" t="s">
        <v>18</v>
      </c>
      <c r="H957">
        <v>7.0000000000000007E-2</v>
      </c>
      <c r="I957" t="s">
        <v>29</v>
      </c>
      <c r="J957">
        <v>22.84</v>
      </c>
      <c r="K957" t="s">
        <v>30</v>
      </c>
      <c r="L957" t="s">
        <v>21</v>
      </c>
      <c r="M957" t="s">
        <v>22</v>
      </c>
      <c r="N957" t="s">
        <v>32</v>
      </c>
      <c r="O957" t="s">
        <v>33</v>
      </c>
      <c r="P957" t="s">
        <v>25</v>
      </c>
    </row>
    <row r="958" spans="1:16" x14ac:dyDescent="0.25">
      <c r="A958" s="1">
        <v>45710</v>
      </c>
      <c r="B958" t="s">
        <v>213</v>
      </c>
      <c r="C958">
        <v>22403</v>
      </c>
      <c r="D958" t="s">
        <v>49</v>
      </c>
      <c r="E958">
        <v>7</v>
      </c>
      <c r="F958">
        <v>14.63</v>
      </c>
      <c r="G958" t="s">
        <v>28</v>
      </c>
      <c r="H958">
        <v>0.04</v>
      </c>
      <c r="I958" t="s">
        <v>61</v>
      </c>
      <c r="J958">
        <v>20.46</v>
      </c>
      <c r="K958" t="s">
        <v>30</v>
      </c>
      <c r="L958" t="s">
        <v>21</v>
      </c>
      <c r="M958" t="s">
        <v>22</v>
      </c>
      <c r="N958" t="s">
        <v>53</v>
      </c>
      <c r="O958" t="s">
        <v>24</v>
      </c>
      <c r="P958" t="s">
        <v>40</v>
      </c>
    </row>
    <row r="959" spans="1:16" x14ac:dyDescent="0.25">
      <c r="A959" s="1">
        <v>45710</v>
      </c>
      <c r="B959" t="s">
        <v>697</v>
      </c>
      <c r="C959">
        <v>53990</v>
      </c>
      <c r="D959" t="s">
        <v>57</v>
      </c>
      <c r="E959">
        <v>41</v>
      </c>
      <c r="F959">
        <v>15.86</v>
      </c>
      <c r="G959" t="s">
        <v>28</v>
      </c>
      <c r="H959">
        <v>0.32</v>
      </c>
      <c r="I959" t="s">
        <v>29</v>
      </c>
      <c r="J959">
        <v>15.48</v>
      </c>
      <c r="K959" t="s">
        <v>50</v>
      </c>
      <c r="L959" t="s">
        <v>31</v>
      </c>
      <c r="M959" t="s">
        <v>22</v>
      </c>
      <c r="N959" t="s">
        <v>23</v>
      </c>
      <c r="O959" t="s">
        <v>24</v>
      </c>
      <c r="P959" t="s">
        <v>40</v>
      </c>
    </row>
    <row r="960" spans="1:16" x14ac:dyDescent="0.25">
      <c r="A960" s="1">
        <v>45710</v>
      </c>
      <c r="B960" t="s">
        <v>123</v>
      </c>
      <c r="C960">
        <v>69281</v>
      </c>
      <c r="D960" t="s">
        <v>75</v>
      </c>
      <c r="E960">
        <v>2</v>
      </c>
      <c r="F960">
        <v>38.04</v>
      </c>
      <c r="G960" t="s">
        <v>58</v>
      </c>
      <c r="H960">
        <v>0.17</v>
      </c>
      <c r="I960" t="s">
        <v>61</v>
      </c>
      <c r="J960">
        <v>27.94</v>
      </c>
      <c r="K960" t="s">
        <v>37</v>
      </c>
      <c r="L960" t="s">
        <v>31</v>
      </c>
      <c r="M960" t="s">
        <v>22</v>
      </c>
      <c r="N960" t="s">
        <v>23</v>
      </c>
      <c r="O960" t="s">
        <v>81</v>
      </c>
      <c r="P960" t="s">
        <v>25</v>
      </c>
    </row>
    <row r="961" spans="1:16" x14ac:dyDescent="0.25">
      <c r="A961" s="1">
        <v>45710</v>
      </c>
      <c r="B961" t="s">
        <v>140</v>
      </c>
      <c r="C961">
        <v>35321</v>
      </c>
      <c r="D961" t="s">
        <v>46</v>
      </c>
      <c r="E961">
        <v>21</v>
      </c>
      <c r="F961">
        <v>91.56</v>
      </c>
      <c r="G961" t="s">
        <v>36</v>
      </c>
      <c r="H961">
        <v>0.37</v>
      </c>
      <c r="I961" t="s">
        <v>61</v>
      </c>
      <c r="J961">
        <v>19.05</v>
      </c>
      <c r="K961" t="s">
        <v>44</v>
      </c>
      <c r="L961" t="s">
        <v>21</v>
      </c>
      <c r="M961" t="s">
        <v>22</v>
      </c>
      <c r="N961" t="s">
        <v>32</v>
      </c>
      <c r="O961" t="s">
        <v>33</v>
      </c>
      <c r="P961" t="s">
        <v>34</v>
      </c>
    </row>
    <row r="962" spans="1:16" x14ac:dyDescent="0.25">
      <c r="A962" s="1">
        <v>45710</v>
      </c>
      <c r="B962" t="s">
        <v>583</v>
      </c>
      <c r="C962">
        <v>60637</v>
      </c>
      <c r="D962" t="s">
        <v>68</v>
      </c>
      <c r="E962">
        <v>27</v>
      </c>
      <c r="F962">
        <v>92.38</v>
      </c>
      <c r="G962" t="s">
        <v>76</v>
      </c>
      <c r="H962">
        <v>0.08</v>
      </c>
      <c r="I962" t="s">
        <v>19</v>
      </c>
      <c r="J962">
        <v>21.68</v>
      </c>
      <c r="K962" t="s">
        <v>37</v>
      </c>
      <c r="L962" t="s">
        <v>21</v>
      </c>
      <c r="M962" t="s">
        <v>22</v>
      </c>
      <c r="N962" t="s">
        <v>32</v>
      </c>
      <c r="O962" t="s">
        <v>39</v>
      </c>
      <c r="P962" t="s">
        <v>40</v>
      </c>
    </row>
    <row r="963" spans="1:16" x14ac:dyDescent="0.25">
      <c r="A963" s="1">
        <v>45710</v>
      </c>
      <c r="B963" t="s">
        <v>698</v>
      </c>
      <c r="C963">
        <v>76117</v>
      </c>
      <c r="D963" t="s">
        <v>27</v>
      </c>
      <c r="E963">
        <v>1</v>
      </c>
      <c r="F963">
        <v>47.9</v>
      </c>
      <c r="G963" t="s">
        <v>58</v>
      </c>
      <c r="H963">
        <v>0.11</v>
      </c>
      <c r="I963" t="s">
        <v>19</v>
      </c>
      <c r="J963">
        <v>11.22</v>
      </c>
      <c r="K963" t="s">
        <v>30</v>
      </c>
      <c r="L963" t="s">
        <v>21</v>
      </c>
      <c r="M963" t="s">
        <v>22</v>
      </c>
      <c r="N963" t="s">
        <v>38</v>
      </c>
      <c r="O963" t="s">
        <v>24</v>
      </c>
      <c r="P963" t="s">
        <v>34</v>
      </c>
    </row>
    <row r="964" spans="1:16" x14ac:dyDescent="0.25">
      <c r="A964" s="1">
        <v>45710</v>
      </c>
      <c r="B964" t="s">
        <v>539</v>
      </c>
      <c r="C964">
        <v>22970</v>
      </c>
      <c r="D964" t="s">
        <v>46</v>
      </c>
      <c r="E964">
        <v>14</v>
      </c>
      <c r="F964">
        <v>2.78</v>
      </c>
      <c r="G964" t="s">
        <v>52</v>
      </c>
      <c r="H964">
        <v>0.2</v>
      </c>
      <c r="I964" t="s">
        <v>29</v>
      </c>
      <c r="J964">
        <v>23.09</v>
      </c>
      <c r="K964" t="s">
        <v>37</v>
      </c>
      <c r="L964" t="s">
        <v>31</v>
      </c>
      <c r="M964" t="s">
        <v>22</v>
      </c>
      <c r="N964" t="s">
        <v>32</v>
      </c>
      <c r="O964" t="s">
        <v>33</v>
      </c>
      <c r="P964" t="s">
        <v>34</v>
      </c>
    </row>
    <row r="965" spans="1:16" x14ac:dyDescent="0.25">
      <c r="A965" s="1">
        <v>45710</v>
      </c>
      <c r="B965" t="s">
        <v>206</v>
      </c>
      <c r="C965">
        <v>35297</v>
      </c>
      <c r="D965" t="s">
        <v>66</v>
      </c>
      <c r="E965">
        <v>49</v>
      </c>
      <c r="F965">
        <v>38.22</v>
      </c>
      <c r="G965" t="s">
        <v>58</v>
      </c>
      <c r="H965">
        <v>0.46</v>
      </c>
      <c r="I965" t="s">
        <v>19</v>
      </c>
      <c r="J965">
        <v>9.61</v>
      </c>
      <c r="K965" t="s">
        <v>50</v>
      </c>
      <c r="L965" t="s">
        <v>31</v>
      </c>
      <c r="M965" t="s">
        <v>22</v>
      </c>
      <c r="N965" t="s">
        <v>32</v>
      </c>
      <c r="O965" t="s">
        <v>39</v>
      </c>
      <c r="P965" t="s">
        <v>25</v>
      </c>
    </row>
    <row r="966" spans="1:16" x14ac:dyDescent="0.25">
      <c r="A966" s="1">
        <v>45710</v>
      </c>
      <c r="B966" t="s">
        <v>614</v>
      </c>
      <c r="C966">
        <v>71135</v>
      </c>
      <c r="D966" t="s">
        <v>66</v>
      </c>
      <c r="E966">
        <v>2</v>
      </c>
      <c r="F966">
        <v>81.39</v>
      </c>
      <c r="G966" t="s">
        <v>43</v>
      </c>
      <c r="H966">
        <v>0.06</v>
      </c>
      <c r="I966" t="s">
        <v>19</v>
      </c>
      <c r="J966">
        <v>12</v>
      </c>
      <c r="K966" t="s">
        <v>50</v>
      </c>
      <c r="L966" t="s">
        <v>21</v>
      </c>
      <c r="M966" t="s">
        <v>22</v>
      </c>
      <c r="N966" t="s">
        <v>53</v>
      </c>
      <c r="O966" t="s">
        <v>24</v>
      </c>
      <c r="P966" t="s">
        <v>40</v>
      </c>
    </row>
    <row r="967" spans="1:16" x14ac:dyDescent="0.25">
      <c r="A967" s="1">
        <v>45710</v>
      </c>
      <c r="B967" t="s">
        <v>699</v>
      </c>
      <c r="C967">
        <v>42559</v>
      </c>
      <c r="D967" t="s">
        <v>68</v>
      </c>
      <c r="E967">
        <v>23</v>
      </c>
      <c r="F967">
        <v>19.670000000000002</v>
      </c>
      <c r="G967" t="s">
        <v>47</v>
      </c>
      <c r="H967">
        <v>0.37</v>
      </c>
      <c r="I967" t="s">
        <v>29</v>
      </c>
      <c r="J967">
        <v>12.92</v>
      </c>
      <c r="K967" t="s">
        <v>37</v>
      </c>
      <c r="L967" t="s">
        <v>31</v>
      </c>
      <c r="M967" t="s">
        <v>22</v>
      </c>
      <c r="N967" t="s">
        <v>53</v>
      </c>
      <c r="O967" t="s">
        <v>59</v>
      </c>
      <c r="P967" t="s">
        <v>34</v>
      </c>
    </row>
    <row r="968" spans="1:16" x14ac:dyDescent="0.25">
      <c r="A968" s="1">
        <v>45711</v>
      </c>
      <c r="B968" t="s">
        <v>599</v>
      </c>
      <c r="C968">
        <v>26433</v>
      </c>
      <c r="D968" t="s">
        <v>68</v>
      </c>
      <c r="E968">
        <v>26</v>
      </c>
      <c r="F968">
        <v>79.849999999999994</v>
      </c>
      <c r="G968" t="s">
        <v>76</v>
      </c>
      <c r="H968">
        <v>0.48</v>
      </c>
      <c r="I968" t="s">
        <v>61</v>
      </c>
      <c r="J968">
        <v>9.86</v>
      </c>
      <c r="K968" t="s">
        <v>30</v>
      </c>
      <c r="L968" t="s">
        <v>21</v>
      </c>
      <c r="M968" t="s">
        <v>22</v>
      </c>
      <c r="N968" t="s">
        <v>38</v>
      </c>
      <c r="O968" t="s">
        <v>39</v>
      </c>
      <c r="P968" t="s">
        <v>34</v>
      </c>
    </row>
    <row r="969" spans="1:16" x14ac:dyDescent="0.25">
      <c r="A969" s="1">
        <v>45711</v>
      </c>
      <c r="B969" t="s">
        <v>666</v>
      </c>
      <c r="C969">
        <v>34067</v>
      </c>
      <c r="D969" t="s">
        <v>66</v>
      </c>
      <c r="E969">
        <v>25</v>
      </c>
      <c r="F969">
        <v>92.61</v>
      </c>
      <c r="G969" t="s">
        <v>36</v>
      </c>
      <c r="H969">
        <v>0.03</v>
      </c>
      <c r="I969" t="s">
        <v>29</v>
      </c>
      <c r="J969">
        <v>7.46</v>
      </c>
      <c r="K969" t="s">
        <v>50</v>
      </c>
      <c r="L969" t="s">
        <v>21</v>
      </c>
      <c r="M969" t="s">
        <v>22</v>
      </c>
      <c r="N969" t="s">
        <v>32</v>
      </c>
      <c r="O969" t="s">
        <v>81</v>
      </c>
      <c r="P969" t="s">
        <v>40</v>
      </c>
    </row>
    <row r="970" spans="1:16" x14ac:dyDescent="0.25">
      <c r="A970" s="1">
        <v>45711</v>
      </c>
      <c r="B970" t="s">
        <v>700</v>
      </c>
      <c r="C970">
        <v>47566</v>
      </c>
      <c r="D970" t="s">
        <v>57</v>
      </c>
      <c r="E970">
        <v>15</v>
      </c>
      <c r="F970">
        <v>84.36</v>
      </c>
      <c r="G970" t="s">
        <v>47</v>
      </c>
      <c r="H970">
        <v>0.42</v>
      </c>
      <c r="I970" t="s">
        <v>61</v>
      </c>
      <c r="J970">
        <v>20.86</v>
      </c>
      <c r="K970" t="s">
        <v>44</v>
      </c>
      <c r="L970" t="s">
        <v>21</v>
      </c>
      <c r="M970" t="s">
        <v>22</v>
      </c>
      <c r="N970" t="s">
        <v>23</v>
      </c>
      <c r="O970" t="s">
        <v>59</v>
      </c>
      <c r="P970" t="s">
        <v>40</v>
      </c>
    </row>
    <row r="971" spans="1:16" x14ac:dyDescent="0.25">
      <c r="A971" s="1">
        <v>45711</v>
      </c>
      <c r="B971" t="s">
        <v>701</v>
      </c>
      <c r="C971">
        <v>51154</v>
      </c>
      <c r="D971" t="s">
        <v>17</v>
      </c>
      <c r="E971">
        <v>29</v>
      </c>
      <c r="F971">
        <v>3.93</v>
      </c>
      <c r="G971" t="s">
        <v>84</v>
      </c>
      <c r="H971">
        <v>0.38</v>
      </c>
      <c r="I971" t="s">
        <v>19</v>
      </c>
      <c r="J971">
        <v>22.4</v>
      </c>
      <c r="K971" t="s">
        <v>50</v>
      </c>
      <c r="L971" t="s">
        <v>21</v>
      </c>
      <c r="M971" t="s">
        <v>22</v>
      </c>
      <c r="N971" t="s">
        <v>53</v>
      </c>
      <c r="O971" t="s">
        <v>24</v>
      </c>
      <c r="P971" t="s">
        <v>40</v>
      </c>
    </row>
    <row r="972" spans="1:16" x14ac:dyDescent="0.25">
      <c r="A972" s="1">
        <v>45711</v>
      </c>
      <c r="B972" t="s">
        <v>452</v>
      </c>
      <c r="C972">
        <v>28784</v>
      </c>
      <c r="D972" t="s">
        <v>49</v>
      </c>
      <c r="E972">
        <v>28</v>
      </c>
      <c r="F972">
        <v>80.510000000000005</v>
      </c>
      <c r="G972" t="s">
        <v>47</v>
      </c>
      <c r="H972">
        <v>0.27</v>
      </c>
      <c r="I972" t="s">
        <v>19</v>
      </c>
      <c r="J972">
        <v>8.3800000000000008</v>
      </c>
      <c r="K972" t="s">
        <v>44</v>
      </c>
      <c r="L972" t="s">
        <v>31</v>
      </c>
      <c r="M972" t="s">
        <v>22</v>
      </c>
      <c r="N972" t="s">
        <v>53</v>
      </c>
      <c r="O972" t="s">
        <v>59</v>
      </c>
      <c r="P972" t="s">
        <v>40</v>
      </c>
    </row>
    <row r="973" spans="1:16" x14ac:dyDescent="0.25">
      <c r="A973" s="1">
        <v>45711</v>
      </c>
      <c r="B973" t="s">
        <v>702</v>
      </c>
      <c r="C973">
        <v>26297</v>
      </c>
      <c r="D973" t="s">
        <v>27</v>
      </c>
      <c r="E973">
        <v>39</v>
      </c>
      <c r="F973">
        <v>77.77</v>
      </c>
      <c r="G973" t="s">
        <v>72</v>
      </c>
      <c r="H973">
        <v>0.31</v>
      </c>
      <c r="I973" t="s">
        <v>19</v>
      </c>
      <c r="J973">
        <v>10.98</v>
      </c>
      <c r="K973" t="s">
        <v>44</v>
      </c>
      <c r="L973" t="s">
        <v>31</v>
      </c>
      <c r="M973" t="s">
        <v>22</v>
      </c>
      <c r="N973" t="s">
        <v>23</v>
      </c>
      <c r="O973" t="s">
        <v>59</v>
      </c>
      <c r="P973" t="s">
        <v>34</v>
      </c>
    </row>
    <row r="974" spans="1:16" x14ac:dyDescent="0.25">
      <c r="A974" s="1">
        <v>45711</v>
      </c>
      <c r="B974" t="s">
        <v>703</v>
      </c>
      <c r="C974">
        <v>47965</v>
      </c>
      <c r="D974" t="s">
        <v>46</v>
      </c>
      <c r="E974">
        <v>48</v>
      </c>
      <c r="F974">
        <v>24.25</v>
      </c>
      <c r="G974" t="s">
        <v>18</v>
      </c>
      <c r="H974">
        <v>0.36</v>
      </c>
      <c r="I974" t="s">
        <v>19</v>
      </c>
      <c r="J974">
        <v>18.34</v>
      </c>
      <c r="K974" t="s">
        <v>37</v>
      </c>
      <c r="L974" t="s">
        <v>21</v>
      </c>
      <c r="M974" t="s">
        <v>22</v>
      </c>
      <c r="N974" t="s">
        <v>23</v>
      </c>
      <c r="O974" t="s">
        <v>24</v>
      </c>
      <c r="P974" t="s">
        <v>34</v>
      </c>
    </row>
    <row r="975" spans="1:16" x14ac:dyDescent="0.25">
      <c r="A975" s="1">
        <v>45711</v>
      </c>
      <c r="B975" t="s">
        <v>704</v>
      </c>
      <c r="C975">
        <v>58427</v>
      </c>
      <c r="D975" t="s">
        <v>57</v>
      </c>
      <c r="E975">
        <v>4</v>
      </c>
      <c r="F975">
        <v>56.93</v>
      </c>
      <c r="G975" t="s">
        <v>52</v>
      </c>
      <c r="H975">
        <v>0.06</v>
      </c>
      <c r="I975" t="s">
        <v>19</v>
      </c>
      <c r="J975">
        <v>15.61</v>
      </c>
      <c r="K975" t="s">
        <v>30</v>
      </c>
      <c r="L975" t="s">
        <v>31</v>
      </c>
      <c r="M975" t="s">
        <v>111</v>
      </c>
      <c r="N975" t="s">
        <v>32</v>
      </c>
      <c r="O975" t="s">
        <v>24</v>
      </c>
      <c r="P975" t="s">
        <v>34</v>
      </c>
    </row>
    <row r="976" spans="1:16" x14ac:dyDescent="0.25">
      <c r="A976" s="1">
        <v>45711</v>
      </c>
      <c r="B976" t="s">
        <v>233</v>
      </c>
      <c r="C976">
        <v>69489</v>
      </c>
      <c r="D976" t="s">
        <v>49</v>
      </c>
      <c r="E976">
        <v>30</v>
      </c>
      <c r="F976">
        <v>28.9</v>
      </c>
      <c r="G976" t="s">
        <v>52</v>
      </c>
      <c r="H976">
        <v>0.34</v>
      </c>
      <c r="I976" t="s">
        <v>61</v>
      </c>
      <c r="J976">
        <v>10.93</v>
      </c>
      <c r="K976" t="s">
        <v>20</v>
      </c>
      <c r="L976" t="s">
        <v>31</v>
      </c>
      <c r="M976" t="s">
        <v>22</v>
      </c>
      <c r="N976" t="s">
        <v>53</v>
      </c>
      <c r="O976" t="s">
        <v>81</v>
      </c>
      <c r="P976" t="s">
        <v>25</v>
      </c>
    </row>
    <row r="977" spans="1:16" x14ac:dyDescent="0.25">
      <c r="A977" s="1">
        <v>45711</v>
      </c>
      <c r="B977" t="s">
        <v>548</v>
      </c>
      <c r="C977">
        <v>93645</v>
      </c>
      <c r="D977" t="s">
        <v>17</v>
      </c>
      <c r="E977">
        <v>47</v>
      </c>
      <c r="F977">
        <v>36.57</v>
      </c>
      <c r="G977" t="s">
        <v>36</v>
      </c>
      <c r="H977">
        <v>0.16</v>
      </c>
      <c r="I977" t="s">
        <v>19</v>
      </c>
      <c r="J977">
        <v>24.07</v>
      </c>
      <c r="K977" t="s">
        <v>37</v>
      </c>
      <c r="L977" t="s">
        <v>21</v>
      </c>
      <c r="M977" t="s">
        <v>22</v>
      </c>
      <c r="N977" t="s">
        <v>32</v>
      </c>
      <c r="O977" t="s">
        <v>81</v>
      </c>
      <c r="P977" t="s">
        <v>40</v>
      </c>
    </row>
    <row r="978" spans="1:16" x14ac:dyDescent="0.25">
      <c r="A978" s="1">
        <v>45711</v>
      </c>
      <c r="B978" t="s">
        <v>78</v>
      </c>
      <c r="C978">
        <v>82594</v>
      </c>
      <c r="D978" t="s">
        <v>66</v>
      </c>
      <c r="E978">
        <v>10</v>
      </c>
      <c r="F978">
        <v>2.6</v>
      </c>
      <c r="G978" t="s">
        <v>72</v>
      </c>
      <c r="H978">
        <v>0.05</v>
      </c>
      <c r="I978" t="s">
        <v>61</v>
      </c>
      <c r="J978">
        <v>19.010000000000002</v>
      </c>
      <c r="K978" t="s">
        <v>44</v>
      </c>
      <c r="L978" t="s">
        <v>21</v>
      </c>
      <c r="M978" t="s">
        <v>22</v>
      </c>
      <c r="N978" t="s">
        <v>23</v>
      </c>
      <c r="O978" t="s">
        <v>24</v>
      </c>
      <c r="P978" t="s">
        <v>25</v>
      </c>
    </row>
    <row r="979" spans="1:16" x14ac:dyDescent="0.25">
      <c r="A979" s="1">
        <v>45711</v>
      </c>
      <c r="B979" t="s">
        <v>705</v>
      </c>
      <c r="C979">
        <v>96209</v>
      </c>
      <c r="D979" t="s">
        <v>42</v>
      </c>
      <c r="E979">
        <v>42</v>
      </c>
      <c r="F979">
        <v>35.18</v>
      </c>
      <c r="G979" t="s">
        <v>84</v>
      </c>
      <c r="H979">
        <v>0.2</v>
      </c>
      <c r="I979" t="s">
        <v>29</v>
      </c>
      <c r="J979">
        <v>7.96</v>
      </c>
      <c r="K979" t="s">
        <v>44</v>
      </c>
      <c r="L979" t="s">
        <v>21</v>
      </c>
      <c r="M979" t="s">
        <v>22</v>
      </c>
      <c r="N979" t="s">
        <v>32</v>
      </c>
      <c r="O979" t="s">
        <v>33</v>
      </c>
      <c r="P979" t="s">
        <v>25</v>
      </c>
    </row>
    <row r="980" spans="1:16" x14ac:dyDescent="0.25">
      <c r="A980" s="1">
        <v>45711</v>
      </c>
      <c r="B980" t="s">
        <v>228</v>
      </c>
      <c r="C980">
        <v>65634</v>
      </c>
      <c r="D980" t="s">
        <v>68</v>
      </c>
      <c r="E980">
        <v>10</v>
      </c>
      <c r="F980">
        <v>13.85</v>
      </c>
      <c r="G980" t="s">
        <v>47</v>
      </c>
      <c r="H980">
        <v>0.43</v>
      </c>
      <c r="I980" t="s">
        <v>19</v>
      </c>
      <c r="J980">
        <v>12.71</v>
      </c>
      <c r="K980" t="s">
        <v>37</v>
      </c>
      <c r="L980" t="s">
        <v>21</v>
      </c>
      <c r="M980" t="s">
        <v>22</v>
      </c>
      <c r="N980" t="s">
        <v>23</v>
      </c>
      <c r="O980" t="s">
        <v>59</v>
      </c>
      <c r="P980" t="s">
        <v>34</v>
      </c>
    </row>
    <row r="981" spans="1:16" x14ac:dyDescent="0.25">
      <c r="A981" s="1">
        <v>45711</v>
      </c>
      <c r="B981" t="s">
        <v>501</v>
      </c>
      <c r="C981">
        <v>80463</v>
      </c>
      <c r="D981" t="s">
        <v>57</v>
      </c>
      <c r="E981">
        <v>22</v>
      </c>
      <c r="F981">
        <v>92.26</v>
      </c>
      <c r="G981" t="s">
        <v>28</v>
      </c>
      <c r="H981">
        <v>0.47</v>
      </c>
      <c r="I981" t="s">
        <v>29</v>
      </c>
      <c r="J981">
        <v>15.86</v>
      </c>
      <c r="K981" s="4" t="s">
        <v>729</v>
      </c>
      <c r="L981" t="s">
        <v>21</v>
      </c>
      <c r="M981" t="s">
        <v>22</v>
      </c>
      <c r="N981" t="s">
        <v>38</v>
      </c>
      <c r="O981" t="s">
        <v>59</v>
      </c>
      <c r="P981" t="s">
        <v>40</v>
      </c>
    </row>
    <row r="982" spans="1:16" x14ac:dyDescent="0.25">
      <c r="A982" s="1">
        <v>45711</v>
      </c>
      <c r="B982" t="s">
        <v>551</v>
      </c>
      <c r="C982">
        <v>77880</v>
      </c>
      <c r="D982" t="s">
        <v>66</v>
      </c>
      <c r="E982">
        <v>39</v>
      </c>
      <c r="F982">
        <v>9.93</v>
      </c>
      <c r="G982" t="s">
        <v>58</v>
      </c>
      <c r="H982">
        <v>0.44</v>
      </c>
      <c r="I982" t="s">
        <v>61</v>
      </c>
      <c r="J982">
        <v>20.65</v>
      </c>
      <c r="K982" t="s">
        <v>44</v>
      </c>
      <c r="L982" t="s">
        <v>31</v>
      </c>
      <c r="M982" t="s">
        <v>22</v>
      </c>
      <c r="N982" t="s">
        <v>38</v>
      </c>
      <c r="O982" s="4" t="s">
        <v>724</v>
      </c>
      <c r="P982" t="s">
        <v>25</v>
      </c>
    </row>
    <row r="983" spans="1:16" x14ac:dyDescent="0.25">
      <c r="A983" s="1">
        <v>45711</v>
      </c>
      <c r="B983" t="s">
        <v>706</v>
      </c>
      <c r="C983">
        <v>17092</v>
      </c>
      <c r="D983" t="s">
        <v>46</v>
      </c>
      <c r="E983">
        <v>43</v>
      </c>
      <c r="F983">
        <v>80.650000000000006</v>
      </c>
      <c r="G983" t="s">
        <v>47</v>
      </c>
      <c r="H983">
        <v>0.3</v>
      </c>
      <c r="I983" t="s">
        <v>29</v>
      </c>
      <c r="J983">
        <v>26.77</v>
      </c>
      <c r="K983" t="s">
        <v>50</v>
      </c>
      <c r="L983" t="s">
        <v>31</v>
      </c>
      <c r="M983" t="s">
        <v>22</v>
      </c>
      <c r="N983" t="s">
        <v>53</v>
      </c>
      <c r="O983" t="s">
        <v>39</v>
      </c>
      <c r="P983" t="s">
        <v>25</v>
      </c>
    </row>
    <row r="984" spans="1:16" x14ac:dyDescent="0.25">
      <c r="A984" s="1">
        <v>45711</v>
      </c>
      <c r="B984" t="s">
        <v>222</v>
      </c>
      <c r="C984">
        <v>36242</v>
      </c>
      <c r="D984" t="s">
        <v>68</v>
      </c>
      <c r="E984">
        <v>13</v>
      </c>
      <c r="F984">
        <v>14.29</v>
      </c>
      <c r="G984" t="s">
        <v>76</v>
      </c>
      <c r="H984">
        <v>0.04</v>
      </c>
      <c r="I984" t="s">
        <v>29</v>
      </c>
      <c r="J984">
        <v>7.12</v>
      </c>
      <c r="K984" t="s">
        <v>37</v>
      </c>
      <c r="L984" t="s">
        <v>21</v>
      </c>
      <c r="M984" t="s">
        <v>22</v>
      </c>
      <c r="N984" t="s">
        <v>23</v>
      </c>
      <c r="O984" t="s">
        <v>24</v>
      </c>
      <c r="P984" t="s">
        <v>34</v>
      </c>
    </row>
    <row r="985" spans="1:16" x14ac:dyDescent="0.25">
      <c r="A985" s="1">
        <v>45711</v>
      </c>
      <c r="B985" t="s">
        <v>707</v>
      </c>
      <c r="C985">
        <v>51550</v>
      </c>
      <c r="D985" t="s">
        <v>70</v>
      </c>
      <c r="E985">
        <v>30</v>
      </c>
      <c r="F985">
        <v>69.290000000000006</v>
      </c>
      <c r="G985" t="s">
        <v>55</v>
      </c>
      <c r="H985">
        <v>0.04</v>
      </c>
      <c r="I985" t="s">
        <v>61</v>
      </c>
      <c r="J985">
        <v>29.28</v>
      </c>
      <c r="K985" t="s">
        <v>20</v>
      </c>
      <c r="L985" t="s">
        <v>31</v>
      </c>
      <c r="M985" t="s">
        <v>22</v>
      </c>
      <c r="N985" t="s">
        <v>38</v>
      </c>
      <c r="O985" t="s">
        <v>39</v>
      </c>
      <c r="P985" t="s">
        <v>40</v>
      </c>
    </row>
    <row r="986" spans="1:16" x14ac:dyDescent="0.25">
      <c r="A986" s="1">
        <v>45711</v>
      </c>
      <c r="B986" t="s">
        <v>596</v>
      </c>
      <c r="C986">
        <v>77982</v>
      </c>
      <c r="D986" t="s">
        <v>66</v>
      </c>
      <c r="E986">
        <v>13</v>
      </c>
      <c r="F986">
        <v>56.67</v>
      </c>
      <c r="G986" t="s">
        <v>99</v>
      </c>
      <c r="H986">
        <v>0.26</v>
      </c>
      <c r="I986" t="s">
        <v>61</v>
      </c>
      <c r="J986">
        <v>24.32</v>
      </c>
      <c r="K986" t="s">
        <v>30</v>
      </c>
      <c r="L986" t="s">
        <v>21</v>
      </c>
      <c r="M986" t="s">
        <v>22</v>
      </c>
      <c r="N986" t="s">
        <v>53</v>
      </c>
      <c r="O986" t="s">
        <v>81</v>
      </c>
      <c r="P986" t="s">
        <v>25</v>
      </c>
    </row>
    <row r="987" spans="1:16" x14ac:dyDescent="0.25">
      <c r="A987" s="1">
        <v>45711</v>
      </c>
      <c r="B987" t="s">
        <v>589</v>
      </c>
      <c r="C987">
        <v>82937</v>
      </c>
      <c r="D987" t="s">
        <v>17</v>
      </c>
      <c r="E987">
        <v>42</v>
      </c>
      <c r="F987">
        <v>26.16</v>
      </c>
      <c r="G987" t="s">
        <v>43</v>
      </c>
      <c r="H987">
        <v>0.01</v>
      </c>
      <c r="I987" t="s">
        <v>61</v>
      </c>
      <c r="J987">
        <v>23.84</v>
      </c>
      <c r="K987" t="s">
        <v>37</v>
      </c>
      <c r="L987" t="s">
        <v>31</v>
      </c>
      <c r="M987" t="s">
        <v>22</v>
      </c>
      <c r="N987" t="s">
        <v>32</v>
      </c>
      <c r="O987" t="s">
        <v>39</v>
      </c>
      <c r="P987" t="s">
        <v>34</v>
      </c>
    </row>
    <row r="988" spans="1:16" x14ac:dyDescent="0.25">
      <c r="A988" s="1">
        <v>45711</v>
      </c>
      <c r="B988" t="s">
        <v>708</v>
      </c>
      <c r="C988">
        <v>85853</v>
      </c>
      <c r="D988" t="s">
        <v>70</v>
      </c>
      <c r="E988">
        <v>26</v>
      </c>
      <c r="F988">
        <v>35.549999999999997</v>
      </c>
      <c r="G988" t="s">
        <v>58</v>
      </c>
      <c r="H988">
        <v>0.35</v>
      </c>
      <c r="I988" t="s">
        <v>29</v>
      </c>
      <c r="J988">
        <v>29.84</v>
      </c>
      <c r="K988" t="s">
        <v>37</v>
      </c>
      <c r="L988" t="s">
        <v>31</v>
      </c>
      <c r="M988" t="s">
        <v>22</v>
      </c>
      <c r="N988" t="s">
        <v>53</v>
      </c>
      <c r="O988" t="s">
        <v>24</v>
      </c>
      <c r="P988" t="s">
        <v>34</v>
      </c>
    </row>
    <row r="989" spans="1:16" x14ac:dyDescent="0.25">
      <c r="A989" s="1">
        <v>45712</v>
      </c>
      <c r="B989" t="s">
        <v>409</v>
      </c>
      <c r="C989">
        <v>68794</v>
      </c>
      <c r="D989" t="s">
        <v>89</v>
      </c>
      <c r="E989">
        <v>39</v>
      </c>
      <c r="F989">
        <v>92.52</v>
      </c>
      <c r="G989" t="s">
        <v>28</v>
      </c>
      <c r="H989">
        <v>0.28999999999999998</v>
      </c>
      <c r="I989" t="s">
        <v>29</v>
      </c>
      <c r="J989">
        <v>8.43</v>
      </c>
      <c r="K989" s="4" t="s">
        <v>728</v>
      </c>
      <c r="L989" t="s">
        <v>21</v>
      </c>
      <c r="M989" t="s">
        <v>22</v>
      </c>
      <c r="N989" t="s">
        <v>53</v>
      </c>
      <c r="O989" t="s">
        <v>59</v>
      </c>
      <c r="P989" t="s">
        <v>40</v>
      </c>
    </row>
    <row r="990" spans="1:16" x14ac:dyDescent="0.25">
      <c r="A990" s="1">
        <v>45712</v>
      </c>
      <c r="B990" t="s">
        <v>709</v>
      </c>
      <c r="C990">
        <v>44362</v>
      </c>
      <c r="D990" t="s">
        <v>27</v>
      </c>
      <c r="E990">
        <v>27</v>
      </c>
      <c r="F990">
        <v>23.37</v>
      </c>
      <c r="G990" t="s">
        <v>84</v>
      </c>
      <c r="H990">
        <v>0.11</v>
      </c>
      <c r="I990" t="s">
        <v>29</v>
      </c>
      <c r="J990">
        <v>5.76</v>
      </c>
      <c r="K990" t="s">
        <v>50</v>
      </c>
      <c r="L990" t="s">
        <v>31</v>
      </c>
      <c r="M990" t="s">
        <v>22</v>
      </c>
      <c r="N990" t="s">
        <v>38</v>
      </c>
      <c r="O990" t="s">
        <v>33</v>
      </c>
      <c r="P990" t="s">
        <v>40</v>
      </c>
    </row>
    <row r="991" spans="1:16" x14ac:dyDescent="0.25">
      <c r="A991" s="1">
        <v>45712</v>
      </c>
      <c r="B991" t="s">
        <v>135</v>
      </c>
      <c r="C991">
        <v>37646</v>
      </c>
      <c r="D991" t="s">
        <v>17</v>
      </c>
      <c r="E991">
        <v>4</v>
      </c>
      <c r="F991">
        <v>9.31</v>
      </c>
      <c r="G991" t="s">
        <v>72</v>
      </c>
      <c r="H991">
        <v>0.46</v>
      </c>
      <c r="I991" t="s">
        <v>19</v>
      </c>
      <c r="J991">
        <v>17.920000000000002</v>
      </c>
      <c r="K991" t="s">
        <v>37</v>
      </c>
      <c r="L991" t="s">
        <v>31</v>
      </c>
      <c r="M991" t="s">
        <v>22</v>
      </c>
      <c r="N991" t="s">
        <v>53</v>
      </c>
      <c r="O991" s="4" t="s">
        <v>724</v>
      </c>
      <c r="P991" t="s">
        <v>25</v>
      </c>
    </row>
    <row r="992" spans="1:16" x14ac:dyDescent="0.25">
      <c r="A992" s="1">
        <v>45712</v>
      </c>
      <c r="B992" t="s">
        <v>138</v>
      </c>
      <c r="C992">
        <v>70921</v>
      </c>
      <c r="D992" t="s">
        <v>57</v>
      </c>
      <c r="E992">
        <v>48</v>
      </c>
      <c r="F992">
        <v>14.55</v>
      </c>
      <c r="G992" t="s">
        <v>18</v>
      </c>
      <c r="H992">
        <v>0.05</v>
      </c>
      <c r="I992" t="s">
        <v>29</v>
      </c>
      <c r="J992">
        <v>22.75</v>
      </c>
      <c r="K992" t="s">
        <v>20</v>
      </c>
      <c r="L992" t="s">
        <v>31</v>
      </c>
      <c r="M992" t="s">
        <v>22</v>
      </c>
      <c r="N992" t="s">
        <v>32</v>
      </c>
      <c r="O992" t="s">
        <v>81</v>
      </c>
      <c r="P992" t="s">
        <v>40</v>
      </c>
    </row>
    <row r="993" spans="1:16" x14ac:dyDescent="0.25">
      <c r="A993" s="1">
        <v>45712</v>
      </c>
      <c r="B993" t="s">
        <v>633</v>
      </c>
      <c r="C993">
        <v>50283</v>
      </c>
      <c r="D993" t="s">
        <v>42</v>
      </c>
      <c r="E993">
        <v>12</v>
      </c>
      <c r="F993">
        <v>37.81</v>
      </c>
      <c r="G993" t="s">
        <v>36</v>
      </c>
      <c r="H993">
        <v>0.36</v>
      </c>
      <c r="I993" t="s">
        <v>61</v>
      </c>
      <c r="J993">
        <v>11.78</v>
      </c>
      <c r="K993" t="s">
        <v>20</v>
      </c>
      <c r="L993" t="s">
        <v>21</v>
      </c>
      <c r="M993" t="s">
        <v>22</v>
      </c>
      <c r="N993" t="s">
        <v>38</v>
      </c>
      <c r="O993" t="s">
        <v>33</v>
      </c>
      <c r="P993" t="s">
        <v>25</v>
      </c>
    </row>
    <row r="994" spans="1:16" x14ac:dyDescent="0.25">
      <c r="A994" s="1">
        <v>45712</v>
      </c>
      <c r="B994" t="s">
        <v>710</v>
      </c>
      <c r="C994">
        <v>56646</v>
      </c>
      <c r="D994" t="s">
        <v>49</v>
      </c>
      <c r="E994">
        <v>35</v>
      </c>
      <c r="F994">
        <v>34.93</v>
      </c>
      <c r="G994" t="s">
        <v>28</v>
      </c>
      <c r="H994">
        <v>0.35</v>
      </c>
      <c r="I994" t="s">
        <v>29</v>
      </c>
      <c r="J994">
        <v>18</v>
      </c>
      <c r="K994" t="s">
        <v>30</v>
      </c>
      <c r="L994" t="s">
        <v>21</v>
      </c>
      <c r="M994" t="s">
        <v>22</v>
      </c>
      <c r="N994" t="s">
        <v>53</v>
      </c>
      <c r="O994" t="s">
        <v>33</v>
      </c>
      <c r="P994" t="s">
        <v>25</v>
      </c>
    </row>
    <row r="995" spans="1:16" x14ac:dyDescent="0.25">
      <c r="A995" s="1">
        <v>45712</v>
      </c>
      <c r="B995" t="s">
        <v>699</v>
      </c>
      <c r="C995">
        <v>92509</v>
      </c>
      <c r="D995" t="s">
        <v>27</v>
      </c>
      <c r="E995">
        <v>39</v>
      </c>
      <c r="F995">
        <v>1.78</v>
      </c>
      <c r="G995" t="s">
        <v>43</v>
      </c>
      <c r="H995">
        <v>0.37</v>
      </c>
      <c r="I995" t="s">
        <v>29</v>
      </c>
      <c r="J995">
        <v>15.63</v>
      </c>
      <c r="K995" t="s">
        <v>50</v>
      </c>
      <c r="L995" t="s">
        <v>31</v>
      </c>
      <c r="M995" t="s">
        <v>22</v>
      </c>
      <c r="N995" t="s">
        <v>23</v>
      </c>
      <c r="O995" t="s">
        <v>59</v>
      </c>
      <c r="P995" t="s">
        <v>34</v>
      </c>
    </row>
    <row r="996" spans="1:16" x14ac:dyDescent="0.25">
      <c r="A996" s="1">
        <v>45712</v>
      </c>
      <c r="B996" t="s">
        <v>711</v>
      </c>
      <c r="C996">
        <v>37273</v>
      </c>
      <c r="D996" t="s">
        <v>68</v>
      </c>
      <c r="E996">
        <v>1</v>
      </c>
      <c r="F996">
        <v>73.650000000000006</v>
      </c>
      <c r="G996" t="s">
        <v>99</v>
      </c>
      <c r="H996">
        <v>0.03</v>
      </c>
      <c r="I996" t="s">
        <v>61</v>
      </c>
      <c r="J996">
        <v>26.31</v>
      </c>
      <c r="K996" t="s">
        <v>30</v>
      </c>
      <c r="L996" t="s">
        <v>31</v>
      </c>
      <c r="M996" t="s">
        <v>22</v>
      </c>
      <c r="N996" t="s">
        <v>38</v>
      </c>
      <c r="O996" t="s">
        <v>723</v>
      </c>
      <c r="P996" t="s">
        <v>40</v>
      </c>
    </row>
    <row r="997" spans="1:16" x14ac:dyDescent="0.25">
      <c r="A997" s="1">
        <v>45712</v>
      </c>
      <c r="B997" t="s">
        <v>712</v>
      </c>
      <c r="C997">
        <v>65501</v>
      </c>
      <c r="D997" t="s">
        <v>42</v>
      </c>
      <c r="E997">
        <v>16</v>
      </c>
      <c r="F997">
        <v>61.94</v>
      </c>
      <c r="G997" t="s">
        <v>36</v>
      </c>
      <c r="H997">
        <v>7.0000000000000007E-2</v>
      </c>
      <c r="I997" t="s">
        <v>19</v>
      </c>
      <c r="J997">
        <v>26.63</v>
      </c>
      <c r="K997" t="s">
        <v>44</v>
      </c>
      <c r="L997" t="s">
        <v>21</v>
      </c>
      <c r="M997" t="s">
        <v>22</v>
      </c>
      <c r="N997" t="s">
        <v>53</v>
      </c>
      <c r="O997" t="s">
        <v>24</v>
      </c>
      <c r="P997" t="s">
        <v>34</v>
      </c>
    </row>
    <row r="998" spans="1:16" x14ac:dyDescent="0.25">
      <c r="A998" s="1">
        <v>45712</v>
      </c>
      <c r="B998" t="s">
        <v>713</v>
      </c>
      <c r="C998">
        <v>56811</v>
      </c>
      <c r="D998" t="s">
        <v>49</v>
      </c>
      <c r="E998">
        <v>22</v>
      </c>
      <c r="F998">
        <v>94.71</v>
      </c>
      <c r="G998" t="s">
        <v>47</v>
      </c>
      <c r="H998">
        <v>0.04</v>
      </c>
      <c r="I998" t="s">
        <v>19</v>
      </c>
      <c r="J998">
        <v>14.85</v>
      </c>
      <c r="K998" t="s">
        <v>37</v>
      </c>
      <c r="L998" t="s">
        <v>21</v>
      </c>
      <c r="M998" t="s">
        <v>22</v>
      </c>
      <c r="N998" t="s">
        <v>38</v>
      </c>
      <c r="O998" t="s">
        <v>39</v>
      </c>
      <c r="P998" t="s">
        <v>40</v>
      </c>
    </row>
    <row r="999" spans="1:16" x14ac:dyDescent="0.25">
      <c r="A999" s="1">
        <v>45712</v>
      </c>
      <c r="B999" t="s">
        <v>714</v>
      </c>
      <c r="C999">
        <v>82478</v>
      </c>
      <c r="D999" t="s">
        <v>68</v>
      </c>
      <c r="E999">
        <v>45</v>
      </c>
      <c r="F999">
        <v>4.03</v>
      </c>
      <c r="G999" t="s">
        <v>99</v>
      </c>
      <c r="H999">
        <v>0.28000000000000003</v>
      </c>
      <c r="I999" t="s">
        <v>19</v>
      </c>
      <c r="J999">
        <v>9.86</v>
      </c>
      <c r="K999" t="s">
        <v>44</v>
      </c>
      <c r="L999" t="s">
        <v>31</v>
      </c>
      <c r="M999" t="s">
        <v>22</v>
      </c>
      <c r="N999" t="s">
        <v>32</v>
      </c>
      <c r="O999" t="s">
        <v>39</v>
      </c>
      <c r="P999" t="s">
        <v>40</v>
      </c>
    </row>
    <row r="1000" spans="1:16" x14ac:dyDescent="0.25">
      <c r="A1000" s="1">
        <v>45712</v>
      </c>
      <c r="B1000" t="s">
        <v>715</v>
      </c>
      <c r="C1000">
        <v>85541</v>
      </c>
      <c r="D1000" t="s">
        <v>57</v>
      </c>
      <c r="E1000">
        <v>36</v>
      </c>
      <c r="F1000">
        <v>43.93</v>
      </c>
      <c r="G1000" t="s">
        <v>18</v>
      </c>
      <c r="H1000">
        <v>0.18</v>
      </c>
      <c r="I1000" t="s">
        <v>61</v>
      </c>
      <c r="J1000">
        <v>19.46</v>
      </c>
      <c r="K1000" t="s">
        <v>20</v>
      </c>
      <c r="L1000" t="s">
        <v>21</v>
      </c>
      <c r="M1000" t="s">
        <v>22</v>
      </c>
      <c r="N1000" t="s">
        <v>38</v>
      </c>
      <c r="O1000" t="s">
        <v>59</v>
      </c>
      <c r="P100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2" max="2" width="17.28515625" customWidth="1"/>
    <col min="6" max="6" width="14.85546875" customWidth="1"/>
    <col min="7" max="7" width="18.28515625" customWidth="1"/>
    <col min="10" max="10" width="14.5703125" customWidth="1"/>
    <col min="11" max="11" width="21.42578125" customWidth="1"/>
    <col min="14" max="14" width="14.85546875" customWidth="1"/>
    <col min="15" max="15" width="21.7109375" customWidth="1"/>
  </cols>
  <sheetData>
    <row r="1" spans="1:15" x14ac:dyDescent="0.25">
      <c r="A1" t="s">
        <v>4</v>
      </c>
      <c r="B1" t="s">
        <v>716</v>
      </c>
      <c r="F1" t="s">
        <v>5</v>
      </c>
      <c r="G1" t="s">
        <v>717</v>
      </c>
      <c r="J1" t="s">
        <v>12</v>
      </c>
      <c r="K1" t="s">
        <v>718</v>
      </c>
      <c r="N1" t="s">
        <v>15</v>
      </c>
      <c r="O1" t="s">
        <v>719</v>
      </c>
    </row>
    <row r="2" spans="1:15" x14ac:dyDescent="0.25">
      <c r="A2">
        <v>33</v>
      </c>
      <c r="B2">
        <f t="shared" ref="B2:B65" si="0">IF(A2="",ROUNDUP(AVERAGE($A$2:$A$1000),0),A2)</f>
        <v>33</v>
      </c>
      <c r="F2">
        <v>85.88</v>
      </c>
      <c r="G2">
        <f>IF(F2="",ROUNDUP(AVERAGE($F$2:$F$1000),0),F2)</f>
        <v>85.88</v>
      </c>
      <c r="J2" t="s">
        <v>22</v>
      </c>
      <c r="K2" t="str">
        <f>IF(J2="","Unknown",J2)</f>
        <v>Not Returned</v>
      </c>
      <c r="N2" t="s">
        <v>25</v>
      </c>
      <c r="O2" t="str">
        <f>IF(N2="",INDEX({"Low","Medium","High"},MATCH(MAX(COUNTIF($N$2:$N$1000,{"Low","Medium","High"})),COUNTIF($N$2:$N$1000,{"Low","Medium","High"}),0)),N2)</f>
        <v>Low</v>
      </c>
    </row>
    <row r="3" spans="1:15" ht="15" customHeight="1" x14ac:dyDescent="0.25">
      <c r="A3">
        <v>47</v>
      </c>
      <c r="B3">
        <f t="shared" si="0"/>
        <v>47</v>
      </c>
      <c r="E3" s="2"/>
      <c r="F3">
        <v>75.47</v>
      </c>
      <c r="G3">
        <f t="shared" ref="G3:G66" si="1">IF(F3="",ROUNDUP(AVERAGE($F$2:$F$1000),0),F3)</f>
        <v>75.47</v>
      </c>
      <c r="H3" s="2"/>
      <c r="J3" t="s">
        <v>22</v>
      </c>
      <c r="K3" t="str">
        <f t="shared" ref="K3:K66" si="2">IF(J3="","Unknown",J3)</f>
        <v>Not Returned</v>
      </c>
      <c r="N3" t="s">
        <v>34</v>
      </c>
      <c r="O3" t="str">
        <f>IF(N3="",INDEX({"Low","Medium","High"},MATCH(MAX(COUNTIF($N$2:$N$1000,{"Low","Medium","High"})),COUNTIF($N$2:$N$1000,{"Low","Medium","High"}),0)),N3)</f>
        <v>High</v>
      </c>
    </row>
    <row r="4" spans="1:15" ht="15" customHeight="1" x14ac:dyDescent="0.25">
      <c r="A4">
        <v>18</v>
      </c>
      <c r="B4">
        <f t="shared" si="0"/>
        <v>18</v>
      </c>
      <c r="E4" s="2"/>
      <c r="F4">
        <v>67.849999999999994</v>
      </c>
      <c r="G4">
        <f t="shared" si="1"/>
        <v>67.849999999999994</v>
      </c>
      <c r="H4" s="2"/>
      <c r="J4" t="s">
        <v>22</v>
      </c>
      <c r="K4" t="str">
        <f t="shared" si="2"/>
        <v>Not Returned</v>
      </c>
      <c r="O4" s="3" t="str">
        <f>IF(N4="",INDEX({"Low","Medium","High"},MATCH(MAX(COUNTIF($N$2:$N$1000,{"Low","Medium","High"})),COUNTIF($N$2:$N$1000,{"Low","Medium","High"}),0)),N4)</f>
        <v>Low</v>
      </c>
    </row>
    <row r="5" spans="1:15" ht="15.75" customHeight="1" x14ac:dyDescent="0.25">
      <c r="A5">
        <v>45</v>
      </c>
      <c r="B5">
        <f t="shared" si="0"/>
        <v>45</v>
      </c>
      <c r="E5" s="2"/>
      <c r="F5">
        <v>98.3</v>
      </c>
      <c r="G5">
        <f t="shared" si="1"/>
        <v>98.3</v>
      </c>
      <c r="H5" s="2"/>
      <c r="J5" t="s">
        <v>22</v>
      </c>
      <c r="K5" t="str">
        <f t="shared" si="2"/>
        <v>Not Returned</v>
      </c>
      <c r="N5" t="s">
        <v>34</v>
      </c>
      <c r="O5" t="str">
        <f>IF(N5="",INDEX({"Low","Medium","High"},MATCH(MAX(COUNTIF($N$2:$N$1000,{"Low","Medium","High"})),COUNTIF($N$2:$N$1000,{"Low","Medium","High"}),0)),N5)</f>
        <v>High</v>
      </c>
    </row>
    <row r="6" spans="1:15" x14ac:dyDescent="0.25">
      <c r="A6">
        <v>23</v>
      </c>
      <c r="B6">
        <f t="shared" si="0"/>
        <v>23</v>
      </c>
      <c r="F6">
        <v>14.19</v>
      </c>
      <c r="G6">
        <f t="shared" si="1"/>
        <v>14.19</v>
      </c>
      <c r="J6" t="s">
        <v>22</v>
      </c>
      <c r="K6" t="str">
        <f t="shared" si="2"/>
        <v>Not Returned</v>
      </c>
      <c r="N6" t="s">
        <v>40</v>
      </c>
      <c r="O6" t="str">
        <f>IF(N6="",INDEX({"Low","Medium","High"},MATCH(MAX(COUNTIF($N$2:$N$1000,{"Low","Medium","High"})),COUNTIF($N$2:$N$1000,{"Low","Medium","High"}),0)),N6)</f>
        <v>Medium</v>
      </c>
    </row>
    <row r="7" spans="1:15" x14ac:dyDescent="0.25">
      <c r="A7">
        <v>47</v>
      </c>
      <c r="B7">
        <f t="shared" si="0"/>
        <v>47</v>
      </c>
      <c r="F7">
        <v>36.71</v>
      </c>
      <c r="G7">
        <f t="shared" si="1"/>
        <v>36.71</v>
      </c>
      <c r="J7" t="s">
        <v>22</v>
      </c>
      <c r="K7" t="str">
        <f t="shared" si="2"/>
        <v>Not Returned</v>
      </c>
      <c r="N7" t="s">
        <v>40</v>
      </c>
      <c r="O7" t="str">
        <f>IF(N7="",INDEX({"Low","Medium","High"},MATCH(MAX(COUNTIF($N$2:$N$1000,{"Low","Medium","High"})),COUNTIF($N$2:$N$1000,{"Low","Medium","High"}),0)),N7)</f>
        <v>Medium</v>
      </c>
    </row>
    <row r="8" spans="1:15" x14ac:dyDescent="0.25">
      <c r="A8">
        <v>33</v>
      </c>
      <c r="B8">
        <f t="shared" si="0"/>
        <v>33</v>
      </c>
      <c r="F8">
        <v>70.69</v>
      </c>
      <c r="G8">
        <f t="shared" si="1"/>
        <v>70.69</v>
      </c>
      <c r="J8" t="s">
        <v>22</v>
      </c>
      <c r="K8" t="str">
        <f t="shared" si="2"/>
        <v>Not Returned</v>
      </c>
      <c r="N8" t="s">
        <v>25</v>
      </c>
      <c r="O8" t="str">
        <f>IF(N8="",INDEX({"Low","Medium","High"},MATCH(MAX(COUNTIF($N$2:$N$1000,{"Low","Medium","High"})),COUNTIF($N$2:$N$1000,{"Low","Medium","High"}),0)),N8)</f>
        <v>Low</v>
      </c>
    </row>
    <row r="9" spans="1:15" x14ac:dyDescent="0.25">
      <c r="A9">
        <v>23</v>
      </c>
      <c r="B9">
        <f t="shared" si="0"/>
        <v>23</v>
      </c>
      <c r="F9">
        <v>28.54</v>
      </c>
      <c r="G9">
        <f t="shared" si="1"/>
        <v>28.54</v>
      </c>
      <c r="J9" t="s">
        <v>22</v>
      </c>
      <c r="K9" t="str">
        <f t="shared" si="2"/>
        <v>Not Returned</v>
      </c>
      <c r="N9" t="s">
        <v>34</v>
      </c>
      <c r="O9" t="str">
        <f>IF(N9="",INDEX({"Low","Medium","High"},MATCH(MAX(COUNTIF($N$2:$N$1000,{"Low","Medium","High"})),COUNTIF($N$2:$N$1000,{"Low","Medium","High"}),0)),N9)</f>
        <v>High</v>
      </c>
    </row>
    <row r="10" spans="1:15" x14ac:dyDescent="0.25">
      <c r="A10">
        <v>21</v>
      </c>
      <c r="B10">
        <f t="shared" si="0"/>
        <v>21</v>
      </c>
      <c r="F10">
        <v>28.96</v>
      </c>
      <c r="G10">
        <f t="shared" si="1"/>
        <v>28.96</v>
      </c>
      <c r="J10" t="s">
        <v>22</v>
      </c>
      <c r="K10" t="str">
        <f t="shared" si="2"/>
        <v>Not Returned</v>
      </c>
      <c r="N10" t="s">
        <v>40</v>
      </c>
      <c r="O10" t="str">
        <f>IF(N10="",INDEX({"Low","Medium","High"},MATCH(MAX(COUNTIF($N$2:$N$1000,{"Low","Medium","High"})),COUNTIF($N$2:$N$1000,{"Low","Medium","High"}),0)),N10)</f>
        <v>Medium</v>
      </c>
    </row>
    <row r="11" spans="1:15" x14ac:dyDescent="0.25">
      <c r="A11">
        <v>10</v>
      </c>
      <c r="B11">
        <f t="shared" si="0"/>
        <v>10</v>
      </c>
      <c r="F11">
        <v>24.81</v>
      </c>
      <c r="G11">
        <f t="shared" si="1"/>
        <v>24.81</v>
      </c>
      <c r="J11" t="s">
        <v>22</v>
      </c>
      <c r="K11" t="str">
        <f t="shared" si="2"/>
        <v>Not Returned</v>
      </c>
      <c r="N11" t="s">
        <v>34</v>
      </c>
      <c r="O11" t="str">
        <f>IF(N11="",INDEX({"Low","Medium","High"},MATCH(MAX(COUNTIF($N$2:$N$1000,{"Low","Medium","High"})),COUNTIF($N$2:$N$1000,{"Low","Medium","High"}),0)),N11)</f>
        <v>High</v>
      </c>
    </row>
    <row r="12" spans="1:15" x14ac:dyDescent="0.25">
      <c r="A12">
        <v>22</v>
      </c>
      <c r="B12">
        <f t="shared" si="0"/>
        <v>22</v>
      </c>
      <c r="F12">
        <v>68.180000000000007</v>
      </c>
      <c r="G12">
        <f t="shared" si="1"/>
        <v>68.180000000000007</v>
      </c>
      <c r="J12" t="s">
        <v>22</v>
      </c>
      <c r="K12" t="str">
        <f t="shared" si="2"/>
        <v>Not Returned</v>
      </c>
      <c r="O12" s="3" t="str">
        <f>IF(N12="",INDEX({"Low","Medium","High"},MATCH(MAX(COUNTIF($N$2:$N$1000,{"Low","Medium","High"})),COUNTIF($N$2:$N$1000,{"Low","Medium","High"}),0)),N12)</f>
        <v>Low</v>
      </c>
    </row>
    <row r="13" spans="1:15" x14ac:dyDescent="0.25">
      <c r="A13">
        <v>11</v>
      </c>
      <c r="B13">
        <f t="shared" si="0"/>
        <v>11</v>
      </c>
      <c r="F13">
        <v>3.34</v>
      </c>
      <c r="G13">
        <f t="shared" si="1"/>
        <v>3.34</v>
      </c>
      <c r="J13" t="s">
        <v>22</v>
      </c>
      <c r="K13" t="str">
        <f t="shared" si="2"/>
        <v>Not Returned</v>
      </c>
      <c r="N13" t="s">
        <v>25</v>
      </c>
      <c r="O13" t="str">
        <f>IF(N13="",INDEX({"Low","Medium","High"},MATCH(MAX(COUNTIF($N$2:$N$1000,{"Low","Medium","High"})),COUNTIF($N$2:$N$1000,{"Low","Medium","High"}),0)),N13)</f>
        <v>Low</v>
      </c>
    </row>
    <row r="14" spans="1:15" x14ac:dyDescent="0.25">
      <c r="A14">
        <v>5</v>
      </c>
      <c r="B14">
        <f t="shared" si="0"/>
        <v>5</v>
      </c>
      <c r="G14" s="3">
        <f>IF(F14="",ROUNDUP(AVERAGE($F$2:$F$1000),0),F14)</f>
        <v>53</v>
      </c>
      <c r="J14" t="s">
        <v>22</v>
      </c>
      <c r="K14" t="str">
        <f t="shared" si="2"/>
        <v>Not Returned</v>
      </c>
      <c r="N14" t="s">
        <v>34</v>
      </c>
      <c r="O14" t="str">
        <f>IF(N14="",INDEX({"Low","Medium","High"},MATCH(MAX(COUNTIF($N$2:$N$1000,{"Low","Medium","High"})),COUNTIF($N$2:$N$1000,{"Low","Medium","High"}),0)),N14)</f>
        <v>High</v>
      </c>
    </row>
    <row r="15" spans="1:15" x14ac:dyDescent="0.25">
      <c r="A15">
        <v>14</v>
      </c>
      <c r="B15">
        <f t="shared" si="0"/>
        <v>14</v>
      </c>
      <c r="F15">
        <v>95.17</v>
      </c>
      <c r="G15">
        <f t="shared" si="1"/>
        <v>95.17</v>
      </c>
      <c r="J15" t="s">
        <v>22</v>
      </c>
      <c r="K15" t="str">
        <f t="shared" si="2"/>
        <v>Not Returned</v>
      </c>
      <c r="N15" t="s">
        <v>25</v>
      </c>
      <c r="O15" t="str">
        <f>IF(N15="",INDEX({"Low","Medium","High"},MATCH(MAX(COUNTIF($N$2:$N$1000,{"Low","Medium","High"})),COUNTIF($N$2:$N$1000,{"Low","Medium","High"}),0)),N15)</f>
        <v>Low</v>
      </c>
    </row>
    <row r="16" spans="1:15" x14ac:dyDescent="0.25">
      <c r="A16">
        <v>4</v>
      </c>
      <c r="B16">
        <f t="shared" si="0"/>
        <v>4</v>
      </c>
      <c r="F16">
        <v>5.66</v>
      </c>
      <c r="G16">
        <f t="shared" si="1"/>
        <v>5.66</v>
      </c>
      <c r="J16" t="s">
        <v>22</v>
      </c>
      <c r="K16" t="str">
        <f t="shared" si="2"/>
        <v>Not Returned</v>
      </c>
      <c r="N16" t="s">
        <v>34</v>
      </c>
      <c r="O16" t="str">
        <f>IF(N16="",INDEX({"Low","Medium","High"},MATCH(MAX(COUNTIF($N$2:$N$1000,{"Low","Medium","High"})),COUNTIF($N$2:$N$1000,{"Low","Medium","High"}),0)),N16)</f>
        <v>High</v>
      </c>
    </row>
    <row r="17" spans="1:15" x14ac:dyDescent="0.25">
      <c r="A17">
        <v>19</v>
      </c>
      <c r="B17">
        <f t="shared" si="0"/>
        <v>19</v>
      </c>
      <c r="F17">
        <v>32.94</v>
      </c>
      <c r="G17">
        <f t="shared" si="1"/>
        <v>32.94</v>
      </c>
      <c r="J17" t="s">
        <v>22</v>
      </c>
      <c r="K17" t="str">
        <f t="shared" si="2"/>
        <v>Not Returned</v>
      </c>
      <c r="N17" t="s">
        <v>34</v>
      </c>
      <c r="O17" t="str">
        <f>IF(N17="",INDEX({"Low","Medium","High"},MATCH(MAX(COUNTIF($N$2:$N$1000,{"Low","Medium","High"})),COUNTIF($N$2:$N$1000,{"Low","Medium","High"}),0)),N17)</f>
        <v>High</v>
      </c>
    </row>
    <row r="18" spans="1:15" x14ac:dyDescent="0.25">
      <c r="A18">
        <v>44</v>
      </c>
      <c r="B18">
        <f t="shared" si="0"/>
        <v>44</v>
      </c>
      <c r="F18">
        <v>55.26</v>
      </c>
      <c r="G18">
        <f t="shared" si="1"/>
        <v>55.26</v>
      </c>
      <c r="J18" t="s">
        <v>22</v>
      </c>
      <c r="K18" t="str">
        <f t="shared" si="2"/>
        <v>Not Returned</v>
      </c>
      <c r="N18" t="s">
        <v>34</v>
      </c>
      <c r="O18" t="str">
        <f>IF(N18="",INDEX({"Low","Medium","High"},MATCH(MAX(COUNTIF($N$2:$N$1000,{"Low","Medium","High"})),COUNTIF($N$2:$N$1000,{"Low","Medium","High"}),0)),N18)</f>
        <v>High</v>
      </c>
    </row>
    <row r="19" spans="1:15" x14ac:dyDescent="0.25">
      <c r="A19">
        <v>25</v>
      </c>
      <c r="B19">
        <f t="shared" si="0"/>
        <v>25</v>
      </c>
      <c r="F19">
        <v>75.5</v>
      </c>
      <c r="G19">
        <f t="shared" si="1"/>
        <v>75.5</v>
      </c>
      <c r="J19" t="s">
        <v>22</v>
      </c>
      <c r="K19" t="str">
        <f t="shared" si="2"/>
        <v>Not Returned</v>
      </c>
      <c r="N19" t="s">
        <v>34</v>
      </c>
      <c r="O19" t="str">
        <f>IF(N19="",INDEX({"Low","Medium","High"},MATCH(MAX(COUNTIF($N$2:$N$1000,{"Low","Medium","High"})),COUNTIF($N$2:$N$1000,{"Low","Medium","High"}),0)),N19)</f>
        <v>High</v>
      </c>
    </row>
    <row r="20" spans="1:15" x14ac:dyDescent="0.25">
      <c r="A20">
        <v>30</v>
      </c>
      <c r="B20">
        <f t="shared" si="0"/>
        <v>30</v>
      </c>
      <c r="F20">
        <v>67.510000000000005</v>
      </c>
      <c r="G20">
        <f t="shared" si="1"/>
        <v>67.510000000000005</v>
      </c>
      <c r="J20" t="s">
        <v>22</v>
      </c>
      <c r="K20" t="str">
        <f t="shared" si="2"/>
        <v>Not Returned</v>
      </c>
      <c r="O20" s="3" t="str">
        <f>IF(N20="",INDEX({"Low","Medium","High"},MATCH(MAX(COUNTIF($N$2:$N$1000,{"Low","Medium","High"})),COUNTIF($N$2:$N$1000,{"Low","Medium","High"}),0)),N20)</f>
        <v>Low</v>
      </c>
    </row>
    <row r="21" spans="1:15" x14ac:dyDescent="0.25">
      <c r="A21">
        <v>39</v>
      </c>
      <c r="B21">
        <f t="shared" si="0"/>
        <v>39</v>
      </c>
      <c r="F21">
        <v>88.31</v>
      </c>
      <c r="G21">
        <f t="shared" si="1"/>
        <v>88.31</v>
      </c>
      <c r="J21" t="s">
        <v>22</v>
      </c>
      <c r="K21" t="str">
        <f t="shared" si="2"/>
        <v>Not Returned</v>
      </c>
      <c r="N21" t="s">
        <v>34</v>
      </c>
      <c r="O21" t="str">
        <f>IF(N21="",INDEX({"Low","Medium","High"},MATCH(MAX(COUNTIF($N$2:$N$1000,{"Low","Medium","High"})),COUNTIF($N$2:$N$1000,{"Low","Medium","High"}),0)),N21)</f>
        <v>High</v>
      </c>
    </row>
    <row r="22" spans="1:15" x14ac:dyDescent="0.25">
      <c r="A22">
        <v>24</v>
      </c>
      <c r="B22">
        <f t="shared" si="0"/>
        <v>24</v>
      </c>
      <c r="G22" s="3">
        <f t="shared" si="1"/>
        <v>53</v>
      </c>
      <c r="J22" t="s">
        <v>22</v>
      </c>
      <c r="K22" t="str">
        <f t="shared" si="2"/>
        <v>Not Returned</v>
      </c>
      <c r="N22" t="s">
        <v>40</v>
      </c>
      <c r="O22" t="str">
        <f>IF(N22="",INDEX({"Low","Medium","High"},MATCH(MAX(COUNTIF($N$2:$N$1000,{"Low","Medium","High"})),COUNTIF($N$2:$N$1000,{"Low","Medium","High"}),0)),N22)</f>
        <v>Medium</v>
      </c>
    </row>
    <row r="23" spans="1:15" x14ac:dyDescent="0.25">
      <c r="A23">
        <v>10</v>
      </c>
      <c r="B23">
        <f t="shared" si="0"/>
        <v>10</v>
      </c>
      <c r="F23">
        <v>23</v>
      </c>
      <c r="G23">
        <f t="shared" si="1"/>
        <v>23</v>
      </c>
      <c r="J23" t="s">
        <v>22</v>
      </c>
      <c r="K23" t="str">
        <f t="shared" si="2"/>
        <v>Not Returned</v>
      </c>
      <c r="N23" t="s">
        <v>34</v>
      </c>
      <c r="O23" t="str">
        <f>IF(N23="",INDEX({"Low","Medium","High"},MATCH(MAX(COUNTIF($N$2:$N$1000,{"Low","Medium","High"})),COUNTIF($N$2:$N$1000,{"Low","Medium","High"}),0)),N23)</f>
        <v>High</v>
      </c>
    </row>
    <row r="24" spans="1:15" x14ac:dyDescent="0.25">
      <c r="A24">
        <v>22</v>
      </c>
      <c r="B24">
        <f t="shared" si="0"/>
        <v>22</v>
      </c>
      <c r="F24">
        <v>25.51</v>
      </c>
      <c r="G24">
        <f t="shared" si="1"/>
        <v>25.51</v>
      </c>
      <c r="J24" t="s">
        <v>22</v>
      </c>
      <c r="K24" t="str">
        <f t="shared" si="2"/>
        <v>Not Returned</v>
      </c>
      <c r="N24" t="s">
        <v>25</v>
      </c>
      <c r="O24" t="str">
        <f>IF(N24="",INDEX({"Low","Medium","High"},MATCH(MAX(COUNTIF($N$2:$N$1000,{"Low","Medium","High"})),COUNTIF($N$2:$N$1000,{"Low","Medium","High"}),0)),N24)</f>
        <v>Low</v>
      </c>
    </row>
    <row r="25" spans="1:15" x14ac:dyDescent="0.25">
      <c r="A25">
        <v>25</v>
      </c>
      <c r="B25">
        <f t="shared" si="0"/>
        <v>25</v>
      </c>
      <c r="F25">
        <v>69.17</v>
      </c>
      <c r="G25">
        <f t="shared" si="1"/>
        <v>69.17</v>
      </c>
      <c r="J25" t="s">
        <v>22</v>
      </c>
      <c r="K25" t="str">
        <f t="shared" si="2"/>
        <v>Not Returned</v>
      </c>
      <c r="N25" t="s">
        <v>40</v>
      </c>
      <c r="O25" t="str">
        <f>IF(N25="",INDEX({"Low","Medium","High"},MATCH(MAX(COUNTIF($N$2:$N$1000,{"Low","Medium","High"})),COUNTIF($N$2:$N$1000,{"Low","Medium","High"}),0)),N25)</f>
        <v>Medium</v>
      </c>
    </row>
    <row r="26" spans="1:15" x14ac:dyDescent="0.25">
      <c r="A26">
        <v>24</v>
      </c>
      <c r="B26">
        <f t="shared" si="0"/>
        <v>24</v>
      </c>
      <c r="F26">
        <v>17.09</v>
      </c>
      <c r="G26">
        <f t="shared" si="1"/>
        <v>17.09</v>
      </c>
      <c r="J26" t="s">
        <v>22</v>
      </c>
      <c r="K26" t="str">
        <f t="shared" si="2"/>
        <v>Not Returned</v>
      </c>
      <c r="N26" t="s">
        <v>40</v>
      </c>
      <c r="O26" t="str">
        <f>IF(N26="",INDEX({"Low","Medium","High"},MATCH(MAX(COUNTIF($N$2:$N$1000,{"Low","Medium","High"})),COUNTIF($N$2:$N$1000,{"Low","Medium","High"}),0)),N26)</f>
        <v>Medium</v>
      </c>
    </row>
    <row r="27" spans="1:15" x14ac:dyDescent="0.25">
      <c r="A27">
        <v>33</v>
      </c>
      <c r="B27">
        <f t="shared" si="0"/>
        <v>33</v>
      </c>
      <c r="F27">
        <v>35.74</v>
      </c>
      <c r="G27">
        <f t="shared" si="1"/>
        <v>35.74</v>
      </c>
      <c r="J27" t="s">
        <v>22</v>
      </c>
      <c r="K27" t="str">
        <f t="shared" si="2"/>
        <v>Not Returned</v>
      </c>
      <c r="N27" t="s">
        <v>34</v>
      </c>
      <c r="O27" t="str">
        <f>IF(N27="",INDEX({"Low","Medium","High"},MATCH(MAX(COUNTIF($N$2:$N$1000,{"Low","Medium","High"})),COUNTIF($N$2:$N$1000,{"Low","Medium","High"}),0)),N27)</f>
        <v>High</v>
      </c>
    </row>
    <row r="28" spans="1:15" x14ac:dyDescent="0.25">
      <c r="A28">
        <v>32</v>
      </c>
      <c r="B28">
        <f t="shared" si="0"/>
        <v>32</v>
      </c>
      <c r="F28">
        <v>58.11</v>
      </c>
      <c r="G28">
        <f t="shared" si="1"/>
        <v>58.11</v>
      </c>
      <c r="J28" t="s">
        <v>22</v>
      </c>
      <c r="K28" t="str">
        <f t="shared" si="2"/>
        <v>Not Returned</v>
      </c>
      <c r="N28" t="s">
        <v>40</v>
      </c>
      <c r="O28" t="str">
        <f>IF(N28="",INDEX({"Low","Medium","High"},MATCH(MAX(COUNTIF($N$2:$N$1000,{"Low","Medium","High"})),COUNTIF($N$2:$N$1000,{"Low","Medium","High"}),0)),N28)</f>
        <v>Medium</v>
      </c>
    </row>
    <row r="29" spans="1:15" x14ac:dyDescent="0.25">
      <c r="A29">
        <v>37</v>
      </c>
      <c r="B29">
        <f t="shared" si="0"/>
        <v>37</v>
      </c>
      <c r="F29">
        <v>20.309999999999999</v>
      </c>
      <c r="G29">
        <f t="shared" si="1"/>
        <v>20.309999999999999</v>
      </c>
      <c r="J29" t="s">
        <v>22</v>
      </c>
      <c r="K29" t="str">
        <f t="shared" si="2"/>
        <v>Not Returned</v>
      </c>
      <c r="N29" t="s">
        <v>40</v>
      </c>
      <c r="O29" t="str">
        <f>IF(N29="",INDEX({"Low","Medium","High"},MATCH(MAX(COUNTIF($N$2:$N$1000,{"Low","Medium","High"})),COUNTIF($N$2:$N$1000,{"Low","Medium","High"}),0)),N29)</f>
        <v>Medium</v>
      </c>
    </row>
    <row r="30" spans="1:15" x14ac:dyDescent="0.25">
      <c r="A30">
        <v>45</v>
      </c>
      <c r="B30">
        <f t="shared" si="0"/>
        <v>45</v>
      </c>
      <c r="F30">
        <v>89.64</v>
      </c>
      <c r="G30">
        <f t="shared" si="1"/>
        <v>89.64</v>
      </c>
      <c r="J30" t="s">
        <v>22</v>
      </c>
      <c r="K30" t="str">
        <f t="shared" si="2"/>
        <v>Not Returned</v>
      </c>
      <c r="O30" s="3" t="str">
        <f>IF(N30="",INDEX({"Low","Medium","High"},MATCH(MAX(COUNTIF($N$2:$N$1000,{"Low","Medium","High"})),COUNTIF($N$2:$N$1000,{"Low","Medium","High"}),0)),N30)</f>
        <v>Low</v>
      </c>
    </row>
    <row r="31" spans="1:15" x14ac:dyDescent="0.25">
      <c r="A31">
        <v>14</v>
      </c>
      <c r="B31">
        <f t="shared" si="0"/>
        <v>14</v>
      </c>
      <c r="G31" s="3">
        <f t="shared" si="1"/>
        <v>53</v>
      </c>
      <c r="J31" t="s">
        <v>22</v>
      </c>
      <c r="K31" t="str">
        <f t="shared" si="2"/>
        <v>Not Returned</v>
      </c>
      <c r="N31" t="s">
        <v>40</v>
      </c>
      <c r="O31" t="str">
        <f>IF(N31="",INDEX({"Low","Medium","High"},MATCH(MAX(COUNTIF($N$2:$N$1000,{"Low","Medium","High"})),COUNTIF($N$2:$N$1000,{"Low","Medium","High"}),0)),N31)</f>
        <v>Medium</v>
      </c>
    </row>
    <row r="32" spans="1:15" x14ac:dyDescent="0.25">
      <c r="A32">
        <v>39</v>
      </c>
      <c r="B32">
        <f t="shared" si="0"/>
        <v>39</v>
      </c>
      <c r="F32">
        <v>65.16</v>
      </c>
      <c r="G32">
        <f t="shared" si="1"/>
        <v>65.16</v>
      </c>
      <c r="J32" t="s">
        <v>22</v>
      </c>
      <c r="K32" t="str">
        <f t="shared" si="2"/>
        <v>Not Returned</v>
      </c>
      <c r="N32" t="s">
        <v>34</v>
      </c>
      <c r="O32" t="str">
        <f>IF(N32="",INDEX({"Low","Medium","High"},MATCH(MAX(COUNTIF($N$2:$N$1000,{"Low","Medium","High"})),COUNTIF($N$2:$N$1000,{"Low","Medium","High"}),0)),N32)</f>
        <v>High</v>
      </c>
    </row>
    <row r="33" spans="1:15" x14ac:dyDescent="0.25">
      <c r="A33">
        <v>4</v>
      </c>
      <c r="B33">
        <f t="shared" si="0"/>
        <v>4</v>
      </c>
      <c r="F33">
        <v>14.89</v>
      </c>
      <c r="G33">
        <f t="shared" si="1"/>
        <v>14.89</v>
      </c>
      <c r="J33" t="s">
        <v>22</v>
      </c>
      <c r="K33" t="str">
        <f t="shared" si="2"/>
        <v>Not Returned</v>
      </c>
      <c r="N33" t="s">
        <v>25</v>
      </c>
      <c r="O33" t="str">
        <f>IF(N33="",INDEX({"Low","Medium","High"},MATCH(MAX(COUNTIF($N$2:$N$1000,{"Low","Medium","High"})),COUNTIF($N$2:$N$1000,{"Low","Medium","High"}),0)),N33)</f>
        <v>Low</v>
      </c>
    </row>
    <row r="34" spans="1:15" x14ac:dyDescent="0.25">
      <c r="A34">
        <v>5</v>
      </c>
      <c r="B34">
        <f t="shared" si="0"/>
        <v>5</v>
      </c>
      <c r="F34">
        <v>31.1</v>
      </c>
      <c r="G34">
        <f t="shared" si="1"/>
        <v>31.1</v>
      </c>
      <c r="J34" t="s">
        <v>22</v>
      </c>
      <c r="K34" t="str">
        <f t="shared" si="2"/>
        <v>Not Returned</v>
      </c>
      <c r="N34" t="s">
        <v>40</v>
      </c>
      <c r="O34" t="str">
        <f>IF(N34="",INDEX({"Low","Medium","High"},MATCH(MAX(COUNTIF($N$2:$N$1000,{"Low","Medium","High"})),COUNTIF($N$2:$N$1000,{"Low","Medium","High"}),0)),N34)</f>
        <v>Medium</v>
      </c>
    </row>
    <row r="35" spans="1:15" x14ac:dyDescent="0.25">
      <c r="B35" s="3">
        <f t="shared" si="0"/>
        <v>26</v>
      </c>
      <c r="F35">
        <v>7.66</v>
      </c>
      <c r="G35">
        <f t="shared" si="1"/>
        <v>7.66</v>
      </c>
      <c r="J35" t="s">
        <v>22</v>
      </c>
      <c r="K35" t="str">
        <f t="shared" si="2"/>
        <v>Not Returned</v>
      </c>
      <c r="N35" t="s">
        <v>25</v>
      </c>
      <c r="O35" t="str">
        <f>IF(N35="",INDEX({"Low","Medium","High"},MATCH(MAX(COUNTIF($N$2:$N$1000,{"Low","Medium","High"})),COUNTIF($N$2:$N$1000,{"Low","Medium","High"}),0)),N35)</f>
        <v>Low</v>
      </c>
    </row>
    <row r="36" spans="1:15" x14ac:dyDescent="0.25">
      <c r="A36">
        <v>19</v>
      </c>
      <c r="B36">
        <f t="shared" si="0"/>
        <v>19</v>
      </c>
      <c r="F36">
        <v>88.78</v>
      </c>
      <c r="G36">
        <f t="shared" si="1"/>
        <v>88.78</v>
      </c>
      <c r="J36" t="s">
        <v>22</v>
      </c>
      <c r="K36" t="str">
        <f t="shared" si="2"/>
        <v>Not Returned</v>
      </c>
      <c r="N36" t="s">
        <v>34</v>
      </c>
      <c r="O36" t="str">
        <f>IF(N36="",INDEX({"Low","Medium","High"},MATCH(MAX(COUNTIF($N$2:$N$1000,{"Low","Medium","High"})),COUNTIF($N$2:$N$1000,{"Low","Medium","High"}),0)),N36)</f>
        <v>High</v>
      </c>
    </row>
    <row r="37" spans="1:15" x14ac:dyDescent="0.25">
      <c r="A37">
        <v>40</v>
      </c>
      <c r="B37">
        <f t="shared" si="0"/>
        <v>40</v>
      </c>
      <c r="F37">
        <v>33.42</v>
      </c>
      <c r="G37">
        <f t="shared" si="1"/>
        <v>33.42</v>
      </c>
      <c r="J37" t="s">
        <v>22</v>
      </c>
      <c r="K37" t="str">
        <f t="shared" si="2"/>
        <v>Not Returned</v>
      </c>
      <c r="N37" t="s">
        <v>34</v>
      </c>
      <c r="O37" t="str">
        <f>IF(N37="",INDEX({"Low","Medium","High"},MATCH(MAX(COUNTIF($N$2:$N$1000,{"Low","Medium","High"})),COUNTIF($N$2:$N$1000,{"Low","Medium","High"}),0)),N37)</f>
        <v>High</v>
      </c>
    </row>
    <row r="38" spans="1:15" x14ac:dyDescent="0.25">
      <c r="A38">
        <v>43</v>
      </c>
      <c r="B38">
        <f t="shared" si="0"/>
        <v>43</v>
      </c>
      <c r="F38">
        <v>80.63</v>
      </c>
      <c r="G38">
        <f t="shared" si="1"/>
        <v>80.63</v>
      </c>
      <c r="K38" s="3" t="str">
        <f t="shared" si="2"/>
        <v>Unknown</v>
      </c>
      <c r="N38" t="s">
        <v>40</v>
      </c>
      <c r="O38" t="str">
        <f>IF(N38="",INDEX({"Low","Medium","High"},MATCH(MAX(COUNTIF($N$2:$N$1000,{"Low","Medium","High"})),COUNTIF($N$2:$N$1000,{"Low","Medium","High"}),0)),N38)</f>
        <v>Medium</v>
      </c>
    </row>
    <row r="39" spans="1:15" x14ac:dyDescent="0.25">
      <c r="A39">
        <v>15</v>
      </c>
      <c r="B39">
        <f t="shared" si="0"/>
        <v>15</v>
      </c>
      <c r="F39">
        <v>29.56</v>
      </c>
      <c r="G39">
        <f t="shared" si="1"/>
        <v>29.56</v>
      </c>
      <c r="J39" t="s">
        <v>22</v>
      </c>
      <c r="K39" t="str">
        <f t="shared" si="2"/>
        <v>Not Returned</v>
      </c>
      <c r="N39" t="s">
        <v>25</v>
      </c>
      <c r="O39" t="str">
        <f>IF(N39="",INDEX({"Low","Medium","High"},MATCH(MAX(COUNTIF($N$2:$N$1000,{"Low","Medium","High"})),COUNTIF($N$2:$N$1000,{"Low","Medium","High"}),0)),N39)</f>
        <v>Low</v>
      </c>
    </row>
    <row r="40" spans="1:15" x14ac:dyDescent="0.25">
      <c r="A40">
        <v>8</v>
      </c>
      <c r="B40">
        <f t="shared" si="0"/>
        <v>8</v>
      </c>
      <c r="F40">
        <v>96.18</v>
      </c>
      <c r="G40">
        <f t="shared" si="1"/>
        <v>96.18</v>
      </c>
      <c r="J40" t="s">
        <v>22</v>
      </c>
      <c r="K40" t="str">
        <f t="shared" si="2"/>
        <v>Not Returned</v>
      </c>
      <c r="N40" t="s">
        <v>25</v>
      </c>
      <c r="O40" t="str">
        <f>IF(N40="",INDEX({"Low","Medium","High"},MATCH(MAX(COUNTIF($N$2:$N$1000,{"Low","Medium","High"})),COUNTIF($N$2:$N$1000,{"Low","Medium","High"}),0)),N40)</f>
        <v>Low</v>
      </c>
    </row>
    <row r="41" spans="1:15" x14ac:dyDescent="0.25">
      <c r="A41">
        <v>21</v>
      </c>
      <c r="B41">
        <f t="shared" si="0"/>
        <v>21</v>
      </c>
      <c r="F41">
        <v>26.41</v>
      </c>
      <c r="G41">
        <f t="shared" si="1"/>
        <v>26.41</v>
      </c>
      <c r="J41" t="s">
        <v>22</v>
      </c>
      <c r="K41" t="str">
        <f t="shared" si="2"/>
        <v>Not Returned</v>
      </c>
      <c r="N41" t="s">
        <v>40</v>
      </c>
      <c r="O41" t="str">
        <f>IF(N41="",INDEX({"Low","Medium","High"},MATCH(MAX(COUNTIF($N$2:$N$1000,{"Low","Medium","High"})),COUNTIF($N$2:$N$1000,{"Low","Medium","High"}),0)),N41)</f>
        <v>Medium</v>
      </c>
    </row>
    <row r="42" spans="1:15" x14ac:dyDescent="0.25">
      <c r="A42">
        <v>17</v>
      </c>
      <c r="B42">
        <f t="shared" si="0"/>
        <v>17</v>
      </c>
      <c r="G42" s="3">
        <f t="shared" si="1"/>
        <v>53</v>
      </c>
      <c r="J42" t="s">
        <v>22</v>
      </c>
      <c r="K42" t="str">
        <f t="shared" si="2"/>
        <v>Not Returned</v>
      </c>
      <c r="N42" t="s">
        <v>25</v>
      </c>
      <c r="O42" t="str">
        <f>IF(N42="",INDEX({"Low","Medium","High"},MATCH(MAX(COUNTIF($N$2:$N$1000,{"Low","Medium","High"})),COUNTIF($N$2:$N$1000,{"Low","Medium","High"}),0)),N42)</f>
        <v>Low</v>
      </c>
    </row>
    <row r="43" spans="1:15" x14ac:dyDescent="0.25">
      <c r="A43">
        <v>5</v>
      </c>
      <c r="B43">
        <f t="shared" si="0"/>
        <v>5</v>
      </c>
      <c r="F43">
        <v>32.6</v>
      </c>
      <c r="G43">
        <f t="shared" si="1"/>
        <v>32.6</v>
      </c>
      <c r="J43" t="s">
        <v>22</v>
      </c>
      <c r="K43" t="str">
        <f t="shared" si="2"/>
        <v>Not Returned</v>
      </c>
      <c r="O43" s="3" t="str">
        <f>IF(N43="",INDEX({"Low","Medium","High"},MATCH(MAX(COUNTIF($N$2:$N$1000,{"Low","Medium","High"})),COUNTIF($N$2:$N$1000,{"Low","Medium","High"}),0)),N43)</f>
        <v>Low</v>
      </c>
    </row>
    <row r="44" spans="1:15" x14ac:dyDescent="0.25">
      <c r="A44">
        <v>28</v>
      </c>
      <c r="B44">
        <f t="shared" si="0"/>
        <v>28</v>
      </c>
      <c r="F44">
        <v>25.98</v>
      </c>
      <c r="G44">
        <f t="shared" si="1"/>
        <v>25.98</v>
      </c>
      <c r="J44" t="s">
        <v>22</v>
      </c>
      <c r="K44" t="str">
        <f t="shared" si="2"/>
        <v>Not Returned</v>
      </c>
      <c r="N44" t="s">
        <v>40</v>
      </c>
      <c r="O44" t="str">
        <f>IF(N44="",INDEX({"Low","Medium","High"},MATCH(MAX(COUNTIF($N$2:$N$1000,{"Low","Medium","High"})),COUNTIF($N$2:$N$1000,{"Low","Medium","High"}),0)),N44)</f>
        <v>Medium</v>
      </c>
    </row>
    <row r="45" spans="1:15" x14ac:dyDescent="0.25">
      <c r="A45">
        <v>31</v>
      </c>
      <c r="B45">
        <f t="shared" si="0"/>
        <v>31</v>
      </c>
      <c r="F45">
        <v>9.4</v>
      </c>
      <c r="G45">
        <f t="shared" si="1"/>
        <v>9.4</v>
      </c>
      <c r="J45" t="s">
        <v>22</v>
      </c>
      <c r="K45" t="str">
        <f t="shared" si="2"/>
        <v>Not Returned</v>
      </c>
      <c r="N45" t="s">
        <v>25</v>
      </c>
      <c r="O45" t="str">
        <f>IF(N45="",INDEX({"Low","Medium","High"},MATCH(MAX(COUNTIF($N$2:$N$1000,{"Low","Medium","High"})),COUNTIF($N$2:$N$1000,{"Low","Medium","High"}),0)),N45)</f>
        <v>Low</v>
      </c>
    </row>
    <row r="46" spans="1:15" x14ac:dyDescent="0.25">
      <c r="A46">
        <v>10</v>
      </c>
      <c r="B46">
        <f t="shared" si="0"/>
        <v>10</v>
      </c>
      <c r="F46">
        <v>10.83</v>
      </c>
      <c r="G46">
        <f t="shared" si="1"/>
        <v>10.83</v>
      </c>
      <c r="K46" s="3" t="str">
        <f t="shared" si="2"/>
        <v>Unknown</v>
      </c>
      <c r="N46" t="s">
        <v>34</v>
      </c>
      <c r="O46" t="str">
        <f>IF(N46="",INDEX({"Low","Medium","High"},MATCH(MAX(COUNTIF($N$2:$N$1000,{"Low","Medium","High"})),COUNTIF($N$2:$N$1000,{"Low","Medium","High"}),0)),N46)</f>
        <v>High</v>
      </c>
    </row>
    <row r="47" spans="1:15" x14ac:dyDescent="0.25">
      <c r="A47">
        <v>49</v>
      </c>
      <c r="B47">
        <f t="shared" si="0"/>
        <v>49</v>
      </c>
      <c r="F47">
        <v>37.18</v>
      </c>
      <c r="G47">
        <f t="shared" si="1"/>
        <v>37.18</v>
      </c>
      <c r="J47" t="s">
        <v>22</v>
      </c>
      <c r="K47" t="str">
        <f t="shared" si="2"/>
        <v>Not Returned</v>
      </c>
      <c r="N47" t="s">
        <v>40</v>
      </c>
      <c r="O47" t="str">
        <f>IF(N47="",INDEX({"Low","Medium","High"},MATCH(MAX(COUNTIF($N$2:$N$1000,{"Low","Medium","High"})),COUNTIF($N$2:$N$1000,{"Low","Medium","High"}),0)),N47)</f>
        <v>Medium</v>
      </c>
    </row>
    <row r="48" spans="1:15" x14ac:dyDescent="0.25">
      <c r="A48">
        <v>10</v>
      </c>
      <c r="B48">
        <f t="shared" si="0"/>
        <v>10</v>
      </c>
      <c r="F48">
        <v>43.24</v>
      </c>
      <c r="G48">
        <f t="shared" si="1"/>
        <v>43.24</v>
      </c>
      <c r="J48" t="s">
        <v>22</v>
      </c>
      <c r="K48" t="str">
        <f t="shared" si="2"/>
        <v>Not Returned</v>
      </c>
      <c r="N48" t="s">
        <v>34</v>
      </c>
      <c r="O48" t="str">
        <f>IF(N48="",INDEX({"Low","Medium","High"},MATCH(MAX(COUNTIF($N$2:$N$1000,{"Low","Medium","High"})),COUNTIF($N$2:$N$1000,{"Low","Medium","High"}),0)),N48)</f>
        <v>High</v>
      </c>
    </row>
    <row r="49" spans="1:15" x14ac:dyDescent="0.25">
      <c r="A49">
        <v>2</v>
      </c>
      <c r="B49">
        <f t="shared" si="0"/>
        <v>2</v>
      </c>
      <c r="F49">
        <v>56.8</v>
      </c>
      <c r="G49">
        <f t="shared" si="1"/>
        <v>56.8</v>
      </c>
      <c r="J49" t="s">
        <v>22</v>
      </c>
      <c r="K49" t="str">
        <f t="shared" si="2"/>
        <v>Not Returned</v>
      </c>
      <c r="N49" t="s">
        <v>25</v>
      </c>
      <c r="O49" t="str">
        <f>IF(N49="",INDEX({"Low","Medium","High"},MATCH(MAX(COUNTIF($N$2:$N$1000,{"Low","Medium","High"})),COUNTIF($N$2:$N$1000,{"Low","Medium","High"}),0)),N49)</f>
        <v>Low</v>
      </c>
    </row>
    <row r="50" spans="1:15" x14ac:dyDescent="0.25">
      <c r="A50">
        <v>31</v>
      </c>
      <c r="B50">
        <f t="shared" si="0"/>
        <v>31</v>
      </c>
      <c r="F50">
        <v>38.39</v>
      </c>
      <c r="G50">
        <f t="shared" si="1"/>
        <v>38.39</v>
      </c>
      <c r="J50" t="s">
        <v>22</v>
      </c>
      <c r="K50" t="str">
        <f t="shared" si="2"/>
        <v>Not Returned</v>
      </c>
      <c r="N50" t="s">
        <v>40</v>
      </c>
      <c r="O50" t="str">
        <f>IF(N50="",INDEX({"Low","Medium","High"},MATCH(MAX(COUNTIF($N$2:$N$1000,{"Low","Medium","High"})),COUNTIF($N$2:$N$1000,{"Low","Medium","High"}),0)),N50)</f>
        <v>Medium</v>
      </c>
    </row>
    <row r="51" spans="1:15" x14ac:dyDescent="0.25">
      <c r="A51">
        <v>40</v>
      </c>
      <c r="B51">
        <f t="shared" si="0"/>
        <v>40</v>
      </c>
      <c r="F51">
        <v>30.76</v>
      </c>
      <c r="G51">
        <f t="shared" si="1"/>
        <v>30.76</v>
      </c>
      <c r="J51" t="s">
        <v>111</v>
      </c>
      <c r="K51" t="str">
        <f t="shared" si="2"/>
        <v>Returned</v>
      </c>
      <c r="N51" t="s">
        <v>34</v>
      </c>
      <c r="O51" t="str">
        <f>IF(N51="",INDEX({"Low","Medium","High"},MATCH(MAX(COUNTIF($N$2:$N$1000,{"Low","Medium","High"})),COUNTIF($N$2:$N$1000,{"Low","Medium","High"}),0)),N51)</f>
        <v>High</v>
      </c>
    </row>
    <row r="52" spans="1:15" x14ac:dyDescent="0.25">
      <c r="A52">
        <v>4</v>
      </c>
      <c r="B52">
        <f t="shared" si="0"/>
        <v>4</v>
      </c>
      <c r="F52">
        <v>83.85</v>
      </c>
      <c r="G52">
        <f t="shared" si="1"/>
        <v>83.85</v>
      </c>
      <c r="J52" t="s">
        <v>22</v>
      </c>
      <c r="K52" t="str">
        <f t="shared" si="2"/>
        <v>Not Returned</v>
      </c>
      <c r="O52" s="3" t="str">
        <f>IF(N52="",INDEX({"Low","Medium","High"},MATCH(MAX(COUNTIF($N$2:$N$1000,{"Low","Medium","High"})),COUNTIF($N$2:$N$1000,{"Low","Medium","High"}),0)),N52)</f>
        <v>Low</v>
      </c>
    </row>
    <row r="53" spans="1:15" x14ac:dyDescent="0.25">
      <c r="A53">
        <v>10</v>
      </c>
      <c r="B53">
        <f t="shared" si="0"/>
        <v>10</v>
      </c>
      <c r="F53">
        <v>80.58</v>
      </c>
      <c r="G53">
        <f t="shared" si="1"/>
        <v>80.58</v>
      </c>
      <c r="J53" t="s">
        <v>22</v>
      </c>
      <c r="K53" t="str">
        <f t="shared" si="2"/>
        <v>Not Returned</v>
      </c>
      <c r="N53" t="s">
        <v>40</v>
      </c>
      <c r="O53" t="str">
        <f>IF(N53="",INDEX({"Low","Medium","High"},MATCH(MAX(COUNTIF($N$2:$N$1000,{"Low","Medium","High"})),COUNTIF($N$2:$N$1000,{"Low","Medium","High"}),0)),N53)</f>
        <v>Medium</v>
      </c>
    </row>
    <row r="54" spans="1:15" x14ac:dyDescent="0.25">
      <c r="A54">
        <v>12</v>
      </c>
      <c r="B54">
        <f t="shared" si="0"/>
        <v>12</v>
      </c>
      <c r="F54">
        <v>96.44</v>
      </c>
      <c r="G54">
        <f t="shared" si="1"/>
        <v>96.44</v>
      </c>
      <c r="J54" t="s">
        <v>22</v>
      </c>
      <c r="K54" t="str">
        <f t="shared" si="2"/>
        <v>Not Returned</v>
      </c>
      <c r="N54" t="s">
        <v>34</v>
      </c>
      <c r="O54" t="str">
        <f>IF(N54="",INDEX({"Low","Medium","High"},MATCH(MAX(COUNTIF($N$2:$N$1000,{"Low","Medium","High"})),COUNTIF($N$2:$N$1000,{"Low","Medium","High"}),0)),N54)</f>
        <v>High</v>
      </c>
    </row>
    <row r="55" spans="1:15" x14ac:dyDescent="0.25">
      <c r="A55">
        <v>23</v>
      </c>
      <c r="B55">
        <f t="shared" si="0"/>
        <v>23</v>
      </c>
      <c r="F55">
        <v>35.85</v>
      </c>
      <c r="G55">
        <f t="shared" si="1"/>
        <v>35.85</v>
      </c>
      <c r="J55" t="s">
        <v>22</v>
      </c>
      <c r="K55" t="str">
        <f t="shared" si="2"/>
        <v>Not Returned</v>
      </c>
      <c r="N55" t="s">
        <v>25</v>
      </c>
      <c r="O55" t="str">
        <f>IF(N55="",INDEX({"Low","Medium","High"},MATCH(MAX(COUNTIF($N$2:$N$1000,{"Low","Medium","High"})),COUNTIF($N$2:$N$1000,{"Low","Medium","High"}),0)),N55)</f>
        <v>Low</v>
      </c>
    </row>
    <row r="56" spans="1:15" x14ac:dyDescent="0.25">
      <c r="B56" s="3">
        <f t="shared" si="0"/>
        <v>26</v>
      </c>
      <c r="G56" s="3">
        <f t="shared" si="1"/>
        <v>53</v>
      </c>
      <c r="J56" t="s">
        <v>22</v>
      </c>
      <c r="K56" t="str">
        <f t="shared" si="2"/>
        <v>Not Returned</v>
      </c>
      <c r="O56" s="3" t="str">
        <f>IF(N56="",INDEX({"Low","Medium","High"},MATCH(MAX(COUNTIF($N$2:$N$1000,{"Low","Medium","High"})),COUNTIF($N$2:$N$1000,{"Low","Medium","High"}),0)),N56)</f>
        <v>Low</v>
      </c>
    </row>
    <row r="57" spans="1:15" x14ac:dyDescent="0.25">
      <c r="A57">
        <v>28</v>
      </c>
      <c r="B57">
        <f t="shared" si="0"/>
        <v>28</v>
      </c>
      <c r="F57">
        <v>54.88</v>
      </c>
      <c r="G57">
        <f t="shared" si="1"/>
        <v>54.88</v>
      </c>
      <c r="J57" t="s">
        <v>22</v>
      </c>
      <c r="K57" t="str">
        <f t="shared" si="2"/>
        <v>Not Returned</v>
      </c>
      <c r="N57" t="s">
        <v>25</v>
      </c>
      <c r="O57" t="str">
        <f>IF(N57="",INDEX({"Low","Medium","High"},MATCH(MAX(COUNTIF($N$2:$N$1000,{"Low","Medium","High"})),COUNTIF($N$2:$N$1000,{"Low","Medium","High"}),0)),N57)</f>
        <v>Low</v>
      </c>
    </row>
    <row r="58" spans="1:15" x14ac:dyDescent="0.25">
      <c r="A58">
        <v>20</v>
      </c>
      <c r="B58">
        <f t="shared" si="0"/>
        <v>20</v>
      </c>
      <c r="F58">
        <v>68.569999999999993</v>
      </c>
      <c r="G58">
        <f t="shared" si="1"/>
        <v>68.569999999999993</v>
      </c>
      <c r="J58" t="s">
        <v>22</v>
      </c>
      <c r="K58" t="str">
        <f t="shared" si="2"/>
        <v>Not Returned</v>
      </c>
      <c r="N58" t="s">
        <v>34</v>
      </c>
      <c r="O58" t="str">
        <f>IF(N58="",INDEX({"Low","Medium","High"},MATCH(MAX(COUNTIF($N$2:$N$1000,{"Low","Medium","High"})),COUNTIF($N$2:$N$1000,{"Low","Medium","High"}),0)),N58)</f>
        <v>High</v>
      </c>
    </row>
    <row r="59" spans="1:15" x14ac:dyDescent="0.25">
      <c r="A59">
        <v>5</v>
      </c>
      <c r="B59">
        <f t="shared" si="0"/>
        <v>5</v>
      </c>
      <c r="F59">
        <v>95.89</v>
      </c>
      <c r="G59">
        <f t="shared" si="1"/>
        <v>95.89</v>
      </c>
      <c r="J59" t="s">
        <v>22</v>
      </c>
      <c r="K59" t="str">
        <f t="shared" si="2"/>
        <v>Not Returned</v>
      </c>
      <c r="N59" t="s">
        <v>34</v>
      </c>
      <c r="O59" t="str">
        <f>IF(N59="",INDEX({"Low","Medium","High"},MATCH(MAX(COUNTIF($N$2:$N$1000,{"Low","Medium","High"})),COUNTIF($N$2:$N$1000,{"Low","Medium","High"}),0)),N59)</f>
        <v>High</v>
      </c>
    </row>
    <row r="60" spans="1:15" x14ac:dyDescent="0.25">
      <c r="A60">
        <v>10</v>
      </c>
      <c r="B60">
        <f t="shared" si="0"/>
        <v>10</v>
      </c>
      <c r="F60">
        <v>47.35</v>
      </c>
      <c r="G60">
        <f t="shared" si="1"/>
        <v>47.35</v>
      </c>
      <c r="J60" t="s">
        <v>22</v>
      </c>
      <c r="K60" t="str">
        <f t="shared" si="2"/>
        <v>Not Returned</v>
      </c>
      <c r="N60" t="s">
        <v>25</v>
      </c>
      <c r="O60" t="str">
        <f>IF(N60="",INDEX({"Low","Medium","High"},MATCH(MAX(COUNTIF($N$2:$N$1000,{"Low","Medium","High"})),COUNTIF($N$2:$N$1000,{"Low","Medium","High"}),0)),N60)</f>
        <v>Low</v>
      </c>
    </row>
    <row r="61" spans="1:15" x14ac:dyDescent="0.25">
      <c r="A61">
        <v>9</v>
      </c>
      <c r="B61">
        <f t="shared" si="0"/>
        <v>9</v>
      </c>
      <c r="F61">
        <v>8.2899999999999991</v>
      </c>
      <c r="G61">
        <f t="shared" si="1"/>
        <v>8.2899999999999991</v>
      </c>
      <c r="J61" t="s">
        <v>22</v>
      </c>
      <c r="K61" t="str">
        <f t="shared" si="2"/>
        <v>Not Returned</v>
      </c>
      <c r="N61" t="s">
        <v>25</v>
      </c>
      <c r="O61" t="str">
        <f>IF(N61="",INDEX({"Low","Medium","High"},MATCH(MAX(COUNTIF($N$2:$N$1000,{"Low","Medium","High"})),COUNTIF($N$2:$N$1000,{"Low","Medium","High"}),0)),N61)</f>
        <v>Low</v>
      </c>
    </row>
    <row r="62" spans="1:15" x14ac:dyDescent="0.25">
      <c r="A62">
        <v>1</v>
      </c>
      <c r="B62">
        <f t="shared" si="0"/>
        <v>1</v>
      </c>
      <c r="F62">
        <v>71.87</v>
      </c>
      <c r="G62">
        <f t="shared" si="1"/>
        <v>71.87</v>
      </c>
      <c r="J62" t="s">
        <v>111</v>
      </c>
      <c r="K62" t="str">
        <f t="shared" si="2"/>
        <v>Returned</v>
      </c>
      <c r="N62" t="s">
        <v>25</v>
      </c>
      <c r="O62" t="str">
        <f>IF(N62="",INDEX({"Low","Medium","High"},MATCH(MAX(COUNTIF($N$2:$N$1000,{"Low","Medium","High"})),COUNTIF($N$2:$N$1000,{"Low","Medium","High"}),0)),N62)</f>
        <v>Low</v>
      </c>
    </row>
    <row r="63" spans="1:15" x14ac:dyDescent="0.25">
      <c r="A63">
        <v>33</v>
      </c>
      <c r="B63">
        <f t="shared" si="0"/>
        <v>33</v>
      </c>
      <c r="F63">
        <v>70.89</v>
      </c>
      <c r="G63">
        <f t="shared" si="1"/>
        <v>70.89</v>
      </c>
      <c r="J63" t="s">
        <v>22</v>
      </c>
      <c r="K63" t="str">
        <f t="shared" si="2"/>
        <v>Not Returned</v>
      </c>
      <c r="N63" t="s">
        <v>25</v>
      </c>
      <c r="O63" t="str">
        <f>IF(N63="",INDEX({"Low","Medium","High"},MATCH(MAX(COUNTIF($N$2:$N$1000,{"Low","Medium","High"})),COUNTIF($N$2:$N$1000,{"Low","Medium","High"}),0)),N63)</f>
        <v>Low</v>
      </c>
    </row>
    <row r="64" spans="1:15" x14ac:dyDescent="0.25">
      <c r="A64">
        <v>16</v>
      </c>
      <c r="B64">
        <f t="shared" si="0"/>
        <v>16</v>
      </c>
      <c r="F64">
        <v>78.33</v>
      </c>
      <c r="G64">
        <f t="shared" si="1"/>
        <v>78.33</v>
      </c>
      <c r="J64" t="s">
        <v>22</v>
      </c>
      <c r="K64" t="str">
        <f t="shared" si="2"/>
        <v>Not Returned</v>
      </c>
      <c r="N64" t="s">
        <v>25</v>
      </c>
      <c r="O64" t="str">
        <f>IF(N64="",INDEX({"Low","Medium","High"},MATCH(MAX(COUNTIF($N$2:$N$1000,{"Low","Medium","High"})),COUNTIF($N$2:$N$1000,{"Low","Medium","High"}),0)),N64)</f>
        <v>Low</v>
      </c>
    </row>
    <row r="65" spans="1:15" x14ac:dyDescent="0.25">
      <c r="A65">
        <v>2</v>
      </c>
      <c r="B65">
        <f t="shared" si="0"/>
        <v>2</v>
      </c>
      <c r="F65">
        <v>38.07</v>
      </c>
      <c r="G65">
        <f t="shared" si="1"/>
        <v>38.07</v>
      </c>
      <c r="J65" t="s">
        <v>22</v>
      </c>
      <c r="K65" t="str">
        <f t="shared" si="2"/>
        <v>Not Returned</v>
      </c>
      <c r="N65" t="s">
        <v>25</v>
      </c>
      <c r="O65" t="str">
        <f>IF(N65="",INDEX({"Low","Medium","High"},MATCH(MAX(COUNTIF($N$2:$N$1000,{"Low","Medium","High"})),COUNTIF($N$2:$N$1000,{"Low","Medium","High"}),0)),N65)</f>
        <v>Low</v>
      </c>
    </row>
    <row r="66" spans="1:15" x14ac:dyDescent="0.25">
      <c r="A66">
        <v>39</v>
      </c>
      <c r="B66">
        <f t="shared" ref="B66:B129" si="3">IF(A66="",ROUNDUP(AVERAGE($A$2:$A$1000),0),A66)</f>
        <v>39</v>
      </c>
      <c r="F66">
        <v>71.94</v>
      </c>
      <c r="G66">
        <f t="shared" si="1"/>
        <v>71.94</v>
      </c>
      <c r="J66" t="s">
        <v>22</v>
      </c>
      <c r="K66" t="str">
        <f t="shared" si="2"/>
        <v>Not Returned</v>
      </c>
      <c r="N66" t="s">
        <v>34</v>
      </c>
      <c r="O66" t="str">
        <f>IF(N66="",INDEX({"Low","Medium","High"},MATCH(MAX(COUNTIF($N$2:$N$1000,{"Low","Medium","High"})),COUNTIF($N$2:$N$1000,{"Low","Medium","High"}),0)),N66)</f>
        <v>High</v>
      </c>
    </row>
    <row r="67" spans="1:15" x14ac:dyDescent="0.25">
      <c r="A67">
        <v>47</v>
      </c>
      <c r="B67">
        <f t="shared" si="3"/>
        <v>47</v>
      </c>
      <c r="F67">
        <v>82.94</v>
      </c>
      <c r="G67">
        <f t="shared" ref="G67:G130" si="4">IF(F67="",ROUNDUP(AVERAGE($F$2:$F$1000),0),F67)</f>
        <v>82.94</v>
      </c>
      <c r="J67" t="s">
        <v>22</v>
      </c>
      <c r="K67" t="str">
        <f t="shared" ref="K67:K130" si="5">IF(J67="","Unknown",J67)</f>
        <v>Not Returned</v>
      </c>
      <c r="N67" t="s">
        <v>34</v>
      </c>
      <c r="O67" t="str">
        <f>IF(N67="",INDEX({"Low","Medium","High"},MATCH(MAX(COUNTIF($N$2:$N$1000,{"Low","Medium","High"})),COUNTIF($N$2:$N$1000,{"Low","Medium","High"}),0)),N67)</f>
        <v>High</v>
      </c>
    </row>
    <row r="68" spans="1:15" x14ac:dyDescent="0.25">
      <c r="A68">
        <v>26</v>
      </c>
      <c r="B68">
        <f t="shared" si="3"/>
        <v>26</v>
      </c>
      <c r="F68">
        <v>37.479999999999997</v>
      </c>
      <c r="G68">
        <f t="shared" si="4"/>
        <v>37.479999999999997</v>
      </c>
      <c r="J68" t="s">
        <v>22</v>
      </c>
      <c r="K68" t="str">
        <f t="shared" si="5"/>
        <v>Not Returned</v>
      </c>
      <c r="O68" s="3" t="str">
        <f>IF(N68="",INDEX({"Low","Medium","High"},MATCH(MAX(COUNTIF($N$2:$N$1000,{"Low","Medium","High"})),COUNTIF($N$2:$N$1000,{"Low","Medium","High"}),0)),N68)</f>
        <v>Low</v>
      </c>
    </row>
    <row r="69" spans="1:15" x14ac:dyDescent="0.25">
      <c r="A69">
        <v>18</v>
      </c>
      <c r="B69">
        <f t="shared" si="3"/>
        <v>18</v>
      </c>
      <c r="F69">
        <v>88.56</v>
      </c>
      <c r="G69">
        <f t="shared" si="4"/>
        <v>88.56</v>
      </c>
      <c r="J69" t="s">
        <v>22</v>
      </c>
      <c r="K69" t="str">
        <f t="shared" si="5"/>
        <v>Not Returned</v>
      </c>
      <c r="N69" t="s">
        <v>40</v>
      </c>
      <c r="O69" t="str">
        <f>IF(N69="",INDEX({"Low","Medium","High"},MATCH(MAX(COUNTIF($N$2:$N$1000,{"Low","Medium","High"})),COUNTIF($N$2:$N$1000,{"Low","Medium","High"}),0)),N69)</f>
        <v>Medium</v>
      </c>
    </row>
    <row r="70" spans="1:15" x14ac:dyDescent="0.25">
      <c r="A70">
        <v>31</v>
      </c>
      <c r="B70">
        <f t="shared" si="3"/>
        <v>31</v>
      </c>
      <c r="F70">
        <v>74.2</v>
      </c>
      <c r="G70">
        <f t="shared" si="4"/>
        <v>74.2</v>
      </c>
      <c r="K70" s="3" t="str">
        <f t="shared" si="5"/>
        <v>Unknown</v>
      </c>
      <c r="N70" t="s">
        <v>34</v>
      </c>
      <c r="O70" t="str">
        <f>IF(N70="",INDEX({"Low","Medium","High"},MATCH(MAX(COUNTIF($N$2:$N$1000,{"Low","Medium","High"})),COUNTIF($N$2:$N$1000,{"Low","Medium","High"}),0)),N70)</f>
        <v>High</v>
      </c>
    </row>
    <row r="71" spans="1:15" x14ac:dyDescent="0.25">
      <c r="A71">
        <v>32</v>
      </c>
      <c r="B71">
        <f t="shared" si="3"/>
        <v>32</v>
      </c>
      <c r="F71">
        <v>39.68</v>
      </c>
      <c r="G71">
        <f t="shared" si="4"/>
        <v>39.68</v>
      </c>
      <c r="J71" t="s">
        <v>22</v>
      </c>
      <c r="K71" t="str">
        <f t="shared" si="5"/>
        <v>Not Returned</v>
      </c>
      <c r="N71" t="s">
        <v>34</v>
      </c>
      <c r="O71" t="str">
        <f>IF(N71="",INDEX({"Low","Medium","High"},MATCH(MAX(COUNTIF($N$2:$N$1000,{"Low","Medium","High"})),COUNTIF($N$2:$N$1000,{"Low","Medium","High"}),0)),N71)</f>
        <v>High</v>
      </c>
    </row>
    <row r="72" spans="1:15" x14ac:dyDescent="0.25">
      <c r="A72">
        <v>23</v>
      </c>
      <c r="B72">
        <f t="shared" si="3"/>
        <v>23</v>
      </c>
      <c r="F72">
        <v>53.65</v>
      </c>
      <c r="G72">
        <f t="shared" si="4"/>
        <v>53.65</v>
      </c>
      <c r="J72" t="s">
        <v>22</v>
      </c>
      <c r="K72" t="str">
        <f t="shared" si="5"/>
        <v>Not Returned</v>
      </c>
      <c r="N72" t="s">
        <v>40</v>
      </c>
      <c r="O72" t="str">
        <f>IF(N72="",INDEX({"Low","Medium","High"},MATCH(MAX(COUNTIF($N$2:$N$1000,{"Low","Medium","High"})),COUNTIF($N$2:$N$1000,{"Low","Medium","High"}),0)),N72)</f>
        <v>Medium</v>
      </c>
    </row>
    <row r="73" spans="1:15" x14ac:dyDescent="0.25">
      <c r="A73">
        <v>15</v>
      </c>
      <c r="B73">
        <f t="shared" si="3"/>
        <v>15</v>
      </c>
      <c r="G73" s="3">
        <f t="shared" si="4"/>
        <v>53</v>
      </c>
      <c r="J73" t="s">
        <v>22</v>
      </c>
      <c r="K73" t="str">
        <f t="shared" si="5"/>
        <v>Not Returned</v>
      </c>
      <c r="N73" t="s">
        <v>25</v>
      </c>
      <c r="O73" t="str">
        <f>IF(N73="",INDEX({"Low","Medium","High"},MATCH(MAX(COUNTIF($N$2:$N$1000,{"Low","Medium","High"})),COUNTIF($N$2:$N$1000,{"Low","Medium","High"}),0)),N73)</f>
        <v>Low</v>
      </c>
    </row>
    <row r="74" spans="1:15" x14ac:dyDescent="0.25">
      <c r="A74">
        <v>24</v>
      </c>
      <c r="B74">
        <f t="shared" si="3"/>
        <v>24</v>
      </c>
      <c r="F74">
        <v>1.34</v>
      </c>
      <c r="G74">
        <f t="shared" si="4"/>
        <v>1.34</v>
      </c>
      <c r="J74" t="s">
        <v>22</v>
      </c>
      <c r="K74" t="str">
        <f t="shared" si="5"/>
        <v>Not Returned</v>
      </c>
      <c r="N74" t="s">
        <v>34</v>
      </c>
      <c r="O74" t="str">
        <f>IF(N74="",INDEX({"Low","Medium","High"},MATCH(MAX(COUNTIF($N$2:$N$1000,{"Low","Medium","High"})),COUNTIF($N$2:$N$1000,{"Low","Medium","High"}),0)),N74)</f>
        <v>High</v>
      </c>
    </row>
    <row r="75" spans="1:15" x14ac:dyDescent="0.25">
      <c r="A75">
        <v>21</v>
      </c>
      <c r="B75">
        <f t="shared" si="3"/>
        <v>21</v>
      </c>
      <c r="F75">
        <v>90.37</v>
      </c>
      <c r="G75">
        <f t="shared" si="4"/>
        <v>90.37</v>
      </c>
      <c r="J75" t="s">
        <v>22</v>
      </c>
      <c r="K75" t="str">
        <f t="shared" si="5"/>
        <v>Not Returned</v>
      </c>
      <c r="N75" t="s">
        <v>40</v>
      </c>
      <c r="O75" t="str">
        <f>IF(N75="",INDEX({"Low","Medium","High"},MATCH(MAX(COUNTIF($N$2:$N$1000,{"Low","Medium","High"})),COUNTIF($N$2:$N$1000,{"Low","Medium","High"}),0)),N75)</f>
        <v>Medium</v>
      </c>
    </row>
    <row r="76" spans="1:15" x14ac:dyDescent="0.25">
      <c r="A76">
        <v>1</v>
      </c>
      <c r="B76">
        <f t="shared" si="3"/>
        <v>1</v>
      </c>
      <c r="F76">
        <v>27.12</v>
      </c>
      <c r="G76">
        <f t="shared" si="4"/>
        <v>27.12</v>
      </c>
      <c r="J76" t="s">
        <v>22</v>
      </c>
      <c r="K76" t="str">
        <f t="shared" si="5"/>
        <v>Not Returned</v>
      </c>
      <c r="N76" t="s">
        <v>25</v>
      </c>
      <c r="O76" t="str">
        <f>IF(N76="",INDEX({"Low","Medium","High"},MATCH(MAX(COUNTIF($N$2:$N$1000,{"Low","Medium","High"})),COUNTIF($N$2:$N$1000,{"Low","Medium","High"}),0)),N76)</f>
        <v>Low</v>
      </c>
    </row>
    <row r="77" spans="1:15" x14ac:dyDescent="0.25">
      <c r="A77">
        <v>21</v>
      </c>
      <c r="B77">
        <f t="shared" si="3"/>
        <v>21</v>
      </c>
      <c r="F77">
        <v>77.22</v>
      </c>
      <c r="G77">
        <f t="shared" si="4"/>
        <v>77.22</v>
      </c>
      <c r="J77" t="s">
        <v>22</v>
      </c>
      <c r="K77" t="str">
        <f t="shared" si="5"/>
        <v>Not Returned</v>
      </c>
      <c r="N77" t="s">
        <v>40</v>
      </c>
      <c r="O77" t="str">
        <f>IF(N77="",INDEX({"Low","Medium","High"},MATCH(MAX(COUNTIF($N$2:$N$1000,{"Low","Medium","High"})),COUNTIF($N$2:$N$1000,{"Low","Medium","High"}),0)),N77)</f>
        <v>Medium</v>
      </c>
    </row>
    <row r="78" spans="1:15" x14ac:dyDescent="0.25">
      <c r="A78">
        <v>14</v>
      </c>
      <c r="B78">
        <f t="shared" si="3"/>
        <v>14</v>
      </c>
      <c r="F78">
        <v>15.36</v>
      </c>
      <c r="G78">
        <f t="shared" si="4"/>
        <v>15.36</v>
      </c>
      <c r="J78" t="s">
        <v>22</v>
      </c>
      <c r="K78" t="str">
        <f t="shared" si="5"/>
        <v>Not Returned</v>
      </c>
      <c r="N78" t="s">
        <v>25</v>
      </c>
      <c r="O78" t="str">
        <f>IF(N78="",INDEX({"Low","Medium","High"},MATCH(MAX(COUNTIF($N$2:$N$1000,{"Low","Medium","High"})),COUNTIF($N$2:$N$1000,{"Low","Medium","High"}),0)),N78)</f>
        <v>Low</v>
      </c>
    </row>
    <row r="79" spans="1:15" x14ac:dyDescent="0.25">
      <c r="A79">
        <v>18</v>
      </c>
      <c r="B79">
        <f t="shared" si="3"/>
        <v>18</v>
      </c>
      <c r="F79">
        <v>81.540000000000006</v>
      </c>
      <c r="G79">
        <f t="shared" si="4"/>
        <v>81.540000000000006</v>
      </c>
      <c r="J79" t="s">
        <v>22</v>
      </c>
      <c r="K79" t="str">
        <f t="shared" si="5"/>
        <v>Not Returned</v>
      </c>
      <c r="N79" t="s">
        <v>40</v>
      </c>
      <c r="O79" t="str">
        <f>IF(N79="",INDEX({"Low","Medium","High"},MATCH(MAX(COUNTIF($N$2:$N$1000,{"Low","Medium","High"})),COUNTIF($N$2:$N$1000,{"Low","Medium","High"}),0)),N79)</f>
        <v>Medium</v>
      </c>
    </row>
    <row r="80" spans="1:15" x14ac:dyDescent="0.25">
      <c r="A80">
        <v>29</v>
      </c>
      <c r="B80">
        <f t="shared" si="3"/>
        <v>29</v>
      </c>
      <c r="F80">
        <v>63.02</v>
      </c>
      <c r="G80">
        <f t="shared" si="4"/>
        <v>63.02</v>
      </c>
      <c r="J80" t="s">
        <v>22</v>
      </c>
      <c r="K80" t="str">
        <f t="shared" si="5"/>
        <v>Not Returned</v>
      </c>
      <c r="N80" t="s">
        <v>25</v>
      </c>
      <c r="O80" t="str">
        <f>IF(N80="",INDEX({"Low","Medium","High"},MATCH(MAX(COUNTIF($N$2:$N$1000,{"Low","Medium","High"})),COUNTIF($N$2:$N$1000,{"Low","Medium","High"}),0)),N80)</f>
        <v>Low</v>
      </c>
    </row>
    <row r="81" spans="1:15" x14ac:dyDescent="0.25">
      <c r="A81">
        <v>35</v>
      </c>
      <c r="B81">
        <f t="shared" si="3"/>
        <v>35</v>
      </c>
      <c r="F81">
        <v>9.94</v>
      </c>
      <c r="G81">
        <f t="shared" si="4"/>
        <v>9.94</v>
      </c>
      <c r="J81" t="s">
        <v>22</v>
      </c>
      <c r="K81" t="str">
        <f t="shared" si="5"/>
        <v>Not Returned</v>
      </c>
      <c r="N81" t="s">
        <v>40</v>
      </c>
      <c r="O81" t="str">
        <f>IF(N81="",INDEX({"Low","Medium","High"},MATCH(MAX(COUNTIF($N$2:$N$1000,{"Low","Medium","High"})),COUNTIF($N$2:$N$1000,{"Low","Medium","High"}),0)),N81)</f>
        <v>Medium</v>
      </c>
    </row>
    <row r="82" spans="1:15" x14ac:dyDescent="0.25">
      <c r="A82">
        <v>25</v>
      </c>
      <c r="B82">
        <f t="shared" si="3"/>
        <v>25</v>
      </c>
      <c r="F82">
        <v>22.54</v>
      </c>
      <c r="G82">
        <f t="shared" si="4"/>
        <v>22.54</v>
      </c>
      <c r="J82" t="s">
        <v>22</v>
      </c>
      <c r="K82" t="str">
        <f t="shared" si="5"/>
        <v>Not Returned</v>
      </c>
      <c r="O82" s="3" t="str">
        <f>IF(N82="",INDEX({"Low","Medium","High"},MATCH(MAX(COUNTIF($N$2:$N$1000,{"Low","Medium","High"})),COUNTIF($N$2:$N$1000,{"Low","Medium","High"}),0)),N82)</f>
        <v>Low</v>
      </c>
    </row>
    <row r="83" spans="1:15" x14ac:dyDescent="0.25">
      <c r="A83">
        <v>1</v>
      </c>
      <c r="B83">
        <f t="shared" si="3"/>
        <v>1</v>
      </c>
      <c r="F83">
        <v>73.650000000000006</v>
      </c>
      <c r="G83">
        <f t="shared" si="4"/>
        <v>73.650000000000006</v>
      </c>
      <c r="J83" t="s">
        <v>22</v>
      </c>
      <c r="K83" t="str">
        <f t="shared" si="5"/>
        <v>Not Returned</v>
      </c>
      <c r="N83" t="s">
        <v>34</v>
      </c>
      <c r="O83" t="str">
        <f>IF(N83="",INDEX({"Low","Medium","High"},MATCH(MAX(COUNTIF($N$2:$N$1000,{"Low","Medium","High"})),COUNTIF($N$2:$N$1000,{"Low","Medium","High"}),0)),N83)</f>
        <v>High</v>
      </c>
    </row>
    <row r="84" spans="1:15" x14ac:dyDescent="0.25">
      <c r="B84" s="3">
        <f t="shared" si="3"/>
        <v>26</v>
      </c>
      <c r="F84">
        <v>93.04</v>
      </c>
      <c r="G84">
        <f t="shared" si="4"/>
        <v>93.04</v>
      </c>
      <c r="J84" t="s">
        <v>22</v>
      </c>
      <c r="K84" t="str">
        <f t="shared" si="5"/>
        <v>Not Returned</v>
      </c>
      <c r="N84" t="s">
        <v>25</v>
      </c>
      <c r="O84" t="str">
        <f>IF(N84="",INDEX({"Low","Medium","High"},MATCH(MAX(COUNTIF($N$2:$N$1000,{"Low","Medium","High"})),COUNTIF($N$2:$N$1000,{"Low","Medium","High"}),0)),N84)</f>
        <v>Low</v>
      </c>
    </row>
    <row r="85" spans="1:15" x14ac:dyDescent="0.25">
      <c r="A85">
        <v>30</v>
      </c>
      <c r="B85">
        <f t="shared" si="3"/>
        <v>30</v>
      </c>
      <c r="F85">
        <v>9.68</v>
      </c>
      <c r="G85">
        <f t="shared" si="4"/>
        <v>9.68</v>
      </c>
      <c r="J85" t="s">
        <v>22</v>
      </c>
      <c r="K85" t="str">
        <f t="shared" si="5"/>
        <v>Not Returned</v>
      </c>
      <c r="N85" t="s">
        <v>25</v>
      </c>
      <c r="O85" t="str">
        <f>IF(N85="",INDEX({"Low","Medium","High"},MATCH(MAX(COUNTIF($N$2:$N$1000,{"Low","Medium","High"})),COUNTIF($N$2:$N$1000,{"Low","Medium","High"}),0)),N85)</f>
        <v>Low</v>
      </c>
    </row>
    <row r="86" spans="1:15" x14ac:dyDescent="0.25">
      <c r="A86">
        <v>7</v>
      </c>
      <c r="B86">
        <f t="shared" si="3"/>
        <v>7</v>
      </c>
      <c r="F86">
        <v>81.52</v>
      </c>
      <c r="G86">
        <f t="shared" si="4"/>
        <v>81.52</v>
      </c>
      <c r="J86" t="s">
        <v>22</v>
      </c>
      <c r="K86" t="str">
        <f t="shared" si="5"/>
        <v>Not Returned</v>
      </c>
      <c r="N86" t="s">
        <v>34</v>
      </c>
      <c r="O86" t="str">
        <f>IF(N86="",INDEX({"Low","Medium","High"},MATCH(MAX(COUNTIF($N$2:$N$1000,{"Low","Medium","High"})),COUNTIF($N$2:$N$1000,{"Low","Medium","High"}),0)),N86)</f>
        <v>High</v>
      </c>
    </row>
    <row r="87" spans="1:15" x14ac:dyDescent="0.25">
      <c r="A87">
        <v>13</v>
      </c>
      <c r="B87">
        <f t="shared" si="3"/>
        <v>13</v>
      </c>
      <c r="F87">
        <v>85.65</v>
      </c>
      <c r="G87">
        <f t="shared" si="4"/>
        <v>85.65</v>
      </c>
      <c r="J87" t="s">
        <v>22</v>
      </c>
      <c r="K87" t="str">
        <f t="shared" si="5"/>
        <v>Not Returned</v>
      </c>
      <c r="N87" t="s">
        <v>40</v>
      </c>
      <c r="O87" t="str">
        <f>IF(N87="",INDEX({"Low","Medium","High"},MATCH(MAX(COUNTIF($N$2:$N$1000,{"Low","Medium","High"})),COUNTIF($N$2:$N$1000,{"Low","Medium","High"}),0)),N87)</f>
        <v>Medium</v>
      </c>
    </row>
    <row r="88" spans="1:15" x14ac:dyDescent="0.25">
      <c r="A88">
        <v>40</v>
      </c>
      <c r="B88">
        <f t="shared" si="3"/>
        <v>40</v>
      </c>
      <c r="G88" s="3">
        <f t="shared" si="4"/>
        <v>53</v>
      </c>
      <c r="K88" s="3" t="str">
        <f t="shared" si="5"/>
        <v>Unknown</v>
      </c>
      <c r="N88" t="s">
        <v>25</v>
      </c>
      <c r="O88" t="str">
        <f>IF(N88="",INDEX({"Low","Medium","High"},MATCH(MAX(COUNTIF($N$2:$N$1000,{"Low","Medium","High"})),COUNTIF($N$2:$N$1000,{"Low","Medium","High"}),0)),N88)</f>
        <v>Low</v>
      </c>
    </row>
    <row r="89" spans="1:15" x14ac:dyDescent="0.25">
      <c r="A89">
        <v>18</v>
      </c>
      <c r="B89">
        <f t="shared" si="3"/>
        <v>18</v>
      </c>
      <c r="F89">
        <v>98.2</v>
      </c>
      <c r="G89">
        <f t="shared" si="4"/>
        <v>98.2</v>
      </c>
      <c r="J89" t="s">
        <v>22</v>
      </c>
      <c r="K89" t="str">
        <f t="shared" si="5"/>
        <v>Not Returned</v>
      </c>
      <c r="N89" t="s">
        <v>40</v>
      </c>
      <c r="O89" t="str">
        <f>IF(N89="",INDEX({"Low","Medium","High"},MATCH(MAX(COUNTIF($N$2:$N$1000,{"Low","Medium","High"})),COUNTIF($N$2:$N$1000,{"Low","Medium","High"}),0)),N89)</f>
        <v>Medium</v>
      </c>
    </row>
    <row r="90" spans="1:15" x14ac:dyDescent="0.25">
      <c r="A90">
        <v>47</v>
      </c>
      <c r="B90">
        <f t="shared" si="3"/>
        <v>47</v>
      </c>
      <c r="F90">
        <v>79.33</v>
      </c>
      <c r="G90">
        <f t="shared" si="4"/>
        <v>79.33</v>
      </c>
      <c r="J90" t="s">
        <v>22</v>
      </c>
      <c r="K90" t="str">
        <f t="shared" si="5"/>
        <v>Not Returned</v>
      </c>
      <c r="N90" t="s">
        <v>40</v>
      </c>
      <c r="O90" t="str">
        <f>IF(N90="",INDEX({"Low","Medium","High"},MATCH(MAX(COUNTIF($N$2:$N$1000,{"Low","Medium","High"})),COUNTIF($N$2:$N$1000,{"Low","Medium","High"}),0)),N90)</f>
        <v>Medium</v>
      </c>
    </row>
    <row r="91" spans="1:15" x14ac:dyDescent="0.25">
      <c r="A91">
        <v>43</v>
      </c>
      <c r="B91">
        <f t="shared" si="3"/>
        <v>43</v>
      </c>
      <c r="F91">
        <v>88.49</v>
      </c>
      <c r="G91">
        <f t="shared" si="4"/>
        <v>88.49</v>
      </c>
      <c r="J91" t="s">
        <v>22</v>
      </c>
      <c r="K91" t="str">
        <f t="shared" si="5"/>
        <v>Not Returned</v>
      </c>
      <c r="N91" t="s">
        <v>34</v>
      </c>
      <c r="O91" t="str">
        <f>IF(N91="",INDEX({"Low","Medium","High"},MATCH(MAX(COUNTIF($N$2:$N$1000,{"Low","Medium","High"})),COUNTIF($N$2:$N$1000,{"Low","Medium","High"}),0)),N91)</f>
        <v>High</v>
      </c>
    </row>
    <row r="92" spans="1:15" x14ac:dyDescent="0.25">
      <c r="A92">
        <v>43</v>
      </c>
      <c r="B92">
        <f t="shared" si="3"/>
        <v>43</v>
      </c>
      <c r="F92">
        <v>48.72</v>
      </c>
      <c r="G92">
        <f t="shared" si="4"/>
        <v>48.72</v>
      </c>
      <c r="J92" t="s">
        <v>22</v>
      </c>
      <c r="K92" t="str">
        <f t="shared" si="5"/>
        <v>Not Returned</v>
      </c>
      <c r="N92" t="s">
        <v>34</v>
      </c>
      <c r="O92" t="str">
        <f>IF(N92="",INDEX({"Low","Medium","High"},MATCH(MAX(COUNTIF($N$2:$N$1000,{"Low","Medium","High"})),COUNTIF($N$2:$N$1000,{"Low","Medium","High"}),0)),N92)</f>
        <v>High</v>
      </c>
    </row>
    <row r="93" spans="1:15" x14ac:dyDescent="0.25">
      <c r="A93">
        <v>43</v>
      </c>
      <c r="B93">
        <f t="shared" si="3"/>
        <v>43</v>
      </c>
      <c r="F93">
        <v>61.11</v>
      </c>
      <c r="G93">
        <f t="shared" si="4"/>
        <v>61.11</v>
      </c>
      <c r="J93" t="s">
        <v>22</v>
      </c>
      <c r="K93" t="str">
        <f t="shared" si="5"/>
        <v>Not Returned</v>
      </c>
      <c r="N93" t="s">
        <v>34</v>
      </c>
      <c r="O93" t="str">
        <f>IF(N93="",INDEX({"Low","Medium","High"},MATCH(MAX(COUNTIF($N$2:$N$1000,{"Low","Medium","High"})),COUNTIF($N$2:$N$1000,{"Low","Medium","High"}),0)),N93)</f>
        <v>High</v>
      </c>
    </row>
    <row r="94" spans="1:15" x14ac:dyDescent="0.25">
      <c r="A94">
        <v>10</v>
      </c>
      <c r="B94">
        <f t="shared" si="3"/>
        <v>10</v>
      </c>
      <c r="F94">
        <v>16.079999999999998</v>
      </c>
      <c r="G94">
        <f t="shared" si="4"/>
        <v>16.079999999999998</v>
      </c>
      <c r="J94" t="s">
        <v>22</v>
      </c>
      <c r="K94" t="str">
        <f t="shared" si="5"/>
        <v>Not Returned</v>
      </c>
      <c r="N94" t="s">
        <v>25</v>
      </c>
      <c r="O94" t="str">
        <f>IF(N94="",INDEX({"Low","Medium","High"},MATCH(MAX(COUNTIF($N$2:$N$1000,{"Low","Medium","High"})),COUNTIF($N$2:$N$1000,{"Low","Medium","High"}),0)),N94)</f>
        <v>Low</v>
      </c>
    </row>
    <row r="95" spans="1:15" x14ac:dyDescent="0.25">
      <c r="A95">
        <v>39</v>
      </c>
      <c r="B95">
        <f t="shared" si="3"/>
        <v>39</v>
      </c>
      <c r="F95">
        <v>28.42</v>
      </c>
      <c r="G95">
        <f t="shared" si="4"/>
        <v>28.42</v>
      </c>
      <c r="J95" t="s">
        <v>22</v>
      </c>
      <c r="K95" t="str">
        <f t="shared" si="5"/>
        <v>Not Returned</v>
      </c>
      <c r="N95" t="s">
        <v>34</v>
      </c>
      <c r="O95" t="str">
        <f>IF(N95="",INDEX({"Low","Medium","High"},MATCH(MAX(COUNTIF($N$2:$N$1000,{"Low","Medium","High"})),COUNTIF($N$2:$N$1000,{"Low","Medium","High"}),0)),N95)</f>
        <v>High</v>
      </c>
    </row>
    <row r="96" spans="1:15" x14ac:dyDescent="0.25">
      <c r="A96">
        <v>35</v>
      </c>
      <c r="B96">
        <f t="shared" si="3"/>
        <v>35</v>
      </c>
      <c r="F96">
        <v>66.760000000000005</v>
      </c>
      <c r="G96">
        <f t="shared" si="4"/>
        <v>66.760000000000005</v>
      </c>
      <c r="J96" t="s">
        <v>22</v>
      </c>
      <c r="K96" t="str">
        <f t="shared" si="5"/>
        <v>Not Returned</v>
      </c>
      <c r="N96" t="s">
        <v>25</v>
      </c>
      <c r="O96" t="str">
        <f>IF(N96="",INDEX({"Low","Medium","High"},MATCH(MAX(COUNTIF($N$2:$N$1000,{"Low","Medium","High"})),COUNTIF($N$2:$N$1000,{"Low","Medium","High"}),0)),N96)</f>
        <v>Low</v>
      </c>
    </row>
    <row r="97" spans="1:15" x14ac:dyDescent="0.25">
      <c r="A97">
        <v>14</v>
      </c>
      <c r="B97">
        <f t="shared" si="3"/>
        <v>14</v>
      </c>
      <c r="F97">
        <v>7.33</v>
      </c>
      <c r="G97">
        <f t="shared" si="4"/>
        <v>7.33</v>
      </c>
      <c r="J97" t="s">
        <v>111</v>
      </c>
      <c r="K97" t="str">
        <f t="shared" si="5"/>
        <v>Returned</v>
      </c>
      <c r="N97" t="s">
        <v>25</v>
      </c>
      <c r="O97" t="str">
        <f>IF(N97="",INDEX({"Low","Medium","High"},MATCH(MAX(COUNTIF($N$2:$N$1000,{"Low","Medium","High"})),COUNTIF($N$2:$N$1000,{"Low","Medium","High"}),0)),N97)</f>
        <v>Low</v>
      </c>
    </row>
    <row r="98" spans="1:15" x14ac:dyDescent="0.25">
      <c r="A98">
        <v>19</v>
      </c>
      <c r="B98">
        <f t="shared" si="3"/>
        <v>19</v>
      </c>
      <c r="F98">
        <v>95.06</v>
      </c>
      <c r="G98">
        <f t="shared" si="4"/>
        <v>95.06</v>
      </c>
      <c r="J98" t="s">
        <v>22</v>
      </c>
      <c r="K98" t="str">
        <f t="shared" si="5"/>
        <v>Not Returned</v>
      </c>
      <c r="N98" t="s">
        <v>40</v>
      </c>
      <c r="O98" t="str">
        <f>IF(N98="",INDEX({"Low","Medium","High"},MATCH(MAX(COUNTIF($N$2:$N$1000,{"Low","Medium","High"})),COUNTIF($N$2:$N$1000,{"Low","Medium","High"}),0)),N98)</f>
        <v>Medium</v>
      </c>
    </row>
    <row r="99" spans="1:15" x14ac:dyDescent="0.25">
      <c r="A99">
        <v>35</v>
      </c>
      <c r="B99">
        <f t="shared" si="3"/>
        <v>35</v>
      </c>
      <c r="F99">
        <v>68.569999999999993</v>
      </c>
      <c r="G99">
        <f t="shared" si="4"/>
        <v>68.569999999999993</v>
      </c>
      <c r="J99" t="s">
        <v>22</v>
      </c>
      <c r="K99" t="str">
        <f t="shared" si="5"/>
        <v>Not Returned</v>
      </c>
      <c r="O99" s="3" t="str">
        <f>IF(N99="",INDEX({"Low","Medium","High"},MATCH(MAX(COUNTIF($N$2:$N$1000,{"Low","Medium","High"})),COUNTIF($N$2:$N$1000,{"Low","Medium","High"}),0)),N99)</f>
        <v>Low</v>
      </c>
    </row>
    <row r="100" spans="1:15" x14ac:dyDescent="0.25">
      <c r="A100">
        <v>34</v>
      </c>
      <c r="B100">
        <f t="shared" si="3"/>
        <v>34</v>
      </c>
      <c r="F100">
        <v>17.75</v>
      </c>
      <c r="G100">
        <f t="shared" si="4"/>
        <v>17.75</v>
      </c>
      <c r="J100" t="s">
        <v>22</v>
      </c>
      <c r="K100" t="str">
        <f t="shared" si="5"/>
        <v>Not Returned</v>
      </c>
      <c r="O100" s="3" t="str">
        <f>IF(N100="",INDEX({"Low","Medium","High"},MATCH(MAX(COUNTIF($N$2:$N$1000,{"Low","Medium","High"})),COUNTIF($N$2:$N$1000,{"Low","Medium","High"}),0)),N100)</f>
        <v>Low</v>
      </c>
    </row>
    <row r="101" spans="1:15" x14ac:dyDescent="0.25">
      <c r="A101">
        <v>8</v>
      </c>
      <c r="B101">
        <f t="shared" si="3"/>
        <v>8</v>
      </c>
      <c r="F101">
        <v>42.98</v>
      </c>
      <c r="G101">
        <f t="shared" si="4"/>
        <v>42.98</v>
      </c>
      <c r="J101" t="s">
        <v>22</v>
      </c>
      <c r="K101" t="str">
        <f t="shared" si="5"/>
        <v>Not Returned</v>
      </c>
      <c r="N101" t="s">
        <v>25</v>
      </c>
      <c r="O101" t="str">
        <f>IF(N101="",INDEX({"Low","Medium","High"},MATCH(MAX(COUNTIF($N$2:$N$1000,{"Low","Medium","High"})),COUNTIF($N$2:$N$1000,{"Low","Medium","High"}),0)),N101)</f>
        <v>Low</v>
      </c>
    </row>
    <row r="102" spans="1:15" x14ac:dyDescent="0.25">
      <c r="A102">
        <v>13</v>
      </c>
      <c r="B102">
        <f t="shared" si="3"/>
        <v>13</v>
      </c>
      <c r="F102">
        <v>61.05</v>
      </c>
      <c r="G102">
        <f t="shared" si="4"/>
        <v>61.05</v>
      </c>
      <c r="J102" t="s">
        <v>22</v>
      </c>
      <c r="K102" t="str">
        <f t="shared" si="5"/>
        <v>Not Returned</v>
      </c>
      <c r="N102" t="s">
        <v>25</v>
      </c>
      <c r="O102" t="str">
        <f>IF(N102="",INDEX({"Low","Medium","High"},MATCH(MAX(COUNTIF($N$2:$N$1000,{"Low","Medium","High"})),COUNTIF($N$2:$N$1000,{"Low","Medium","High"}),0)),N102)</f>
        <v>Low</v>
      </c>
    </row>
    <row r="103" spans="1:15" x14ac:dyDescent="0.25">
      <c r="A103">
        <v>36</v>
      </c>
      <c r="B103">
        <f t="shared" si="3"/>
        <v>36</v>
      </c>
      <c r="G103" s="3">
        <f t="shared" si="4"/>
        <v>53</v>
      </c>
      <c r="J103" t="s">
        <v>22</v>
      </c>
      <c r="K103" t="str">
        <f t="shared" si="5"/>
        <v>Not Returned</v>
      </c>
      <c r="N103" t="s">
        <v>40</v>
      </c>
      <c r="O103" t="str">
        <f>IF(N103="",INDEX({"Low","Medium","High"},MATCH(MAX(COUNTIF($N$2:$N$1000,{"Low","Medium","High"})),COUNTIF($N$2:$N$1000,{"Low","Medium","High"}),0)),N103)</f>
        <v>Medium</v>
      </c>
    </row>
    <row r="104" spans="1:15" x14ac:dyDescent="0.25">
      <c r="A104">
        <v>41</v>
      </c>
      <c r="B104">
        <f t="shared" si="3"/>
        <v>41</v>
      </c>
      <c r="F104">
        <v>20.64</v>
      </c>
      <c r="G104">
        <f t="shared" si="4"/>
        <v>20.64</v>
      </c>
      <c r="J104" t="s">
        <v>22</v>
      </c>
      <c r="K104" t="str">
        <f t="shared" si="5"/>
        <v>Not Returned</v>
      </c>
      <c r="N104" t="s">
        <v>25</v>
      </c>
      <c r="O104" t="str">
        <f>IF(N104="",INDEX({"Low","Medium","High"},MATCH(MAX(COUNTIF($N$2:$N$1000,{"Low","Medium","High"})),COUNTIF($N$2:$N$1000,{"Low","Medium","High"}),0)),N104)</f>
        <v>Low</v>
      </c>
    </row>
    <row r="105" spans="1:15" x14ac:dyDescent="0.25">
      <c r="A105">
        <v>26</v>
      </c>
      <c r="B105">
        <f t="shared" si="3"/>
        <v>26</v>
      </c>
      <c r="F105">
        <v>84.46</v>
      </c>
      <c r="G105">
        <f t="shared" si="4"/>
        <v>84.46</v>
      </c>
      <c r="J105" t="s">
        <v>22</v>
      </c>
      <c r="K105" t="str">
        <f t="shared" si="5"/>
        <v>Not Returned</v>
      </c>
      <c r="N105" t="s">
        <v>25</v>
      </c>
      <c r="O105" t="str">
        <f>IF(N105="",INDEX({"Low","Medium","High"},MATCH(MAX(COUNTIF($N$2:$N$1000,{"Low","Medium","High"})),COUNTIF($N$2:$N$1000,{"Low","Medium","High"}),0)),N105)</f>
        <v>Low</v>
      </c>
    </row>
    <row r="106" spans="1:15" x14ac:dyDescent="0.25">
      <c r="A106">
        <v>9</v>
      </c>
      <c r="B106">
        <f t="shared" si="3"/>
        <v>9</v>
      </c>
      <c r="F106">
        <v>68.72</v>
      </c>
      <c r="G106">
        <f t="shared" si="4"/>
        <v>68.72</v>
      </c>
      <c r="J106" t="s">
        <v>22</v>
      </c>
      <c r="K106" t="str">
        <f t="shared" si="5"/>
        <v>Not Returned</v>
      </c>
      <c r="N106" t="s">
        <v>34</v>
      </c>
      <c r="O106" t="str">
        <f>IF(N106="",INDEX({"Low","Medium","High"},MATCH(MAX(COUNTIF($N$2:$N$1000,{"Low","Medium","High"})),COUNTIF($N$2:$N$1000,{"Low","Medium","High"}),0)),N106)</f>
        <v>High</v>
      </c>
    </row>
    <row r="107" spans="1:15" x14ac:dyDescent="0.25">
      <c r="A107">
        <v>23</v>
      </c>
      <c r="B107">
        <f t="shared" si="3"/>
        <v>23</v>
      </c>
      <c r="F107">
        <v>72.98</v>
      </c>
      <c r="G107">
        <f t="shared" si="4"/>
        <v>72.98</v>
      </c>
      <c r="J107" t="s">
        <v>22</v>
      </c>
      <c r="K107" t="str">
        <f t="shared" si="5"/>
        <v>Not Returned</v>
      </c>
      <c r="N107" t="s">
        <v>25</v>
      </c>
      <c r="O107" t="str">
        <f>IF(N107="",INDEX({"Low","Medium","High"},MATCH(MAX(COUNTIF($N$2:$N$1000,{"Low","Medium","High"})),COUNTIF($N$2:$N$1000,{"Low","Medium","High"}),0)),N107)</f>
        <v>Low</v>
      </c>
    </row>
    <row r="108" spans="1:15" x14ac:dyDescent="0.25">
      <c r="B108" s="3">
        <f t="shared" si="3"/>
        <v>26</v>
      </c>
      <c r="F108">
        <v>50.17</v>
      </c>
      <c r="G108">
        <f t="shared" si="4"/>
        <v>50.17</v>
      </c>
      <c r="J108" t="s">
        <v>22</v>
      </c>
      <c r="K108" t="str">
        <f t="shared" si="5"/>
        <v>Not Returned</v>
      </c>
      <c r="N108" t="s">
        <v>34</v>
      </c>
      <c r="O108" t="str">
        <f>IF(N108="",INDEX({"Low","Medium","High"},MATCH(MAX(COUNTIF($N$2:$N$1000,{"Low","Medium","High"})),COUNTIF($N$2:$N$1000,{"Low","Medium","High"}),0)),N108)</f>
        <v>High</v>
      </c>
    </row>
    <row r="109" spans="1:15" x14ac:dyDescent="0.25">
      <c r="A109">
        <v>1</v>
      </c>
      <c r="B109">
        <f t="shared" si="3"/>
        <v>1</v>
      </c>
      <c r="F109">
        <v>22.97</v>
      </c>
      <c r="G109">
        <f t="shared" si="4"/>
        <v>22.97</v>
      </c>
      <c r="J109" t="s">
        <v>22</v>
      </c>
      <c r="K109" t="str">
        <f t="shared" si="5"/>
        <v>Not Returned</v>
      </c>
      <c r="N109" t="s">
        <v>25</v>
      </c>
      <c r="O109" t="str">
        <f>IF(N109="",INDEX({"Low","Medium","High"},MATCH(MAX(COUNTIF($N$2:$N$1000,{"Low","Medium","High"})),COUNTIF($N$2:$N$1000,{"Low","Medium","High"}),0)),N109)</f>
        <v>Low</v>
      </c>
    </row>
    <row r="110" spans="1:15" x14ac:dyDescent="0.25">
      <c r="A110">
        <v>19</v>
      </c>
      <c r="B110">
        <f t="shared" si="3"/>
        <v>19</v>
      </c>
      <c r="F110">
        <v>62.79</v>
      </c>
      <c r="G110">
        <f t="shared" si="4"/>
        <v>62.79</v>
      </c>
      <c r="J110" t="s">
        <v>22</v>
      </c>
      <c r="K110" t="str">
        <f t="shared" si="5"/>
        <v>Not Returned</v>
      </c>
      <c r="N110" t="s">
        <v>40</v>
      </c>
      <c r="O110" t="str">
        <f>IF(N110="",INDEX({"Low","Medium","High"},MATCH(MAX(COUNTIF($N$2:$N$1000,{"Low","Medium","High"})),COUNTIF($N$2:$N$1000,{"Low","Medium","High"}),0)),N110)</f>
        <v>Medium</v>
      </c>
    </row>
    <row r="111" spans="1:15" x14ac:dyDescent="0.25">
      <c r="A111">
        <v>1</v>
      </c>
      <c r="B111">
        <f t="shared" si="3"/>
        <v>1</v>
      </c>
      <c r="F111">
        <v>3.09</v>
      </c>
      <c r="G111">
        <f t="shared" si="4"/>
        <v>3.09</v>
      </c>
      <c r="J111" t="s">
        <v>22</v>
      </c>
      <c r="K111" t="str">
        <f t="shared" si="5"/>
        <v>Not Returned</v>
      </c>
      <c r="O111" s="3" t="str">
        <f>IF(N111="",INDEX({"Low","Medium","High"},MATCH(MAX(COUNTIF($N$2:$N$1000,{"Low","Medium","High"})),COUNTIF($N$2:$N$1000,{"Low","Medium","High"}),0)),N111)</f>
        <v>Low</v>
      </c>
    </row>
    <row r="112" spans="1:15" x14ac:dyDescent="0.25">
      <c r="A112">
        <v>37</v>
      </c>
      <c r="B112">
        <f t="shared" si="3"/>
        <v>37</v>
      </c>
      <c r="F112">
        <v>52.3</v>
      </c>
      <c r="G112">
        <f t="shared" si="4"/>
        <v>52.3</v>
      </c>
      <c r="J112" t="s">
        <v>22</v>
      </c>
      <c r="K112" t="str">
        <f t="shared" si="5"/>
        <v>Not Returned</v>
      </c>
      <c r="N112" t="s">
        <v>34</v>
      </c>
      <c r="O112" t="str">
        <f>IF(N112="",INDEX({"Low","Medium","High"},MATCH(MAX(COUNTIF($N$2:$N$1000,{"Low","Medium","High"})),COUNTIF($N$2:$N$1000,{"Low","Medium","High"}),0)),N112)</f>
        <v>High</v>
      </c>
    </row>
    <row r="113" spans="1:15" x14ac:dyDescent="0.25">
      <c r="A113">
        <v>26</v>
      </c>
      <c r="B113">
        <f t="shared" si="3"/>
        <v>26</v>
      </c>
      <c r="F113">
        <v>91.26</v>
      </c>
      <c r="G113">
        <f t="shared" si="4"/>
        <v>91.26</v>
      </c>
      <c r="J113" t="s">
        <v>22</v>
      </c>
      <c r="K113" t="str">
        <f t="shared" si="5"/>
        <v>Not Returned</v>
      </c>
      <c r="N113" t="s">
        <v>40</v>
      </c>
      <c r="O113" t="str">
        <f>IF(N113="",INDEX({"Low","Medium","High"},MATCH(MAX(COUNTIF($N$2:$N$1000,{"Low","Medium","High"})),COUNTIF($N$2:$N$1000,{"Low","Medium","High"}),0)),N113)</f>
        <v>Medium</v>
      </c>
    </row>
    <row r="114" spans="1:15" x14ac:dyDescent="0.25">
      <c r="A114">
        <v>35</v>
      </c>
      <c r="B114">
        <f t="shared" si="3"/>
        <v>35</v>
      </c>
      <c r="F114">
        <v>87.47</v>
      </c>
      <c r="G114">
        <f t="shared" si="4"/>
        <v>87.47</v>
      </c>
      <c r="J114" t="s">
        <v>22</v>
      </c>
      <c r="K114" t="str">
        <f t="shared" si="5"/>
        <v>Not Returned</v>
      </c>
      <c r="N114" t="s">
        <v>34</v>
      </c>
      <c r="O114" t="str">
        <f>IF(N114="",INDEX({"Low","Medium","High"},MATCH(MAX(COUNTIF($N$2:$N$1000,{"Low","Medium","High"})),COUNTIF($N$2:$N$1000,{"Low","Medium","High"}),0)),N114)</f>
        <v>High</v>
      </c>
    </row>
    <row r="115" spans="1:15" x14ac:dyDescent="0.25">
      <c r="A115">
        <v>12</v>
      </c>
      <c r="B115">
        <f t="shared" si="3"/>
        <v>12</v>
      </c>
      <c r="G115" s="3">
        <f t="shared" si="4"/>
        <v>53</v>
      </c>
      <c r="J115" t="s">
        <v>22</v>
      </c>
      <c r="K115" t="str">
        <f t="shared" si="5"/>
        <v>Not Returned</v>
      </c>
      <c r="N115" t="s">
        <v>34</v>
      </c>
      <c r="O115" t="str">
        <f>IF(N115="",INDEX({"Low","Medium","High"},MATCH(MAX(COUNTIF($N$2:$N$1000,{"Low","Medium","High"})),COUNTIF($N$2:$N$1000,{"Low","Medium","High"}),0)),N115)</f>
        <v>High</v>
      </c>
    </row>
    <row r="116" spans="1:15" x14ac:dyDescent="0.25">
      <c r="A116">
        <v>2</v>
      </c>
      <c r="B116">
        <f t="shared" si="3"/>
        <v>2</v>
      </c>
      <c r="F116">
        <v>22.94</v>
      </c>
      <c r="G116">
        <f t="shared" si="4"/>
        <v>22.94</v>
      </c>
      <c r="J116" t="s">
        <v>22</v>
      </c>
      <c r="K116" t="str">
        <f t="shared" si="5"/>
        <v>Not Returned</v>
      </c>
      <c r="N116" t="s">
        <v>34</v>
      </c>
      <c r="O116" t="str">
        <f>IF(N116="",INDEX({"Low","Medium","High"},MATCH(MAX(COUNTIF($N$2:$N$1000,{"Low","Medium","High"})),COUNTIF($N$2:$N$1000,{"Low","Medium","High"}),0)),N116)</f>
        <v>High</v>
      </c>
    </row>
    <row r="117" spans="1:15" x14ac:dyDescent="0.25">
      <c r="A117">
        <v>38</v>
      </c>
      <c r="B117">
        <f t="shared" si="3"/>
        <v>38</v>
      </c>
      <c r="F117">
        <v>38.08</v>
      </c>
      <c r="G117">
        <f t="shared" si="4"/>
        <v>38.08</v>
      </c>
      <c r="J117" t="s">
        <v>22</v>
      </c>
      <c r="K117" t="str">
        <f t="shared" si="5"/>
        <v>Not Returned</v>
      </c>
      <c r="N117" t="s">
        <v>40</v>
      </c>
      <c r="O117" t="str">
        <f>IF(N117="",INDEX({"Low","Medium","High"},MATCH(MAX(COUNTIF($N$2:$N$1000,{"Low","Medium","High"})),COUNTIF($N$2:$N$1000,{"Low","Medium","High"}),0)),N117)</f>
        <v>Medium</v>
      </c>
    </row>
    <row r="118" spans="1:15" x14ac:dyDescent="0.25">
      <c r="A118">
        <v>4</v>
      </c>
      <c r="B118">
        <f t="shared" si="3"/>
        <v>4</v>
      </c>
      <c r="F118">
        <v>5.75</v>
      </c>
      <c r="G118">
        <f t="shared" si="4"/>
        <v>5.75</v>
      </c>
      <c r="J118" t="s">
        <v>22</v>
      </c>
      <c r="K118" t="str">
        <f t="shared" si="5"/>
        <v>Not Returned</v>
      </c>
      <c r="N118" t="s">
        <v>25</v>
      </c>
      <c r="O118" t="str">
        <f>IF(N118="",INDEX({"Low","Medium","High"},MATCH(MAX(COUNTIF($N$2:$N$1000,{"Low","Medium","High"})),COUNTIF($N$2:$N$1000,{"Low","Medium","High"}),0)),N118)</f>
        <v>Low</v>
      </c>
    </row>
    <row r="119" spans="1:15" x14ac:dyDescent="0.25">
      <c r="A119">
        <v>44</v>
      </c>
      <c r="B119">
        <f t="shared" si="3"/>
        <v>44</v>
      </c>
      <c r="F119">
        <v>45.18</v>
      </c>
      <c r="G119">
        <f t="shared" si="4"/>
        <v>45.18</v>
      </c>
      <c r="J119" t="s">
        <v>22</v>
      </c>
      <c r="K119" t="str">
        <f t="shared" si="5"/>
        <v>Not Returned</v>
      </c>
      <c r="N119" t="s">
        <v>25</v>
      </c>
      <c r="O119" t="str">
        <f>IF(N119="",INDEX({"Low","Medium","High"},MATCH(MAX(COUNTIF($N$2:$N$1000,{"Low","Medium","High"})),COUNTIF($N$2:$N$1000,{"Low","Medium","High"}),0)),N119)</f>
        <v>Low</v>
      </c>
    </row>
    <row r="120" spans="1:15" x14ac:dyDescent="0.25">
      <c r="A120">
        <v>47</v>
      </c>
      <c r="B120">
        <f t="shared" si="3"/>
        <v>47</v>
      </c>
      <c r="F120">
        <v>45.76</v>
      </c>
      <c r="G120">
        <f t="shared" si="4"/>
        <v>45.76</v>
      </c>
      <c r="J120" t="s">
        <v>22</v>
      </c>
      <c r="K120" t="str">
        <f t="shared" si="5"/>
        <v>Not Returned</v>
      </c>
      <c r="N120" t="s">
        <v>34</v>
      </c>
      <c r="O120" t="str">
        <f>IF(N120="",INDEX({"Low","Medium","High"},MATCH(MAX(COUNTIF($N$2:$N$1000,{"Low","Medium","High"})),COUNTIF($N$2:$N$1000,{"Low","Medium","High"}),0)),N120)</f>
        <v>High</v>
      </c>
    </row>
    <row r="121" spans="1:15" x14ac:dyDescent="0.25">
      <c r="A121">
        <v>21</v>
      </c>
      <c r="B121">
        <f t="shared" si="3"/>
        <v>21</v>
      </c>
      <c r="F121">
        <v>65.760000000000005</v>
      </c>
      <c r="G121">
        <f t="shared" si="4"/>
        <v>65.760000000000005</v>
      </c>
      <c r="J121" t="s">
        <v>22</v>
      </c>
      <c r="K121" t="str">
        <f t="shared" si="5"/>
        <v>Not Returned</v>
      </c>
      <c r="N121" t="s">
        <v>25</v>
      </c>
      <c r="O121" t="str">
        <f>IF(N121="",INDEX({"Low","Medium","High"},MATCH(MAX(COUNTIF($N$2:$N$1000,{"Low","Medium","High"})),COUNTIF($N$2:$N$1000,{"Low","Medium","High"}),0)),N121)</f>
        <v>Low</v>
      </c>
    </row>
    <row r="122" spans="1:15" x14ac:dyDescent="0.25">
      <c r="A122">
        <v>7</v>
      </c>
      <c r="B122">
        <f t="shared" si="3"/>
        <v>7</v>
      </c>
      <c r="G122" s="3">
        <f t="shared" si="4"/>
        <v>53</v>
      </c>
      <c r="K122" s="3" t="str">
        <f t="shared" si="5"/>
        <v>Unknown</v>
      </c>
      <c r="N122" t="s">
        <v>25</v>
      </c>
      <c r="O122" t="str">
        <f>IF(N122="",INDEX({"Low","Medium","High"},MATCH(MAX(COUNTIF($N$2:$N$1000,{"Low","Medium","High"})),COUNTIF($N$2:$N$1000,{"Low","Medium","High"}),0)),N122)</f>
        <v>Low</v>
      </c>
    </row>
    <row r="123" spans="1:15" x14ac:dyDescent="0.25">
      <c r="A123">
        <v>42</v>
      </c>
      <c r="B123">
        <f t="shared" si="3"/>
        <v>42</v>
      </c>
      <c r="F123">
        <v>34.700000000000003</v>
      </c>
      <c r="G123">
        <f t="shared" si="4"/>
        <v>34.700000000000003</v>
      </c>
      <c r="J123" t="s">
        <v>22</v>
      </c>
      <c r="K123" t="str">
        <f t="shared" si="5"/>
        <v>Not Returned</v>
      </c>
      <c r="N123" t="s">
        <v>40</v>
      </c>
      <c r="O123" t="str">
        <f>IF(N123="",INDEX({"Low","Medium","High"},MATCH(MAX(COUNTIF($N$2:$N$1000,{"Low","Medium","High"})),COUNTIF($N$2:$N$1000,{"Low","Medium","High"}),0)),N123)</f>
        <v>Medium</v>
      </c>
    </row>
    <row r="124" spans="1:15" x14ac:dyDescent="0.25">
      <c r="A124">
        <v>15</v>
      </c>
      <c r="B124">
        <f t="shared" si="3"/>
        <v>15</v>
      </c>
      <c r="F124">
        <v>79.27</v>
      </c>
      <c r="G124">
        <f t="shared" si="4"/>
        <v>79.27</v>
      </c>
      <c r="J124" t="s">
        <v>22</v>
      </c>
      <c r="K124" t="str">
        <f t="shared" si="5"/>
        <v>Not Returned</v>
      </c>
      <c r="N124" t="s">
        <v>25</v>
      </c>
      <c r="O124" t="str">
        <f>IF(N124="",INDEX({"Low","Medium","High"},MATCH(MAX(COUNTIF($N$2:$N$1000,{"Low","Medium","High"})),COUNTIF($N$2:$N$1000,{"Low","Medium","High"}),0)),N124)</f>
        <v>Low</v>
      </c>
    </row>
    <row r="125" spans="1:15" x14ac:dyDescent="0.25">
      <c r="B125" s="3">
        <f t="shared" si="3"/>
        <v>26</v>
      </c>
      <c r="F125">
        <v>71.91</v>
      </c>
      <c r="G125">
        <f t="shared" si="4"/>
        <v>71.91</v>
      </c>
      <c r="J125" t="s">
        <v>22</v>
      </c>
      <c r="K125" t="str">
        <f t="shared" si="5"/>
        <v>Not Returned</v>
      </c>
      <c r="N125" t="s">
        <v>34</v>
      </c>
      <c r="O125" t="str">
        <f>IF(N125="",INDEX({"Low","Medium","High"},MATCH(MAX(COUNTIF($N$2:$N$1000,{"Low","Medium","High"})),COUNTIF($N$2:$N$1000,{"Low","Medium","High"}),0)),N125)</f>
        <v>High</v>
      </c>
    </row>
    <row r="126" spans="1:15" x14ac:dyDescent="0.25">
      <c r="A126">
        <v>21</v>
      </c>
      <c r="B126">
        <f t="shared" si="3"/>
        <v>21</v>
      </c>
      <c r="F126">
        <v>75.41</v>
      </c>
      <c r="G126">
        <f t="shared" si="4"/>
        <v>75.41</v>
      </c>
      <c r="K126" s="3" t="str">
        <f t="shared" si="5"/>
        <v>Unknown</v>
      </c>
      <c r="N126" t="s">
        <v>34</v>
      </c>
      <c r="O126" t="str">
        <f>IF(N126="",INDEX({"Low","Medium","High"},MATCH(MAX(COUNTIF($N$2:$N$1000,{"Low","Medium","High"})),COUNTIF($N$2:$N$1000,{"Low","Medium","High"}),0)),N126)</f>
        <v>High</v>
      </c>
    </row>
    <row r="127" spans="1:15" x14ac:dyDescent="0.25">
      <c r="A127">
        <v>32</v>
      </c>
      <c r="B127">
        <f t="shared" si="3"/>
        <v>32</v>
      </c>
      <c r="F127">
        <v>87.88</v>
      </c>
      <c r="G127">
        <f t="shared" si="4"/>
        <v>87.88</v>
      </c>
      <c r="J127" t="s">
        <v>22</v>
      </c>
      <c r="K127" t="str">
        <f t="shared" si="5"/>
        <v>Not Returned</v>
      </c>
      <c r="N127" t="s">
        <v>34</v>
      </c>
      <c r="O127" t="str">
        <f>IF(N127="",INDEX({"Low","Medium","High"},MATCH(MAX(COUNTIF($N$2:$N$1000,{"Low","Medium","High"})),COUNTIF($N$2:$N$1000,{"Low","Medium","High"}),0)),N127)</f>
        <v>High</v>
      </c>
    </row>
    <row r="128" spans="1:15" x14ac:dyDescent="0.25">
      <c r="A128">
        <v>25</v>
      </c>
      <c r="B128">
        <f t="shared" si="3"/>
        <v>25</v>
      </c>
      <c r="F128">
        <v>71.66</v>
      </c>
      <c r="G128">
        <f t="shared" si="4"/>
        <v>71.66</v>
      </c>
      <c r="J128" t="s">
        <v>22</v>
      </c>
      <c r="K128" t="str">
        <f t="shared" si="5"/>
        <v>Not Returned</v>
      </c>
      <c r="N128" t="s">
        <v>40</v>
      </c>
      <c r="O128" t="str">
        <f>IF(N128="",INDEX({"Low","Medium","High"},MATCH(MAX(COUNTIF($N$2:$N$1000,{"Low","Medium","High"})),COUNTIF($N$2:$N$1000,{"Low","Medium","High"}),0)),N128)</f>
        <v>Medium</v>
      </c>
    </row>
    <row r="129" spans="1:15" x14ac:dyDescent="0.25">
      <c r="A129">
        <v>2</v>
      </c>
      <c r="B129">
        <f t="shared" si="3"/>
        <v>2</v>
      </c>
      <c r="F129">
        <v>22.54</v>
      </c>
      <c r="G129">
        <f t="shared" si="4"/>
        <v>22.54</v>
      </c>
      <c r="J129" t="s">
        <v>22</v>
      </c>
      <c r="K129" t="str">
        <f t="shared" si="5"/>
        <v>Not Returned</v>
      </c>
      <c r="N129" t="s">
        <v>40</v>
      </c>
      <c r="O129" t="str">
        <f>IF(N129="",INDEX({"Low","Medium","High"},MATCH(MAX(COUNTIF($N$2:$N$1000,{"Low","Medium","High"})),COUNTIF($N$2:$N$1000,{"Low","Medium","High"}),0)),N129)</f>
        <v>Medium</v>
      </c>
    </row>
    <row r="130" spans="1:15" x14ac:dyDescent="0.25">
      <c r="A130">
        <v>9</v>
      </c>
      <c r="B130">
        <f t="shared" ref="B130:B193" si="6">IF(A130="",ROUNDUP(AVERAGE($A$2:$A$1000),0),A130)</f>
        <v>9</v>
      </c>
      <c r="F130">
        <v>42.51</v>
      </c>
      <c r="G130">
        <f t="shared" si="4"/>
        <v>42.51</v>
      </c>
      <c r="J130" t="s">
        <v>22</v>
      </c>
      <c r="K130" t="str">
        <f t="shared" si="5"/>
        <v>Not Returned</v>
      </c>
      <c r="N130" t="s">
        <v>25</v>
      </c>
      <c r="O130" t="str">
        <f>IF(N130="",INDEX({"Low","Medium","High"},MATCH(MAX(COUNTIF($N$2:$N$1000,{"Low","Medium","High"})),COUNTIF($N$2:$N$1000,{"Low","Medium","High"}),0)),N130)</f>
        <v>Low</v>
      </c>
    </row>
    <row r="131" spans="1:15" x14ac:dyDescent="0.25">
      <c r="A131">
        <v>34</v>
      </c>
      <c r="B131">
        <f t="shared" si="6"/>
        <v>34</v>
      </c>
      <c r="G131" s="3">
        <f t="shared" ref="G131:G194" si="7">IF(F131="",ROUNDUP(AVERAGE($F$2:$F$1000),0),F131)</f>
        <v>53</v>
      </c>
      <c r="J131" t="s">
        <v>22</v>
      </c>
      <c r="K131" t="str">
        <f t="shared" ref="K131:K194" si="8">IF(J131="","Unknown",J131)</f>
        <v>Not Returned</v>
      </c>
      <c r="N131" t="s">
        <v>34</v>
      </c>
      <c r="O131" t="str">
        <f>IF(N131="",INDEX({"Low","Medium","High"},MATCH(MAX(COUNTIF($N$2:$N$1000,{"Low","Medium","High"})),COUNTIF($N$2:$N$1000,{"Low","Medium","High"}),0)),N131)</f>
        <v>High</v>
      </c>
    </row>
    <row r="132" spans="1:15" x14ac:dyDescent="0.25">
      <c r="A132">
        <v>16</v>
      </c>
      <c r="B132">
        <f t="shared" si="6"/>
        <v>16</v>
      </c>
      <c r="F132">
        <v>96.77</v>
      </c>
      <c r="G132">
        <f t="shared" si="7"/>
        <v>96.77</v>
      </c>
      <c r="J132" t="s">
        <v>22</v>
      </c>
      <c r="K132" t="str">
        <f t="shared" si="8"/>
        <v>Not Returned</v>
      </c>
      <c r="N132" t="s">
        <v>34</v>
      </c>
      <c r="O132" t="str">
        <f>IF(N132="",INDEX({"Low","Medium","High"},MATCH(MAX(COUNTIF($N$2:$N$1000,{"Low","Medium","High"})),COUNTIF($N$2:$N$1000,{"Low","Medium","High"}),0)),N132)</f>
        <v>High</v>
      </c>
    </row>
    <row r="133" spans="1:15" x14ac:dyDescent="0.25">
      <c r="A133">
        <v>32</v>
      </c>
      <c r="B133">
        <f t="shared" si="6"/>
        <v>32</v>
      </c>
      <c r="F133">
        <v>65.23</v>
      </c>
      <c r="G133">
        <f t="shared" si="7"/>
        <v>65.23</v>
      </c>
      <c r="J133" t="s">
        <v>22</v>
      </c>
      <c r="K133" t="str">
        <f t="shared" si="8"/>
        <v>Not Returned</v>
      </c>
      <c r="N133" t="s">
        <v>34</v>
      </c>
      <c r="O133" t="str">
        <f>IF(N133="",INDEX({"Low","Medium","High"},MATCH(MAX(COUNTIF($N$2:$N$1000,{"Low","Medium","High"})),COUNTIF($N$2:$N$1000,{"Low","Medium","High"}),0)),N133)</f>
        <v>High</v>
      </c>
    </row>
    <row r="134" spans="1:15" x14ac:dyDescent="0.25">
      <c r="A134">
        <v>47</v>
      </c>
      <c r="B134">
        <f t="shared" si="6"/>
        <v>47</v>
      </c>
      <c r="F134">
        <v>82.16</v>
      </c>
      <c r="G134">
        <f t="shared" si="7"/>
        <v>82.16</v>
      </c>
      <c r="J134" t="s">
        <v>111</v>
      </c>
      <c r="K134" t="str">
        <f t="shared" si="8"/>
        <v>Returned</v>
      </c>
      <c r="N134" t="s">
        <v>34</v>
      </c>
      <c r="O134" t="str">
        <f>IF(N134="",INDEX({"Low","Medium","High"},MATCH(MAX(COUNTIF($N$2:$N$1000,{"Low","Medium","High"})),COUNTIF($N$2:$N$1000,{"Low","Medium","High"}),0)),N134)</f>
        <v>High</v>
      </c>
    </row>
    <row r="135" spans="1:15" x14ac:dyDescent="0.25">
      <c r="A135">
        <v>19</v>
      </c>
      <c r="B135">
        <f t="shared" si="6"/>
        <v>19</v>
      </c>
      <c r="F135">
        <v>59.26</v>
      </c>
      <c r="G135">
        <f t="shared" si="7"/>
        <v>59.26</v>
      </c>
      <c r="J135" t="s">
        <v>22</v>
      </c>
      <c r="K135" t="str">
        <f t="shared" si="8"/>
        <v>Not Returned</v>
      </c>
      <c r="O135" s="3" t="str">
        <f>IF(N135="",INDEX({"Low","Medium","High"},MATCH(MAX(COUNTIF($N$2:$N$1000,{"Low","Medium","High"})),COUNTIF($N$2:$N$1000,{"Low","Medium","High"}),0)),N135)</f>
        <v>Low</v>
      </c>
    </row>
    <row r="136" spans="1:15" x14ac:dyDescent="0.25">
      <c r="A136">
        <v>47</v>
      </c>
      <c r="B136">
        <f t="shared" si="6"/>
        <v>47</v>
      </c>
      <c r="F136">
        <v>80.900000000000006</v>
      </c>
      <c r="G136">
        <f t="shared" si="7"/>
        <v>80.900000000000006</v>
      </c>
      <c r="J136" t="s">
        <v>22</v>
      </c>
      <c r="K136" t="str">
        <f t="shared" si="8"/>
        <v>Not Returned</v>
      </c>
      <c r="N136" t="s">
        <v>34</v>
      </c>
      <c r="O136" t="str">
        <f>IF(N136="",INDEX({"Low","Medium","High"},MATCH(MAX(COUNTIF($N$2:$N$1000,{"Low","Medium","High"})),COUNTIF($N$2:$N$1000,{"Low","Medium","High"}),0)),N136)</f>
        <v>High</v>
      </c>
    </row>
    <row r="137" spans="1:15" x14ac:dyDescent="0.25">
      <c r="A137">
        <v>2</v>
      </c>
      <c r="B137">
        <f t="shared" si="6"/>
        <v>2</v>
      </c>
      <c r="F137">
        <v>59.49</v>
      </c>
      <c r="G137">
        <f t="shared" si="7"/>
        <v>59.49</v>
      </c>
      <c r="J137" t="s">
        <v>22</v>
      </c>
      <c r="K137" t="str">
        <f t="shared" si="8"/>
        <v>Not Returned</v>
      </c>
      <c r="N137" t="s">
        <v>40</v>
      </c>
      <c r="O137" t="str">
        <f>IF(N137="",INDEX({"Low","Medium","High"},MATCH(MAX(COUNTIF($N$2:$N$1000,{"Low","Medium","High"})),COUNTIF($N$2:$N$1000,{"Low","Medium","High"}),0)),N137)</f>
        <v>Medium</v>
      </c>
    </row>
    <row r="138" spans="1:15" x14ac:dyDescent="0.25">
      <c r="A138">
        <v>32</v>
      </c>
      <c r="B138">
        <f t="shared" si="6"/>
        <v>32</v>
      </c>
      <c r="F138">
        <v>2.2200000000000002</v>
      </c>
      <c r="G138">
        <f t="shared" si="7"/>
        <v>2.2200000000000002</v>
      </c>
      <c r="J138" t="s">
        <v>22</v>
      </c>
      <c r="K138" t="str">
        <f t="shared" si="8"/>
        <v>Not Returned</v>
      </c>
      <c r="N138" t="s">
        <v>34</v>
      </c>
      <c r="O138" t="str">
        <f>IF(N138="",INDEX({"Low","Medium","High"},MATCH(MAX(COUNTIF($N$2:$N$1000,{"Low","Medium","High"})),COUNTIF($N$2:$N$1000,{"Low","Medium","High"}),0)),N138)</f>
        <v>High</v>
      </c>
    </row>
    <row r="139" spans="1:15" x14ac:dyDescent="0.25">
      <c r="A139">
        <v>33</v>
      </c>
      <c r="B139">
        <f t="shared" si="6"/>
        <v>33</v>
      </c>
      <c r="F139">
        <v>39.369999999999997</v>
      </c>
      <c r="G139">
        <f t="shared" si="7"/>
        <v>39.369999999999997</v>
      </c>
      <c r="J139" t="s">
        <v>22</v>
      </c>
      <c r="K139" t="str">
        <f t="shared" si="8"/>
        <v>Not Returned</v>
      </c>
      <c r="N139" t="s">
        <v>25</v>
      </c>
      <c r="O139" t="str">
        <f>IF(N139="",INDEX({"Low","Medium","High"},MATCH(MAX(COUNTIF($N$2:$N$1000,{"Low","Medium","High"})),COUNTIF($N$2:$N$1000,{"Low","Medium","High"}),0)),N139)</f>
        <v>Low</v>
      </c>
    </row>
    <row r="140" spans="1:15" x14ac:dyDescent="0.25">
      <c r="A140">
        <v>28</v>
      </c>
      <c r="B140">
        <f t="shared" si="6"/>
        <v>28</v>
      </c>
      <c r="F140">
        <v>36.31</v>
      </c>
      <c r="G140">
        <f t="shared" si="7"/>
        <v>36.31</v>
      </c>
      <c r="J140" t="s">
        <v>22</v>
      </c>
      <c r="K140" t="str">
        <f t="shared" si="8"/>
        <v>Not Returned</v>
      </c>
      <c r="N140" t="s">
        <v>34</v>
      </c>
      <c r="O140" t="str">
        <f>IF(N140="",INDEX({"Low","Medium","High"},MATCH(MAX(COUNTIF($N$2:$N$1000,{"Low","Medium","High"})),COUNTIF($N$2:$N$1000,{"Low","Medium","High"}),0)),N140)</f>
        <v>High</v>
      </c>
    </row>
    <row r="141" spans="1:15" x14ac:dyDescent="0.25">
      <c r="A141">
        <v>37</v>
      </c>
      <c r="B141">
        <f t="shared" si="6"/>
        <v>37</v>
      </c>
      <c r="F141">
        <v>83.84</v>
      </c>
      <c r="G141">
        <f t="shared" si="7"/>
        <v>83.84</v>
      </c>
      <c r="J141" t="s">
        <v>22</v>
      </c>
      <c r="K141" t="str">
        <f t="shared" si="8"/>
        <v>Not Returned</v>
      </c>
      <c r="N141" t="s">
        <v>34</v>
      </c>
      <c r="O141" t="str">
        <f>IF(N141="",INDEX({"Low","Medium","High"},MATCH(MAX(COUNTIF($N$2:$N$1000,{"Low","Medium","High"})),COUNTIF($N$2:$N$1000,{"Low","Medium","High"}),0)),N141)</f>
        <v>High</v>
      </c>
    </row>
    <row r="142" spans="1:15" x14ac:dyDescent="0.25">
      <c r="A142">
        <v>2</v>
      </c>
      <c r="B142">
        <f t="shared" si="6"/>
        <v>2</v>
      </c>
      <c r="F142">
        <v>11.9</v>
      </c>
      <c r="G142">
        <f t="shared" si="7"/>
        <v>11.9</v>
      </c>
      <c r="K142" s="3" t="str">
        <f t="shared" si="8"/>
        <v>Unknown</v>
      </c>
      <c r="N142" t="s">
        <v>34</v>
      </c>
      <c r="O142" t="str">
        <f>IF(N142="",INDEX({"Low","Medium","High"},MATCH(MAX(COUNTIF($N$2:$N$1000,{"Low","Medium","High"})),COUNTIF($N$2:$N$1000,{"Low","Medium","High"}),0)),N142)</f>
        <v>High</v>
      </c>
    </row>
    <row r="143" spans="1:15" x14ac:dyDescent="0.25">
      <c r="A143">
        <v>22</v>
      </c>
      <c r="B143">
        <f t="shared" si="6"/>
        <v>22</v>
      </c>
      <c r="F143">
        <v>6.65</v>
      </c>
      <c r="G143">
        <f t="shared" si="7"/>
        <v>6.65</v>
      </c>
      <c r="J143" t="s">
        <v>111</v>
      </c>
      <c r="K143" t="str">
        <f t="shared" si="8"/>
        <v>Returned</v>
      </c>
      <c r="N143" t="s">
        <v>25</v>
      </c>
      <c r="O143" t="str">
        <f>IF(N143="",INDEX({"Low","Medium","High"},MATCH(MAX(COUNTIF($N$2:$N$1000,{"Low","Medium","High"})),COUNTIF($N$2:$N$1000,{"Low","Medium","High"}),0)),N143)</f>
        <v>Low</v>
      </c>
    </row>
    <row r="144" spans="1:15" x14ac:dyDescent="0.25">
      <c r="A144">
        <v>14</v>
      </c>
      <c r="B144">
        <f t="shared" si="6"/>
        <v>14</v>
      </c>
      <c r="F144">
        <v>78.7</v>
      </c>
      <c r="G144">
        <f t="shared" si="7"/>
        <v>78.7</v>
      </c>
      <c r="J144" t="s">
        <v>22</v>
      </c>
      <c r="K144" t="str">
        <f t="shared" si="8"/>
        <v>Not Returned</v>
      </c>
      <c r="N144" t="s">
        <v>40</v>
      </c>
      <c r="O144" t="str">
        <f>IF(N144="",INDEX({"Low","Medium","High"},MATCH(MAX(COUNTIF($N$2:$N$1000,{"Low","Medium","High"})),COUNTIF($N$2:$N$1000,{"Low","Medium","High"}),0)),N144)</f>
        <v>Medium</v>
      </c>
    </row>
    <row r="145" spans="1:15" x14ac:dyDescent="0.25">
      <c r="A145">
        <v>47</v>
      </c>
      <c r="B145">
        <f t="shared" si="6"/>
        <v>47</v>
      </c>
      <c r="F145">
        <v>28.54</v>
      </c>
      <c r="G145">
        <f t="shared" si="7"/>
        <v>28.54</v>
      </c>
      <c r="J145" t="s">
        <v>22</v>
      </c>
      <c r="K145" t="str">
        <f t="shared" si="8"/>
        <v>Not Returned</v>
      </c>
      <c r="N145" t="s">
        <v>25</v>
      </c>
      <c r="O145" t="str">
        <f>IF(N145="",INDEX({"Low","Medium","High"},MATCH(MAX(COUNTIF($N$2:$N$1000,{"Low","Medium","High"})),COUNTIF($N$2:$N$1000,{"Low","Medium","High"}),0)),N145)</f>
        <v>Low</v>
      </c>
    </row>
    <row r="146" spans="1:15" x14ac:dyDescent="0.25">
      <c r="A146">
        <v>18</v>
      </c>
      <c r="B146">
        <f t="shared" si="6"/>
        <v>18</v>
      </c>
      <c r="F146">
        <v>96.12</v>
      </c>
      <c r="G146">
        <f t="shared" si="7"/>
        <v>96.12</v>
      </c>
      <c r="J146" t="s">
        <v>22</v>
      </c>
      <c r="K146" t="str">
        <f t="shared" si="8"/>
        <v>Not Returned</v>
      </c>
      <c r="N146" t="s">
        <v>34</v>
      </c>
      <c r="O146" t="str">
        <f>IF(N146="",INDEX({"Low","Medium","High"},MATCH(MAX(COUNTIF($N$2:$N$1000,{"Low","Medium","High"})),COUNTIF($N$2:$N$1000,{"Low","Medium","High"}),0)),N146)</f>
        <v>High</v>
      </c>
    </row>
    <row r="147" spans="1:15" x14ac:dyDescent="0.25">
      <c r="A147">
        <v>34</v>
      </c>
      <c r="B147">
        <f t="shared" si="6"/>
        <v>34</v>
      </c>
      <c r="G147" s="3">
        <f t="shared" si="7"/>
        <v>53</v>
      </c>
      <c r="J147" t="s">
        <v>22</v>
      </c>
      <c r="K147" t="str">
        <f t="shared" si="8"/>
        <v>Not Returned</v>
      </c>
      <c r="N147" t="s">
        <v>40</v>
      </c>
      <c r="O147" t="str">
        <f>IF(N147="",INDEX({"Low","Medium","High"},MATCH(MAX(COUNTIF($N$2:$N$1000,{"Low","Medium","High"})),COUNTIF($N$2:$N$1000,{"Low","Medium","High"}),0)),N147)</f>
        <v>Medium</v>
      </c>
    </row>
    <row r="148" spans="1:15" x14ac:dyDescent="0.25">
      <c r="A148">
        <v>36</v>
      </c>
      <c r="B148">
        <f t="shared" si="6"/>
        <v>36</v>
      </c>
      <c r="F148">
        <v>35.229999999999997</v>
      </c>
      <c r="G148">
        <f t="shared" si="7"/>
        <v>35.229999999999997</v>
      </c>
      <c r="J148" t="s">
        <v>22</v>
      </c>
      <c r="K148" t="str">
        <f t="shared" si="8"/>
        <v>Not Returned</v>
      </c>
      <c r="N148" t="s">
        <v>25</v>
      </c>
      <c r="O148" t="str">
        <f>IF(N148="",INDEX({"Low","Medium","High"},MATCH(MAX(COUNTIF($N$2:$N$1000,{"Low","Medium","High"})),COUNTIF($N$2:$N$1000,{"Low","Medium","High"}),0)),N148)</f>
        <v>Low</v>
      </c>
    </row>
    <row r="149" spans="1:15" x14ac:dyDescent="0.25">
      <c r="B149" s="3">
        <f t="shared" si="6"/>
        <v>26</v>
      </c>
      <c r="F149">
        <v>94.9</v>
      </c>
      <c r="G149">
        <f t="shared" si="7"/>
        <v>94.9</v>
      </c>
      <c r="J149" t="s">
        <v>22</v>
      </c>
      <c r="K149" t="str">
        <f t="shared" si="8"/>
        <v>Not Returned</v>
      </c>
      <c r="N149" t="s">
        <v>34</v>
      </c>
      <c r="O149" t="str">
        <f>IF(N149="",INDEX({"Low","Medium","High"},MATCH(MAX(COUNTIF($N$2:$N$1000,{"Low","Medium","High"})),COUNTIF($N$2:$N$1000,{"Low","Medium","High"}),0)),N149)</f>
        <v>High</v>
      </c>
    </row>
    <row r="150" spans="1:15" x14ac:dyDescent="0.25">
      <c r="A150">
        <v>41</v>
      </c>
      <c r="B150">
        <f t="shared" si="6"/>
        <v>41</v>
      </c>
      <c r="F150">
        <v>97.84</v>
      </c>
      <c r="G150">
        <f t="shared" si="7"/>
        <v>97.84</v>
      </c>
      <c r="J150" t="s">
        <v>22</v>
      </c>
      <c r="K150" t="str">
        <f t="shared" si="8"/>
        <v>Not Returned</v>
      </c>
      <c r="O150" s="3" t="str">
        <f>IF(N150="",INDEX({"Low","Medium","High"},MATCH(MAX(COUNTIF($N$2:$N$1000,{"Low","Medium","High"})),COUNTIF($N$2:$N$1000,{"Low","Medium","High"}),0)),N150)</f>
        <v>Low</v>
      </c>
    </row>
    <row r="151" spans="1:15" x14ac:dyDescent="0.25">
      <c r="A151">
        <v>36</v>
      </c>
      <c r="B151">
        <f t="shared" si="6"/>
        <v>36</v>
      </c>
      <c r="F151">
        <v>97.22</v>
      </c>
      <c r="G151">
        <f t="shared" si="7"/>
        <v>97.22</v>
      </c>
      <c r="J151" t="s">
        <v>111</v>
      </c>
      <c r="K151" t="str">
        <f t="shared" si="8"/>
        <v>Returned</v>
      </c>
      <c r="N151" t="s">
        <v>34</v>
      </c>
      <c r="O151" t="str">
        <f>IF(N151="",INDEX({"Low","Medium","High"},MATCH(MAX(COUNTIF($N$2:$N$1000,{"Low","Medium","High"})),COUNTIF($N$2:$N$1000,{"Low","Medium","High"}),0)),N151)</f>
        <v>High</v>
      </c>
    </row>
    <row r="152" spans="1:15" x14ac:dyDescent="0.25">
      <c r="A152">
        <v>16</v>
      </c>
      <c r="B152">
        <f t="shared" si="6"/>
        <v>16</v>
      </c>
      <c r="F152">
        <v>57.75</v>
      </c>
      <c r="G152">
        <f t="shared" si="7"/>
        <v>57.75</v>
      </c>
      <c r="J152" t="s">
        <v>22</v>
      </c>
      <c r="K152" t="str">
        <f t="shared" si="8"/>
        <v>Not Returned</v>
      </c>
      <c r="N152" t="s">
        <v>25</v>
      </c>
      <c r="O152" t="str">
        <f>IF(N152="",INDEX({"Low","Medium","High"},MATCH(MAX(COUNTIF($N$2:$N$1000,{"Low","Medium","High"})),COUNTIF($N$2:$N$1000,{"Low","Medium","High"}),0)),N152)</f>
        <v>Low</v>
      </c>
    </row>
    <row r="153" spans="1:15" x14ac:dyDescent="0.25">
      <c r="A153">
        <v>25</v>
      </c>
      <c r="B153">
        <f t="shared" si="6"/>
        <v>25</v>
      </c>
      <c r="F153">
        <v>37.71</v>
      </c>
      <c r="G153">
        <f t="shared" si="7"/>
        <v>37.71</v>
      </c>
      <c r="J153" t="s">
        <v>22</v>
      </c>
      <c r="K153" t="str">
        <f t="shared" si="8"/>
        <v>Not Returned</v>
      </c>
      <c r="N153" t="s">
        <v>34</v>
      </c>
      <c r="O153" t="str">
        <f>IF(N153="",INDEX({"Low","Medium","High"},MATCH(MAX(COUNTIF($N$2:$N$1000,{"Low","Medium","High"})),COUNTIF($N$2:$N$1000,{"Low","Medium","High"}),0)),N153)</f>
        <v>High</v>
      </c>
    </row>
    <row r="154" spans="1:15" x14ac:dyDescent="0.25">
      <c r="A154">
        <v>41</v>
      </c>
      <c r="B154">
        <f t="shared" si="6"/>
        <v>41</v>
      </c>
      <c r="F154">
        <v>98.23</v>
      </c>
      <c r="G154">
        <f t="shared" si="7"/>
        <v>98.23</v>
      </c>
      <c r="K154" s="3" t="str">
        <f t="shared" si="8"/>
        <v>Unknown</v>
      </c>
      <c r="N154" t="s">
        <v>34</v>
      </c>
      <c r="O154" t="str">
        <f>IF(N154="",INDEX({"Low","Medium","High"},MATCH(MAX(COUNTIF($N$2:$N$1000,{"Low","Medium","High"})),COUNTIF($N$2:$N$1000,{"Low","Medium","High"}),0)),N154)</f>
        <v>High</v>
      </c>
    </row>
    <row r="155" spans="1:15" x14ac:dyDescent="0.25">
      <c r="A155">
        <v>32</v>
      </c>
      <c r="B155">
        <f t="shared" si="6"/>
        <v>32</v>
      </c>
      <c r="F155">
        <v>98.83</v>
      </c>
      <c r="G155">
        <f t="shared" si="7"/>
        <v>98.83</v>
      </c>
      <c r="J155" t="s">
        <v>22</v>
      </c>
      <c r="K155" t="str">
        <f t="shared" si="8"/>
        <v>Not Returned</v>
      </c>
      <c r="O155" s="3" t="str">
        <f>IF(N155="",INDEX({"Low","Medium","High"},MATCH(MAX(COUNTIF($N$2:$N$1000,{"Low","Medium","High"})),COUNTIF($N$2:$N$1000,{"Low","Medium","High"}),0)),N155)</f>
        <v>Low</v>
      </c>
    </row>
    <row r="156" spans="1:15" x14ac:dyDescent="0.25">
      <c r="A156">
        <v>30</v>
      </c>
      <c r="B156">
        <f t="shared" si="6"/>
        <v>30</v>
      </c>
      <c r="F156">
        <v>93.51</v>
      </c>
      <c r="G156">
        <f t="shared" si="7"/>
        <v>93.51</v>
      </c>
      <c r="J156" t="s">
        <v>22</v>
      </c>
      <c r="K156" t="str">
        <f t="shared" si="8"/>
        <v>Not Returned</v>
      </c>
      <c r="N156" t="s">
        <v>40</v>
      </c>
      <c r="O156" t="str">
        <f>IF(N156="",INDEX({"Low","Medium","High"},MATCH(MAX(COUNTIF($N$2:$N$1000,{"Low","Medium","High"})),COUNTIF($N$2:$N$1000,{"Low","Medium","High"}),0)),N156)</f>
        <v>Medium</v>
      </c>
    </row>
    <row r="157" spans="1:15" x14ac:dyDescent="0.25">
      <c r="A157">
        <v>42</v>
      </c>
      <c r="B157">
        <f t="shared" si="6"/>
        <v>42</v>
      </c>
      <c r="F157">
        <v>42.61</v>
      </c>
      <c r="G157">
        <f t="shared" si="7"/>
        <v>42.61</v>
      </c>
      <c r="J157" t="s">
        <v>22</v>
      </c>
      <c r="K157" t="str">
        <f t="shared" si="8"/>
        <v>Not Returned</v>
      </c>
      <c r="N157" t="s">
        <v>34</v>
      </c>
      <c r="O157" t="str">
        <f>IF(N157="",INDEX({"Low","Medium","High"},MATCH(MAX(COUNTIF($N$2:$N$1000,{"Low","Medium","High"})),COUNTIF($N$2:$N$1000,{"Low","Medium","High"}),0)),N157)</f>
        <v>High</v>
      </c>
    </row>
    <row r="158" spans="1:15" x14ac:dyDescent="0.25">
      <c r="A158">
        <v>22</v>
      </c>
      <c r="B158">
        <f t="shared" si="6"/>
        <v>22</v>
      </c>
      <c r="F158">
        <v>79.34</v>
      </c>
      <c r="G158">
        <f t="shared" si="7"/>
        <v>79.34</v>
      </c>
      <c r="J158" t="s">
        <v>22</v>
      </c>
      <c r="K158" t="str">
        <f t="shared" si="8"/>
        <v>Not Returned</v>
      </c>
      <c r="N158" t="s">
        <v>25</v>
      </c>
      <c r="O158" t="str">
        <f>IF(N158="",INDEX({"Low","Medium","High"},MATCH(MAX(COUNTIF($N$2:$N$1000,{"Low","Medium","High"})),COUNTIF($N$2:$N$1000,{"Low","Medium","High"}),0)),N158)</f>
        <v>Low</v>
      </c>
    </row>
    <row r="159" spans="1:15" x14ac:dyDescent="0.25">
      <c r="A159">
        <v>28</v>
      </c>
      <c r="B159">
        <f t="shared" si="6"/>
        <v>28</v>
      </c>
      <c r="G159" s="3">
        <f t="shared" si="7"/>
        <v>53</v>
      </c>
      <c r="J159" t="s">
        <v>22</v>
      </c>
      <c r="K159" t="str">
        <f t="shared" si="8"/>
        <v>Not Returned</v>
      </c>
      <c r="N159" t="s">
        <v>34</v>
      </c>
      <c r="O159" t="str">
        <f>IF(N159="",INDEX({"Low","Medium","High"},MATCH(MAX(COUNTIF($N$2:$N$1000,{"Low","Medium","High"})),COUNTIF($N$2:$N$1000,{"Low","Medium","High"}),0)),N159)</f>
        <v>High</v>
      </c>
    </row>
    <row r="160" spans="1:15" x14ac:dyDescent="0.25">
      <c r="A160">
        <v>37</v>
      </c>
      <c r="B160">
        <f t="shared" si="6"/>
        <v>37</v>
      </c>
      <c r="F160">
        <v>10.96</v>
      </c>
      <c r="G160">
        <f t="shared" si="7"/>
        <v>10.96</v>
      </c>
      <c r="J160" t="s">
        <v>22</v>
      </c>
      <c r="K160" t="str">
        <f t="shared" si="8"/>
        <v>Not Returned</v>
      </c>
      <c r="N160" t="s">
        <v>25</v>
      </c>
      <c r="O160" t="str">
        <f>IF(N160="",INDEX({"Low","Medium","High"},MATCH(MAX(COUNTIF($N$2:$N$1000,{"Low","Medium","High"})),COUNTIF($N$2:$N$1000,{"Low","Medium","High"}),0)),N160)</f>
        <v>Low</v>
      </c>
    </row>
    <row r="161" spans="1:15" x14ac:dyDescent="0.25">
      <c r="A161">
        <v>44</v>
      </c>
      <c r="B161">
        <f t="shared" si="6"/>
        <v>44</v>
      </c>
      <c r="F161">
        <v>17.32</v>
      </c>
      <c r="G161">
        <f t="shared" si="7"/>
        <v>17.32</v>
      </c>
      <c r="J161" t="s">
        <v>22</v>
      </c>
      <c r="K161" t="str">
        <f t="shared" si="8"/>
        <v>Not Returned</v>
      </c>
      <c r="N161" t="s">
        <v>40</v>
      </c>
      <c r="O161" t="str">
        <f>IF(N161="",INDEX({"Low","Medium","High"},MATCH(MAX(COUNTIF($N$2:$N$1000,{"Low","Medium","High"})),COUNTIF($N$2:$N$1000,{"Low","Medium","High"}),0)),N161)</f>
        <v>Medium</v>
      </c>
    </row>
    <row r="162" spans="1:15" x14ac:dyDescent="0.25">
      <c r="A162">
        <v>39</v>
      </c>
      <c r="B162">
        <f t="shared" si="6"/>
        <v>39</v>
      </c>
      <c r="F162">
        <v>14.51</v>
      </c>
      <c r="G162">
        <f t="shared" si="7"/>
        <v>14.51</v>
      </c>
      <c r="J162" t="s">
        <v>22</v>
      </c>
      <c r="K162" t="str">
        <f t="shared" si="8"/>
        <v>Not Returned</v>
      </c>
      <c r="N162" t="s">
        <v>25</v>
      </c>
      <c r="O162" t="str">
        <f>IF(N162="",INDEX({"Low","Medium","High"},MATCH(MAX(COUNTIF($N$2:$N$1000,{"Low","Medium","High"})),COUNTIF($N$2:$N$1000,{"Low","Medium","High"}),0)),N162)</f>
        <v>Low</v>
      </c>
    </row>
    <row r="163" spans="1:15" x14ac:dyDescent="0.25">
      <c r="A163">
        <v>22</v>
      </c>
      <c r="B163">
        <f t="shared" si="6"/>
        <v>22</v>
      </c>
      <c r="F163">
        <v>34.31</v>
      </c>
      <c r="G163">
        <f t="shared" si="7"/>
        <v>34.31</v>
      </c>
      <c r="J163" t="s">
        <v>22</v>
      </c>
      <c r="K163" t="str">
        <f t="shared" si="8"/>
        <v>Not Returned</v>
      </c>
      <c r="N163" t="s">
        <v>25</v>
      </c>
      <c r="O163" t="str">
        <f>IF(N163="",INDEX({"Low","Medium","High"},MATCH(MAX(COUNTIF($N$2:$N$1000,{"Low","Medium","High"})),COUNTIF($N$2:$N$1000,{"Low","Medium","High"}),0)),N163)</f>
        <v>Low</v>
      </c>
    </row>
    <row r="164" spans="1:15" x14ac:dyDescent="0.25">
      <c r="A164">
        <v>8</v>
      </c>
      <c r="B164">
        <f t="shared" si="6"/>
        <v>8</v>
      </c>
      <c r="F164">
        <v>14.69</v>
      </c>
      <c r="G164">
        <f t="shared" si="7"/>
        <v>14.69</v>
      </c>
      <c r="J164" t="s">
        <v>22</v>
      </c>
      <c r="K164" t="str">
        <f t="shared" si="8"/>
        <v>Not Returned</v>
      </c>
      <c r="N164" t="s">
        <v>40</v>
      </c>
      <c r="O164" t="str">
        <f>IF(N164="",INDEX({"Low","Medium","High"},MATCH(MAX(COUNTIF($N$2:$N$1000,{"Low","Medium","High"})),COUNTIF($N$2:$N$1000,{"Low","Medium","High"}),0)),N164)</f>
        <v>Medium</v>
      </c>
    </row>
    <row r="165" spans="1:15" x14ac:dyDescent="0.25">
      <c r="A165">
        <v>7</v>
      </c>
      <c r="B165">
        <f t="shared" si="6"/>
        <v>7</v>
      </c>
      <c r="F165">
        <v>92.89</v>
      </c>
      <c r="G165">
        <f t="shared" si="7"/>
        <v>92.89</v>
      </c>
      <c r="J165" t="s">
        <v>111</v>
      </c>
      <c r="K165" t="str">
        <f t="shared" si="8"/>
        <v>Returned</v>
      </c>
      <c r="O165" s="3" t="str">
        <f>IF(N165="",INDEX({"Low","Medium","High"},MATCH(MAX(COUNTIF($N$2:$N$1000,{"Low","Medium","High"})),COUNTIF($N$2:$N$1000,{"Low","Medium","High"}),0)),N165)</f>
        <v>Low</v>
      </c>
    </row>
    <row r="166" spans="1:15" x14ac:dyDescent="0.25">
      <c r="A166">
        <v>47</v>
      </c>
      <c r="B166">
        <f t="shared" si="6"/>
        <v>47</v>
      </c>
      <c r="F166">
        <v>49.95</v>
      </c>
      <c r="G166">
        <f t="shared" si="7"/>
        <v>49.95</v>
      </c>
      <c r="J166" t="s">
        <v>22</v>
      </c>
      <c r="K166" t="str">
        <f t="shared" si="8"/>
        <v>Not Returned</v>
      </c>
      <c r="N166" t="s">
        <v>34</v>
      </c>
      <c r="O166" t="str">
        <f>IF(N166="",INDEX({"Low","Medium","High"},MATCH(MAX(COUNTIF($N$2:$N$1000,{"Low","Medium","High"})),COUNTIF($N$2:$N$1000,{"Low","Medium","High"}),0)),N166)</f>
        <v>High</v>
      </c>
    </row>
    <row r="167" spans="1:15" x14ac:dyDescent="0.25">
      <c r="A167">
        <v>10</v>
      </c>
      <c r="B167">
        <f t="shared" si="6"/>
        <v>10</v>
      </c>
      <c r="F167">
        <v>50.57</v>
      </c>
      <c r="G167">
        <f t="shared" si="7"/>
        <v>50.57</v>
      </c>
      <c r="J167" t="s">
        <v>22</v>
      </c>
      <c r="K167" t="str">
        <f t="shared" si="8"/>
        <v>Not Returned</v>
      </c>
      <c r="N167" t="s">
        <v>25</v>
      </c>
      <c r="O167" t="str">
        <f>IF(N167="",INDEX({"Low","Medium","High"},MATCH(MAX(COUNTIF($N$2:$N$1000,{"Low","Medium","High"})),COUNTIF($N$2:$N$1000,{"Low","Medium","High"}),0)),N167)</f>
        <v>Low</v>
      </c>
    </row>
    <row r="168" spans="1:15" x14ac:dyDescent="0.25">
      <c r="B168" s="3">
        <f t="shared" si="6"/>
        <v>26</v>
      </c>
      <c r="F168">
        <v>72</v>
      </c>
      <c r="G168">
        <f t="shared" si="7"/>
        <v>72</v>
      </c>
      <c r="J168" t="s">
        <v>22</v>
      </c>
      <c r="K168" t="str">
        <f t="shared" si="8"/>
        <v>Not Returned</v>
      </c>
      <c r="N168" t="s">
        <v>40</v>
      </c>
      <c r="O168" t="str">
        <f>IF(N168="",INDEX({"Low","Medium","High"},MATCH(MAX(COUNTIF($N$2:$N$1000,{"Low","Medium","High"})),COUNTIF($N$2:$N$1000,{"Low","Medium","High"}),0)),N168)</f>
        <v>Medium</v>
      </c>
    </row>
    <row r="169" spans="1:15" x14ac:dyDescent="0.25">
      <c r="A169">
        <v>34</v>
      </c>
      <c r="B169">
        <f t="shared" si="6"/>
        <v>34</v>
      </c>
      <c r="F169">
        <v>92.63</v>
      </c>
      <c r="G169">
        <f t="shared" si="7"/>
        <v>92.63</v>
      </c>
      <c r="J169" t="s">
        <v>22</v>
      </c>
      <c r="K169" t="str">
        <f t="shared" si="8"/>
        <v>Not Returned</v>
      </c>
      <c r="N169" t="s">
        <v>25</v>
      </c>
      <c r="O169" t="str">
        <f>IF(N169="",INDEX({"Low","Medium","High"},MATCH(MAX(COUNTIF($N$2:$N$1000,{"Low","Medium","High"})),COUNTIF($N$2:$N$1000,{"Low","Medium","High"}),0)),N169)</f>
        <v>Low</v>
      </c>
    </row>
    <row r="170" spans="1:15" x14ac:dyDescent="0.25">
      <c r="A170">
        <v>7</v>
      </c>
      <c r="B170">
        <f t="shared" si="6"/>
        <v>7</v>
      </c>
      <c r="F170">
        <v>31.91</v>
      </c>
      <c r="G170">
        <f t="shared" si="7"/>
        <v>31.91</v>
      </c>
      <c r="K170" s="3" t="str">
        <f t="shared" si="8"/>
        <v>Unknown</v>
      </c>
      <c r="N170" t="s">
        <v>34</v>
      </c>
      <c r="O170" t="str">
        <f>IF(N170="",INDEX({"Low","Medium","High"},MATCH(MAX(COUNTIF($N$2:$N$1000,{"Low","Medium","High"})),COUNTIF($N$2:$N$1000,{"Low","Medium","High"}),0)),N170)</f>
        <v>High</v>
      </c>
    </row>
    <row r="171" spans="1:15" x14ac:dyDescent="0.25">
      <c r="A171">
        <v>24</v>
      </c>
      <c r="B171">
        <f t="shared" si="6"/>
        <v>24</v>
      </c>
      <c r="F171">
        <v>46.02</v>
      </c>
      <c r="G171">
        <f t="shared" si="7"/>
        <v>46.02</v>
      </c>
      <c r="J171" t="s">
        <v>22</v>
      </c>
      <c r="K171" t="str">
        <f t="shared" si="8"/>
        <v>Not Returned</v>
      </c>
      <c r="N171" t="s">
        <v>25</v>
      </c>
      <c r="O171" t="str">
        <f>IF(N171="",INDEX({"Low","Medium","High"},MATCH(MAX(COUNTIF($N$2:$N$1000,{"Low","Medium","High"})),COUNTIF($N$2:$N$1000,{"Low","Medium","High"}),0)),N171)</f>
        <v>Low</v>
      </c>
    </row>
    <row r="172" spans="1:15" x14ac:dyDescent="0.25">
      <c r="A172">
        <v>12</v>
      </c>
      <c r="B172">
        <f t="shared" si="6"/>
        <v>12</v>
      </c>
      <c r="F172">
        <v>61.98</v>
      </c>
      <c r="G172">
        <f t="shared" si="7"/>
        <v>61.98</v>
      </c>
      <c r="J172" t="s">
        <v>22</v>
      </c>
      <c r="K172" t="str">
        <f t="shared" si="8"/>
        <v>Not Returned</v>
      </c>
      <c r="N172" t="s">
        <v>34</v>
      </c>
      <c r="O172" t="str">
        <f>IF(N172="",INDEX({"Low","Medium","High"},MATCH(MAX(COUNTIF($N$2:$N$1000,{"Low","Medium","High"})),COUNTIF($N$2:$N$1000,{"Low","Medium","High"}),0)),N172)</f>
        <v>High</v>
      </c>
    </row>
    <row r="173" spans="1:15" x14ac:dyDescent="0.25">
      <c r="A173">
        <v>47</v>
      </c>
      <c r="B173">
        <f t="shared" si="6"/>
        <v>47</v>
      </c>
      <c r="G173" s="3">
        <f t="shared" si="7"/>
        <v>53</v>
      </c>
      <c r="J173" t="s">
        <v>22</v>
      </c>
      <c r="K173" t="str">
        <f t="shared" si="8"/>
        <v>Not Returned</v>
      </c>
      <c r="N173" t="s">
        <v>25</v>
      </c>
      <c r="O173" t="str">
        <f>IF(N173="",INDEX({"Low","Medium","High"},MATCH(MAX(COUNTIF($N$2:$N$1000,{"Low","Medium","High"})),COUNTIF($N$2:$N$1000,{"Low","Medium","High"}),0)),N173)</f>
        <v>Low</v>
      </c>
    </row>
    <row r="174" spans="1:15" x14ac:dyDescent="0.25">
      <c r="A174">
        <v>2</v>
      </c>
      <c r="B174">
        <f t="shared" si="6"/>
        <v>2</v>
      </c>
      <c r="F174">
        <v>78.72</v>
      </c>
      <c r="G174">
        <f t="shared" si="7"/>
        <v>78.72</v>
      </c>
      <c r="J174" t="s">
        <v>22</v>
      </c>
      <c r="K174" t="str">
        <f t="shared" si="8"/>
        <v>Not Returned</v>
      </c>
      <c r="N174" t="s">
        <v>34</v>
      </c>
      <c r="O174" t="str">
        <f>IF(N174="",INDEX({"Low","Medium","High"},MATCH(MAX(COUNTIF($N$2:$N$1000,{"Low","Medium","High"})),COUNTIF($N$2:$N$1000,{"Low","Medium","High"}),0)),N174)</f>
        <v>High</v>
      </c>
    </row>
    <row r="175" spans="1:15" x14ac:dyDescent="0.25">
      <c r="A175">
        <v>8</v>
      </c>
      <c r="B175">
        <f t="shared" si="6"/>
        <v>8</v>
      </c>
      <c r="F175">
        <v>56.75</v>
      </c>
      <c r="G175">
        <f t="shared" si="7"/>
        <v>56.75</v>
      </c>
      <c r="J175" t="s">
        <v>22</v>
      </c>
      <c r="K175" t="str">
        <f t="shared" si="8"/>
        <v>Not Returned</v>
      </c>
      <c r="N175" t="s">
        <v>34</v>
      </c>
      <c r="O175" t="str">
        <f>IF(N175="",INDEX({"Low","Medium","High"},MATCH(MAX(COUNTIF($N$2:$N$1000,{"Low","Medium","High"})),COUNTIF($N$2:$N$1000,{"Low","Medium","High"}),0)),N175)</f>
        <v>High</v>
      </c>
    </row>
    <row r="176" spans="1:15" x14ac:dyDescent="0.25">
      <c r="A176">
        <v>41</v>
      </c>
      <c r="B176">
        <f t="shared" si="6"/>
        <v>41</v>
      </c>
      <c r="F176">
        <v>77.45</v>
      </c>
      <c r="G176">
        <f t="shared" si="7"/>
        <v>77.45</v>
      </c>
      <c r="J176" t="s">
        <v>22</v>
      </c>
      <c r="K176" t="str">
        <f t="shared" si="8"/>
        <v>Not Returned</v>
      </c>
      <c r="N176" t="s">
        <v>34</v>
      </c>
      <c r="O176" t="str">
        <f>IF(N176="",INDEX({"Low","Medium","High"},MATCH(MAX(COUNTIF($N$2:$N$1000,{"Low","Medium","High"})),COUNTIF($N$2:$N$1000,{"Low","Medium","High"}),0)),N176)</f>
        <v>High</v>
      </c>
    </row>
    <row r="177" spans="1:15" x14ac:dyDescent="0.25">
      <c r="A177">
        <v>18</v>
      </c>
      <c r="B177">
        <f t="shared" si="6"/>
        <v>18</v>
      </c>
      <c r="F177">
        <v>36.99</v>
      </c>
      <c r="G177">
        <f t="shared" si="7"/>
        <v>36.99</v>
      </c>
      <c r="J177" t="s">
        <v>111</v>
      </c>
      <c r="K177" t="str">
        <f t="shared" si="8"/>
        <v>Returned</v>
      </c>
      <c r="N177" t="s">
        <v>25</v>
      </c>
      <c r="O177" t="str">
        <f>IF(N177="",INDEX({"Low","Medium","High"},MATCH(MAX(COUNTIF($N$2:$N$1000,{"Low","Medium","High"})),COUNTIF($N$2:$N$1000,{"Low","Medium","High"}),0)),N177)</f>
        <v>Low</v>
      </c>
    </row>
    <row r="178" spans="1:15" x14ac:dyDescent="0.25">
      <c r="A178">
        <v>31</v>
      </c>
      <c r="B178">
        <f t="shared" si="6"/>
        <v>31</v>
      </c>
      <c r="F178">
        <v>43.72</v>
      </c>
      <c r="G178">
        <f t="shared" si="7"/>
        <v>43.72</v>
      </c>
      <c r="J178" t="s">
        <v>22</v>
      </c>
      <c r="K178" t="str">
        <f t="shared" si="8"/>
        <v>Not Returned</v>
      </c>
      <c r="N178" t="s">
        <v>40</v>
      </c>
      <c r="O178" t="str">
        <f>IF(N178="",INDEX({"Low","Medium","High"},MATCH(MAX(COUNTIF($N$2:$N$1000,{"Low","Medium","High"})),COUNTIF($N$2:$N$1000,{"Low","Medium","High"}),0)),N178)</f>
        <v>Medium</v>
      </c>
    </row>
    <row r="179" spans="1:15" x14ac:dyDescent="0.25">
      <c r="A179">
        <v>43</v>
      </c>
      <c r="B179">
        <f t="shared" si="6"/>
        <v>43</v>
      </c>
      <c r="F179">
        <v>49.97</v>
      </c>
      <c r="G179">
        <f t="shared" si="7"/>
        <v>49.97</v>
      </c>
      <c r="J179" t="s">
        <v>22</v>
      </c>
      <c r="K179" t="str">
        <f t="shared" si="8"/>
        <v>Not Returned</v>
      </c>
      <c r="N179" t="s">
        <v>34</v>
      </c>
      <c r="O179" t="str">
        <f>IF(N179="",INDEX({"Low","Medium","High"},MATCH(MAX(COUNTIF($N$2:$N$1000,{"Low","Medium","High"})),COUNTIF($N$2:$N$1000,{"Low","Medium","High"}),0)),N179)</f>
        <v>High</v>
      </c>
    </row>
    <row r="180" spans="1:15" x14ac:dyDescent="0.25">
      <c r="A180">
        <v>20</v>
      </c>
      <c r="B180">
        <f t="shared" si="6"/>
        <v>20</v>
      </c>
      <c r="F180">
        <v>91.39</v>
      </c>
      <c r="G180">
        <f t="shared" si="7"/>
        <v>91.39</v>
      </c>
      <c r="K180" s="3" t="str">
        <f t="shared" si="8"/>
        <v>Unknown</v>
      </c>
      <c r="N180" t="s">
        <v>34</v>
      </c>
      <c r="O180" t="str">
        <f>IF(N180="",INDEX({"Low","Medium","High"},MATCH(MAX(COUNTIF($N$2:$N$1000,{"Low","Medium","High"})),COUNTIF($N$2:$N$1000,{"Low","Medium","High"}),0)),N180)</f>
        <v>High</v>
      </c>
    </row>
    <row r="181" spans="1:15" x14ac:dyDescent="0.25">
      <c r="A181">
        <v>20</v>
      </c>
      <c r="B181">
        <f t="shared" si="6"/>
        <v>20</v>
      </c>
      <c r="F181">
        <v>23.44</v>
      </c>
      <c r="G181">
        <f t="shared" si="7"/>
        <v>23.44</v>
      </c>
      <c r="J181" t="s">
        <v>22</v>
      </c>
      <c r="K181" t="str">
        <f t="shared" si="8"/>
        <v>Not Returned</v>
      </c>
      <c r="N181" t="s">
        <v>25</v>
      </c>
      <c r="O181" t="str">
        <f>IF(N181="",INDEX({"Low","Medium","High"},MATCH(MAX(COUNTIF($N$2:$N$1000,{"Low","Medium","High"})),COUNTIF($N$2:$N$1000,{"Low","Medium","High"}),0)),N181)</f>
        <v>Low</v>
      </c>
    </row>
    <row r="182" spans="1:15" x14ac:dyDescent="0.25">
      <c r="A182">
        <v>12</v>
      </c>
      <c r="B182">
        <f t="shared" si="6"/>
        <v>12</v>
      </c>
      <c r="F182">
        <v>66.099999999999994</v>
      </c>
      <c r="G182">
        <f t="shared" si="7"/>
        <v>66.099999999999994</v>
      </c>
      <c r="J182" t="s">
        <v>22</v>
      </c>
      <c r="K182" t="str">
        <f t="shared" si="8"/>
        <v>Not Returned</v>
      </c>
      <c r="O182" s="3" t="str">
        <f>IF(N182="",INDEX({"Low","Medium","High"},MATCH(MAX(COUNTIF($N$2:$N$1000,{"Low","Medium","High"})),COUNTIF($N$2:$N$1000,{"Low","Medium","High"}),0)),N182)</f>
        <v>Low</v>
      </c>
    </row>
    <row r="183" spans="1:15" x14ac:dyDescent="0.25">
      <c r="A183">
        <v>6</v>
      </c>
      <c r="B183">
        <f t="shared" si="6"/>
        <v>6</v>
      </c>
      <c r="F183">
        <v>75.98</v>
      </c>
      <c r="G183">
        <f t="shared" si="7"/>
        <v>75.98</v>
      </c>
      <c r="J183" t="s">
        <v>22</v>
      </c>
      <c r="K183" t="str">
        <f t="shared" si="8"/>
        <v>Not Returned</v>
      </c>
      <c r="N183" t="s">
        <v>25</v>
      </c>
      <c r="O183" t="str">
        <f>IF(N183="",INDEX({"Low","Medium","High"},MATCH(MAX(COUNTIF($N$2:$N$1000,{"Low","Medium","High"})),COUNTIF($N$2:$N$1000,{"Low","Medium","High"}),0)),N183)</f>
        <v>Low</v>
      </c>
    </row>
    <row r="184" spans="1:15" x14ac:dyDescent="0.25">
      <c r="A184">
        <v>3</v>
      </c>
      <c r="B184">
        <f t="shared" si="6"/>
        <v>3</v>
      </c>
      <c r="F184">
        <v>87.15</v>
      </c>
      <c r="G184">
        <f t="shared" si="7"/>
        <v>87.15</v>
      </c>
      <c r="J184" t="s">
        <v>22</v>
      </c>
      <c r="K184" t="str">
        <f t="shared" si="8"/>
        <v>Not Returned</v>
      </c>
      <c r="N184" t="s">
        <v>25</v>
      </c>
      <c r="O184" t="str">
        <f>IF(N184="",INDEX({"Low","Medium","High"},MATCH(MAX(COUNTIF($N$2:$N$1000,{"Low","Medium","High"})),COUNTIF($N$2:$N$1000,{"Low","Medium","High"}),0)),N184)</f>
        <v>Low</v>
      </c>
    </row>
    <row r="185" spans="1:15" x14ac:dyDescent="0.25">
      <c r="A185">
        <v>30</v>
      </c>
      <c r="B185">
        <f t="shared" si="6"/>
        <v>30</v>
      </c>
      <c r="F185">
        <v>2.57</v>
      </c>
      <c r="G185">
        <f t="shared" si="7"/>
        <v>2.57</v>
      </c>
      <c r="J185" t="s">
        <v>22</v>
      </c>
      <c r="K185" t="str">
        <f t="shared" si="8"/>
        <v>Not Returned</v>
      </c>
      <c r="N185" t="s">
        <v>25</v>
      </c>
      <c r="O185" t="str">
        <f>IF(N185="",INDEX({"Low","Medium","High"},MATCH(MAX(COUNTIF($N$2:$N$1000,{"Low","Medium","High"})),COUNTIF($N$2:$N$1000,{"Low","Medium","High"}),0)),N185)</f>
        <v>Low</v>
      </c>
    </row>
    <row r="186" spans="1:15" x14ac:dyDescent="0.25">
      <c r="A186">
        <v>24</v>
      </c>
      <c r="B186">
        <f t="shared" si="6"/>
        <v>24</v>
      </c>
      <c r="F186">
        <v>36.69</v>
      </c>
      <c r="G186">
        <f t="shared" si="7"/>
        <v>36.69</v>
      </c>
      <c r="J186" t="s">
        <v>111</v>
      </c>
      <c r="K186" t="str">
        <f t="shared" si="8"/>
        <v>Returned</v>
      </c>
      <c r="N186" t="s">
        <v>25</v>
      </c>
      <c r="O186" t="str">
        <f>IF(N186="",INDEX({"Low","Medium","High"},MATCH(MAX(COUNTIF($N$2:$N$1000,{"Low","Medium","High"})),COUNTIF($N$2:$N$1000,{"Low","Medium","High"}),0)),N186)</f>
        <v>Low</v>
      </c>
    </row>
    <row r="187" spans="1:15" x14ac:dyDescent="0.25">
      <c r="A187">
        <v>48</v>
      </c>
      <c r="B187">
        <f t="shared" si="6"/>
        <v>48</v>
      </c>
      <c r="G187" s="3">
        <f t="shared" si="7"/>
        <v>53</v>
      </c>
      <c r="J187" t="s">
        <v>22</v>
      </c>
      <c r="K187" t="str">
        <f t="shared" si="8"/>
        <v>Not Returned</v>
      </c>
      <c r="N187" t="s">
        <v>34</v>
      </c>
      <c r="O187" t="str">
        <f>IF(N187="",INDEX({"Low","Medium","High"},MATCH(MAX(COUNTIF($N$2:$N$1000,{"Low","Medium","High"})),COUNTIF($N$2:$N$1000,{"Low","Medium","High"}),0)),N187)</f>
        <v>High</v>
      </c>
    </row>
    <row r="188" spans="1:15" x14ac:dyDescent="0.25">
      <c r="A188">
        <v>14</v>
      </c>
      <c r="B188">
        <f t="shared" si="6"/>
        <v>14</v>
      </c>
      <c r="F188">
        <v>88.21</v>
      </c>
      <c r="G188">
        <f t="shared" si="7"/>
        <v>88.21</v>
      </c>
      <c r="K188" s="3" t="str">
        <f t="shared" si="8"/>
        <v>Unknown</v>
      </c>
      <c r="N188" t="s">
        <v>34</v>
      </c>
      <c r="O188" t="str">
        <f>IF(N188="",INDEX({"Low","Medium","High"},MATCH(MAX(COUNTIF($N$2:$N$1000,{"Low","Medium","High"})),COUNTIF($N$2:$N$1000,{"Low","Medium","High"}),0)),N188)</f>
        <v>High</v>
      </c>
    </row>
    <row r="189" spans="1:15" x14ac:dyDescent="0.25">
      <c r="B189" s="3">
        <f t="shared" si="6"/>
        <v>26</v>
      </c>
      <c r="F189">
        <v>46.28</v>
      </c>
      <c r="G189">
        <f t="shared" si="7"/>
        <v>46.28</v>
      </c>
      <c r="J189" t="s">
        <v>22</v>
      </c>
      <c r="K189" t="str">
        <f t="shared" si="8"/>
        <v>Not Returned</v>
      </c>
      <c r="N189" t="s">
        <v>25</v>
      </c>
      <c r="O189" t="str">
        <f>IF(N189="",INDEX({"Low","Medium","High"},MATCH(MAX(COUNTIF($N$2:$N$1000,{"Low","Medium","High"})),COUNTIF($N$2:$N$1000,{"Low","Medium","High"}),0)),N189)</f>
        <v>Low</v>
      </c>
    </row>
    <row r="190" spans="1:15" x14ac:dyDescent="0.25">
      <c r="A190">
        <v>29</v>
      </c>
      <c r="B190">
        <f t="shared" si="6"/>
        <v>29</v>
      </c>
      <c r="F190">
        <v>36.270000000000003</v>
      </c>
      <c r="G190">
        <f t="shared" si="7"/>
        <v>36.270000000000003</v>
      </c>
      <c r="J190" t="s">
        <v>22</v>
      </c>
      <c r="K190" t="str">
        <f t="shared" si="8"/>
        <v>Not Returned</v>
      </c>
      <c r="N190" t="s">
        <v>34</v>
      </c>
      <c r="O190" t="str">
        <f>IF(N190="",INDEX({"Low","Medium","High"},MATCH(MAX(COUNTIF($N$2:$N$1000,{"Low","Medium","High"})),COUNTIF($N$2:$N$1000,{"Low","Medium","High"}),0)),N190)</f>
        <v>High</v>
      </c>
    </row>
    <row r="191" spans="1:15" x14ac:dyDescent="0.25">
      <c r="A191">
        <v>29</v>
      </c>
      <c r="B191">
        <f t="shared" si="6"/>
        <v>29</v>
      </c>
      <c r="F191">
        <v>30.48</v>
      </c>
      <c r="G191">
        <f t="shared" si="7"/>
        <v>30.48</v>
      </c>
      <c r="J191" t="s">
        <v>111</v>
      </c>
      <c r="K191" t="str">
        <f t="shared" si="8"/>
        <v>Returned</v>
      </c>
      <c r="N191" t="s">
        <v>25</v>
      </c>
      <c r="O191" t="str">
        <f>IF(N191="",INDEX({"Low","Medium","High"},MATCH(MAX(COUNTIF($N$2:$N$1000,{"Low","Medium","High"})),COUNTIF($N$2:$N$1000,{"Low","Medium","High"}),0)),N191)</f>
        <v>Low</v>
      </c>
    </row>
    <row r="192" spans="1:15" x14ac:dyDescent="0.25">
      <c r="A192">
        <v>10</v>
      </c>
      <c r="B192">
        <f t="shared" si="6"/>
        <v>10</v>
      </c>
      <c r="F192">
        <v>88.14</v>
      </c>
      <c r="G192">
        <f t="shared" si="7"/>
        <v>88.14</v>
      </c>
      <c r="J192" t="s">
        <v>22</v>
      </c>
      <c r="K192" t="str">
        <f t="shared" si="8"/>
        <v>Not Returned</v>
      </c>
      <c r="N192" t="s">
        <v>40</v>
      </c>
      <c r="O192" t="str">
        <f>IF(N192="",INDEX({"Low","Medium","High"},MATCH(MAX(COUNTIF($N$2:$N$1000,{"Low","Medium","High"})),COUNTIF($N$2:$N$1000,{"Low","Medium","High"}),0)),N192)</f>
        <v>Medium</v>
      </c>
    </row>
    <row r="193" spans="1:15" x14ac:dyDescent="0.25">
      <c r="A193">
        <v>42</v>
      </c>
      <c r="B193">
        <f t="shared" si="6"/>
        <v>42</v>
      </c>
      <c r="F193">
        <v>64.37</v>
      </c>
      <c r="G193">
        <f t="shared" si="7"/>
        <v>64.37</v>
      </c>
      <c r="J193" t="s">
        <v>22</v>
      </c>
      <c r="K193" t="str">
        <f t="shared" si="8"/>
        <v>Not Returned</v>
      </c>
      <c r="N193" t="s">
        <v>25</v>
      </c>
      <c r="O193" t="str">
        <f>IF(N193="",INDEX({"Low","Medium","High"},MATCH(MAX(COUNTIF($N$2:$N$1000,{"Low","Medium","High"})),COUNTIF($N$2:$N$1000,{"Low","Medium","High"}),0)),N193)</f>
        <v>Low</v>
      </c>
    </row>
    <row r="194" spans="1:15" x14ac:dyDescent="0.25">
      <c r="A194">
        <v>41</v>
      </c>
      <c r="B194">
        <f t="shared" ref="B194:B257" si="9">IF(A194="",ROUNDUP(AVERAGE($A$2:$A$1000),0),A194)</f>
        <v>41</v>
      </c>
      <c r="F194">
        <v>37.5</v>
      </c>
      <c r="G194">
        <f t="shared" si="7"/>
        <v>37.5</v>
      </c>
      <c r="J194" t="s">
        <v>22</v>
      </c>
      <c r="K194" t="str">
        <f t="shared" si="8"/>
        <v>Not Returned</v>
      </c>
      <c r="N194" t="s">
        <v>40</v>
      </c>
      <c r="O194" t="str">
        <f>IF(N194="",INDEX({"Low","Medium","High"},MATCH(MAX(COUNTIF($N$2:$N$1000,{"Low","Medium","High"})),COUNTIF($N$2:$N$1000,{"Low","Medium","High"}),0)),N194)</f>
        <v>Medium</v>
      </c>
    </row>
    <row r="195" spans="1:15" x14ac:dyDescent="0.25">
      <c r="A195">
        <v>39</v>
      </c>
      <c r="B195">
        <f t="shared" si="9"/>
        <v>39</v>
      </c>
      <c r="F195">
        <v>48.69</v>
      </c>
      <c r="G195">
        <f t="shared" ref="G195:G258" si="10">IF(F195="",ROUNDUP(AVERAGE($F$2:$F$1000),0),F195)</f>
        <v>48.69</v>
      </c>
      <c r="J195" t="s">
        <v>22</v>
      </c>
      <c r="K195" t="str">
        <f t="shared" ref="K195:K258" si="11">IF(J195="","Unknown",J195)</f>
        <v>Not Returned</v>
      </c>
      <c r="N195" t="s">
        <v>34</v>
      </c>
      <c r="O195" t="str">
        <f>IF(N195="",INDEX({"Low","Medium","High"},MATCH(MAX(COUNTIF($N$2:$N$1000,{"Low","Medium","High"})),COUNTIF($N$2:$N$1000,{"Low","Medium","High"}),0)),N195)</f>
        <v>High</v>
      </c>
    </row>
    <row r="196" spans="1:15" x14ac:dyDescent="0.25">
      <c r="A196">
        <v>33</v>
      </c>
      <c r="B196">
        <f t="shared" si="9"/>
        <v>33</v>
      </c>
      <c r="F196">
        <v>12.47</v>
      </c>
      <c r="G196">
        <f t="shared" si="10"/>
        <v>12.47</v>
      </c>
      <c r="J196" t="s">
        <v>22</v>
      </c>
      <c r="K196" t="str">
        <f t="shared" si="11"/>
        <v>Not Returned</v>
      </c>
      <c r="N196" t="s">
        <v>25</v>
      </c>
      <c r="O196" t="str">
        <f>IF(N196="",INDEX({"Low","Medium","High"},MATCH(MAX(COUNTIF($N$2:$N$1000,{"Low","Medium","High"})),COUNTIF($N$2:$N$1000,{"Low","Medium","High"}),0)),N196)</f>
        <v>Low</v>
      </c>
    </row>
    <row r="197" spans="1:15" x14ac:dyDescent="0.25">
      <c r="A197">
        <v>8</v>
      </c>
      <c r="B197">
        <f t="shared" si="9"/>
        <v>8</v>
      </c>
      <c r="F197">
        <v>89.83</v>
      </c>
      <c r="G197">
        <f t="shared" si="10"/>
        <v>89.83</v>
      </c>
      <c r="J197" t="s">
        <v>22</v>
      </c>
      <c r="K197" t="str">
        <f t="shared" si="11"/>
        <v>Not Returned</v>
      </c>
      <c r="N197" t="s">
        <v>40</v>
      </c>
      <c r="O197" t="str">
        <f>IF(N197="",INDEX({"Low","Medium","High"},MATCH(MAX(COUNTIF($N$2:$N$1000,{"Low","Medium","High"})),COUNTIF($N$2:$N$1000,{"Low","Medium","High"}),0)),N197)</f>
        <v>Medium</v>
      </c>
    </row>
    <row r="198" spans="1:15" x14ac:dyDescent="0.25">
      <c r="A198">
        <v>42</v>
      </c>
      <c r="B198">
        <f t="shared" si="9"/>
        <v>42</v>
      </c>
      <c r="F198">
        <v>56.96</v>
      </c>
      <c r="G198">
        <f t="shared" si="10"/>
        <v>56.96</v>
      </c>
      <c r="J198" t="s">
        <v>111</v>
      </c>
      <c r="K198" t="str">
        <f t="shared" si="11"/>
        <v>Returned</v>
      </c>
      <c r="N198" t="s">
        <v>34</v>
      </c>
      <c r="O198" t="str">
        <f>IF(N198="",INDEX({"Low","Medium","High"},MATCH(MAX(COUNTIF($N$2:$N$1000,{"Low","Medium","High"})),COUNTIF($N$2:$N$1000,{"Low","Medium","High"}),0)),N198)</f>
        <v>High</v>
      </c>
    </row>
    <row r="199" spans="1:15" x14ac:dyDescent="0.25">
      <c r="A199">
        <v>13</v>
      </c>
      <c r="B199">
        <f t="shared" si="9"/>
        <v>13</v>
      </c>
      <c r="F199">
        <v>60.12</v>
      </c>
      <c r="G199">
        <f t="shared" si="10"/>
        <v>60.12</v>
      </c>
      <c r="J199" t="s">
        <v>22</v>
      </c>
      <c r="K199" t="str">
        <f t="shared" si="11"/>
        <v>Not Returned</v>
      </c>
      <c r="N199" t="s">
        <v>34</v>
      </c>
      <c r="O199" t="str">
        <f>IF(N199="",INDEX({"Low","Medium","High"},MATCH(MAX(COUNTIF($N$2:$N$1000,{"Low","Medium","High"})),COUNTIF($N$2:$N$1000,{"Low","Medium","High"}),0)),N199)</f>
        <v>High</v>
      </c>
    </row>
    <row r="200" spans="1:15" x14ac:dyDescent="0.25">
      <c r="A200">
        <v>28</v>
      </c>
      <c r="B200">
        <f t="shared" si="9"/>
        <v>28</v>
      </c>
      <c r="F200">
        <v>41.86</v>
      </c>
      <c r="G200">
        <f t="shared" si="10"/>
        <v>41.86</v>
      </c>
      <c r="J200" t="s">
        <v>111</v>
      </c>
      <c r="K200" t="str">
        <f t="shared" si="11"/>
        <v>Returned</v>
      </c>
      <c r="N200" t="s">
        <v>25</v>
      </c>
      <c r="O200" t="str">
        <f>IF(N200="",INDEX({"Low","Medium","High"},MATCH(MAX(COUNTIF($N$2:$N$1000,{"Low","Medium","High"})),COUNTIF($N$2:$N$1000,{"Low","Medium","High"}),0)),N200)</f>
        <v>Low</v>
      </c>
    </row>
    <row r="201" spans="1:15" x14ac:dyDescent="0.25">
      <c r="A201">
        <v>48</v>
      </c>
      <c r="B201">
        <f t="shared" si="9"/>
        <v>48</v>
      </c>
      <c r="F201">
        <v>30.52</v>
      </c>
      <c r="G201">
        <f t="shared" si="10"/>
        <v>30.52</v>
      </c>
      <c r="J201" t="s">
        <v>22</v>
      </c>
      <c r="K201" t="str">
        <f t="shared" si="11"/>
        <v>Not Returned</v>
      </c>
      <c r="N201" t="s">
        <v>40</v>
      </c>
      <c r="O201" t="str">
        <f>IF(N201="",INDEX({"Low","Medium","High"},MATCH(MAX(COUNTIF($N$2:$N$1000,{"Low","Medium","High"})),COUNTIF($N$2:$N$1000,{"Low","Medium","High"}),0)),N201)</f>
        <v>Medium</v>
      </c>
    </row>
    <row r="202" spans="1:15" x14ac:dyDescent="0.25">
      <c r="A202">
        <v>11</v>
      </c>
      <c r="B202">
        <f t="shared" si="9"/>
        <v>11</v>
      </c>
      <c r="F202">
        <v>68.78</v>
      </c>
      <c r="G202">
        <f t="shared" si="10"/>
        <v>68.78</v>
      </c>
      <c r="J202" t="s">
        <v>22</v>
      </c>
      <c r="K202" t="str">
        <f t="shared" si="11"/>
        <v>Not Returned</v>
      </c>
      <c r="N202" t="s">
        <v>25</v>
      </c>
      <c r="O202" t="str">
        <f>IF(N202="",INDEX({"Low","Medium","High"},MATCH(MAX(COUNTIF($N$2:$N$1000,{"Low","Medium","High"})),COUNTIF($N$2:$N$1000,{"Low","Medium","High"}),0)),N202)</f>
        <v>Low</v>
      </c>
    </row>
    <row r="203" spans="1:15" x14ac:dyDescent="0.25">
      <c r="A203">
        <v>17</v>
      </c>
      <c r="B203">
        <f t="shared" si="9"/>
        <v>17</v>
      </c>
      <c r="F203">
        <v>29.47</v>
      </c>
      <c r="G203">
        <f t="shared" si="10"/>
        <v>29.47</v>
      </c>
      <c r="J203" t="s">
        <v>22</v>
      </c>
      <c r="K203" t="str">
        <f t="shared" si="11"/>
        <v>Not Returned</v>
      </c>
      <c r="N203" t="s">
        <v>34</v>
      </c>
      <c r="O203" t="str">
        <f>IF(N203="",INDEX({"Low","Medium","High"},MATCH(MAX(COUNTIF($N$2:$N$1000,{"Low","Medium","High"})),COUNTIF($N$2:$N$1000,{"Low","Medium","High"}),0)),N203)</f>
        <v>High</v>
      </c>
    </row>
    <row r="204" spans="1:15" x14ac:dyDescent="0.25">
      <c r="A204">
        <v>16</v>
      </c>
      <c r="B204">
        <f t="shared" si="9"/>
        <v>16</v>
      </c>
      <c r="F204">
        <v>38.85</v>
      </c>
      <c r="G204">
        <f t="shared" si="10"/>
        <v>38.85</v>
      </c>
      <c r="K204" s="3" t="str">
        <f t="shared" si="11"/>
        <v>Unknown</v>
      </c>
      <c r="N204" t="s">
        <v>40</v>
      </c>
      <c r="O204" t="str">
        <f>IF(N204="",INDEX({"Low","Medium","High"},MATCH(MAX(COUNTIF($N$2:$N$1000,{"Low","Medium","High"})),COUNTIF($N$2:$N$1000,{"Low","Medium","High"}),0)),N204)</f>
        <v>Medium</v>
      </c>
    </row>
    <row r="205" spans="1:15" x14ac:dyDescent="0.25">
      <c r="A205">
        <v>24</v>
      </c>
      <c r="B205">
        <f t="shared" si="9"/>
        <v>24</v>
      </c>
      <c r="F205">
        <v>54.91</v>
      </c>
      <c r="G205">
        <f t="shared" si="10"/>
        <v>54.91</v>
      </c>
      <c r="J205" t="s">
        <v>22</v>
      </c>
      <c r="K205" t="str">
        <f t="shared" si="11"/>
        <v>Not Returned</v>
      </c>
      <c r="O205" s="3" t="str">
        <f>IF(N205="",INDEX({"Low","Medium","High"},MATCH(MAX(COUNTIF($N$2:$N$1000,{"Low","Medium","High"})),COUNTIF($N$2:$N$1000,{"Low","Medium","High"}),0)),N205)</f>
        <v>Low</v>
      </c>
    </row>
    <row r="206" spans="1:15" x14ac:dyDescent="0.25">
      <c r="A206">
        <v>33</v>
      </c>
      <c r="B206">
        <f t="shared" si="9"/>
        <v>33</v>
      </c>
      <c r="F206">
        <v>41.98</v>
      </c>
      <c r="G206">
        <f t="shared" si="10"/>
        <v>41.98</v>
      </c>
      <c r="J206" t="s">
        <v>22</v>
      </c>
      <c r="K206" t="str">
        <f t="shared" si="11"/>
        <v>Not Returned</v>
      </c>
      <c r="N206" t="s">
        <v>25</v>
      </c>
      <c r="O206" t="str">
        <f>IF(N206="",INDEX({"Low","Medium","High"},MATCH(MAX(COUNTIF($N$2:$N$1000,{"Low","Medium","High"})),COUNTIF($N$2:$N$1000,{"Low","Medium","High"}),0)),N206)</f>
        <v>Low</v>
      </c>
    </row>
    <row r="207" spans="1:15" x14ac:dyDescent="0.25">
      <c r="B207" s="3">
        <f t="shared" si="9"/>
        <v>26</v>
      </c>
      <c r="F207">
        <v>99.06</v>
      </c>
      <c r="G207">
        <f t="shared" si="10"/>
        <v>99.06</v>
      </c>
      <c r="J207" t="s">
        <v>22</v>
      </c>
      <c r="K207" t="str">
        <f t="shared" si="11"/>
        <v>Not Returned</v>
      </c>
      <c r="N207" t="s">
        <v>40</v>
      </c>
      <c r="O207" t="str">
        <f>IF(N207="",INDEX({"Low","Medium","High"},MATCH(MAX(COUNTIF($N$2:$N$1000,{"Low","Medium","High"})),COUNTIF($N$2:$N$1000,{"Low","Medium","High"}),0)),N207)</f>
        <v>Medium</v>
      </c>
    </row>
    <row r="208" spans="1:15" x14ac:dyDescent="0.25">
      <c r="A208">
        <v>42</v>
      </c>
      <c r="B208">
        <f t="shared" si="9"/>
        <v>42</v>
      </c>
      <c r="G208" s="3">
        <f t="shared" si="10"/>
        <v>53</v>
      </c>
      <c r="J208" t="s">
        <v>22</v>
      </c>
      <c r="K208" t="str">
        <f t="shared" si="11"/>
        <v>Not Returned</v>
      </c>
      <c r="N208" t="s">
        <v>34</v>
      </c>
      <c r="O208" t="str">
        <f>IF(N208="",INDEX({"Low","Medium","High"},MATCH(MAX(COUNTIF($N$2:$N$1000,{"Low","Medium","High"})),COUNTIF($N$2:$N$1000,{"Low","Medium","High"}),0)),N208)</f>
        <v>High</v>
      </c>
    </row>
    <row r="209" spans="1:15" x14ac:dyDescent="0.25">
      <c r="A209">
        <v>13</v>
      </c>
      <c r="B209">
        <f t="shared" si="9"/>
        <v>13</v>
      </c>
      <c r="F209">
        <v>56.57</v>
      </c>
      <c r="G209">
        <f t="shared" si="10"/>
        <v>56.57</v>
      </c>
      <c r="J209" t="s">
        <v>22</v>
      </c>
      <c r="K209" t="str">
        <f t="shared" si="11"/>
        <v>Not Returned</v>
      </c>
      <c r="N209" t="s">
        <v>34</v>
      </c>
      <c r="O209" t="str">
        <f>IF(N209="",INDEX({"Low","Medium","High"},MATCH(MAX(COUNTIF($N$2:$N$1000,{"Low","Medium","High"})),COUNTIF($N$2:$N$1000,{"Low","Medium","High"}),0)),N209)</f>
        <v>High</v>
      </c>
    </row>
    <row r="210" spans="1:15" x14ac:dyDescent="0.25">
      <c r="A210">
        <v>2</v>
      </c>
      <c r="B210">
        <f t="shared" si="9"/>
        <v>2</v>
      </c>
      <c r="F210">
        <v>33.200000000000003</v>
      </c>
      <c r="G210">
        <f t="shared" si="10"/>
        <v>33.200000000000003</v>
      </c>
      <c r="J210" t="s">
        <v>111</v>
      </c>
      <c r="K210" t="str">
        <f t="shared" si="11"/>
        <v>Returned</v>
      </c>
      <c r="N210" t="s">
        <v>40</v>
      </c>
      <c r="O210" t="str">
        <f>IF(N210="",INDEX({"Low","Medium","High"},MATCH(MAX(COUNTIF($N$2:$N$1000,{"Low","Medium","High"})),COUNTIF($N$2:$N$1000,{"Low","Medium","High"}),0)),N210)</f>
        <v>Medium</v>
      </c>
    </row>
    <row r="211" spans="1:15" x14ac:dyDescent="0.25">
      <c r="A211">
        <v>26</v>
      </c>
      <c r="B211">
        <f t="shared" si="9"/>
        <v>26</v>
      </c>
      <c r="F211">
        <v>36.200000000000003</v>
      </c>
      <c r="G211">
        <f t="shared" si="10"/>
        <v>36.200000000000003</v>
      </c>
      <c r="J211" t="s">
        <v>22</v>
      </c>
      <c r="K211" t="str">
        <f t="shared" si="11"/>
        <v>Not Returned</v>
      </c>
      <c r="N211" t="s">
        <v>40</v>
      </c>
      <c r="O211" t="str">
        <f>IF(N211="",INDEX({"Low","Medium","High"},MATCH(MAX(COUNTIF($N$2:$N$1000,{"Low","Medium","High"})),COUNTIF($N$2:$N$1000,{"Low","Medium","High"}),0)),N211)</f>
        <v>Medium</v>
      </c>
    </row>
    <row r="212" spans="1:15" x14ac:dyDescent="0.25">
      <c r="A212">
        <v>29</v>
      </c>
      <c r="B212">
        <f t="shared" si="9"/>
        <v>29</v>
      </c>
      <c r="F212">
        <v>32.47</v>
      </c>
      <c r="G212">
        <f t="shared" si="10"/>
        <v>32.47</v>
      </c>
      <c r="J212" t="s">
        <v>22</v>
      </c>
      <c r="K212" t="str">
        <f t="shared" si="11"/>
        <v>Not Returned</v>
      </c>
      <c r="N212" t="s">
        <v>40</v>
      </c>
      <c r="O212" t="str">
        <f>IF(N212="",INDEX({"Low","Medium","High"},MATCH(MAX(COUNTIF($N$2:$N$1000,{"Low","Medium","High"})),COUNTIF($N$2:$N$1000,{"Low","Medium","High"}),0)),N212)</f>
        <v>Medium</v>
      </c>
    </row>
    <row r="213" spans="1:15" x14ac:dyDescent="0.25">
      <c r="A213">
        <v>12</v>
      </c>
      <c r="B213">
        <f t="shared" si="9"/>
        <v>12</v>
      </c>
      <c r="F213">
        <v>78.94</v>
      </c>
      <c r="G213">
        <f t="shared" si="10"/>
        <v>78.94</v>
      </c>
      <c r="J213" t="s">
        <v>22</v>
      </c>
      <c r="K213" t="str">
        <f t="shared" si="11"/>
        <v>Not Returned</v>
      </c>
      <c r="N213" t="s">
        <v>25</v>
      </c>
      <c r="O213" t="str">
        <f>IF(N213="",INDEX({"Low","Medium","High"},MATCH(MAX(COUNTIF($N$2:$N$1000,{"Low","Medium","High"})),COUNTIF($N$2:$N$1000,{"Low","Medium","High"}),0)),N213)</f>
        <v>Low</v>
      </c>
    </row>
    <row r="214" spans="1:15" x14ac:dyDescent="0.25">
      <c r="A214">
        <v>3</v>
      </c>
      <c r="B214">
        <f t="shared" si="9"/>
        <v>3</v>
      </c>
      <c r="F214">
        <v>20</v>
      </c>
      <c r="G214">
        <f t="shared" si="10"/>
        <v>20</v>
      </c>
      <c r="J214" t="s">
        <v>22</v>
      </c>
      <c r="K214" t="str">
        <f t="shared" si="11"/>
        <v>Not Returned</v>
      </c>
      <c r="N214" t="s">
        <v>34</v>
      </c>
      <c r="O214" t="str">
        <f>IF(N214="",INDEX({"Low","Medium","High"},MATCH(MAX(COUNTIF($N$2:$N$1000,{"Low","Medium","High"})),COUNTIF($N$2:$N$1000,{"Low","Medium","High"}),0)),N214)</f>
        <v>High</v>
      </c>
    </row>
    <row r="215" spans="1:15" x14ac:dyDescent="0.25">
      <c r="A215">
        <v>18</v>
      </c>
      <c r="B215">
        <f t="shared" si="9"/>
        <v>18</v>
      </c>
      <c r="F215">
        <v>16.899999999999999</v>
      </c>
      <c r="G215">
        <f t="shared" si="10"/>
        <v>16.899999999999999</v>
      </c>
      <c r="J215" t="s">
        <v>22</v>
      </c>
      <c r="K215" t="str">
        <f t="shared" si="11"/>
        <v>Not Returned</v>
      </c>
      <c r="N215" t="s">
        <v>34</v>
      </c>
      <c r="O215" t="str">
        <f>IF(N215="",INDEX({"Low","Medium","High"},MATCH(MAX(COUNTIF($N$2:$N$1000,{"Low","Medium","High"})),COUNTIF($N$2:$N$1000,{"Low","Medium","High"}),0)),N215)</f>
        <v>High</v>
      </c>
    </row>
    <row r="216" spans="1:15" x14ac:dyDescent="0.25">
      <c r="A216">
        <v>40</v>
      </c>
      <c r="B216">
        <f t="shared" si="9"/>
        <v>40</v>
      </c>
      <c r="F216">
        <v>46.19</v>
      </c>
      <c r="G216">
        <f t="shared" si="10"/>
        <v>46.19</v>
      </c>
      <c r="J216" t="s">
        <v>22</v>
      </c>
      <c r="K216" t="str">
        <f t="shared" si="11"/>
        <v>Not Returned</v>
      </c>
      <c r="N216" t="s">
        <v>40</v>
      </c>
      <c r="O216" t="str">
        <f>IF(N216="",INDEX({"Low","Medium","High"},MATCH(MAX(COUNTIF($N$2:$N$1000,{"Low","Medium","High"})),COUNTIF($N$2:$N$1000,{"Low","Medium","High"}),0)),N216)</f>
        <v>Medium</v>
      </c>
    </row>
    <row r="217" spans="1:15" x14ac:dyDescent="0.25">
      <c r="A217">
        <v>30</v>
      </c>
      <c r="B217">
        <f t="shared" si="9"/>
        <v>30</v>
      </c>
      <c r="F217">
        <v>66.69</v>
      </c>
      <c r="G217">
        <f t="shared" si="10"/>
        <v>66.69</v>
      </c>
      <c r="J217" t="s">
        <v>22</v>
      </c>
      <c r="K217" t="str">
        <f t="shared" si="11"/>
        <v>Not Returned</v>
      </c>
      <c r="N217" t="s">
        <v>25</v>
      </c>
      <c r="O217" t="str">
        <f>IF(N217="",INDEX({"Low","Medium","High"},MATCH(MAX(COUNTIF($N$2:$N$1000,{"Low","Medium","High"})),COUNTIF($N$2:$N$1000,{"Low","Medium","High"}),0)),N217)</f>
        <v>Low</v>
      </c>
    </row>
    <row r="218" spans="1:15" x14ac:dyDescent="0.25">
      <c r="A218">
        <v>39</v>
      </c>
      <c r="B218">
        <f t="shared" si="9"/>
        <v>39</v>
      </c>
      <c r="F218">
        <v>62.01</v>
      </c>
      <c r="G218">
        <f t="shared" si="10"/>
        <v>62.01</v>
      </c>
      <c r="J218" t="s">
        <v>22</v>
      </c>
      <c r="K218" t="str">
        <f t="shared" si="11"/>
        <v>Not Returned</v>
      </c>
      <c r="N218" t="s">
        <v>25</v>
      </c>
      <c r="O218" t="str">
        <f>IF(N218="",INDEX({"Low","Medium","High"},MATCH(MAX(COUNTIF($N$2:$N$1000,{"Low","Medium","High"})),COUNTIF($N$2:$N$1000,{"Low","Medium","High"}),0)),N218)</f>
        <v>Low</v>
      </c>
    </row>
    <row r="219" spans="1:15" x14ac:dyDescent="0.25">
      <c r="A219">
        <v>42</v>
      </c>
      <c r="B219">
        <f t="shared" si="9"/>
        <v>42</v>
      </c>
      <c r="F219">
        <v>26.85</v>
      </c>
      <c r="G219">
        <f t="shared" si="10"/>
        <v>26.85</v>
      </c>
      <c r="J219" t="s">
        <v>22</v>
      </c>
      <c r="K219" t="str">
        <f t="shared" si="11"/>
        <v>Not Returned</v>
      </c>
      <c r="N219" t="s">
        <v>40</v>
      </c>
      <c r="O219" t="str">
        <f>IF(N219="",INDEX({"Low","Medium","High"},MATCH(MAX(COUNTIF($N$2:$N$1000,{"Low","Medium","High"})),COUNTIF($N$2:$N$1000,{"Low","Medium","High"}),0)),N219)</f>
        <v>Medium</v>
      </c>
    </row>
    <row r="220" spans="1:15" x14ac:dyDescent="0.25">
      <c r="A220">
        <v>35</v>
      </c>
      <c r="B220">
        <f t="shared" si="9"/>
        <v>35</v>
      </c>
      <c r="F220">
        <v>44.46</v>
      </c>
      <c r="G220">
        <f t="shared" si="10"/>
        <v>44.46</v>
      </c>
      <c r="J220" t="s">
        <v>111</v>
      </c>
      <c r="K220" t="str">
        <f t="shared" si="11"/>
        <v>Returned</v>
      </c>
      <c r="N220" t="s">
        <v>34</v>
      </c>
      <c r="O220" t="str">
        <f>IF(N220="",INDEX({"Low","Medium","High"},MATCH(MAX(COUNTIF($N$2:$N$1000,{"Low","Medium","High"})),COUNTIF($N$2:$N$1000,{"Low","Medium","High"}),0)),N220)</f>
        <v>High</v>
      </c>
    </row>
    <row r="221" spans="1:15" x14ac:dyDescent="0.25">
      <c r="A221">
        <v>49</v>
      </c>
      <c r="B221">
        <f t="shared" si="9"/>
        <v>49</v>
      </c>
      <c r="F221">
        <v>33.6</v>
      </c>
      <c r="G221">
        <f t="shared" si="10"/>
        <v>33.6</v>
      </c>
      <c r="J221" t="s">
        <v>22</v>
      </c>
      <c r="K221" t="str">
        <f t="shared" si="11"/>
        <v>Not Returned</v>
      </c>
      <c r="N221" t="s">
        <v>34</v>
      </c>
      <c r="O221" t="str">
        <f>IF(N221="",INDEX({"Low","Medium","High"},MATCH(MAX(COUNTIF($N$2:$N$1000,{"Low","Medium","High"})),COUNTIF($N$2:$N$1000,{"Low","Medium","High"}),0)),N221)</f>
        <v>High</v>
      </c>
    </row>
    <row r="222" spans="1:15" x14ac:dyDescent="0.25">
      <c r="A222">
        <v>9</v>
      </c>
      <c r="B222">
        <f t="shared" si="9"/>
        <v>9</v>
      </c>
      <c r="F222">
        <v>69.45</v>
      </c>
      <c r="G222">
        <f t="shared" si="10"/>
        <v>69.45</v>
      </c>
      <c r="K222" s="3" t="str">
        <f t="shared" si="11"/>
        <v>Unknown</v>
      </c>
      <c r="N222" t="s">
        <v>40</v>
      </c>
      <c r="O222" t="str">
        <f>IF(N222="",INDEX({"Low","Medium","High"},MATCH(MAX(COUNTIF($N$2:$N$1000,{"Low","Medium","High"})),COUNTIF($N$2:$N$1000,{"Low","Medium","High"}),0)),N222)</f>
        <v>Medium</v>
      </c>
    </row>
    <row r="223" spans="1:15" x14ac:dyDescent="0.25">
      <c r="A223">
        <v>46</v>
      </c>
      <c r="B223">
        <f t="shared" si="9"/>
        <v>46</v>
      </c>
      <c r="F223">
        <v>5.37</v>
      </c>
      <c r="G223">
        <f t="shared" si="10"/>
        <v>5.37</v>
      </c>
      <c r="J223" t="s">
        <v>22</v>
      </c>
      <c r="K223" t="str">
        <f t="shared" si="11"/>
        <v>Not Returned</v>
      </c>
      <c r="O223" s="3" t="str">
        <f>IF(N223="",INDEX({"Low","Medium","High"},MATCH(MAX(COUNTIF($N$2:$N$1000,{"Low","Medium","High"})),COUNTIF($N$2:$N$1000,{"Low","Medium","High"}),0)),N223)</f>
        <v>Low</v>
      </c>
    </row>
    <row r="224" spans="1:15" x14ac:dyDescent="0.25">
      <c r="A224">
        <v>9</v>
      </c>
      <c r="B224">
        <f t="shared" si="9"/>
        <v>9</v>
      </c>
      <c r="G224" s="3">
        <f t="shared" si="10"/>
        <v>53</v>
      </c>
      <c r="J224" t="s">
        <v>22</v>
      </c>
      <c r="K224" t="str">
        <f t="shared" si="11"/>
        <v>Not Returned</v>
      </c>
      <c r="N224" t="s">
        <v>40</v>
      </c>
      <c r="O224" t="str">
        <f>IF(N224="",INDEX({"Low","Medium","High"},MATCH(MAX(COUNTIF($N$2:$N$1000,{"Low","Medium","High"})),COUNTIF($N$2:$N$1000,{"Low","Medium","High"}),0)),N224)</f>
        <v>Medium</v>
      </c>
    </row>
    <row r="225" spans="1:15" x14ac:dyDescent="0.25">
      <c r="A225">
        <v>42</v>
      </c>
      <c r="B225">
        <f t="shared" si="9"/>
        <v>42</v>
      </c>
      <c r="F225">
        <v>86.71</v>
      </c>
      <c r="G225">
        <f t="shared" si="10"/>
        <v>86.71</v>
      </c>
      <c r="J225" t="s">
        <v>22</v>
      </c>
      <c r="K225" t="str">
        <f t="shared" si="11"/>
        <v>Not Returned</v>
      </c>
      <c r="N225" t="s">
        <v>40</v>
      </c>
      <c r="O225" t="str">
        <f>IF(N225="",INDEX({"Low","Medium","High"},MATCH(MAX(COUNTIF($N$2:$N$1000,{"Low","Medium","High"})),COUNTIF($N$2:$N$1000,{"Low","Medium","High"}),0)),N225)</f>
        <v>Medium</v>
      </c>
    </row>
    <row r="226" spans="1:15" x14ac:dyDescent="0.25">
      <c r="A226">
        <v>41</v>
      </c>
      <c r="B226">
        <f t="shared" si="9"/>
        <v>41</v>
      </c>
      <c r="F226">
        <v>49.11</v>
      </c>
      <c r="G226">
        <f t="shared" si="10"/>
        <v>49.11</v>
      </c>
      <c r="J226" t="s">
        <v>22</v>
      </c>
      <c r="K226" t="str">
        <f t="shared" si="11"/>
        <v>Not Returned</v>
      </c>
      <c r="N226" t="s">
        <v>40</v>
      </c>
      <c r="O226" t="str">
        <f>IF(N226="",INDEX({"Low","Medium","High"},MATCH(MAX(COUNTIF($N$2:$N$1000,{"Low","Medium","High"})),COUNTIF($N$2:$N$1000,{"Low","Medium","High"}),0)),N226)</f>
        <v>Medium</v>
      </c>
    </row>
    <row r="227" spans="1:15" x14ac:dyDescent="0.25">
      <c r="B227" s="3">
        <f t="shared" si="9"/>
        <v>26</v>
      </c>
      <c r="F227">
        <v>54.42</v>
      </c>
      <c r="G227">
        <f t="shared" si="10"/>
        <v>54.42</v>
      </c>
      <c r="J227" t="s">
        <v>22</v>
      </c>
      <c r="K227" t="str">
        <f t="shared" si="11"/>
        <v>Not Returned</v>
      </c>
      <c r="O227" s="3" t="str">
        <f>IF(N227="",INDEX({"Low","Medium","High"},MATCH(MAX(COUNTIF($N$2:$N$1000,{"Low","Medium","High"})),COUNTIF($N$2:$N$1000,{"Low","Medium","High"}),0)),N227)</f>
        <v>Low</v>
      </c>
    </row>
    <row r="228" spans="1:15" x14ac:dyDescent="0.25">
      <c r="A228">
        <v>20</v>
      </c>
      <c r="B228">
        <f t="shared" si="9"/>
        <v>20</v>
      </c>
      <c r="F228">
        <v>11.97</v>
      </c>
      <c r="G228">
        <f t="shared" si="10"/>
        <v>11.97</v>
      </c>
      <c r="J228" t="s">
        <v>22</v>
      </c>
      <c r="K228" t="str">
        <f t="shared" si="11"/>
        <v>Not Returned</v>
      </c>
      <c r="N228" t="s">
        <v>25</v>
      </c>
      <c r="O228" t="str">
        <f>IF(N228="",INDEX({"Low","Medium","High"},MATCH(MAX(COUNTIF($N$2:$N$1000,{"Low","Medium","High"})),COUNTIF($N$2:$N$1000,{"Low","Medium","High"}),0)),N228)</f>
        <v>Low</v>
      </c>
    </row>
    <row r="229" spans="1:15" x14ac:dyDescent="0.25">
      <c r="A229">
        <v>48</v>
      </c>
      <c r="B229">
        <f t="shared" si="9"/>
        <v>48</v>
      </c>
      <c r="F229">
        <v>62.19</v>
      </c>
      <c r="G229">
        <f t="shared" si="10"/>
        <v>62.19</v>
      </c>
      <c r="J229" t="s">
        <v>22</v>
      </c>
      <c r="K229" t="str">
        <f t="shared" si="11"/>
        <v>Not Returned</v>
      </c>
      <c r="N229" t="s">
        <v>25</v>
      </c>
      <c r="O229" t="str">
        <f>IF(N229="",INDEX({"Low","Medium","High"},MATCH(MAX(COUNTIF($N$2:$N$1000,{"Low","Medium","High"})),COUNTIF($N$2:$N$1000,{"Low","Medium","High"}),0)),N229)</f>
        <v>Low</v>
      </c>
    </row>
    <row r="230" spans="1:15" x14ac:dyDescent="0.25">
      <c r="A230">
        <v>17</v>
      </c>
      <c r="B230">
        <f t="shared" si="9"/>
        <v>17</v>
      </c>
      <c r="F230">
        <v>76.97</v>
      </c>
      <c r="G230">
        <f t="shared" si="10"/>
        <v>76.97</v>
      </c>
      <c r="J230" t="s">
        <v>22</v>
      </c>
      <c r="K230" t="str">
        <f t="shared" si="11"/>
        <v>Not Returned</v>
      </c>
      <c r="N230" t="s">
        <v>25</v>
      </c>
      <c r="O230" t="str">
        <f>IF(N230="",INDEX({"Low","Medium","High"},MATCH(MAX(COUNTIF($N$2:$N$1000,{"Low","Medium","High"})),COUNTIF($N$2:$N$1000,{"Low","Medium","High"}),0)),N230)</f>
        <v>Low</v>
      </c>
    </row>
    <row r="231" spans="1:15" x14ac:dyDescent="0.25">
      <c r="A231">
        <v>12</v>
      </c>
      <c r="B231">
        <f t="shared" si="9"/>
        <v>12</v>
      </c>
      <c r="F231">
        <v>73.87</v>
      </c>
      <c r="G231">
        <f t="shared" si="10"/>
        <v>73.87</v>
      </c>
      <c r="J231" t="s">
        <v>22</v>
      </c>
      <c r="K231" t="str">
        <f t="shared" si="11"/>
        <v>Not Returned</v>
      </c>
      <c r="N231" t="s">
        <v>25</v>
      </c>
      <c r="O231" t="str">
        <f>IF(N231="",INDEX({"Low","Medium","High"},MATCH(MAX(COUNTIF($N$2:$N$1000,{"Low","Medium","High"})),COUNTIF($N$2:$N$1000,{"Low","Medium","High"}),0)),N231)</f>
        <v>Low</v>
      </c>
    </row>
    <row r="232" spans="1:15" x14ac:dyDescent="0.25">
      <c r="A232">
        <v>2</v>
      </c>
      <c r="B232">
        <f t="shared" si="9"/>
        <v>2</v>
      </c>
      <c r="F232">
        <v>72.89</v>
      </c>
      <c r="G232">
        <f t="shared" si="10"/>
        <v>72.89</v>
      </c>
      <c r="J232" t="s">
        <v>22</v>
      </c>
      <c r="K232" t="str">
        <f t="shared" si="11"/>
        <v>Not Returned</v>
      </c>
      <c r="N232" t="s">
        <v>40</v>
      </c>
      <c r="O232" t="str">
        <f>IF(N232="",INDEX({"Low","Medium","High"},MATCH(MAX(COUNTIF($N$2:$N$1000,{"Low","Medium","High"})),COUNTIF($N$2:$N$1000,{"Low","Medium","High"}),0)),N232)</f>
        <v>Medium</v>
      </c>
    </row>
    <row r="233" spans="1:15" x14ac:dyDescent="0.25">
      <c r="A233">
        <v>31</v>
      </c>
      <c r="B233">
        <f t="shared" si="9"/>
        <v>31</v>
      </c>
      <c r="F233">
        <v>4.28</v>
      </c>
      <c r="G233">
        <f t="shared" si="10"/>
        <v>4.28</v>
      </c>
      <c r="J233" t="s">
        <v>22</v>
      </c>
      <c r="K233" t="str">
        <f t="shared" si="11"/>
        <v>Not Returned</v>
      </c>
      <c r="N233" t="s">
        <v>40</v>
      </c>
      <c r="O233" t="str">
        <f>IF(N233="",INDEX({"Low","Medium","High"},MATCH(MAX(COUNTIF($N$2:$N$1000,{"Low","Medium","High"})),COUNTIF($N$2:$N$1000,{"Low","Medium","High"}),0)),N233)</f>
        <v>Medium</v>
      </c>
    </row>
    <row r="234" spans="1:15" x14ac:dyDescent="0.25">
      <c r="A234">
        <v>15</v>
      </c>
      <c r="B234">
        <f t="shared" si="9"/>
        <v>15</v>
      </c>
      <c r="F234">
        <v>43.87</v>
      </c>
      <c r="G234">
        <f t="shared" si="10"/>
        <v>43.87</v>
      </c>
      <c r="J234" t="s">
        <v>111</v>
      </c>
      <c r="K234" t="str">
        <f t="shared" si="11"/>
        <v>Returned</v>
      </c>
      <c r="N234" t="s">
        <v>40</v>
      </c>
      <c r="O234" t="str">
        <f>IF(N234="",INDEX({"Low","Medium","High"},MATCH(MAX(COUNTIF($N$2:$N$1000,{"Low","Medium","High"})),COUNTIF($N$2:$N$1000,{"Low","Medium","High"}),0)),N234)</f>
        <v>Medium</v>
      </c>
    </row>
    <row r="235" spans="1:15" x14ac:dyDescent="0.25">
      <c r="A235">
        <v>7</v>
      </c>
      <c r="B235">
        <f t="shared" si="9"/>
        <v>7</v>
      </c>
      <c r="F235">
        <v>51.84</v>
      </c>
      <c r="G235">
        <f t="shared" si="10"/>
        <v>51.84</v>
      </c>
      <c r="J235" t="s">
        <v>22</v>
      </c>
      <c r="K235" t="str">
        <f t="shared" si="11"/>
        <v>Not Returned</v>
      </c>
      <c r="N235" t="s">
        <v>25</v>
      </c>
      <c r="O235" t="str">
        <f>IF(N235="",INDEX({"Low","Medium","High"},MATCH(MAX(COUNTIF($N$2:$N$1000,{"Low","Medium","High"})),COUNTIF($N$2:$N$1000,{"Low","Medium","High"}),0)),N235)</f>
        <v>Low</v>
      </c>
    </row>
    <row r="236" spans="1:15" x14ac:dyDescent="0.25">
      <c r="A236">
        <v>34</v>
      </c>
      <c r="B236">
        <f t="shared" si="9"/>
        <v>34</v>
      </c>
      <c r="F236">
        <v>29.09</v>
      </c>
      <c r="G236">
        <f t="shared" si="10"/>
        <v>29.09</v>
      </c>
      <c r="J236" t="s">
        <v>22</v>
      </c>
      <c r="K236" t="str">
        <f t="shared" si="11"/>
        <v>Not Returned</v>
      </c>
      <c r="N236" t="s">
        <v>34</v>
      </c>
      <c r="O236" t="str">
        <f>IF(N236="",INDEX({"Low","Medium","High"},MATCH(MAX(COUNTIF($N$2:$N$1000,{"Low","Medium","High"})),COUNTIF($N$2:$N$1000,{"Low","Medium","High"}),0)),N236)</f>
        <v>High</v>
      </c>
    </row>
    <row r="237" spans="1:15" x14ac:dyDescent="0.25">
      <c r="A237">
        <v>40</v>
      </c>
      <c r="B237">
        <f t="shared" si="9"/>
        <v>40</v>
      </c>
      <c r="F237">
        <v>56.88</v>
      </c>
      <c r="G237">
        <f t="shared" si="10"/>
        <v>56.88</v>
      </c>
      <c r="J237" t="s">
        <v>22</v>
      </c>
      <c r="K237" t="str">
        <f t="shared" si="11"/>
        <v>Not Returned</v>
      </c>
      <c r="N237" t="s">
        <v>34</v>
      </c>
      <c r="O237" t="str">
        <f>IF(N237="",INDEX({"Low","Medium","High"},MATCH(MAX(COUNTIF($N$2:$N$1000,{"Low","Medium","High"})),COUNTIF($N$2:$N$1000,{"Low","Medium","High"}),0)),N237)</f>
        <v>High</v>
      </c>
    </row>
    <row r="238" spans="1:15" x14ac:dyDescent="0.25">
      <c r="A238">
        <v>21</v>
      </c>
      <c r="B238">
        <f t="shared" si="9"/>
        <v>21</v>
      </c>
      <c r="F238">
        <v>96.69</v>
      </c>
      <c r="G238">
        <f t="shared" si="10"/>
        <v>96.69</v>
      </c>
      <c r="J238" t="s">
        <v>22</v>
      </c>
      <c r="K238" t="str">
        <f t="shared" si="11"/>
        <v>Not Returned</v>
      </c>
      <c r="N238" t="s">
        <v>40</v>
      </c>
      <c r="O238" t="str">
        <f>IF(N238="",INDEX({"Low","Medium","High"},MATCH(MAX(COUNTIF($N$2:$N$1000,{"Low","Medium","High"})),COUNTIF($N$2:$N$1000,{"Low","Medium","High"}),0)),N238)</f>
        <v>Medium</v>
      </c>
    </row>
    <row r="239" spans="1:15" x14ac:dyDescent="0.25">
      <c r="A239">
        <v>13</v>
      </c>
      <c r="B239">
        <f t="shared" si="9"/>
        <v>13</v>
      </c>
      <c r="F239">
        <v>87.62</v>
      </c>
      <c r="G239">
        <f t="shared" si="10"/>
        <v>87.62</v>
      </c>
      <c r="J239" t="s">
        <v>22</v>
      </c>
      <c r="K239" t="str">
        <f t="shared" si="11"/>
        <v>Not Returned</v>
      </c>
      <c r="N239" t="s">
        <v>34</v>
      </c>
      <c r="O239" t="str">
        <f>IF(N239="",INDEX({"Low","Medium","High"},MATCH(MAX(COUNTIF($N$2:$N$1000,{"Low","Medium","High"})),COUNTIF($N$2:$N$1000,{"Low","Medium","High"}),0)),N239)</f>
        <v>High</v>
      </c>
    </row>
    <row r="240" spans="1:15" x14ac:dyDescent="0.25">
      <c r="A240">
        <v>49</v>
      </c>
      <c r="B240">
        <f t="shared" si="9"/>
        <v>49</v>
      </c>
      <c r="F240">
        <v>26.86</v>
      </c>
      <c r="G240">
        <f t="shared" si="10"/>
        <v>26.86</v>
      </c>
      <c r="J240" t="s">
        <v>22</v>
      </c>
      <c r="K240" t="str">
        <f t="shared" si="11"/>
        <v>Not Returned</v>
      </c>
      <c r="N240" t="s">
        <v>25</v>
      </c>
      <c r="O240" t="str">
        <f>IF(N240="",INDEX({"Low","Medium","High"},MATCH(MAX(COUNTIF($N$2:$N$1000,{"Low","Medium","High"})),COUNTIF($N$2:$N$1000,{"Low","Medium","High"}),0)),N240)</f>
        <v>Low</v>
      </c>
    </row>
    <row r="241" spans="1:15" x14ac:dyDescent="0.25">
      <c r="A241">
        <v>2</v>
      </c>
      <c r="B241">
        <f t="shared" si="9"/>
        <v>2</v>
      </c>
      <c r="F241">
        <v>82.39</v>
      </c>
      <c r="G241">
        <f t="shared" si="10"/>
        <v>82.39</v>
      </c>
      <c r="J241" t="s">
        <v>22</v>
      </c>
      <c r="K241" t="str">
        <f t="shared" si="11"/>
        <v>Not Returned</v>
      </c>
      <c r="N241" t="s">
        <v>25</v>
      </c>
      <c r="O241" t="str">
        <f>IF(N241="",INDEX({"Low","Medium","High"},MATCH(MAX(COUNTIF($N$2:$N$1000,{"Low","Medium","High"})),COUNTIF($N$2:$N$1000,{"Low","Medium","High"}),0)),N241)</f>
        <v>Low</v>
      </c>
    </row>
    <row r="242" spans="1:15" x14ac:dyDescent="0.25">
      <c r="A242">
        <v>8</v>
      </c>
      <c r="B242">
        <f t="shared" si="9"/>
        <v>8</v>
      </c>
      <c r="G242" s="3">
        <f t="shared" si="10"/>
        <v>53</v>
      </c>
      <c r="J242" t="s">
        <v>111</v>
      </c>
      <c r="K242" t="str">
        <f t="shared" si="11"/>
        <v>Returned</v>
      </c>
      <c r="N242" t="s">
        <v>25</v>
      </c>
      <c r="O242" t="str">
        <f>IF(N242="",INDEX({"Low","Medium","High"},MATCH(MAX(COUNTIF($N$2:$N$1000,{"Low","Medium","High"})),COUNTIF($N$2:$N$1000,{"Low","Medium","High"}),0)),N242)</f>
        <v>Low</v>
      </c>
    </row>
    <row r="243" spans="1:15" x14ac:dyDescent="0.25">
      <c r="A243">
        <v>20</v>
      </c>
      <c r="B243">
        <f t="shared" si="9"/>
        <v>20</v>
      </c>
      <c r="F243">
        <v>90.13</v>
      </c>
      <c r="G243">
        <f t="shared" si="10"/>
        <v>90.13</v>
      </c>
      <c r="K243" s="3" t="str">
        <f t="shared" si="11"/>
        <v>Unknown</v>
      </c>
      <c r="N243" t="s">
        <v>25</v>
      </c>
      <c r="O243" t="str">
        <f>IF(N243="",INDEX({"Low","Medium","High"},MATCH(MAX(COUNTIF($N$2:$N$1000,{"Low","Medium","High"})),COUNTIF($N$2:$N$1000,{"Low","Medium","High"}),0)),N243)</f>
        <v>Low</v>
      </c>
    </row>
    <row r="244" spans="1:15" x14ac:dyDescent="0.25">
      <c r="A244">
        <v>19</v>
      </c>
      <c r="B244">
        <f t="shared" si="9"/>
        <v>19</v>
      </c>
      <c r="F244">
        <v>66.959999999999994</v>
      </c>
      <c r="G244">
        <f t="shared" si="10"/>
        <v>66.959999999999994</v>
      </c>
      <c r="J244" t="s">
        <v>111</v>
      </c>
      <c r="K244" t="str">
        <f t="shared" si="11"/>
        <v>Returned</v>
      </c>
      <c r="N244" t="s">
        <v>25</v>
      </c>
      <c r="O244" t="str">
        <f>IF(N244="",INDEX({"Low","Medium","High"},MATCH(MAX(COUNTIF($N$2:$N$1000,{"Low","Medium","High"})),COUNTIF($N$2:$N$1000,{"Low","Medium","High"}),0)),N244)</f>
        <v>Low</v>
      </c>
    </row>
    <row r="245" spans="1:15" x14ac:dyDescent="0.25">
      <c r="A245">
        <v>25</v>
      </c>
      <c r="B245">
        <f t="shared" si="9"/>
        <v>25</v>
      </c>
      <c r="F245">
        <v>83.53</v>
      </c>
      <c r="G245">
        <f t="shared" si="10"/>
        <v>83.53</v>
      </c>
      <c r="J245" t="s">
        <v>111</v>
      </c>
      <c r="K245" t="str">
        <f t="shared" si="11"/>
        <v>Returned</v>
      </c>
      <c r="N245" t="s">
        <v>40</v>
      </c>
      <c r="O245" t="str">
        <f>IF(N245="",INDEX({"Low","Medium","High"},MATCH(MAX(COUNTIF($N$2:$N$1000,{"Low","Medium","High"})),COUNTIF($N$2:$N$1000,{"Low","Medium","High"}),0)),N245)</f>
        <v>Medium</v>
      </c>
    </row>
    <row r="246" spans="1:15" x14ac:dyDescent="0.25">
      <c r="A246">
        <v>49</v>
      </c>
      <c r="B246">
        <f t="shared" si="9"/>
        <v>49</v>
      </c>
      <c r="F246">
        <v>51.85</v>
      </c>
      <c r="G246">
        <f t="shared" si="10"/>
        <v>51.85</v>
      </c>
      <c r="J246" t="s">
        <v>22</v>
      </c>
      <c r="K246" t="str">
        <f t="shared" si="11"/>
        <v>Not Returned</v>
      </c>
      <c r="N246" t="s">
        <v>25</v>
      </c>
      <c r="O246" t="str">
        <f>IF(N246="",INDEX({"Low","Medium","High"},MATCH(MAX(COUNTIF($N$2:$N$1000,{"Low","Medium","High"})),COUNTIF($N$2:$N$1000,{"Low","Medium","High"}),0)),N246)</f>
        <v>Low</v>
      </c>
    </row>
    <row r="247" spans="1:15" x14ac:dyDescent="0.25">
      <c r="B247" s="3">
        <f t="shared" si="9"/>
        <v>26</v>
      </c>
      <c r="F247">
        <v>96.93</v>
      </c>
      <c r="G247">
        <f t="shared" si="10"/>
        <v>96.93</v>
      </c>
      <c r="J247" t="s">
        <v>22</v>
      </c>
      <c r="K247" t="str">
        <f t="shared" si="11"/>
        <v>Not Returned</v>
      </c>
      <c r="N247" t="s">
        <v>25</v>
      </c>
      <c r="O247" t="str">
        <f>IF(N247="",INDEX({"Low","Medium","High"},MATCH(MAX(COUNTIF($N$2:$N$1000,{"Low","Medium","High"})),COUNTIF($N$2:$N$1000,{"Low","Medium","High"}),0)),N247)</f>
        <v>Low</v>
      </c>
    </row>
    <row r="248" spans="1:15" x14ac:dyDescent="0.25">
      <c r="A248">
        <v>20</v>
      </c>
      <c r="B248">
        <f t="shared" si="9"/>
        <v>20</v>
      </c>
      <c r="F248">
        <v>76.11</v>
      </c>
      <c r="G248">
        <f t="shared" si="10"/>
        <v>76.11</v>
      </c>
      <c r="J248" t="s">
        <v>22</v>
      </c>
      <c r="K248" t="str">
        <f t="shared" si="11"/>
        <v>Not Returned</v>
      </c>
      <c r="N248" t="s">
        <v>25</v>
      </c>
      <c r="O248" t="str">
        <f>IF(N248="",INDEX({"Low","Medium","High"},MATCH(MAX(COUNTIF($N$2:$N$1000,{"Low","Medium","High"})),COUNTIF($N$2:$N$1000,{"Low","Medium","High"}),0)),N248)</f>
        <v>Low</v>
      </c>
    </row>
    <row r="249" spans="1:15" x14ac:dyDescent="0.25">
      <c r="A249">
        <v>31</v>
      </c>
      <c r="B249">
        <f t="shared" si="9"/>
        <v>31</v>
      </c>
      <c r="F249">
        <v>24.02</v>
      </c>
      <c r="G249">
        <f t="shared" si="10"/>
        <v>24.02</v>
      </c>
      <c r="J249" t="s">
        <v>22</v>
      </c>
      <c r="K249" t="str">
        <f t="shared" si="11"/>
        <v>Not Returned</v>
      </c>
      <c r="N249" t="s">
        <v>34</v>
      </c>
      <c r="O249" t="str">
        <f>IF(N249="",INDEX({"Low","Medium","High"},MATCH(MAX(COUNTIF($N$2:$N$1000,{"Low","Medium","High"})),COUNTIF($N$2:$N$1000,{"Low","Medium","High"}),0)),N249)</f>
        <v>High</v>
      </c>
    </row>
    <row r="250" spans="1:15" x14ac:dyDescent="0.25">
      <c r="A250">
        <v>17</v>
      </c>
      <c r="B250">
        <f t="shared" si="9"/>
        <v>17</v>
      </c>
      <c r="F250">
        <v>94.43</v>
      </c>
      <c r="G250">
        <f t="shared" si="10"/>
        <v>94.43</v>
      </c>
      <c r="J250" t="s">
        <v>22</v>
      </c>
      <c r="K250" t="str">
        <f t="shared" si="11"/>
        <v>Not Returned</v>
      </c>
      <c r="O250" s="3" t="str">
        <f>IF(N250="",INDEX({"Low","Medium","High"},MATCH(MAX(COUNTIF($N$2:$N$1000,{"Low","Medium","High"})),COUNTIF($N$2:$N$1000,{"Low","Medium","High"}),0)),N250)</f>
        <v>Low</v>
      </c>
    </row>
    <row r="251" spans="1:15" x14ac:dyDescent="0.25">
      <c r="A251">
        <v>23</v>
      </c>
      <c r="B251">
        <f t="shared" si="9"/>
        <v>23</v>
      </c>
      <c r="F251">
        <v>62.26</v>
      </c>
      <c r="G251">
        <f t="shared" si="10"/>
        <v>62.26</v>
      </c>
      <c r="J251" t="s">
        <v>22</v>
      </c>
      <c r="K251" t="str">
        <f t="shared" si="11"/>
        <v>Not Returned</v>
      </c>
      <c r="N251" t="s">
        <v>25</v>
      </c>
      <c r="O251" t="str">
        <f>IF(N251="",INDEX({"Low","Medium","High"},MATCH(MAX(COUNTIF($N$2:$N$1000,{"Low","Medium","High"})),COUNTIF($N$2:$N$1000,{"Low","Medium","High"}),0)),N251)</f>
        <v>Low</v>
      </c>
    </row>
    <row r="252" spans="1:15" x14ac:dyDescent="0.25">
      <c r="A252">
        <v>49</v>
      </c>
      <c r="B252">
        <f t="shared" si="9"/>
        <v>49</v>
      </c>
      <c r="F252">
        <v>46.58</v>
      </c>
      <c r="G252">
        <f t="shared" si="10"/>
        <v>46.58</v>
      </c>
      <c r="J252" t="s">
        <v>22</v>
      </c>
      <c r="K252" t="str">
        <f t="shared" si="11"/>
        <v>Not Returned</v>
      </c>
      <c r="N252" t="s">
        <v>34</v>
      </c>
      <c r="O252" t="str">
        <f>IF(N252="",INDEX({"Low","Medium","High"},MATCH(MAX(COUNTIF($N$2:$N$1000,{"Low","Medium","High"})),COUNTIF($N$2:$N$1000,{"Low","Medium","High"}),0)),N252)</f>
        <v>High</v>
      </c>
    </row>
    <row r="253" spans="1:15" x14ac:dyDescent="0.25">
      <c r="A253">
        <v>37</v>
      </c>
      <c r="B253">
        <f t="shared" si="9"/>
        <v>37</v>
      </c>
      <c r="F253">
        <v>53.13</v>
      </c>
      <c r="G253">
        <f t="shared" si="10"/>
        <v>53.13</v>
      </c>
      <c r="J253" t="s">
        <v>22</v>
      </c>
      <c r="K253" t="str">
        <f t="shared" si="11"/>
        <v>Not Returned</v>
      </c>
      <c r="N253" t="s">
        <v>34</v>
      </c>
      <c r="O253" t="str">
        <f>IF(N253="",INDEX({"Low","Medium","High"},MATCH(MAX(COUNTIF($N$2:$N$1000,{"Low","Medium","High"})),COUNTIF($N$2:$N$1000,{"Low","Medium","High"}),0)),N253)</f>
        <v>High</v>
      </c>
    </row>
    <row r="254" spans="1:15" x14ac:dyDescent="0.25">
      <c r="A254">
        <v>3</v>
      </c>
      <c r="B254">
        <f t="shared" si="9"/>
        <v>3</v>
      </c>
      <c r="F254">
        <v>14.21</v>
      </c>
      <c r="G254">
        <f t="shared" si="10"/>
        <v>14.21</v>
      </c>
      <c r="J254" t="s">
        <v>22</v>
      </c>
      <c r="K254" t="str">
        <f t="shared" si="11"/>
        <v>Not Returned</v>
      </c>
      <c r="N254" t="s">
        <v>34</v>
      </c>
      <c r="O254" t="str">
        <f>IF(N254="",INDEX({"Low","Medium","High"},MATCH(MAX(COUNTIF($N$2:$N$1000,{"Low","Medium","High"})),COUNTIF($N$2:$N$1000,{"Low","Medium","High"}),0)),N254)</f>
        <v>High</v>
      </c>
    </row>
    <row r="255" spans="1:15" x14ac:dyDescent="0.25">
      <c r="A255">
        <v>22</v>
      </c>
      <c r="B255">
        <f t="shared" si="9"/>
        <v>22</v>
      </c>
      <c r="F255">
        <v>87</v>
      </c>
      <c r="G255">
        <f t="shared" si="10"/>
        <v>87</v>
      </c>
      <c r="J255" t="s">
        <v>22</v>
      </c>
      <c r="K255" t="str">
        <f t="shared" si="11"/>
        <v>Not Returned</v>
      </c>
      <c r="N255" t="s">
        <v>40</v>
      </c>
      <c r="O255" t="str">
        <f>IF(N255="",INDEX({"Low","Medium","High"},MATCH(MAX(COUNTIF($N$2:$N$1000,{"Low","Medium","High"})),COUNTIF($N$2:$N$1000,{"Low","Medium","High"}),0)),N255)</f>
        <v>Medium</v>
      </c>
    </row>
    <row r="256" spans="1:15" x14ac:dyDescent="0.25">
      <c r="A256">
        <v>11</v>
      </c>
      <c r="B256">
        <f t="shared" si="9"/>
        <v>11</v>
      </c>
      <c r="F256">
        <v>23.17</v>
      </c>
      <c r="G256">
        <f t="shared" si="10"/>
        <v>23.17</v>
      </c>
      <c r="K256" s="3" t="str">
        <f t="shared" si="11"/>
        <v>Unknown</v>
      </c>
      <c r="N256" t="s">
        <v>25</v>
      </c>
      <c r="O256" t="str">
        <f>IF(N256="",INDEX({"Low","Medium","High"},MATCH(MAX(COUNTIF($N$2:$N$1000,{"Low","Medium","High"})),COUNTIF($N$2:$N$1000,{"Low","Medium","High"}),0)),N256)</f>
        <v>Low</v>
      </c>
    </row>
    <row r="257" spans="1:15" x14ac:dyDescent="0.25">
      <c r="A257">
        <v>3</v>
      </c>
      <c r="B257">
        <f t="shared" si="9"/>
        <v>3</v>
      </c>
      <c r="F257">
        <v>76.599999999999994</v>
      </c>
      <c r="G257">
        <f t="shared" si="10"/>
        <v>76.599999999999994</v>
      </c>
      <c r="J257" t="s">
        <v>22</v>
      </c>
      <c r="K257" t="str">
        <f t="shared" si="11"/>
        <v>Not Returned</v>
      </c>
      <c r="N257" t="s">
        <v>40</v>
      </c>
      <c r="O257" t="str">
        <f>IF(N257="",INDEX({"Low","Medium","High"},MATCH(MAX(COUNTIF($N$2:$N$1000,{"Low","Medium","High"})),COUNTIF($N$2:$N$1000,{"Low","Medium","High"}),0)),N257)</f>
        <v>Medium</v>
      </c>
    </row>
    <row r="258" spans="1:15" x14ac:dyDescent="0.25">
      <c r="A258">
        <v>45</v>
      </c>
      <c r="B258">
        <f t="shared" ref="B258:B321" si="12">IF(A258="",ROUNDUP(AVERAGE($A$2:$A$1000),0),A258)</f>
        <v>45</v>
      </c>
      <c r="F258">
        <v>76.03</v>
      </c>
      <c r="G258">
        <f t="shared" si="10"/>
        <v>76.03</v>
      </c>
      <c r="J258" t="s">
        <v>22</v>
      </c>
      <c r="K258" t="str">
        <f t="shared" si="11"/>
        <v>Not Returned</v>
      </c>
      <c r="N258" t="s">
        <v>40</v>
      </c>
      <c r="O258" t="str">
        <f>IF(N258="",INDEX({"Low","Medium","High"},MATCH(MAX(COUNTIF($N$2:$N$1000,{"Low","Medium","High"})),COUNTIF($N$2:$N$1000,{"Low","Medium","High"}),0)),N258)</f>
        <v>Medium</v>
      </c>
    </row>
    <row r="259" spans="1:15" x14ac:dyDescent="0.25">
      <c r="A259">
        <v>49</v>
      </c>
      <c r="B259">
        <f t="shared" si="12"/>
        <v>49</v>
      </c>
      <c r="F259">
        <v>90.06</v>
      </c>
      <c r="G259">
        <f t="shared" ref="G259:G322" si="13">IF(F259="",ROUNDUP(AVERAGE($F$2:$F$1000),0),F259)</f>
        <v>90.06</v>
      </c>
      <c r="J259" t="s">
        <v>22</v>
      </c>
      <c r="K259" t="str">
        <f t="shared" ref="K259:K322" si="14">IF(J259="","Unknown",J259)</f>
        <v>Not Returned</v>
      </c>
      <c r="N259" t="s">
        <v>40</v>
      </c>
      <c r="O259" t="str">
        <f>IF(N259="",INDEX({"Low","Medium","High"},MATCH(MAX(COUNTIF($N$2:$N$1000,{"Low","Medium","High"})),COUNTIF($N$2:$N$1000,{"Low","Medium","High"}),0)),N259)</f>
        <v>Medium</v>
      </c>
    </row>
    <row r="260" spans="1:15" x14ac:dyDescent="0.25">
      <c r="A260">
        <v>40</v>
      </c>
      <c r="B260">
        <f t="shared" si="12"/>
        <v>40</v>
      </c>
      <c r="F260">
        <v>77.95</v>
      </c>
      <c r="G260">
        <f t="shared" si="13"/>
        <v>77.95</v>
      </c>
      <c r="J260" t="s">
        <v>22</v>
      </c>
      <c r="K260" t="str">
        <f t="shared" si="14"/>
        <v>Not Returned</v>
      </c>
      <c r="N260" t="s">
        <v>25</v>
      </c>
      <c r="O260" t="str">
        <f>IF(N260="",INDEX({"Low","Medium","High"},MATCH(MAX(COUNTIF($N$2:$N$1000,{"Low","Medium","High"})),COUNTIF($N$2:$N$1000,{"Low","Medium","High"}),0)),N260)</f>
        <v>Low</v>
      </c>
    </row>
    <row r="261" spans="1:15" x14ac:dyDescent="0.25">
      <c r="A261">
        <v>27</v>
      </c>
      <c r="B261">
        <f t="shared" si="12"/>
        <v>27</v>
      </c>
      <c r="F261">
        <v>46.25</v>
      </c>
      <c r="G261">
        <f t="shared" si="13"/>
        <v>46.25</v>
      </c>
      <c r="J261" t="s">
        <v>111</v>
      </c>
      <c r="K261" t="str">
        <f t="shared" si="14"/>
        <v>Returned</v>
      </c>
      <c r="N261" t="s">
        <v>40</v>
      </c>
      <c r="O261" t="str">
        <f>IF(N261="",INDEX({"Low","Medium","High"},MATCH(MAX(COUNTIF($N$2:$N$1000,{"Low","Medium","High"})),COUNTIF($N$2:$N$1000,{"Low","Medium","High"}),0)),N261)</f>
        <v>Medium</v>
      </c>
    </row>
    <row r="262" spans="1:15" x14ac:dyDescent="0.25">
      <c r="A262">
        <v>1</v>
      </c>
      <c r="B262">
        <f t="shared" si="12"/>
        <v>1</v>
      </c>
      <c r="G262" s="3">
        <f t="shared" si="13"/>
        <v>53</v>
      </c>
      <c r="J262" t="s">
        <v>22</v>
      </c>
      <c r="K262" t="str">
        <f t="shared" si="14"/>
        <v>Not Returned</v>
      </c>
      <c r="N262" t="s">
        <v>40</v>
      </c>
      <c r="O262" t="str">
        <f>IF(N262="",INDEX({"Low","Medium","High"},MATCH(MAX(COUNTIF($N$2:$N$1000,{"Low","Medium","High"})),COUNTIF($N$2:$N$1000,{"Low","Medium","High"}),0)),N262)</f>
        <v>Medium</v>
      </c>
    </row>
    <row r="263" spans="1:15" x14ac:dyDescent="0.25">
      <c r="A263">
        <v>7</v>
      </c>
      <c r="B263">
        <f t="shared" si="12"/>
        <v>7</v>
      </c>
      <c r="F263">
        <v>73.52</v>
      </c>
      <c r="G263">
        <f t="shared" si="13"/>
        <v>73.52</v>
      </c>
      <c r="J263" t="s">
        <v>22</v>
      </c>
      <c r="K263" t="str">
        <f t="shared" si="14"/>
        <v>Not Returned</v>
      </c>
      <c r="N263" t="s">
        <v>34</v>
      </c>
      <c r="O263" t="str">
        <f>IF(N263="",INDEX({"Low","Medium","High"},MATCH(MAX(COUNTIF($N$2:$N$1000,{"Low","Medium","High"})),COUNTIF($N$2:$N$1000,{"Low","Medium","High"}),0)),N263)</f>
        <v>High</v>
      </c>
    </row>
    <row r="264" spans="1:15" x14ac:dyDescent="0.25">
      <c r="A264">
        <v>5</v>
      </c>
      <c r="B264">
        <f t="shared" si="12"/>
        <v>5</v>
      </c>
      <c r="F264">
        <v>46.35</v>
      </c>
      <c r="G264">
        <f t="shared" si="13"/>
        <v>46.35</v>
      </c>
      <c r="J264" t="s">
        <v>22</v>
      </c>
      <c r="K264" t="str">
        <f t="shared" si="14"/>
        <v>Not Returned</v>
      </c>
      <c r="N264" t="s">
        <v>40</v>
      </c>
      <c r="O264" t="str">
        <f>IF(N264="",INDEX({"Low","Medium","High"},MATCH(MAX(COUNTIF($N$2:$N$1000,{"Low","Medium","High"})),COUNTIF($N$2:$N$1000,{"Low","Medium","High"}),0)),N264)</f>
        <v>Medium</v>
      </c>
    </row>
    <row r="265" spans="1:15" x14ac:dyDescent="0.25">
      <c r="B265" s="3">
        <f t="shared" si="12"/>
        <v>26</v>
      </c>
      <c r="F265">
        <v>53.04</v>
      </c>
      <c r="G265">
        <f t="shared" si="13"/>
        <v>53.04</v>
      </c>
      <c r="J265" t="s">
        <v>22</v>
      </c>
      <c r="K265" t="str">
        <f t="shared" si="14"/>
        <v>Not Returned</v>
      </c>
      <c r="N265" t="s">
        <v>40</v>
      </c>
      <c r="O265" t="str">
        <f>IF(N265="",INDEX({"Low","Medium","High"},MATCH(MAX(COUNTIF($N$2:$N$1000,{"Low","Medium","High"})),COUNTIF($N$2:$N$1000,{"Low","Medium","High"}),0)),N265)</f>
        <v>Medium</v>
      </c>
    </row>
    <row r="266" spans="1:15" x14ac:dyDescent="0.25">
      <c r="A266">
        <v>20</v>
      </c>
      <c r="B266">
        <f t="shared" si="12"/>
        <v>20</v>
      </c>
      <c r="F266">
        <v>13.83</v>
      </c>
      <c r="G266">
        <f t="shared" si="13"/>
        <v>13.83</v>
      </c>
      <c r="J266" t="s">
        <v>22</v>
      </c>
      <c r="K266" t="str">
        <f t="shared" si="14"/>
        <v>Not Returned</v>
      </c>
      <c r="N266" t="s">
        <v>40</v>
      </c>
      <c r="O266" t="str">
        <f>IF(N266="",INDEX({"Low","Medium","High"},MATCH(MAX(COUNTIF($N$2:$N$1000,{"Low","Medium","High"})),COUNTIF($N$2:$N$1000,{"Low","Medium","High"}),0)),N266)</f>
        <v>Medium</v>
      </c>
    </row>
    <row r="267" spans="1:15" x14ac:dyDescent="0.25">
      <c r="A267">
        <v>4</v>
      </c>
      <c r="B267">
        <f t="shared" si="12"/>
        <v>4</v>
      </c>
      <c r="F267">
        <v>93.61</v>
      </c>
      <c r="G267">
        <f t="shared" si="13"/>
        <v>93.61</v>
      </c>
      <c r="J267" t="s">
        <v>22</v>
      </c>
      <c r="K267" t="str">
        <f t="shared" si="14"/>
        <v>Not Returned</v>
      </c>
      <c r="N267" t="s">
        <v>34</v>
      </c>
      <c r="O267" t="str">
        <f>IF(N267="",INDEX({"Low","Medium","High"},MATCH(MAX(COUNTIF($N$2:$N$1000,{"Low","Medium","High"})),COUNTIF($N$2:$N$1000,{"Low","Medium","High"}),0)),N267)</f>
        <v>High</v>
      </c>
    </row>
    <row r="268" spans="1:15" x14ac:dyDescent="0.25">
      <c r="A268">
        <v>42</v>
      </c>
      <c r="B268">
        <f t="shared" si="12"/>
        <v>42</v>
      </c>
      <c r="F268">
        <v>61.64</v>
      </c>
      <c r="G268">
        <f t="shared" si="13"/>
        <v>61.64</v>
      </c>
      <c r="J268" t="s">
        <v>22</v>
      </c>
      <c r="K268" t="str">
        <f t="shared" si="14"/>
        <v>Not Returned</v>
      </c>
      <c r="N268" t="s">
        <v>25</v>
      </c>
      <c r="O268" t="str">
        <f>IF(N268="",INDEX({"Low","Medium","High"},MATCH(MAX(COUNTIF($N$2:$N$1000,{"Low","Medium","High"})),COUNTIF($N$2:$N$1000,{"Low","Medium","High"}),0)),N268)</f>
        <v>Low</v>
      </c>
    </row>
    <row r="269" spans="1:15" x14ac:dyDescent="0.25">
      <c r="A269">
        <v>41</v>
      </c>
      <c r="B269">
        <f t="shared" si="12"/>
        <v>41</v>
      </c>
      <c r="F269">
        <v>1.4</v>
      </c>
      <c r="G269">
        <f t="shared" si="13"/>
        <v>1.4</v>
      </c>
      <c r="J269" t="s">
        <v>22</v>
      </c>
      <c r="K269" t="str">
        <f t="shared" si="14"/>
        <v>Not Returned</v>
      </c>
      <c r="N269" t="s">
        <v>34</v>
      </c>
      <c r="O269" t="str">
        <f>IF(N269="",INDEX({"Low","Medium","High"},MATCH(MAX(COUNTIF($N$2:$N$1000,{"Low","Medium","High"})),COUNTIF($N$2:$N$1000,{"Low","Medium","High"}),0)),N269)</f>
        <v>High</v>
      </c>
    </row>
    <row r="270" spans="1:15" x14ac:dyDescent="0.25">
      <c r="A270">
        <v>19</v>
      </c>
      <c r="B270">
        <f t="shared" si="12"/>
        <v>19</v>
      </c>
      <c r="F270">
        <v>6.91</v>
      </c>
      <c r="G270">
        <f t="shared" si="13"/>
        <v>6.91</v>
      </c>
      <c r="J270" t="s">
        <v>22</v>
      </c>
      <c r="K270" t="str">
        <f t="shared" si="14"/>
        <v>Not Returned</v>
      </c>
      <c r="N270" t="s">
        <v>34</v>
      </c>
      <c r="O270" t="str">
        <f>IF(N270="",INDEX({"Low","Medium","High"},MATCH(MAX(COUNTIF($N$2:$N$1000,{"Low","Medium","High"})),COUNTIF($N$2:$N$1000,{"Low","Medium","High"}),0)),N270)</f>
        <v>High</v>
      </c>
    </row>
    <row r="271" spans="1:15" x14ac:dyDescent="0.25">
      <c r="A271">
        <v>25</v>
      </c>
      <c r="B271">
        <f t="shared" si="12"/>
        <v>25</v>
      </c>
      <c r="F271">
        <v>12.29</v>
      </c>
      <c r="G271">
        <f t="shared" si="13"/>
        <v>12.29</v>
      </c>
      <c r="J271" t="s">
        <v>111</v>
      </c>
      <c r="K271" t="str">
        <f t="shared" si="14"/>
        <v>Returned</v>
      </c>
      <c r="N271" t="s">
        <v>25</v>
      </c>
      <c r="O271" t="str">
        <f>IF(N271="",INDEX({"Low","Medium","High"},MATCH(MAX(COUNTIF($N$2:$N$1000,{"Low","Medium","High"})),COUNTIF($N$2:$N$1000,{"Low","Medium","High"}),0)),N271)</f>
        <v>Low</v>
      </c>
    </row>
    <row r="272" spans="1:15" x14ac:dyDescent="0.25">
      <c r="A272">
        <v>17</v>
      </c>
      <c r="B272">
        <f t="shared" si="12"/>
        <v>17</v>
      </c>
      <c r="F272">
        <v>5.9</v>
      </c>
      <c r="G272">
        <f t="shared" si="13"/>
        <v>5.9</v>
      </c>
      <c r="K272" s="3" t="str">
        <f t="shared" si="14"/>
        <v>Unknown</v>
      </c>
      <c r="N272" t="s">
        <v>40</v>
      </c>
      <c r="O272" t="str">
        <f>IF(N272="",INDEX({"Low","Medium","High"},MATCH(MAX(COUNTIF($N$2:$N$1000,{"Low","Medium","High"})),COUNTIF($N$2:$N$1000,{"Low","Medium","High"}),0)),N272)</f>
        <v>Medium</v>
      </c>
    </row>
    <row r="273" spans="1:15" x14ac:dyDescent="0.25">
      <c r="A273">
        <v>40</v>
      </c>
      <c r="B273">
        <f t="shared" si="12"/>
        <v>40</v>
      </c>
      <c r="F273">
        <v>18.100000000000001</v>
      </c>
      <c r="G273">
        <f t="shared" si="13"/>
        <v>18.100000000000001</v>
      </c>
      <c r="J273" t="s">
        <v>22</v>
      </c>
      <c r="K273" t="str">
        <f t="shared" si="14"/>
        <v>Not Returned</v>
      </c>
      <c r="N273" t="s">
        <v>40</v>
      </c>
      <c r="O273" t="str">
        <f>IF(N273="",INDEX({"Low","Medium","High"},MATCH(MAX(COUNTIF($N$2:$N$1000,{"Low","Medium","High"})),COUNTIF($N$2:$N$1000,{"Low","Medium","High"}),0)),N273)</f>
        <v>Medium</v>
      </c>
    </row>
    <row r="274" spans="1:15" x14ac:dyDescent="0.25">
      <c r="A274">
        <v>33</v>
      </c>
      <c r="B274">
        <f t="shared" si="12"/>
        <v>33</v>
      </c>
      <c r="F274">
        <v>40.43</v>
      </c>
      <c r="G274">
        <f t="shared" si="13"/>
        <v>40.43</v>
      </c>
      <c r="J274" t="s">
        <v>22</v>
      </c>
      <c r="K274" t="str">
        <f t="shared" si="14"/>
        <v>Not Returned</v>
      </c>
      <c r="O274" s="3" t="str">
        <f>IF(N274="",INDEX({"Low","Medium","High"},MATCH(MAX(COUNTIF($N$2:$N$1000,{"Low","Medium","High"})),COUNTIF($N$2:$N$1000,{"Low","Medium","High"}),0)),N274)</f>
        <v>Low</v>
      </c>
    </row>
    <row r="275" spans="1:15" x14ac:dyDescent="0.25">
      <c r="A275">
        <v>33</v>
      </c>
      <c r="B275">
        <f t="shared" si="12"/>
        <v>33</v>
      </c>
      <c r="F275">
        <v>45.47</v>
      </c>
      <c r="G275">
        <f t="shared" si="13"/>
        <v>45.47</v>
      </c>
      <c r="K275" s="3" t="str">
        <f t="shared" si="14"/>
        <v>Unknown</v>
      </c>
      <c r="N275" t="s">
        <v>40</v>
      </c>
      <c r="O275" t="str">
        <f>IF(N275="",INDEX({"Low","Medium","High"},MATCH(MAX(COUNTIF($N$2:$N$1000,{"Low","Medium","High"})),COUNTIF($N$2:$N$1000,{"Low","Medium","High"}),0)),N275)</f>
        <v>Medium</v>
      </c>
    </row>
    <row r="276" spans="1:15" x14ac:dyDescent="0.25">
      <c r="A276">
        <v>46</v>
      </c>
      <c r="B276">
        <f t="shared" si="12"/>
        <v>46</v>
      </c>
      <c r="F276">
        <v>33.26</v>
      </c>
      <c r="G276">
        <f t="shared" si="13"/>
        <v>33.26</v>
      </c>
      <c r="J276" t="s">
        <v>22</v>
      </c>
      <c r="K276" t="str">
        <f t="shared" si="14"/>
        <v>Not Returned</v>
      </c>
      <c r="N276" t="s">
        <v>25</v>
      </c>
      <c r="O276" t="str">
        <f>IF(N276="",INDEX({"Low","Medium","High"},MATCH(MAX(COUNTIF($N$2:$N$1000,{"Low","Medium","High"})),COUNTIF($N$2:$N$1000,{"Low","Medium","High"}),0)),N276)</f>
        <v>Low</v>
      </c>
    </row>
    <row r="277" spans="1:15" x14ac:dyDescent="0.25">
      <c r="A277">
        <v>28</v>
      </c>
      <c r="B277">
        <f t="shared" si="12"/>
        <v>28</v>
      </c>
      <c r="F277">
        <v>63.37</v>
      </c>
      <c r="G277">
        <f t="shared" si="13"/>
        <v>63.37</v>
      </c>
      <c r="J277" t="s">
        <v>22</v>
      </c>
      <c r="K277" t="str">
        <f t="shared" si="14"/>
        <v>Not Returned</v>
      </c>
      <c r="N277" t="s">
        <v>34</v>
      </c>
      <c r="O277" t="str">
        <f>IF(N277="",INDEX({"Low","Medium","High"},MATCH(MAX(COUNTIF($N$2:$N$1000,{"Low","Medium","High"})),COUNTIF($N$2:$N$1000,{"Low","Medium","High"}),0)),N277)</f>
        <v>High</v>
      </c>
    </row>
    <row r="278" spans="1:15" x14ac:dyDescent="0.25">
      <c r="A278">
        <v>17</v>
      </c>
      <c r="B278">
        <f t="shared" si="12"/>
        <v>17</v>
      </c>
      <c r="F278">
        <v>68.94</v>
      </c>
      <c r="G278">
        <f t="shared" si="13"/>
        <v>68.94</v>
      </c>
      <c r="J278" t="s">
        <v>22</v>
      </c>
      <c r="K278" t="str">
        <f t="shared" si="14"/>
        <v>Not Returned</v>
      </c>
      <c r="N278" t="s">
        <v>34</v>
      </c>
      <c r="O278" t="str">
        <f>IF(N278="",INDEX({"Low","Medium","High"},MATCH(MAX(COUNTIF($N$2:$N$1000,{"Low","Medium","High"})),COUNTIF($N$2:$N$1000,{"Low","Medium","High"}),0)),N278)</f>
        <v>High</v>
      </c>
    </row>
    <row r="279" spans="1:15" x14ac:dyDescent="0.25">
      <c r="A279">
        <v>48</v>
      </c>
      <c r="B279">
        <f t="shared" si="12"/>
        <v>48</v>
      </c>
      <c r="F279">
        <v>5.04</v>
      </c>
      <c r="G279">
        <f t="shared" si="13"/>
        <v>5.04</v>
      </c>
      <c r="J279" t="s">
        <v>22</v>
      </c>
      <c r="K279" t="str">
        <f t="shared" si="14"/>
        <v>Not Returned</v>
      </c>
      <c r="N279" t="s">
        <v>34</v>
      </c>
      <c r="O279" t="str">
        <f>IF(N279="",INDEX({"Low","Medium","High"},MATCH(MAX(COUNTIF($N$2:$N$1000,{"Low","Medium","High"})),COUNTIF($N$2:$N$1000,{"Low","Medium","High"}),0)),N279)</f>
        <v>High</v>
      </c>
    </row>
    <row r="280" spans="1:15" x14ac:dyDescent="0.25">
      <c r="A280">
        <v>31</v>
      </c>
      <c r="B280">
        <f t="shared" si="12"/>
        <v>31</v>
      </c>
      <c r="F280">
        <v>49.19</v>
      </c>
      <c r="G280">
        <f t="shared" si="13"/>
        <v>49.19</v>
      </c>
      <c r="J280" t="s">
        <v>22</v>
      </c>
      <c r="K280" t="str">
        <f t="shared" si="14"/>
        <v>Not Returned</v>
      </c>
      <c r="N280" t="s">
        <v>40</v>
      </c>
      <c r="O280" t="str">
        <f>IF(N280="",INDEX({"Low","Medium","High"},MATCH(MAX(COUNTIF($N$2:$N$1000,{"Low","Medium","High"})),COUNTIF($N$2:$N$1000,{"Low","Medium","High"}),0)),N280)</f>
        <v>Medium</v>
      </c>
    </row>
    <row r="281" spans="1:15" x14ac:dyDescent="0.25">
      <c r="A281">
        <v>12</v>
      </c>
      <c r="B281">
        <f t="shared" si="12"/>
        <v>12</v>
      </c>
      <c r="F281">
        <v>81.52</v>
      </c>
      <c r="G281">
        <f t="shared" si="13"/>
        <v>81.52</v>
      </c>
      <c r="J281" t="s">
        <v>22</v>
      </c>
      <c r="K281" t="str">
        <f t="shared" si="14"/>
        <v>Not Returned</v>
      </c>
      <c r="N281" t="s">
        <v>40</v>
      </c>
      <c r="O281" t="str">
        <f>IF(N281="",INDEX({"Low","Medium","High"},MATCH(MAX(COUNTIF($N$2:$N$1000,{"Low","Medium","High"})),COUNTIF($N$2:$N$1000,{"Low","Medium","High"}),0)),N281)</f>
        <v>Medium</v>
      </c>
    </row>
    <row r="282" spans="1:15" x14ac:dyDescent="0.25">
      <c r="B282" s="3">
        <f t="shared" si="12"/>
        <v>26</v>
      </c>
      <c r="G282" s="3">
        <f t="shared" si="13"/>
        <v>53</v>
      </c>
      <c r="J282" t="s">
        <v>22</v>
      </c>
      <c r="K282" t="str">
        <f t="shared" si="14"/>
        <v>Not Returned</v>
      </c>
      <c r="N282" t="s">
        <v>34</v>
      </c>
      <c r="O282" t="str">
        <f>IF(N282="",INDEX({"Low","Medium","High"},MATCH(MAX(COUNTIF($N$2:$N$1000,{"Low","Medium","High"})),COUNTIF($N$2:$N$1000,{"Low","Medium","High"}),0)),N282)</f>
        <v>High</v>
      </c>
    </row>
    <row r="283" spans="1:15" x14ac:dyDescent="0.25">
      <c r="A283">
        <v>3</v>
      </c>
      <c r="B283">
        <f t="shared" si="12"/>
        <v>3</v>
      </c>
      <c r="F283">
        <v>4.26</v>
      </c>
      <c r="G283">
        <f t="shared" si="13"/>
        <v>4.26</v>
      </c>
      <c r="J283" t="s">
        <v>111</v>
      </c>
      <c r="K283" t="str">
        <f t="shared" si="14"/>
        <v>Returned</v>
      </c>
      <c r="N283" t="s">
        <v>25</v>
      </c>
      <c r="O283" t="str">
        <f>IF(N283="",INDEX({"Low","Medium","High"},MATCH(MAX(COUNTIF($N$2:$N$1000,{"Low","Medium","High"})),COUNTIF($N$2:$N$1000,{"Low","Medium","High"}),0)),N283)</f>
        <v>Low</v>
      </c>
    </row>
    <row r="284" spans="1:15" x14ac:dyDescent="0.25">
      <c r="A284">
        <v>2</v>
      </c>
      <c r="B284">
        <f t="shared" si="12"/>
        <v>2</v>
      </c>
      <c r="F284">
        <v>72.489999999999995</v>
      </c>
      <c r="G284">
        <f t="shared" si="13"/>
        <v>72.489999999999995</v>
      </c>
      <c r="J284" t="s">
        <v>22</v>
      </c>
      <c r="K284" t="str">
        <f t="shared" si="14"/>
        <v>Not Returned</v>
      </c>
      <c r="N284" t="s">
        <v>25</v>
      </c>
      <c r="O284" t="str">
        <f>IF(N284="",INDEX({"Low","Medium","High"},MATCH(MAX(COUNTIF($N$2:$N$1000,{"Low","Medium","High"})),COUNTIF($N$2:$N$1000,{"Low","Medium","High"}),0)),N284)</f>
        <v>Low</v>
      </c>
    </row>
    <row r="285" spans="1:15" x14ac:dyDescent="0.25">
      <c r="A285">
        <v>16</v>
      </c>
      <c r="B285">
        <f t="shared" si="12"/>
        <v>16</v>
      </c>
      <c r="F285">
        <v>51.29</v>
      </c>
      <c r="G285">
        <f t="shared" si="13"/>
        <v>51.29</v>
      </c>
      <c r="J285" t="s">
        <v>22</v>
      </c>
      <c r="K285" t="str">
        <f t="shared" si="14"/>
        <v>Not Returned</v>
      </c>
      <c r="N285" t="s">
        <v>40</v>
      </c>
      <c r="O285" t="str">
        <f>IF(N285="",INDEX({"Low","Medium","High"},MATCH(MAX(COUNTIF($N$2:$N$1000,{"Low","Medium","High"})),COUNTIF($N$2:$N$1000,{"Low","Medium","High"}),0)),N285)</f>
        <v>Medium</v>
      </c>
    </row>
    <row r="286" spans="1:15" x14ac:dyDescent="0.25">
      <c r="A286">
        <v>12</v>
      </c>
      <c r="B286">
        <f t="shared" si="12"/>
        <v>12</v>
      </c>
      <c r="F286">
        <v>54.63</v>
      </c>
      <c r="G286">
        <f t="shared" si="13"/>
        <v>54.63</v>
      </c>
      <c r="J286" t="s">
        <v>22</v>
      </c>
      <c r="K286" t="str">
        <f t="shared" si="14"/>
        <v>Not Returned</v>
      </c>
      <c r="N286" t="s">
        <v>25</v>
      </c>
      <c r="O286" t="str">
        <f>IF(N286="",INDEX({"Low","Medium","High"},MATCH(MAX(COUNTIF($N$2:$N$1000,{"Low","Medium","High"})),COUNTIF($N$2:$N$1000,{"Low","Medium","High"}),0)),N286)</f>
        <v>Low</v>
      </c>
    </row>
    <row r="287" spans="1:15" x14ac:dyDescent="0.25">
      <c r="A287">
        <v>14</v>
      </c>
      <c r="B287">
        <f t="shared" si="12"/>
        <v>14</v>
      </c>
      <c r="F287">
        <v>39.64</v>
      </c>
      <c r="G287">
        <f t="shared" si="13"/>
        <v>39.64</v>
      </c>
      <c r="J287" t="s">
        <v>111</v>
      </c>
      <c r="K287" t="str">
        <f t="shared" si="14"/>
        <v>Returned</v>
      </c>
      <c r="N287" t="s">
        <v>40</v>
      </c>
      <c r="O287" t="str">
        <f>IF(N287="",INDEX({"Low","Medium","High"},MATCH(MAX(COUNTIF($N$2:$N$1000,{"Low","Medium","High"})),COUNTIF($N$2:$N$1000,{"Low","Medium","High"}),0)),N287)</f>
        <v>Medium</v>
      </c>
    </row>
    <row r="288" spans="1:15" x14ac:dyDescent="0.25">
      <c r="A288">
        <v>14</v>
      </c>
      <c r="B288">
        <f t="shared" si="12"/>
        <v>14</v>
      </c>
      <c r="F288">
        <v>80.05</v>
      </c>
      <c r="G288">
        <f t="shared" si="13"/>
        <v>80.05</v>
      </c>
      <c r="J288" t="s">
        <v>22</v>
      </c>
      <c r="K288" t="str">
        <f t="shared" si="14"/>
        <v>Not Returned</v>
      </c>
      <c r="N288" t="s">
        <v>40</v>
      </c>
      <c r="O288" t="str">
        <f>IF(N288="",INDEX({"Low","Medium","High"},MATCH(MAX(COUNTIF($N$2:$N$1000,{"Low","Medium","High"})),COUNTIF($N$2:$N$1000,{"Low","Medium","High"}),0)),N288)</f>
        <v>Medium</v>
      </c>
    </row>
    <row r="289" spans="1:15" x14ac:dyDescent="0.25">
      <c r="A289">
        <v>3</v>
      </c>
      <c r="B289">
        <f t="shared" si="12"/>
        <v>3</v>
      </c>
      <c r="F289">
        <v>31.9</v>
      </c>
      <c r="G289">
        <f t="shared" si="13"/>
        <v>31.9</v>
      </c>
      <c r="J289" t="s">
        <v>22</v>
      </c>
      <c r="K289" t="str">
        <f t="shared" si="14"/>
        <v>Not Returned</v>
      </c>
      <c r="N289" t="s">
        <v>40</v>
      </c>
      <c r="O289" t="str">
        <f>IF(N289="",INDEX({"Low","Medium","High"},MATCH(MAX(COUNTIF($N$2:$N$1000,{"Low","Medium","High"})),COUNTIF($N$2:$N$1000,{"Low","Medium","High"}),0)),N289)</f>
        <v>Medium</v>
      </c>
    </row>
    <row r="290" spans="1:15" x14ac:dyDescent="0.25">
      <c r="A290">
        <v>5</v>
      </c>
      <c r="B290">
        <f t="shared" si="12"/>
        <v>5</v>
      </c>
      <c r="F290">
        <v>45.88</v>
      </c>
      <c r="G290">
        <f t="shared" si="13"/>
        <v>45.88</v>
      </c>
      <c r="J290" t="s">
        <v>22</v>
      </c>
      <c r="K290" t="str">
        <f t="shared" si="14"/>
        <v>Not Returned</v>
      </c>
      <c r="N290" t="s">
        <v>40</v>
      </c>
      <c r="O290" t="str">
        <f>IF(N290="",INDEX({"Low","Medium","High"},MATCH(MAX(COUNTIF($N$2:$N$1000,{"Low","Medium","High"})),COUNTIF($N$2:$N$1000,{"Low","Medium","High"}),0)),N290)</f>
        <v>Medium</v>
      </c>
    </row>
    <row r="291" spans="1:15" x14ac:dyDescent="0.25">
      <c r="A291">
        <v>9</v>
      </c>
      <c r="B291">
        <f t="shared" si="12"/>
        <v>9</v>
      </c>
      <c r="F291">
        <v>88.95</v>
      </c>
      <c r="G291">
        <f t="shared" si="13"/>
        <v>88.95</v>
      </c>
      <c r="J291" t="s">
        <v>22</v>
      </c>
      <c r="K291" t="str">
        <f t="shared" si="14"/>
        <v>Not Returned</v>
      </c>
      <c r="N291" t="s">
        <v>25</v>
      </c>
      <c r="O291" t="str">
        <f>IF(N291="",INDEX({"Low","Medium","High"},MATCH(MAX(COUNTIF($N$2:$N$1000,{"Low","Medium","High"})),COUNTIF($N$2:$N$1000,{"Low","Medium","High"}),0)),N291)</f>
        <v>Low</v>
      </c>
    </row>
    <row r="292" spans="1:15" x14ac:dyDescent="0.25">
      <c r="A292">
        <v>14</v>
      </c>
      <c r="B292">
        <f t="shared" si="12"/>
        <v>14</v>
      </c>
      <c r="F292">
        <v>73.95</v>
      </c>
      <c r="G292">
        <f t="shared" si="13"/>
        <v>73.95</v>
      </c>
      <c r="J292" t="s">
        <v>22</v>
      </c>
      <c r="K292" t="str">
        <f t="shared" si="14"/>
        <v>Not Returned</v>
      </c>
      <c r="N292" t="s">
        <v>25</v>
      </c>
      <c r="O292" t="str">
        <f>IF(N292="",INDEX({"Low","Medium","High"},MATCH(MAX(COUNTIF($N$2:$N$1000,{"Low","Medium","High"})),COUNTIF($N$2:$N$1000,{"Low","Medium","High"}),0)),N292)</f>
        <v>Low</v>
      </c>
    </row>
    <row r="293" spans="1:15" x14ac:dyDescent="0.25">
      <c r="A293">
        <v>44</v>
      </c>
      <c r="B293">
        <f t="shared" si="12"/>
        <v>44</v>
      </c>
      <c r="F293">
        <v>78.5</v>
      </c>
      <c r="G293">
        <f t="shared" si="13"/>
        <v>78.5</v>
      </c>
      <c r="J293" t="s">
        <v>22</v>
      </c>
      <c r="K293" t="str">
        <f t="shared" si="14"/>
        <v>Not Returned</v>
      </c>
      <c r="O293" s="3" t="str">
        <f>IF(N293="",INDEX({"Low","Medium","High"},MATCH(MAX(COUNTIF($N$2:$N$1000,{"Low","Medium","High"})),COUNTIF($N$2:$N$1000,{"Low","Medium","High"}),0)),N293)</f>
        <v>Low</v>
      </c>
    </row>
    <row r="294" spans="1:15" x14ac:dyDescent="0.25">
      <c r="A294">
        <v>39</v>
      </c>
      <c r="B294">
        <f t="shared" si="12"/>
        <v>39</v>
      </c>
      <c r="F294">
        <v>77.400000000000006</v>
      </c>
      <c r="G294">
        <f t="shared" si="13"/>
        <v>77.400000000000006</v>
      </c>
      <c r="J294" t="s">
        <v>22</v>
      </c>
      <c r="K294" t="str">
        <f t="shared" si="14"/>
        <v>Not Returned</v>
      </c>
      <c r="N294" t="s">
        <v>34</v>
      </c>
      <c r="O294" t="str">
        <f>IF(N294="",INDEX({"Low","Medium","High"},MATCH(MAX(COUNTIF($N$2:$N$1000,{"Low","Medium","High"})),COUNTIF($N$2:$N$1000,{"Low","Medium","High"}),0)),N294)</f>
        <v>High</v>
      </c>
    </row>
    <row r="295" spans="1:15" x14ac:dyDescent="0.25">
      <c r="A295">
        <v>48</v>
      </c>
      <c r="B295">
        <f t="shared" si="12"/>
        <v>48</v>
      </c>
      <c r="F295">
        <v>69.64</v>
      </c>
      <c r="G295">
        <f t="shared" si="13"/>
        <v>69.64</v>
      </c>
      <c r="J295" t="s">
        <v>22</v>
      </c>
      <c r="K295" t="str">
        <f t="shared" si="14"/>
        <v>Not Returned</v>
      </c>
      <c r="N295" t="s">
        <v>34</v>
      </c>
      <c r="O295" t="str">
        <f>IF(N295="",INDEX({"Low","Medium","High"},MATCH(MAX(COUNTIF($N$2:$N$1000,{"Low","Medium","High"})),COUNTIF($N$2:$N$1000,{"Low","Medium","High"}),0)),N295)</f>
        <v>High</v>
      </c>
    </row>
    <row r="296" spans="1:15" x14ac:dyDescent="0.25">
      <c r="A296">
        <v>49</v>
      </c>
      <c r="B296">
        <f t="shared" si="12"/>
        <v>49</v>
      </c>
      <c r="F296">
        <v>66.69</v>
      </c>
      <c r="G296">
        <f t="shared" si="13"/>
        <v>66.69</v>
      </c>
      <c r="K296" s="3" t="str">
        <f t="shared" si="14"/>
        <v>Unknown</v>
      </c>
      <c r="N296" t="s">
        <v>34</v>
      </c>
      <c r="O296" t="str">
        <f>IF(N296="",INDEX({"Low","Medium","High"},MATCH(MAX(COUNTIF($N$2:$N$1000,{"Low","Medium","High"})),COUNTIF($N$2:$N$1000,{"Low","Medium","High"}),0)),N296)</f>
        <v>High</v>
      </c>
    </row>
    <row r="297" spans="1:15" x14ac:dyDescent="0.25">
      <c r="A297">
        <v>8</v>
      </c>
      <c r="B297">
        <f t="shared" si="12"/>
        <v>8</v>
      </c>
      <c r="F297">
        <v>33.61</v>
      </c>
      <c r="G297">
        <f t="shared" si="13"/>
        <v>33.61</v>
      </c>
      <c r="J297" t="s">
        <v>22</v>
      </c>
      <c r="K297" t="str">
        <f t="shared" si="14"/>
        <v>Not Returned</v>
      </c>
      <c r="N297" t="s">
        <v>34</v>
      </c>
      <c r="O297" t="str">
        <f>IF(N297="",INDEX({"Low","Medium","High"},MATCH(MAX(COUNTIF($N$2:$N$1000,{"Low","Medium","High"})),COUNTIF($N$2:$N$1000,{"Low","Medium","High"}),0)),N297)</f>
        <v>High</v>
      </c>
    </row>
    <row r="298" spans="1:15" x14ac:dyDescent="0.25">
      <c r="A298">
        <v>10</v>
      </c>
      <c r="B298">
        <f t="shared" si="12"/>
        <v>10</v>
      </c>
      <c r="F298">
        <v>21.96</v>
      </c>
      <c r="G298">
        <f t="shared" si="13"/>
        <v>21.96</v>
      </c>
      <c r="J298" t="s">
        <v>22</v>
      </c>
      <c r="K298" t="str">
        <f t="shared" si="14"/>
        <v>Not Returned</v>
      </c>
      <c r="N298" t="s">
        <v>40</v>
      </c>
      <c r="O298" t="str">
        <f>IF(N298="",INDEX({"Low","Medium","High"},MATCH(MAX(COUNTIF($N$2:$N$1000,{"Low","Medium","High"})),COUNTIF($N$2:$N$1000,{"Low","Medium","High"}),0)),N298)</f>
        <v>Medium</v>
      </c>
    </row>
    <row r="299" spans="1:15" x14ac:dyDescent="0.25">
      <c r="A299">
        <v>27</v>
      </c>
      <c r="B299">
        <f t="shared" si="12"/>
        <v>27</v>
      </c>
      <c r="F299">
        <v>46.31</v>
      </c>
      <c r="G299">
        <f t="shared" si="13"/>
        <v>46.31</v>
      </c>
      <c r="J299" t="s">
        <v>22</v>
      </c>
      <c r="K299" t="str">
        <f t="shared" si="14"/>
        <v>Not Returned</v>
      </c>
      <c r="N299" t="s">
        <v>40</v>
      </c>
      <c r="O299" t="str">
        <f>IF(N299="",INDEX({"Low","Medium","High"},MATCH(MAX(COUNTIF($N$2:$N$1000,{"Low","Medium","High"})),COUNTIF($N$2:$N$1000,{"Low","Medium","High"}),0)),N299)</f>
        <v>Medium</v>
      </c>
    </row>
    <row r="300" spans="1:15" x14ac:dyDescent="0.25">
      <c r="A300">
        <v>14</v>
      </c>
      <c r="B300">
        <f t="shared" si="12"/>
        <v>14</v>
      </c>
      <c r="F300">
        <v>93.01</v>
      </c>
      <c r="G300">
        <f t="shared" si="13"/>
        <v>93.01</v>
      </c>
      <c r="J300" t="s">
        <v>22</v>
      </c>
      <c r="K300" t="str">
        <f t="shared" si="14"/>
        <v>Not Returned</v>
      </c>
      <c r="N300" t="s">
        <v>40</v>
      </c>
      <c r="O300" t="str">
        <f>IF(N300="",INDEX({"Low","Medium","High"},MATCH(MAX(COUNTIF($N$2:$N$1000,{"Low","Medium","High"})),COUNTIF($N$2:$N$1000,{"Low","Medium","High"}),0)),N300)</f>
        <v>Medium</v>
      </c>
    </row>
    <row r="301" spans="1:15" x14ac:dyDescent="0.25">
      <c r="A301">
        <v>7</v>
      </c>
      <c r="B301">
        <f t="shared" si="12"/>
        <v>7</v>
      </c>
      <c r="F301">
        <v>81.41</v>
      </c>
      <c r="G301">
        <f t="shared" si="13"/>
        <v>81.41</v>
      </c>
      <c r="J301" t="s">
        <v>22</v>
      </c>
      <c r="K301" t="str">
        <f t="shared" si="14"/>
        <v>Not Returned</v>
      </c>
      <c r="N301" t="s">
        <v>40</v>
      </c>
      <c r="O301" t="str">
        <f>IF(N301="",INDEX({"Low","Medium","High"},MATCH(MAX(COUNTIF($N$2:$N$1000,{"Low","Medium","High"})),COUNTIF($N$2:$N$1000,{"Low","Medium","High"}),0)),N301)</f>
        <v>Medium</v>
      </c>
    </row>
    <row r="302" spans="1:15" x14ac:dyDescent="0.25">
      <c r="A302">
        <v>5</v>
      </c>
      <c r="B302">
        <f t="shared" si="12"/>
        <v>5</v>
      </c>
      <c r="F302">
        <v>57.61</v>
      </c>
      <c r="G302">
        <f t="shared" si="13"/>
        <v>57.61</v>
      </c>
      <c r="J302" t="s">
        <v>22</v>
      </c>
      <c r="K302" t="str">
        <f t="shared" si="14"/>
        <v>Not Returned</v>
      </c>
      <c r="N302" t="s">
        <v>25</v>
      </c>
      <c r="O302" t="str">
        <f>IF(N302="",INDEX({"Low","Medium","High"},MATCH(MAX(COUNTIF($N$2:$N$1000,{"Low","Medium","High"})),COUNTIF($N$2:$N$1000,{"Low","Medium","High"}),0)),N302)</f>
        <v>Low</v>
      </c>
    </row>
    <row r="303" spans="1:15" x14ac:dyDescent="0.25">
      <c r="A303">
        <v>34</v>
      </c>
      <c r="B303">
        <f t="shared" si="12"/>
        <v>34</v>
      </c>
      <c r="G303" s="3">
        <f t="shared" si="13"/>
        <v>53</v>
      </c>
      <c r="J303" t="s">
        <v>22</v>
      </c>
      <c r="K303" t="str">
        <f t="shared" si="14"/>
        <v>Not Returned</v>
      </c>
      <c r="N303" t="s">
        <v>34</v>
      </c>
      <c r="O303" t="str">
        <f>IF(N303="",INDEX({"Low","Medium","High"},MATCH(MAX(COUNTIF($N$2:$N$1000,{"Low","Medium","High"})),COUNTIF($N$2:$N$1000,{"Low","Medium","High"}),0)),N303)</f>
        <v>High</v>
      </c>
    </row>
    <row r="304" spans="1:15" x14ac:dyDescent="0.25">
      <c r="A304">
        <v>32</v>
      </c>
      <c r="B304">
        <f t="shared" si="12"/>
        <v>32</v>
      </c>
      <c r="F304">
        <v>47.95</v>
      </c>
      <c r="G304">
        <f t="shared" si="13"/>
        <v>47.95</v>
      </c>
      <c r="J304" t="s">
        <v>22</v>
      </c>
      <c r="K304" t="str">
        <f t="shared" si="14"/>
        <v>Not Returned</v>
      </c>
      <c r="N304" t="s">
        <v>40</v>
      </c>
      <c r="O304" t="str">
        <f>IF(N304="",INDEX({"Low","Medium","High"},MATCH(MAX(COUNTIF($N$2:$N$1000,{"Low","Medium","High"})),COUNTIF($N$2:$N$1000,{"Low","Medium","High"}),0)),N304)</f>
        <v>Medium</v>
      </c>
    </row>
    <row r="305" spans="1:15" x14ac:dyDescent="0.25">
      <c r="B305" s="3">
        <f t="shared" si="12"/>
        <v>26</v>
      </c>
      <c r="F305">
        <v>67.739999999999995</v>
      </c>
      <c r="G305">
        <f t="shared" si="13"/>
        <v>67.739999999999995</v>
      </c>
      <c r="J305" t="s">
        <v>22</v>
      </c>
      <c r="K305" t="str">
        <f t="shared" si="14"/>
        <v>Not Returned</v>
      </c>
      <c r="N305" t="s">
        <v>25</v>
      </c>
      <c r="O305" t="str">
        <f>IF(N305="",INDEX({"Low","Medium","High"},MATCH(MAX(COUNTIF($N$2:$N$1000,{"Low","Medium","High"})),COUNTIF($N$2:$N$1000,{"Low","Medium","High"}),0)),N305)</f>
        <v>Low</v>
      </c>
    </row>
    <row r="306" spans="1:15" x14ac:dyDescent="0.25">
      <c r="A306">
        <v>30</v>
      </c>
      <c r="B306">
        <f t="shared" si="12"/>
        <v>30</v>
      </c>
      <c r="F306">
        <v>12.03</v>
      </c>
      <c r="G306">
        <f t="shared" si="13"/>
        <v>12.03</v>
      </c>
      <c r="J306" t="s">
        <v>22</v>
      </c>
      <c r="K306" t="str">
        <f t="shared" si="14"/>
        <v>Not Returned</v>
      </c>
      <c r="N306" t="s">
        <v>25</v>
      </c>
      <c r="O306" t="str">
        <f>IF(N306="",INDEX({"Low","Medium","High"},MATCH(MAX(COUNTIF($N$2:$N$1000,{"Low","Medium","High"})),COUNTIF($N$2:$N$1000,{"Low","Medium","High"}),0)),N306)</f>
        <v>Low</v>
      </c>
    </row>
    <row r="307" spans="1:15" x14ac:dyDescent="0.25">
      <c r="A307">
        <v>19</v>
      </c>
      <c r="B307">
        <f t="shared" si="12"/>
        <v>19</v>
      </c>
      <c r="F307">
        <v>36.200000000000003</v>
      </c>
      <c r="G307">
        <f t="shared" si="13"/>
        <v>36.200000000000003</v>
      </c>
      <c r="J307" t="s">
        <v>22</v>
      </c>
      <c r="K307" t="str">
        <f t="shared" si="14"/>
        <v>Not Returned</v>
      </c>
      <c r="N307" t="s">
        <v>40</v>
      </c>
      <c r="O307" t="str">
        <f>IF(N307="",INDEX({"Low","Medium","High"},MATCH(MAX(COUNTIF($N$2:$N$1000,{"Low","Medium","High"})),COUNTIF($N$2:$N$1000,{"Low","Medium","High"}),0)),N307)</f>
        <v>Medium</v>
      </c>
    </row>
    <row r="308" spans="1:15" x14ac:dyDescent="0.25">
      <c r="A308">
        <v>12</v>
      </c>
      <c r="B308">
        <f t="shared" si="12"/>
        <v>12</v>
      </c>
      <c r="F308">
        <v>19.48</v>
      </c>
      <c r="G308">
        <f t="shared" si="13"/>
        <v>19.48</v>
      </c>
      <c r="J308" t="s">
        <v>22</v>
      </c>
      <c r="K308" t="str">
        <f t="shared" si="14"/>
        <v>Not Returned</v>
      </c>
      <c r="N308" t="s">
        <v>25</v>
      </c>
      <c r="O308" t="str">
        <f>IF(N308="",INDEX({"Low","Medium","High"},MATCH(MAX(COUNTIF($N$2:$N$1000,{"Low","Medium","High"})),COUNTIF($N$2:$N$1000,{"Low","Medium","High"}),0)),N308)</f>
        <v>Low</v>
      </c>
    </row>
    <row r="309" spans="1:15" x14ac:dyDescent="0.25">
      <c r="A309">
        <v>17</v>
      </c>
      <c r="B309">
        <f t="shared" si="12"/>
        <v>17</v>
      </c>
      <c r="F309">
        <v>34.42</v>
      </c>
      <c r="G309">
        <f t="shared" si="13"/>
        <v>34.42</v>
      </c>
      <c r="J309" t="s">
        <v>22</v>
      </c>
      <c r="K309" t="str">
        <f t="shared" si="14"/>
        <v>Not Returned</v>
      </c>
      <c r="N309" t="s">
        <v>25</v>
      </c>
      <c r="O309" t="str">
        <f>IF(N309="",INDEX({"Low","Medium","High"},MATCH(MAX(COUNTIF($N$2:$N$1000,{"Low","Medium","High"})),COUNTIF($N$2:$N$1000,{"Low","Medium","High"}),0)),N309)</f>
        <v>Low</v>
      </c>
    </row>
    <row r="310" spans="1:15" x14ac:dyDescent="0.25">
      <c r="A310">
        <v>11</v>
      </c>
      <c r="B310">
        <f t="shared" si="12"/>
        <v>11</v>
      </c>
      <c r="F310">
        <v>15.52</v>
      </c>
      <c r="G310">
        <f t="shared" si="13"/>
        <v>15.52</v>
      </c>
      <c r="J310" t="s">
        <v>111</v>
      </c>
      <c r="K310" t="str">
        <f t="shared" si="14"/>
        <v>Returned</v>
      </c>
      <c r="N310" t="s">
        <v>40</v>
      </c>
      <c r="O310" t="str">
        <f>IF(N310="",INDEX({"Low","Medium","High"},MATCH(MAX(COUNTIF($N$2:$N$1000,{"Low","Medium","High"})),COUNTIF($N$2:$N$1000,{"Low","Medium","High"}),0)),N310)</f>
        <v>Medium</v>
      </c>
    </row>
    <row r="311" spans="1:15" x14ac:dyDescent="0.25">
      <c r="A311">
        <v>27</v>
      </c>
      <c r="B311">
        <f t="shared" si="12"/>
        <v>27</v>
      </c>
      <c r="F311">
        <v>89.48</v>
      </c>
      <c r="G311">
        <f t="shared" si="13"/>
        <v>89.48</v>
      </c>
      <c r="J311" t="s">
        <v>22</v>
      </c>
      <c r="K311" t="str">
        <f t="shared" si="14"/>
        <v>Not Returned</v>
      </c>
      <c r="O311" s="3" t="str">
        <f>IF(N311="",INDEX({"Low","Medium","High"},MATCH(MAX(COUNTIF($N$2:$N$1000,{"Low","Medium","High"})),COUNTIF($N$2:$N$1000,{"Low","Medium","High"}),0)),N311)</f>
        <v>Low</v>
      </c>
    </row>
    <row r="312" spans="1:15" x14ac:dyDescent="0.25">
      <c r="A312">
        <v>22</v>
      </c>
      <c r="B312">
        <f t="shared" si="12"/>
        <v>22</v>
      </c>
      <c r="F312">
        <v>88.39</v>
      </c>
      <c r="G312">
        <f t="shared" si="13"/>
        <v>88.39</v>
      </c>
      <c r="J312" t="s">
        <v>22</v>
      </c>
      <c r="K312" t="str">
        <f t="shared" si="14"/>
        <v>Not Returned</v>
      </c>
      <c r="N312" t="s">
        <v>25</v>
      </c>
      <c r="O312" t="str">
        <f>IF(N312="",INDEX({"Low","Medium","High"},MATCH(MAX(COUNTIF($N$2:$N$1000,{"Low","Medium","High"})),COUNTIF($N$2:$N$1000,{"Low","Medium","High"}),0)),N312)</f>
        <v>Low</v>
      </c>
    </row>
    <row r="313" spans="1:15" x14ac:dyDescent="0.25">
      <c r="A313">
        <v>25</v>
      </c>
      <c r="B313">
        <f t="shared" si="12"/>
        <v>25</v>
      </c>
      <c r="F313">
        <v>19.27</v>
      </c>
      <c r="G313">
        <f t="shared" si="13"/>
        <v>19.27</v>
      </c>
      <c r="J313" t="s">
        <v>22</v>
      </c>
      <c r="K313" t="str">
        <f t="shared" si="14"/>
        <v>Not Returned</v>
      </c>
      <c r="N313" t="s">
        <v>34</v>
      </c>
      <c r="O313" t="str">
        <f>IF(N313="",INDEX({"Low","Medium","High"},MATCH(MAX(COUNTIF($N$2:$N$1000,{"Low","Medium","High"})),COUNTIF($N$2:$N$1000,{"Low","Medium","High"}),0)),N313)</f>
        <v>High</v>
      </c>
    </row>
    <row r="314" spans="1:15" x14ac:dyDescent="0.25">
      <c r="A314">
        <v>45</v>
      </c>
      <c r="B314">
        <f t="shared" si="12"/>
        <v>45</v>
      </c>
      <c r="F314">
        <v>20.91</v>
      </c>
      <c r="G314">
        <f t="shared" si="13"/>
        <v>20.91</v>
      </c>
      <c r="J314" t="s">
        <v>22</v>
      </c>
      <c r="K314" t="str">
        <f t="shared" si="14"/>
        <v>Not Returned</v>
      </c>
      <c r="N314" t="s">
        <v>25</v>
      </c>
      <c r="O314" t="str">
        <f>IF(N314="",INDEX({"Low","Medium","High"},MATCH(MAX(COUNTIF($N$2:$N$1000,{"Low","Medium","High"})),COUNTIF($N$2:$N$1000,{"Low","Medium","High"}),0)),N314)</f>
        <v>Low</v>
      </c>
    </row>
    <row r="315" spans="1:15" x14ac:dyDescent="0.25">
      <c r="A315">
        <v>11</v>
      </c>
      <c r="B315">
        <f t="shared" si="12"/>
        <v>11</v>
      </c>
      <c r="G315" s="3">
        <f t="shared" si="13"/>
        <v>53</v>
      </c>
      <c r="J315" t="s">
        <v>22</v>
      </c>
      <c r="K315" t="str">
        <f t="shared" si="14"/>
        <v>Not Returned</v>
      </c>
      <c r="N315" t="s">
        <v>25</v>
      </c>
      <c r="O315" t="str">
        <f>IF(N315="",INDEX({"Low","Medium","High"},MATCH(MAX(COUNTIF($N$2:$N$1000,{"Low","Medium","High"})),COUNTIF($N$2:$N$1000,{"Low","Medium","High"}),0)),N315)</f>
        <v>Low</v>
      </c>
    </row>
    <row r="316" spans="1:15" x14ac:dyDescent="0.25">
      <c r="A316">
        <v>44</v>
      </c>
      <c r="B316">
        <f t="shared" si="12"/>
        <v>44</v>
      </c>
      <c r="F316">
        <v>99.94</v>
      </c>
      <c r="G316">
        <f t="shared" si="13"/>
        <v>99.94</v>
      </c>
      <c r="J316" t="s">
        <v>22</v>
      </c>
      <c r="K316" t="str">
        <f t="shared" si="14"/>
        <v>Not Returned</v>
      </c>
      <c r="N316" t="s">
        <v>25</v>
      </c>
      <c r="O316" t="str">
        <f>IF(N316="",INDEX({"Low","Medium","High"},MATCH(MAX(COUNTIF($N$2:$N$1000,{"Low","Medium","High"})),COUNTIF($N$2:$N$1000,{"Low","Medium","High"}),0)),N316)</f>
        <v>Low</v>
      </c>
    </row>
    <row r="317" spans="1:15" x14ac:dyDescent="0.25">
      <c r="A317">
        <v>24</v>
      </c>
      <c r="B317">
        <f t="shared" si="12"/>
        <v>24</v>
      </c>
      <c r="F317">
        <v>14.89</v>
      </c>
      <c r="G317">
        <f t="shared" si="13"/>
        <v>14.89</v>
      </c>
      <c r="J317" t="s">
        <v>22</v>
      </c>
      <c r="K317" t="str">
        <f t="shared" si="14"/>
        <v>Not Returned</v>
      </c>
      <c r="N317" t="s">
        <v>40</v>
      </c>
      <c r="O317" t="str">
        <f>IF(N317="",INDEX({"Low","Medium","High"},MATCH(MAX(COUNTIF($N$2:$N$1000,{"Low","Medium","High"})),COUNTIF($N$2:$N$1000,{"Low","Medium","High"}),0)),N317)</f>
        <v>Medium</v>
      </c>
    </row>
    <row r="318" spans="1:15" x14ac:dyDescent="0.25">
      <c r="A318">
        <v>37</v>
      </c>
      <c r="B318">
        <f t="shared" si="12"/>
        <v>37</v>
      </c>
      <c r="F318">
        <v>8.94</v>
      </c>
      <c r="G318">
        <f t="shared" si="13"/>
        <v>8.94</v>
      </c>
      <c r="K318" s="3" t="str">
        <f t="shared" si="14"/>
        <v>Unknown</v>
      </c>
      <c r="N318" t="s">
        <v>34</v>
      </c>
      <c r="O318" t="str">
        <f>IF(N318="",INDEX({"Low","Medium","High"},MATCH(MAX(COUNTIF($N$2:$N$1000,{"Low","Medium","High"})),COUNTIF($N$2:$N$1000,{"Low","Medium","High"}),0)),N318)</f>
        <v>High</v>
      </c>
    </row>
    <row r="319" spans="1:15" x14ac:dyDescent="0.25">
      <c r="A319">
        <v>42</v>
      </c>
      <c r="B319">
        <f t="shared" si="12"/>
        <v>42</v>
      </c>
      <c r="F319">
        <v>79.45</v>
      </c>
      <c r="G319">
        <f t="shared" si="13"/>
        <v>79.45</v>
      </c>
      <c r="J319" t="s">
        <v>22</v>
      </c>
      <c r="K319" t="str">
        <f t="shared" si="14"/>
        <v>Not Returned</v>
      </c>
      <c r="N319" t="s">
        <v>34</v>
      </c>
      <c r="O319" t="str">
        <f>IF(N319="",INDEX({"Low","Medium","High"},MATCH(MAX(COUNTIF($N$2:$N$1000,{"Low","Medium","High"})),COUNTIF($N$2:$N$1000,{"Low","Medium","High"}),0)),N319)</f>
        <v>High</v>
      </c>
    </row>
    <row r="320" spans="1:15" x14ac:dyDescent="0.25">
      <c r="A320">
        <v>19</v>
      </c>
      <c r="B320">
        <f t="shared" si="12"/>
        <v>19</v>
      </c>
      <c r="F320">
        <v>79.94</v>
      </c>
      <c r="G320">
        <f t="shared" si="13"/>
        <v>79.94</v>
      </c>
      <c r="J320" t="s">
        <v>22</v>
      </c>
      <c r="K320" t="str">
        <f t="shared" si="14"/>
        <v>Not Returned</v>
      </c>
      <c r="N320" t="s">
        <v>34</v>
      </c>
      <c r="O320" t="str">
        <f>IF(N320="",INDEX({"Low","Medium","High"},MATCH(MAX(COUNTIF($N$2:$N$1000,{"Low","Medium","High"})),COUNTIF($N$2:$N$1000,{"Low","Medium","High"}),0)),N320)</f>
        <v>High</v>
      </c>
    </row>
    <row r="321" spans="1:15" x14ac:dyDescent="0.25">
      <c r="A321">
        <v>27</v>
      </c>
      <c r="B321">
        <f t="shared" si="12"/>
        <v>27</v>
      </c>
      <c r="F321">
        <v>9.49</v>
      </c>
      <c r="G321">
        <f t="shared" si="13"/>
        <v>9.49</v>
      </c>
      <c r="J321" t="s">
        <v>22</v>
      </c>
      <c r="K321" t="str">
        <f t="shared" si="14"/>
        <v>Not Returned</v>
      </c>
      <c r="N321" t="s">
        <v>25</v>
      </c>
      <c r="O321" t="str">
        <f>IF(N321="",INDEX({"Low","Medium","High"},MATCH(MAX(COUNTIF($N$2:$N$1000,{"Low","Medium","High"})),COUNTIF($N$2:$N$1000,{"Low","Medium","High"}),0)),N321)</f>
        <v>Low</v>
      </c>
    </row>
    <row r="322" spans="1:15" x14ac:dyDescent="0.25">
      <c r="A322">
        <v>43</v>
      </c>
      <c r="B322">
        <f t="shared" ref="B322:B385" si="15">IF(A322="",ROUNDUP(AVERAGE($A$2:$A$1000),0),A322)</f>
        <v>43</v>
      </c>
      <c r="F322">
        <v>82.53</v>
      </c>
      <c r="G322">
        <f t="shared" si="13"/>
        <v>82.53</v>
      </c>
      <c r="J322" t="s">
        <v>22</v>
      </c>
      <c r="K322" t="str">
        <f t="shared" si="14"/>
        <v>Not Returned</v>
      </c>
      <c r="N322" t="s">
        <v>25</v>
      </c>
      <c r="O322" t="str">
        <f>IF(N322="",INDEX({"Low","Medium","High"},MATCH(MAX(COUNTIF($N$2:$N$1000,{"Low","Medium","High"})),COUNTIF($N$2:$N$1000,{"Low","Medium","High"}),0)),N322)</f>
        <v>Low</v>
      </c>
    </row>
    <row r="323" spans="1:15" x14ac:dyDescent="0.25">
      <c r="A323">
        <v>2</v>
      </c>
      <c r="B323">
        <f t="shared" si="15"/>
        <v>2</v>
      </c>
      <c r="F323">
        <v>77.459999999999994</v>
      </c>
      <c r="G323">
        <f t="shared" ref="G323:G386" si="16">IF(F323="",ROUNDUP(AVERAGE($F$2:$F$1000),0),F323)</f>
        <v>77.459999999999994</v>
      </c>
      <c r="J323" t="s">
        <v>22</v>
      </c>
      <c r="K323" t="str">
        <f t="shared" ref="K323:K386" si="17">IF(J323="","Unknown",J323)</f>
        <v>Not Returned</v>
      </c>
      <c r="N323" t="s">
        <v>25</v>
      </c>
      <c r="O323" t="str">
        <f>IF(N323="",INDEX({"Low","Medium","High"},MATCH(MAX(COUNTIF($N$2:$N$1000,{"Low","Medium","High"})),COUNTIF($N$2:$N$1000,{"Low","Medium","High"}),0)),N323)</f>
        <v>Low</v>
      </c>
    </row>
    <row r="324" spans="1:15" x14ac:dyDescent="0.25">
      <c r="A324">
        <v>18</v>
      </c>
      <c r="B324">
        <f t="shared" si="15"/>
        <v>18</v>
      </c>
      <c r="F324">
        <v>59.33</v>
      </c>
      <c r="G324">
        <f t="shared" si="16"/>
        <v>59.33</v>
      </c>
      <c r="J324" t="s">
        <v>22</v>
      </c>
      <c r="K324" t="str">
        <f t="shared" si="17"/>
        <v>Not Returned</v>
      </c>
      <c r="N324" t="s">
        <v>25</v>
      </c>
      <c r="O324" t="str">
        <f>IF(N324="",INDEX({"Low","Medium","High"},MATCH(MAX(COUNTIF($N$2:$N$1000,{"Low","Medium","High"})),COUNTIF($N$2:$N$1000,{"Low","Medium","High"}),0)),N324)</f>
        <v>Low</v>
      </c>
    </row>
    <row r="325" spans="1:15" x14ac:dyDescent="0.25">
      <c r="A325">
        <v>33</v>
      </c>
      <c r="B325">
        <f t="shared" si="15"/>
        <v>33</v>
      </c>
      <c r="F325">
        <v>40.340000000000003</v>
      </c>
      <c r="G325">
        <f t="shared" si="16"/>
        <v>40.340000000000003</v>
      </c>
      <c r="J325" t="s">
        <v>22</v>
      </c>
      <c r="K325" t="str">
        <f t="shared" si="17"/>
        <v>Not Returned</v>
      </c>
      <c r="N325" t="s">
        <v>40</v>
      </c>
      <c r="O325" t="str">
        <f>IF(N325="",INDEX({"Low","Medium","High"},MATCH(MAX(COUNTIF($N$2:$N$1000,{"Low","Medium","High"})),COUNTIF($N$2:$N$1000,{"Low","Medium","High"}),0)),N325)</f>
        <v>Medium</v>
      </c>
    </row>
    <row r="326" spans="1:15" x14ac:dyDescent="0.25">
      <c r="A326">
        <v>2</v>
      </c>
      <c r="B326">
        <f t="shared" si="15"/>
        <v>2</v>
      </c>
      <c r="F326">
        <v>84.15</v>
      </c>
      <c r="G326">
        <f t="shared" si="16"/>
        <v>84.15</v>
      </c>
      <c r="J326" t="s">
        <v>22</v>
      </c>
      <c r="K326" t="str">
        <f t="shared" si="17"/>
        <v>Not Returned</v>
      </c>
      <c r="N326" t="s">
        <v>25</v>
      </c>
      <c r="O326" t="str">
        <f>IF(N326="",INDEX({"Low","Medium","High"},MATCH(MAX(COUNTIF($N$2:$N$1000,{"Low","Medium","High"})),COUNTIF($N$2:$N$1000,{"Low","Medium","High"}),0)),N326)</f>
        <v>Low</v>
      </c>
    </row>
    <row r="327" spans="1:15" x14ac:dyDescent="0.25">
      <c r="B327" s="3">
        <f t="shared" si="15"/>
        <v>26</v>
      </c>
      <c r="F327">
        <v>24.23</v>
      </c>
      <c r="G327">
        <f t="shared" si="16"/>
        <v>24.23</v>
      </c>
      <c r="J327" t="s">
        <v>22</v>
      </c>
      <c r="K327" t="str">
        <f t="shared" si="17"/>
        <v>Not Returned</v>
      </c>
      <c r="N327" t="s">
        <v>25</v>
      </c>
      <c r="O327" t="str">
        <f>IF(N327="",INDEX({"Low","Medium","High"},MATCH(MAX(COUNTIF($N$2:$N$1000,{"Low","Medium","High"})),COUNTIF($N$2:$N$1000,{"Low","Medium","High"}),0)),N327)</f>
        <v>Low</v>
      </c>
    </row>
    <row r="328" spans="1:15" x14ac:dyDescent="0.25">
      <c r="A328">
        <v>5</v>
      </c>
      <c r="B328">
        <f t="shared" si="15"/>
        <v>5</v>
      </c>
      <c r="F328">
        <v>82.85</v>
      </c>
      <c r="G328">
        <f t="shared" si="16"/>
        <v>82.85</v>
      </c>
      <c r="J328" t="s">
        <v>111</v>
      </c>
      <c r="K328" t="str">
        <f t="shared" si="17"/>
        <v>Returned</v>
      </c>
      <c r="N328" t="s">
        <v>25</v>
      </c>
      <c r="O328" t="str">
        <f>IF(N328="",INDEX({"Low","Medium","High"},MATCH(MAX(COUNTIF($N$2:$N$1000,{"Low","Medium","High"})),COUNTIF($N$2:$N$1000,{"Low","Medium","High"}),0)),N328)</f>
        <v>Low</v>
      </c>
    </row>
    <row r="329" spans="1:15" x14ac:dyDescent="0.25">
      <c r="A329">
        <v>46</v>
      </c>
      <c r="B329">
        <f t="shared" si="15"/>
        <v>46</v>
      </c>
      <c r="F329">
        <v>65.930000000000007</v>
      </c>
      <c r="G329">
        <f t="shared" si="16"/>
        <v>65.930000000000007</v>
      </c>
      <c r="J329" t="s">
        <v>22</v>
      </c>
      <c r="K329" t="str">
        <f t="shared" si="17"/>
        <v>Not Returned</v>
      </c>
      <c r="O329" s="3" t="str">
        <f>IF(N329="",INDEX({"Low","Medium","High"},MATCH(MAX(COUNTIF($N$2:$N$1000,{"Low","Medium","High"})),COUNTIF($N$2:$N$1000,{"Low","Medium","High"}),0)),N329)</f>
        <v>Low</v>
      </c>
    </row>
    <row r="330" spans="1:15" x14ac:dyDescent="0.25">
      <c r="A330">
        <v>41</v>
      </c>
      <c r="B330">
        <f t="shared" si="15"/>
        <v>41</v>
      </c>
      <c r="F330">
        <v>37.1</v>
      </c>
      <c r="G330">
        <f t="shared" si="16"/>
        <v>37.1</v>
      </c>
      <c r="J330" t="s">
        <v>22</v>
      </c>
      <c r="K330" t="str">
        <f t="shared" si="17"/>
        <v>Not Returned</v>
      </c>
      <c r="N330" t="s">
        <v>34</v>
      </c>
      <c r="O330" t="str">
        <f>IF(N330="",INDEX({"Low","Medium","High"},MATCH(MAX(COUNTIF($N$2:$N$1000,{"Low","Medium","High"})),COUNTIF($N$2:$N$1000,{"Low","Medium","High"}),0)),N330)</f>
        <v>High</v>
      </c>
    </row>
    <row r="331" spans="1:15" x14ac:dyDescent="0.25">
      <c r="A331">
        <v>35</v>
      </c>
      <c r="B331">
        <f t="shared" si="15"/>
        <v>35</v>
      </c>
      <c r="F331">
        <v>78.3</v>
      </c>
      <c r="G331">
        <f t="shared" si="16"/>
        <v>78.3</v>
      </c>
      <c r="J331" t="s">
        <v>22</v>
      </c>
      <c r="K331" t="str">
        <f t="shared" si="17"/>
        <v>Not Returned</v>
      </c>
      <c r="N331" t="s">
        <v>34</v>
      </c>
      <c r="O331" t="str">
        <f>IF(N331="",INDEX({"Low","Medium","High"},MATCH(MAX(COUNTIF($N$2:$N$1000,{"Low","Medium","High"})),COUNTIF($N$2:$N$1000,{"Low","Medium","High"}),0)),N331)</f>
        <v>High</v>
      </c>
    </row>
    <row r="332" spans="1:15" x14ac:dyDescent="0.25">
      <c r="A332">
        <v>24</v>
      </c>
      <c r="B332">
        <f t="shared" si="15"/>
        <v>24</v>
      </c>
      <c r="F332">
        <v>84.63</v>
      </c>
      <c r="G332">
        <f t="shared" si="16"/>
        <v>84.63</v>
      </c>
      <c r="J332" t="s">
        <v>22</v>
      </c>
      <c r="K332" t="str">
        <f t="shared" si="17"/>
        <v>Not Returned</v>
      </c>
      <c r="N332" t="s">
        <v>25</v>
      </c>
      <c r="O332" t="str">
        <f>IF(N332="",INDEX({"Low","Medium","High"},MATCH(MAX(COUNTIF($N$2:$N$1000,{"Low","Medium","High"})),COUNTIF($N$2:$N$1000,{"Low","Medium","High"}),0)),N332)</f>
        <v>Low</v>
      </c>
    </row>
    <row r="333" spans="1:15" x14ac:dyDescent="0.25">
      <c r="A333">
        <v>18</v>
      </c>
      <c r="B333">
        <f t="shared" si="15"/>
        <v>18</v>
      </c>
      <c r="F333">
        <v>6.19</v>
      </c>
      <c r="G333">
        <f t="shared" si="16"/>
        <v>6.19</v>
      </c>
      <c r="J333" t="s">
        <v>22</v>
      </c>
      <c r="K333" t="str">
        <f t="shared" si="17"/>
        <v>Not Returned</v>
      </c>
      <c r="N333" t="s">
        <v>25</v>
      </c>
      <c r="O333" t="str">
        <f>IF(N333="",INDEX({"Low","Medium","High"},MATCH(MAX(COUNTIF($N$2:$N$1000,{"Low","Medium","High"})),COUNTIF($N$2:$N$1000,{"Low","Medium","High"}),0)),N333)</f>
        <v>Low</v>
      </c>
    </row>
    <row r="334" spans="1:15" x14ac:dyDescent="0.25">
      <c r="A334">
        <v>12</v>
      </c>
      <c r="B334">
        <f t="shared" si="15"/>
        <v>12</v>
      </c>
      <c r="F334">
        <v>24.21</v>
      </c>
      <c r="G334">
        <f t="shared" si="16"/>
        <v>24.21</v>
      </c>
      <c r="J334" t="s">
        <v>22</v>
      </c>
      <c r="K334" t="str">
        <f t="shared" si="17"/>
        <v>Not Returned</v>
      </c>
      <c r="N334" t="s">
        <v>25</v>
      </c>
      <c r="O334" t="str">
        <f>IF(N334="",INDEX({"Low","Medium","High"},MATCH(MAX(COUNTIF($N$2:$N$1000,{"Low","Medium","High"})),COUNTIF($N$2:$N$1000,{"Low","Medium","High"}),0)),N334)</f>
        <v>Low</v>
      </c>
    </row>
    <row r="335" spans="1:15" x14ac:dyDescent="0.25">
      <c r="A335">
        <v>8</v>
      </c>
      <c r="B335">
        <f t="shared" si="15"/>
        <v>8</v>
      </c>
      <c r="F335">
        <v>40.72</v>
      </c>
      <c r="G335">
        <f t="shared" si="16"/>
        <v>40.72</v>
      </c>
      <c r="J335" t="s">
        <v>22</v>
      </c>
      <c r="K335" t="str">
        <f t="shared" si="17"/>
        <v>Not Returned</v>
      </c>
      <c r="N335" t="s">
        <v>34</v>
      </c>
      <c r="O335" t="str">
        <f>IF(N335="",INDEX({"Low","Medium","High"},MATCH(MAX(COUNTIF($N$2:$N$1000,{"Low","Medium","High"})),COUNTIF($N$2:$N$1000,{"Low","Medium","High"}),0)),N335)</f>
        <v>High</v>
      </c>
    </row>
    <row r="336" spans="1:15" x14ac:dyDescent="0.25">
      <c r="A336">
        <v>1</v>
      </c>
      <c r="B336">
        <f t="shared" si="15"/>
        <v>1</v>
      </c>
      <c r="F336">
        <v>95.33</v>
      </c>
      <c r="G336">
        <f t="shared" si="16"/>
        <v>95.33</v>
      </c>
      <c r="J336" t="s">
        <v>22</v>
      </c>
      <c r="K336" t="str">
        <f t="shared" si="17"/>
        <v>Not Returned</v>
      </c>
      <c r="N336" t="s">
        <v>40</v>
      </c>
      <c r="O336" t="str">
        <f>IF(N336="",INDEX({"Low","Medium","High"},MATCH(MAX(COUNTIF($N$2:$N$1000,{"Low","Medium","High"})),COUNTIF($N$2:$N$1000,{"Low","Medium","High"}),0)),N336)</f>
        <v>Medium</v>
      </c>
    </row>
    <row r="337" spans="1:15" x14ac:dyDescent="0.25">
      <c r="A337">
        <v>31</v>
      </c>
      <c r="B337">
        <f t="shared" si="15"/>
        <v>31</v>
      </c>
      <c r="F337">
        <v>43.81</v>
      </c>
      <c r="G337">
        <f t="shared" si="16"/>
        <v>43.81</v>
      </c>
      <c r="J337" t="s">
        <v>22</v>
      </c>
      <c r="K337" t="str">
        <f t="shared" si="17"/>
        <v>Not Returned</v>
      </c>
      <c r="N337" t="s">
        <v>40</v>
      </c>
      <c r="O337" t="str">
        <f>IF(N337="",INDEX({"Low","Medium","High"},MATCH(MAX(COUNTIF($N$2:$N$1000,{"Low","Medium","High"})),COUNTIF($N$2:$N$1000,{"Low","Medium","High"}),0)),N337)</f>
        <v>Medium</v>
      </c>
    </row>
    <row r="338" spans="1:15" x14ac:dyDescent="0.25">
      <c r="A338">
        <v>26</v>
      </c>
      <c r="B338">
        <f t="shared" si="15"/>
        <v>26</v>
      </c>
      <c r="F338">
        <v>18.47</v>
      </c>
      <c r="G338">
        <f t="shared" si="16"/>
        <v>18.47</v>
      </c>
      <c r="J338" t="s">
        <v>22</v>
      </c>
      <c r="K338" t="str">
        <f t="shared" si="17"/>
        <v>Not Returned</v>
      </c>
      <c r="N338" t="s">
        <v>25</v>
      </c>
      <c r="O338" t="str">
        <f>IF(N338="",INDEX({"Low","Medium","High"},MATCH(MAX(COUNTIF($N$2:$N$1000,{"Low","Medium","High"})),COUNTIF($N$2:$N$1000,{"Low","Medium","High"}),0)),N338)</f>
        <v>Low</v>
      </c>
    </row>
    <row r="339" spans="1:15" x14ac:dyDescent="0.25">
      <c r="A339">
        <v>35</v>
      </c>
      <c r="B339">
        <f t="shared" si="15"/>
        <v>35</v>
      </c>
      <c r="F339">
        <v>71.150000000000006</v>
      </c>
      <c r="G339">
        <f t="shared" si="16"/>
        <v>71.150000000000006</v>
      </c>
      <c r="K339" s="3" t="str">
        <f t="shared" si="17"/>
        <v>Unknown</v>
      </c>
      <c r="N339" t="s">
        <v>34</v>
      </c>
      <c r="O339" t="str">
        <f>IF(N339="",INDEX({"Low","Medium","High"},MATCH(MAX(COUNTIF($N$2:$N$1000,{"Low","Medium","High"})),COUNTIF($N$2:$N$1000,{"Low","Medium","High"}),0)),N339)</f>
        <v>High</v>
      </c>
    </row>
    <row r="340" spans="1:15" x14ac:dyDescent="0.25">
      <c r="A340">
        <v>17</v>
      </c>
      <c r="B340">
        <f t="shared" si="15"/>
        <v>17</v>
      </c>
      <c r="F340">
        <v>56.33</v>
      </c>
      <c r="G340">
        <f t="shared" si="16"/>
        <v>56.33</v>
      </c>
      <c r="J340" t="s">
        <v>22</v>
      </c>
      <c r="K340" t="str">
        <f t="shared" si="17"/>
        <v>Not Returned</v>
      </c>
      <c r="N340" t="s">
        <v>34</v>
      </c>
      <c r="O340" t="str">
        <f>IF(N340="",INDEX({"Low","Medium","High"},MATCH(MAX(COUNTIF($N$2:$N$1000,{"Low","Medium","High"})),COUNTIF($N$2:$N$1000,{"Low","Medium","High"}),0)),N340)</f>
        <v>High</v>
      </c>
    </row>
    <row r="341" spans="1:15" x14ac:dyDescent="0.25">
      <c r="A341">
        <v>27</v>
      </c>
      <c r="B341">
        <f t="shared" si="15"/>
        <v>27</v>
      </c>
      <c r="F341">
        <v>94.45</v>
      </c>
      <c r="G341">
        <f t="shared" si="16"/>
        <v>94.45</v>
      </c>
      <c r="J341" t="s">
        <v>22</v>
      </c>
      <c r="K341" t="str">
        <f t="shared" si="17"/>
        <v>Not Returned</v>
      </c>
      <c r="N341" t="s">
        <v>34</v>
      </c>
      <c r="O341" t="str">
        <f>IF(N341="",INDEX({"Low","Medium","High"},MATCH(MAX(COUNTIF($N$2:$N$1000,{"Low","Medium","High"})),COUNTIF($N$2:$N$1000,{"Low","Medium","High"}),0)),N341)</f>
        <v>High</v>
      </c>
    </row>
    <row r="342" spans="1:15" x14ac:dyDescent="0.25">
      <c r="A342">
        <v>20</v>
      </c>
      <c r="B342">
        <f t="shared" si="15"/>
        <v>20</v>
      </c>
      <c r="F342">
        <v>48.63</v>
      </c>
      <c r="G342">
        <f t="shared" si="16"/>
        <v>48.63</v>
      </c>
      <c r="J342" t="s">
        <v>22</v>
      </c>
      <c r="K342" t="str">
        <f t="shared" si="17"/>
        <v>Not Returned</v>
      </c>
      <c r="N342" t="s">
        <v>40</v>
      </c>
      <c r="O342" t="str">
        <f>IF(N342="",INDEX({"Low","Medium","High"},MATCH(MAX(COUNTIF($N$2:$N$1000,{"Low","Medium","High"})),COUNTIF($N$2:$N$1000,{"Low","Medium","High"}),0)),N342)</f>
        <v>Medium</v>
      </c>
    </row>
    <row r="343" spans="1:15" x14ac:dyDescent="0.25">
      <c r="A343">
        <v>40</v>
      </c>
      <c r="B343">
        <f t="shared" si="15"/>
        <v>40</v>
      </c>
      <c r="F343">
        <v>26.06</v>
      </c>
      <c r="G343">
        <f t="shared" si="16"/>
        <v>26.06</v>
      </c>
      <c r="J343" t="s">
        <v>22</v>
      </c>
      <c r="K343" t="str">
        <f t="shared" si="17"/>
        <v>Not Returned</v>
      </c>
      <c r="N343" t="s">
        <v>25</v>
      </c>
      <c r="O343" t="str">
        <f>IF(N343="",INDEX({"Low","Medium","High"},MATCH(MAX(COUNTIF($N$2:$N$1000,{"Low","Medium","High"})),COUNTIF($N$2:$N$1000,{"Low","Medium","High"}),0)),N343)</f>
        <v>Low</v>
      </c>
    </row>
    <row r="344" spans="1:15" x14ac:dyDescent="0.25">
      <c r="A344">
        <v>28</v>
      </c>
      <c r="B344">
        <f t="shared" si="15"/>
        <v>28</v>
      </c>
      <c r="F344">
        <v>20.440000000000001</v>
      </c>
      <c r="G344">
        <f t="shared" si="16"/>
        <v>20.440000000000001</v>
      </c>
      <c r="J344" t="s">
        <v>22</v>
      </c>
      <c r="K344" t="str">
        <f t="shared" si="17"/>
        <v>Not Returned</v>
      </c>
      <c r="N344" t="s">
        <v>34</v>
      </c>
      <c r="O344" t="str">
        <f>IF(N344="",INDEX({"Low","Medium","High"},MATCH(MAX(COUNTIF($N$2:$N$1000,{"Low","Medium","High"})),COUNTIF($N$2:$N$1000,{"Low","Medium","High"}),0)),N344)</f>
        <v>High</v>
      </c>
    </row>
    <row r="345" spans="1:15" x14ac:dyDescent="0.25">
      <c r="A345">
        <v>43</v>
      </c>
      <c r="B345">
        <f t="shared" si="15"/>
        <v>43</v>
      </c>
      <c r="F345">
        <v>47.74</v>
      </c>
      <c r="G345">
        <f t="shared" si="16"/>
        <v>47.74</v>
      </c>
      <c r="J345" t="s">
        <v>22</v>
      </c>
      <c r="K345" t="str">
        <f t="shared" si="17"/>
        <v>Not Returned</v>
      </c>
      <c r="N345" t="s">
        <v>40</v>
      </c>
      <c r="O345" t="str">
        <f>IF(N345="",INDEX({"Low","Medium","High"},MATCH(MAX(COUNTIF($N$2:$N$1000,{"Low","Medium","High"})),COUNTIF($N$2:$N$1000,{"Low","Medium","High"}),0)),N345)</f>
        <v>Medium</v>
      </c>
    </row>
    <row r="346" spans="1:15" x14ac:dyDescent="0.25">
      <c r="A346">
        <v>46</v>
      </c>
      <c r="B346">
        <f t="shared" si="15"/>
        <v>46</v>
      </c>
      <c r="F346">
        <v>38.770000000000003</v>
      </c>
      <c r="G346">
        <f t="shared" si="16"/>
        <v>38.770000000000003</v>
      </c>
      <c r="J346" t="s">
        <v>111</v>
      </c>
      <c r="K346" t="str">
        <f t="shared" si="17"/>
        <v>Returned</v>
      </c>
      <c r="N346" t="s">
        <v>25</v>
      </c>
      <c r="O346" t="str">
        <f>IF(N346="",INDEX({"Low","Medium","High"},MATCH(MAX(COUNTIF($N$2:$N$1000,{"Low","Medium","High"})),COUNTIF($N$2:$N$1000,{"Low","Medium","High"}),0)),N346)</f>
        <v>Low</v>
      </c>
    </row>
    <row r="347" spans="1:15" x14ac:dyDescent="0.25">
      <c r="A347">
        <v>12</v>
      </c>
      <c r="B347">
        <f t="shared" si="15"/>
        <v>12</v>
      </c>
      <c r="F347">
        <v>87.11</v>
      </c>
      <c r="G347">
        <f t="shared" si="16"/>
        <v>87.11</v>
      </c>
      <c r="J347" t="s">
        <v>22</v>
      </c>
      <c r="K347" t="str">
        <f t="shared" si="17"/>
        <v>Not Returned</v>
      </c>
      <c r="N347" t="s">
        <v>25</v>
      </c>
      <c r="O347" t="str">
        <f>IF(N347="",INDEX({"Low","Medium","High"},MATCH(MAX(COUNTIF($N$2:$N$1000,{"Low","Medium","High"})),COUNTIF($N$2:$N$1000,{"Low","Medium","High"}),0)),N347)</f>
        <v>Low</v>
      </c>
    </row>
    <row r="348" spans="1:15" x14ac:dyDescent="0.25">
      <c r="A348">
        <v>5</v>
      </c>
      <c r="B348">
        <f t="shared" si="15"/>
        <v>5</v>
      </c>
      <c r="F348">
        <v>58.6</v>
      </c>
      <c r="G348">
        <f t="shared" si="16"/>
        <v>58.6</v>
      </c>
      <c r="J348" t="s">
        <v>111</v>
      </c>
      <c r="K348" t="str">
        <f t="shared" si="17"/>
        <v>Returned</v>
      </c>
      <c r="N348" t="s">
        <v>34</v>
      </c>
      <c r="O348" t="str">
        <f>IF(N348="",INDEX({"Low","Medium","High"},MATCH(MAX(COUNTIF($N$2:$N$1000,{"Low","Medium","High"})),COUNTIF($N$2:$N$1000,{"Low","Medium","High"}),0)),N348)</f>
        <v>High</v>
      </c>
    </row>
    <row r="349" spans="1:15" x14ac:dyDescent="0.25">
      <c r="A349">
        <v>24</v>
      </c>
      <c r="B349">
        <f t="shared" si="15"/>
        <v>24</v>
      </c>
      <c r="F349">
        <v>74.239999999999995</v>
      </c>
      <c r="G349">
        <f t="shared" si="16"/>
        <v>74.239999999999995</v>
      </c>
      <c r="J349" t="s">
        <v>22</v>
      </c>
      <c r="K349" t="str">
        <f t="shared" si="17"/>
        <v>Not Returned</v>
      </c>
      <c r="N349" t="s">
        <v>34</v>
      </c>
      <c r="O349" t="str">
        <f>IF(N349="",INDEX({"Low","Medium","High"},MATCH(MAX(COUNTIF($N$2:$N$1000,{"Low","Medium","High"})),COUNTIF($N$2:$N$1000,{"Low","Medium","High"}),0)),N349)</f>
        <v>High</v>
      </c>
    </row>
    <row r="350" spans="1:15" x14ac:dyDescent="0.25">
      <c r="A350">
        <v>31</v>
      </c>
      <c r="B350">
        <f t="shared" si="15"/>
        <v>31</v>
      </c>
      <c r="F350">
        <v>65.989999999999995</v>
      </c>
      <c r="G350">
        <f t="shared" si="16"/>
        <v>65.989999999999995</v>
      </c>
      <c r="J350" t="s">
        <v>22</v>
      </c>
      <c r="K350" t="str">
        <f t="shared" si="17"/>
        <v>Not Returned</v>
      </c>
      <c r="N350" t="s">
        <v>34</v>
      </c>
      <c r="O350" t="str">
        <f>IF(N350="",INDEX({"Low","Medium","High"},MATCH(MAX(COUNTIF($N$2:$N$1000,{"Low","Medium","High"})),COUNTIF($N$2:$N$1000,{"Low","Medium","High"}),0)),N350)</f>
        <v>High</v>
      </c>
    </row>
    <row r="351" spans="1:15" x14ac:dyDescent="0.25">
      <c r="A351">
        <v>32</v>
      </c>
      <c r="B351">
        <f t="shared" si="15"/>
        <v>32</v>
      </c>
      <c r="F351">
        <v>44.47</v>
      </c>
      <c r="G351">
        <f t="shared" si="16"/>
        <v>44.47</v>
      </c>
      <c r="J351" t="s">
        <v>22</v>
      </c>
      <c r="K351" t="str">
        <f t="shared" si="17"/>
        <v>Not Returned</v>
      </c>
      <c r="N351" t="s">
        <v>25</v>
      </c>
      <c r="O351" t="str">
        <f>IF(N351="",INDEX({"Low","Medium","High"},MATCH(MAX(COUNTIF($N$2:$N$1000,{"Low","Medium","High"})),COUNTIF($N$2:$N$1000,{"Low","Medium","High"}),0)),N351)</f>
        <v>Low</v>
      </c>
    </row>
    <row r="352" spans="1:15" x14ac:dyDescent="0.25">
      <c r="A352">
        <v>17</v>
      </c>
      <c r="B352">
        <f t="shared" si="15"/>
        <v>17</v>
      </c>
      <c r="F352">
        <v>76.8</v>
      </c>
      <c r="G352">
        <f t="shared" si="16"/>
        <v>76.8</v>
      </c>
      <c r="J352" t="s">
        <v>22</v>
      </c>
      <c r="K352" t="str">
        <f t="shared" si="17"/>
        <v>Not Returned</v>
      </c>
      <c r="N352" t="s">
        <v>40</v>
      </c>
      <c r="O352" t="str">
        <f>IF(N352="",INDEX({"Low","Medium","High"},MATCH(MAX(COUNTIF($N$2:$N$1000,{"Low","Medium","High"})),COUNTIF($N$2:$N$1000,{"Low","Medium","High"}),0)),N352)</f>
        <v>Medium</v>
      </c>
    </row>
    <row r="353" spans="1:15" x14ac:dyDescent="0.25">
      <c r="A353">
        <v>49</v>
      </c>
      <c r="B353">
        <f t="shared" si="15"/>
        <v>49</v>
      </c>
      <c r="F353">
        <v>21.93</v>
      </c>
      <c r="G353">
        <f t="shared" si="16"/>
        <v>21.93</v>
      </c>
      <c r="J353" t="s">
        <v>22</v>
      </c>
      <c r="K353" t="str">
        <f t="shared" si="17"/>
        <v>Not Returned</v>
      </c>
      <c r="N353" t="s">
        <v>40</v>
      </c>
      <c r="O353" t="str">
        <f>IF(N353="",INDEX({"Low","Medium","High"},MATCH(MAX(COUNTIF($N$2:$N$1000,{"Low","Medium","High"})),COUNTIF($N$2:$N$1000,{"Low","Medium","High"}),0)),N353)</f>
        <v>Medium</v>
      </c>
    </row>
    <row r="354" spans="1:15" x14ac:dyDescent="0.25">
      <c r="A354">
        <v>45</v>
      </c>
      <c r="B354">
        <f t="shared" si="15"/>
        <v>45</v>
      </c>
      <c r="F354">
        <v>47.57</v>
      </c>
      <c r="G354">
        <f t="shared" si="16"/>
        <v>47.57</v>
      </c>
      <c r="J354" t="s">
        <v>22</v>
      </c>
      <c r="K354" t="str">
        <f t="shared" si="17"/>
        <v>Not Returned</v>
      </c>
      <c r="O354" s="3" t="str">
        <f>IF(N354="",INDEX({"Low","Medium","High"},MATCH(MAX(COUNTIF($N$2:$N$1000,{"Low","Medium","High"})),COUNTIF($N$2:$N$1000,{"Low","Medium","High"}),0)),N354)</f>
        <v>Low</v>
      </c>
    </row>
    <row r="355" spans="1:15" x14ac:dyDescent="0.25">
      <c r="A355">
        <v>43</v>
      </c>
      <c r="B355">
        <f t="shared" si="15"/>
        <v>43</v>
      </c>
      <c r="F355">
        <v>41.29</v>
      </c>
      <c r="G355">
        <f t="shared" si="16"/>
        <v>41.29</v>
      </c>
      <c r="J355" t="s">
        <v>111</v>
      </c>
      <c r="K355" t="str">
        <f t="shared" si="17"/>
        <v>Returned</v>
      </c>
      <c r="N355" t="s">
        <v>40</v>
      </c>
      <c r="O355" t="str">
        <f>IF(N355="",INDEX({"Low","Medium","High"},MATCH(MAX(COUNTIF($N$2:$N$1000,{"Low","Medium","High"})),COUNTIF($N$2:$N$1000,{"Low","Medium","High"}),0)),N355)</f>
        <v>Medium</v>
      </c>
    </row>
    <row r="356" spans="1:15" x14ac:dyDescent="0.25">
      <c r="A356">
        <v>22</v>
      </c>
      <c r="B356">
        <f t="shared" si="15"/>
        <v>22</v>
      </c>
      <c r="F356">
        <v>30.83</v>
      </c>
      <c r="G356">
        <f t="shared" si="16"/>
        <v>30.83</v>
      </c>
      <c r="J356" t="s">
        <v>22</v>
      </c>
      <c r="K356" t="str">
        <f t="shared" si="17"/>
        <v>Not Returned</v>
      </c>
      <c r="N356" t="s">
        <v>40</v>
      </c>
      <c r="O356" t="str">
        <f>IF(N356="",INDEX({"Low","Medium","High"},MATCH(MAX(COUNTIF($N$2:$N$1000,{"Low","Medium","High"})),COUNTIF($N$2:$N$1000,{"Low","Medium","High"}),0)),N356)</f>
        <v>Medium</v>
      </c>
    </row>
    <row r="357" spans="1:15" x14ac:dyDescent="0.25">
      <c r="A357">
        <v>31</v>
      </c>
      <c r="B357">
        <f t="shared" si="15"/>
        <v>31</v>
      </c>
      <c r="F357">
        <v>43.34</v>
      </c>
      <c r="G357">
        <f t="shared" si="16"/>
        <v>43.34</v>
      </c>
      <c r="K357" s="3" t="str">
        <f t="shared" si="17"/>
        <v>Unknown</v>
      </c>
      <c r="N357" t="s">
        <v>34</v>
      </c>
      <c r="O357" t="str">
        <f>IF(N357="",INDEX({"Low","Medium","High"},MATCH(MAX(COUNTIF($N$2:$N$1000,{"Low","Medium","High"})),COUNTIF($N$2:$N$1000,{"Low","Medium","High"}),0)),N357)</f>
        <v>High</v>
      </c>
    </row>
    <row r="358" spans="1:15" x14ac:dyDescent="0.25">
      <c r="A358">
        <v>47</v>
      </c>
      <c r="B358">
        <f t="shared" si="15"/>
        <v>47</v>
      </c>
      <c r="F358">
        <v>58.01</v>
      </c>
      <c r="G358">
        <f t="shared" si="16"/>
        <v>58.01</v>
      </c>
      <c r="J358" t="s">
        <v>22</v>
      </c>
      <c r="K358" t="str">
        <f t="shared" si="17"/>
        <v>Not Returned</v>
      </c>
      <c r="N358" t="s">
        <v>34</v>
      </c>
      <c r="O358" t="str">
        <f>IF(N358="",INDEX({"Low","Medium","High"},MATCH(MAX(COUNTIF($N$2:$N$1000,{"Low","Medium","High"})),COUNTIF($N$2:$N$1000,{"Low","Medium","High"}),0)),N358)</f>
        <v>High</v>
      </c>
    </row>
    <row r="359" spans="1:15" x14ac:dyDescent="0.25">
      <c r="A359">
        <v>38</v>
      </c>
      <c r="B359">
        <f t="shared" si="15"/>
        <v>38</v>
      </c>
      <c r="G359" s="3">
        <f t="shared" si="16"/>
        <v>53</v>
      </c>
      <c r="J359" t="s">
        <v>22</v>
      </c>
      <c r="K359" t="str">
        <f t="shared" si="17"/>
        <v>Not Returned</v>
      </c>
      <c r="N359" t="s">
        <v>34</v>
      </c>
      <c r="O359" t="str">
        <f>IF(N359="",INDEX({"Low","Medium","High"},MATCH(MAX(COUNTIF($N$2:$N$1000,{"Low","Medium","High"})),COUNTIF($N$2:$N$1000,{"Low","Medium","High"}),0)),N359)</f>
        <v>High</v>
      </c>
    </row>
    <row r="360" spans="1:15" x14ac:dyDescent="0.25">
      <c r="A360">
        <v>33</v>
      </c>
      <c r="B360">
        <f t="shared" si="15"/>
        <v>33</v>
      </c>
      <c r="F360">
        <v>31.32</v>
      </c>
      <c r="G360">
        <f t="shared" si="16"/>
        <v>31.32</v>
      </c>
      <c r="J360" t="s">
        <v>22</v>
      </c>
      <c r="K360" t="str">
        <f t="shared" si="17"/>
        <v>Not Returned</v>
      </c>
      <c r="N360" t="s">
        <v>40</v>
      </c>
      <c r="O360" t="str">
        <f>IF(N360="",INDEX({"Low","Medium","High"},MATCH(MAX(COUNTIF($N$2:$N$1000,{"Low","Medium","High"})),COUNTIF($N$2:$N$1000,{"Low","Medium","High"}),0)),N360)</f>
        <v>Medium</v>
      </c>
    </row>
    <row r="361" spans="1:15" x14ac:dyDescent="0.25">
      <c r="A361">
        <v>44</v>
      </c>
      <c r="B361">
        <f t="shared" si="15"/>
        <v>44</v>
      </c>
      <c r="F361">
        <v>3.73</v>
      </c>
      <c r="G361">
        <f t="shared" si="16"/>
        <v>3.73</v>
      </c>
      <c r="J361" t="s">
        <v>22</v>
      </c>
      <c r="K361" t="str">
        <f t="shared" si="17"/>
        <v>Not Returned</v>
      </c>
      <c r="N361" t="s">
        <v>34</v>
      </c>
      <c r="O361" t="str">
        <f>IF(N361="",INDEX({"Low","Medium","High"},MATCH(MAX(COUNTIF($N$2:$N$1000,{"Low","Medium","High"})),COUNTIF($N$2:$N$1000,{"Low","Medium","High"}),0)),N361)</f>
        <v>High</v>
      </c>
    </row>
    <row r="362" spans="1:15" x14ac:dyDescent="0.25">
      <c r="A362">
        <v>13</v>
      </c>
      <c r="B362">
        <f t="shared" si="15"/>
        <v>13</v>
      </c>
      <c r="F362">
        <v>61.67</v>
      </c>
      <c r="G362">
        <f t="shared" si="16"/>
        <v>61.67</v>
      </c>
      <c r="J362" t="s">
        <v>22</v>
      </c>
      <c r="K362" t="str">
        <f t="shared" si="17"/>
        <v>Not Returned</v>
      </c>
      <c r="N362" t="s">
        <v>40</v>
      </c>
      <c r="O362" t="str">
        <f>IF(N362="",INDEX({"Low","Medium","High"},MATCH(MAX(COUNTIF($N$2:$N$1000,{"Low","Medium","High"})),COUNTIF($N$2:$N$1000,{"Low","Medium","High"}),0)),N362)</f>
        <v>Medium</v>
      </c>
    </row>
    <row r="363" spans="1:15" x14ac:dyDescent="0.25">
      <c r="A363">
        <v>49</v>
      </c>
      <c r="B363">
        <f t="shared" si="15"/>
        <v>49</v>
      </c>
      <c r="F363">
        <v>18.239999999999998</v>
      </c>
      <c r="G363">
        <f t="shared" si="16"/>
        <v>18.239999999999998</v>
      </c>
      <c r="J363" t="s">
        <v>22</v>
      </c>
      <c r="K363" t="str">
        <f t="shared" si="17"/>
        <v>Not Returned</v>
      </c>
      <c r="N363" t="s">
        <v>40</v>
      </c>
      <c r="O363" t="str">
        <f>IF(N363="",INDEX({"Low","Medium","High"},MATCH(MAX(COUNTIF($N$2:$N$1000,{"Low","Medium","High"})),COUNTIF($N$2:$N$1000,{"Low","Medium","High"}),0)),N363)</f>
        <v>Medium</v>
      </c>
    </row>
    <row r="364" spans="1:15" x14ac:dyDescent="0.25">
      <c r="A364">
        <v>33</v>
      </c>
      <c r="B364">
        <f t="shared" si="15"/>
        <v>33</v>
      </c>
      <c r="F364">
        <v>69.319999999999993</v>
      </c>
      <c r="G364">
        <f t="shared" si="16"/>
        <v>69.319999999999993</v>
      </c>
      <c r="J364" t="s">
        <v>22</v>
      </c>
      <c r="K364" t="str">
        <f t="shared" si="17"/>
        <v>Not Returned</v>
      </c>
      <c r="N364" t="s">
        <v>34</v>
      </c>
      <c r="O364" t="str">
        <f>IF(N364="",INDEX({"Low","Medium","High"},MATCH(MAX(COUNTIF($N$2:$N$1000,{"Low","Medium","High"})),COUNTIF($N$2:$N$1000,{"Low","Medium","High"}),0)),N364)</f>
        <v>High</v>
      </c>
    </row>
    <row r="365" spans="1:15" x14ac:dyDescent="0.25">
      <c r="A365">
        <v>29</v>
      </c>
      <c r="B365">
        <f t="shared" si="15"/>
        <v>29</v>
      </c>
      <c r="F365">
        <v>50.6</v>
      </c>
      <c r="G365">
        <f t="shared" si="16"/>
        <v>50.6</v>
      </c>
      <c r="J365" t="s">
        <v>111</v>
      </c>
      <c r="K365" t="str">
        <f t="shared" si="17"/>
        <v>Returned</v>
      </c>
      <c r="N365" t="s">
        <v>25</v>
      </c>
      <c r="O365" t="str">
        <f>IF(N365="",INDEX({"Low","Medium","High"},MATCH(MAX(COUNTIF($N$2:$N$1000,{"Low","Medium","High"})),COUNTIF($N$2:$N$1000,{"Low","Medium","High"}),0)),N365)</f>
        <v>Low</v>
      </c>
    </row>
    <row r="366" spans="1:15" x14ac:dyDescent="0.25">
      <c r="A366">
        <v>10</v>
      </c>
      <c r="B366">
        <f t="shared" si="15"/>
        <v>10</v>
      </c>
      <c r="F366">
        <v>11.15</v>
      </c>
      <c r="G366">
        <f t="shared" si="16"/>
        <v>11.15</v>
      </c>
      <c r="J366" t="s">
        <v>22</v>
      </c>
      <c r="K366" t="str">
        <f t="shared" si="17"/>
        <v>Not Returned</v>
      </c>
      <c r="N366" t="s">
        <v>25</v>
      </c>
      <c r="O366" t="str">
        <f>IF(N366="",INDEX({"Low","Medium","High"},MATCH(MAX(COUNTIF($N$2:$N$1000,{"Low","Medium","High"})),COUNTIF($N$2:$N$1000,{"Low","Medium","High"}),0)),N366)</f>
        <v>Low</v>
      </c>
    </row>
    <row r="367" spans="1:15" x14ac:dyDescent="0.25">
      <c r="A367">
        <v>11</v>
      </c>
      <c r="B367">
        <f t="shared" si="15"/>
        <v>11</v>
      </c>
      <c r="F367">
        <v>53.06</v>
      </c>
      <c r="G367">
        <f t="shared" si="16"/>
        <v>53.06</v>
      </c>
      <c r="J367" t="s">
        <v>22</v>
      </c>
      <c r="K367" t="str">
        <f t="shared" si="17"/>
        <v>Not Returned</v>
      </c>
      <c r="N367" t="s">
        <v>40</v>
      </c>
      <c r="O367" t="str">
        <f>IF(N367="",INDEX({"Low","Medium","High"},MATCH(MAX(COUNTIF($N$2:$N$1000,{"Low","Medium","High"})),COUNTIF($N$2:$N$1000,{"Low","Medium","High"}),0)),N367)</f>
        <v>Medium</v>
      </c>
    </row>
    <row r="368" spans="1:15" x14ac:dyDescent="0.25">
      <c r="A368">
        <v>48</v>
      </c>
      <c r="B368">
        <f t="shared" si="15"/>
        <v>48</v>
      </c>
      <c r="F368">
        <v>53.97</v>
      </c>
      <c r="G368">
        <f t="shared" si="16"/>
        <v>53.97</v>
      </c>
      <c r="J368" t="s">
        <v>22</v>
      </c>
      <c r="K368" t="str">
        <f t="shared" si="17"/>
        <v>Not Returned</v>
      </c>
      <c r="N368" t="s">
        <v>40</v>
      </c>
      <c r="O368" t="str">
        <f>IF(N368="",INDEX({"Low","Medium","High"},MATCH(MAX(COUNTIF($N$2:$N$1000,{"Low","Medium","High"})),COUNTIF($N$2:$N$1000,{"Low","Medium","High"}),0)),N368)</f>
        <v>Medium</v>
      </c>
    </row>
    <row r="369" spans="1:15" x14ac:dyDescent="0.25">
      <c r="A369">
        <v>2</v>
      </c>
      <c r="B369">
        <f t="shared" si="15"/>
        <v>2</v>
      </c>
      <c r="F369">
        <v>53.14</v>
      </c>
      <c r="G369">
        <f t="shared" si="16"/>
        <v>53.14</v>
      </c>
      <c r="J369" t="s">
        <v>22</v>
      </c>
      <c r="K369" t="str">
        <f t="shared" si="17"/>
        <v>Not Returned</v>
      </c>
      <c r="N369" t="s">
        <v>25</v>
      </c>
      <c r="O369" t="str">
        <f>IF(N369="",INDEX({"Low","Medium","High"},MATCH(MAX(COUNTIF($N$2:$N$1000,{"Low","Medium","High"})),COUNTIF($N$2:$N$1000,{"Low","Medium","High"}),0)),N369)</f>
        <v>Low</v>
      </c>
    </row>
    <row r="370" spans="1:15" x14ac:dyDescent="0.25">
      <c r="A370">
        <v>13</v>
      </c>
      <c r="B370">
        <f t="shared" si="15"/>
        <v>13</v>
      </c>
      <c r="F370">
        <v>72.45</v>
      </c>
      <c r="G370">
        <f t="shared" si="16"/>
        <v>72.45</v>
      </c>
      <c r="J370" t="s">
        <v>111</v>
      </c>
      <c r="K370" t="str">
        <f t="shared" si="17"/>
        <v>Returned</v>
      </c>
      <c r="N370" t="s">
        <v>25</v>
      </c>
      <c r="O370" t="str">
        <f>IF(N370="",INDEX({"Low","Medium","High"},MATCH(MAX(COUNTIF($N$2:$N$1000,{"Low","Medium","High"})),COUNTIF($N$2:$N$1000,{"Low","Medium","High"}),0)),N370)</f>
        <v>Low</v>
      </c>
    </row>
    <row r="371" spans="1:15" x14ac:dyDescent="0.25">
      <c r="A371">
        <v>15</v>
      </c>
      <c r="B371">
        <f t="shared" si="15"/>
        <v>15</v>
      </c>
      <c r="F371">
        <v>51.51</v>
      </c>
      <c r="G371">
        <f t="shared" si="16"/>
        <v>51.51</v>
      </c>
      <c r="J371" t="s">
        <v>22</v>
      </c>
      <c r="K371" t="str">
        <f t="shared" si="17"/>
        <v>Not Returned</v>
      </c>
      <c r="N371" t="s">
        <v>25</v>
      </c>
      <c r="O371" t="str">
        <f>IF(N371="",INDEX({"Low","Medium","High"},MATCH(MAX(COUNTIF($N$2:$N$1000,{"Low","Medium","High"})),COUNTIF($N$2:$N$1000,{"Low","Medium","High"}),0)),N371)</f>
        <v>Low</v>
      </c>
    </row>
    <row r="372" spans="1:15" x14ac:dyDescent="0.25">
      <c r="A372">
        <v>46</v>
      </c>
      <c r="B372">
        <f t="shared" si="15"/>
        <v>46</v>
      </c>
      <c r="F372">
        <v>4.9800000000000004</v>
      </c>
      <c r="G372">
        <f t="shared" si="16"/>
        <v>4.9800000000000004</v>
      </c>
      <c r="J372" t="s">
        <v>22</v>
      </c>
      <c r="K372" t="str">
        <f t="shared" si="17"/>
        <v>Not Returned</v>
      </c>
      <c r="N372" t="s">
        <v>25</v>
      </c>
      <c r="O372" t="str">
        <f>IF(N372="",INDEX({"Low","Medium","High"},MATCH(MAX(COUNTIF($N$2:$N$1000,{"Low","Medium","High"})),COUNTIF($N$2:$N$1000,{"Low","Medium","High"}),0)),N372)</f>
        <v>Low</v>
      </c>
    </row>
    <row r="373" spans="1:15" x14ac:dyDescent="0.25">
      <c r="A373">
        <v>42</v>
      </c>
      <c r="B373">
        <f t="shared" si="15"/>
        <v>42</v>
      </c>
      <c r="F373">
        <v>12.61</v>
      </c>
      <c r="G373">
        <f t="shared" si="16"/>
        <v>12.61</v>
      </c>
      <c r="J373" t="s">
        <v>111</v>
      </c>
      <c r="K373" t="str">
        <f t="shared" si="17"/>
        <v>Returned</v>
      </c>
      <c r="N373" t="s">
        <v>40</v>
      </c>
      <c r="O373" t="str">
        <f>IF(N373="",INDEX({"Low","Medium","High"},MATCH(MAX(COUNTIF($N$2:$N$1000,{"Low","Medium","High"})),COUNTIF($N$2:$N$1000,{"Low","Medium","High"}),0)),N373)</f>
        <v>Medium</v>
      </c>
    </row>
    <row r="374" spans="1:15" x14ac:dyDescent="0.25">
      <c r="A374">
        <v>9</v>
      </c>
      <c r="B374">
        <f t="shared" si="15"/>
        <v>9</v>
      </c>
      <c r="F374">
        <v>53.55</v>
      </c>
      <c r="G374">
        <f t="shared" si="16"/>
        <v>53.55</v>
      </c>
      <c r="J374" t="s">
        <v>22</v>
      </c>
      <c r="K374" t="str">
        <f t="shared" si="17"/>
        <v>Not Returned</v>
      </c>
      <c r="N374" t="s">
        <v>34</v>
      </c>
      <c r="O374" t="str">
        <f>IF(N374="",INDEX({"Low","Medium","High"},MATCH(MAX(COUNTIF($N$2:$N$1000,{"Low","Medium","High"})),COUNTIF($N$2:$N$1000,{"Low","Medium","High"}),0)),N374)</f>
        <v>High</v>
      </c>
    </row>
    <row r="375" spans="1:15" x14ac:dyDescent="0.25">
      <c r="A375">
        <v>44</v>
      </c>
      <c r="B375">
        <f t="shared" si="15"/>
        <v>44</v>
      </c>
      <c r="F375">
        <v>14.29</v>
      </c>
      <c r="G375">
        <f t="shared" si="16"/>
        <v>14.29</v>
      </c>
      <c r="K375" s="3" t="str">
        <f t="shared" si="17"/>
        <v>Unknown</v>
      </c>
      <c r="N375" t="s">
        <v>34</v>
      </c>
      <c r="O375" t="str">
        <f>IF(N375="",INDEX({"Low","Medium","High"},MATCH(MAX(COUNTIF($N$2:$N$1000,{"Low","Medium","High"})),COUNTIF($N$2:$N$1000,{"Low","Medium","High"}),0)),N375)</f>
        <v>High</v>
      </c>
    </row>
    <row r="376" spans="1:15" x14ac:dyDescent="0.25">
      <c r="A376">
        <v>19</v>
      </c>
      <c r="B376">
        <f t="shared" si="15"/>
        <v>19</v>
      </c>
      <c r="F376">
        <v>59.18</v>
      </c>
      <c r="G376">
        <f t="shared" si="16"/>
        <v>59.18</v>
      </c>
      <c r="J376" t="s">
        <v>22</v>
      </c>
      <c r="K376" t="str">
        <f t="shared" si="17"/>
        <v>Not Returned</v>
      </c>
      <c r="N376" t="s">
        <v>40</v>
      </c>
      <c r="O376" t="str">
        <f>IF(N376="",INDEX({"Low","Medium","High"},MATCH(MAX(COUNTIF($N$2:$N$1000,{"Low","Medium","High"})),COUNTIF($N$2:$N$1000,{"Low","Medium","High"}),0)),N376)</f>
        <v>Medium</v>
      </c>
    </row>
    <row r="377" spans="1:15" x14ac:dyDescent="0.25">
      <c r="A377">
        <v>36</v>
      </c>
      <c r="B377">
        <f t="shared" si="15"/>
        <v>36</v>
      </c>
      <c r="F377">
        <v>59.62</v>
      </c>
      <c r="G377">
        <f t="shared" si="16"/>
        <v>59.62</v>
      </c>
      <c r="J377" t="s">
        <v>22</v>
      </c>
      <c r="K377" t="str">
        <f t="shared" si="17"/>
        <v>Not Returned</v>
      </c>
      <c r="N377" t="s">
        <v>25</v>
      </c>
      <c r="O377" t="str">
        <f>IF(N377="",INDEX({"Low","Medium","High"},MATCH(MAX(COUNTIF($N$2:$N$1000,{"Low","Medium","High"})),COUNTIF($N$2:$N$1000,{"Low","Medium","High"}),0)),N377)</f>
        <v>Low</v>
      </c>
    </row>
    <row r="378" spans="1:15" x14ac:dyDescent="0.25">
      <c r="A378">
        <v>38</v>
      </c>
      <c r="B378">
        <f t="shared" si="15"/>
        <v>38</v>
      </c>
      <c r="F378">
        <v>39.29</v>
      </c>
      <c r="G378">
        <f t="shared" si="16"/>
        <v>39.29</v>
      </c>
      <c r="J378" t="s">
        <v>22</v>
      </c>
      <c r="K378" t="str">
        <f t="shared" si="17"/>
        <v>Not Returned</v>
      </c>
      <c r="N378" t="s">
        <v>34</v>
      </c>
      <c r="O378" t="str">
        <f>IF(N378="",INDEX({"Low","Medium","High"},MATCH(MAX(COUNTIF($N$2:$N$1000,{"Low","Medium","High"})),COUNTIF($N$2:$N$1000,{"Low","Medium","High"}),0)),N378)</f>
        <v>High</v>
      </c>
    </row>
    <row r="379" spans="1:15" x14ac:dyDescent="0.25">
      <c r="A379">
        <v>8</v>
      </c>
      <c r="B379">
        <f t="shared" si="15"/>
        <v>8</v>
      </c>
      <c r="F379">
        <v>92.97</v>
      </c>
      <c r="G379">
        <f t="shared" si="16"/>
        <v>92.97</v>
      </c>
      <c r="J379" t="s">
        <v>22</v>
      </c>
      <c r="K379" t="str">
        <f t="shared" si="17"/>
        <v>Not Returned</v>
      </c>
      <c r="N379" t="s">
        <v>34</v>
      </c>
      <c r="O379" t="str">
        <f>IF(N379="",INDEX({"Low","Medium","High"},MATCH(MAX(COUNTIF($N$2:$N$1000,{"Low","Medium","High"})),COUNTIF($N$2:$N$1000,{"Low","Medium","High"}),0)),N379)</f>
        <v>High</v>
      </c>
    </row>
    <row r="380" spans="1:15" x14ac:dyDescent="0.25">
      <c r="A380">
        <v>28</v>
      </c>
      <c r="B380">
        <f t="shared" si="15"/>
        <v>28</v>
      </c>
      <c r="F380">
        <v>21.66</v>
      </c>
      <c r="G380">
        <f t="shared" si="16"/>
        <v>21.66</v>
      </c>
      <c r="J380" t="s">
        <v>22</v>
      </c>
      <c r="K380" t="str">
        <f t="shared" si="17"/>
        <v>Not Returned</v>
      </c>
      <c r="N380" t="s">
        <v>34</v>
      </c>
      <c r="O380" t="str">
        <f>IF(N380="",INDEX({"Low","Medium","High"},MATCH(MAX(COUNTIF($N$2:$N$1000,{"Low","Medium","High"})),COUNTIF($N$2:$N$1000,{"Low","Medium","High"}),0)),N380)</f>
        <v>High</v>
      </c>
    </row>
    <row r="381" spans="1:15" x14ac:dyDescent="0.25">
      <c r="A381">
        <v>36</v>
      </c>
      <c r="B381">
        <f t="shared" si="15"/>
        <v>36</v>
      </c>
      <c r="F381">
        <v>1.4</v>
      </c>
      <c r="G381">
        <f t="shared" si="16"/>
        <v>1.4</v>
      </c>
      <c r="J381" t="s">
        <v>111</v>
      </c>
      <c r="K381" t="str">
        <f t="shared" si="17"/>
        <v>Returned</v>
      </c>
      <c r="O381" s="3" t="str">
        <f>IF(N381="",INDEX({"Low","Medium","High"},MATCH(MAX(COUNTIF($N$2:$N$1000,{"Low","Medium","High"})),COUNTIF($N$2:$N$1000,{"Low","Medium","High"}),0)),N381)</f>
        <v>Low</v>
      </c>
    </row>
    <row r="382" spans="1:15" x14ac:dyDescent="0.25">
      <c r="A382">
        <v>18</v>
      </c>
      <c r="B382">
        <f t="shared" si="15"/>
        <v>18</v>
      </c>
      <c r="F382">
        <v>73.900000000000006</v>
      </c>
      <c r="G382">
        <f t="shared" si="16"/>
        <v>73.900000000000006</v>
      </c>
      <c r="J382" t="s">
        <v>22</v>
      </c>
      <c r="K382" t="str">
        <f t="shared" si="17"/>
        <v>Not Returned</v>
      </c>
      <c r="N382" t="s">
        <v>34</v>
      </c>
      <c r="O382" t="str">
        <f>IF(N382="",INDEX({"Low","Medium","High"},MATCH(MAX(COUNTIF($N$2:$N$1000,{"Low","Medium","High"})),COUNTIF($N$2:$N$1000,{"Low","Medium","High"}),0)),N382)</f>
        <v>High</v>
      </c>
    </row>
    <row r="383" spans="1:15" x14ac:dyDescent="0.25">
      <c r="A383">
        <v>34</v>
      </c>
      <c r="B383">
        <f t="shared" si="15"/>
        <v>34</v>
      </c>
      <c r="F383">
        <v>11.26</v>
      </c>
      <c r="G383">
        <f t="shared" si="16"/>
        <v>11.26</v>
      </c>
      <c r="J383" t="s">
        <v>22</v>
      </c>
      <c r="K383" t="str">
        <f t="shared" si="17"/>
        <v>Not Returned</v>
      </c>
      <c r="N383" t="s">
        <v>25</v>
      </c>
      <c r="O383" t="str">
        <f>IF(N383="",INDEX({"Low","Medium","High"},MATCH(MAX(COUNTIF($N$2:$N$1000,{"Low","Medium","High"})),COUNTIF($N$2:$N$1000,{"Low","Medium","High"}),0)),N383)</f>
        <v>Low</v>
      </c>
    </row>
    <row r="384" spans="1:15" x14ac:dyDescent="0.25">
      <c r="A384">
        <v>48</v>
      </c>
      <c r="B384">
        <f t="shared" si="15"/>
        <v>48</v>
      </c>
      <c r="F384">
        <v>71.349999999999994</v>
      </c>
      <c r="G384">
        <f t="shared" si="16"/>
        <v>71.349999999999994</v>
      </c>
      <c r="J384" t="s">
        <v>22</v>
      </c>
      <c r="K384" t="str">
        <f t="shared" si="17"/>
        <v>Not Returned</v>
      </c>
      <c r="N384" t="s">
        <v>40</v>
      </c>
      <c r="O384" t="str">
        <f>IF(N384="",INDEX({"Low","Medium","High"},MATCH(MAX(COUNTIF($N$2:$N$1000,{"Low","Medium","High"})),COUNTIF($N$2:$N$1000,{"Low","Medium","High"}),0)),N384)</f>
        <v>Medium</v>
      </c>
    </row>
    <row r="385" spans="1:15" x14ac:dyDescent="0.25">
      <c r="A385">
        <v>18</v>
      </c>
      <c r="B385">
        <f t="shared" si="15"/>
        <v>18</v>
      </c>
      <c r="F385">
        <v>12.33</v>
      </c>
      <c r="G385">
        <f t="shared" si="16"/>
        <v>12.33</v>
      </c>
      <c r="J385" t="s">
        <v>22</v>
      </c>
      <c r="K385" t="str">
        <f t="shared" si="17"/>
        <v>Not Returned</v>
      </c>
      <c r="N385" t="s">
        <v>25</v>
      </c>
      <c r="O385" t="str">
        <f>IF(N385="",INDEX({"Low","Medium","High"},MATCH(MAX(COUNTIF($N$2:$N$1000,{"Low","Medium","High"})),COUNTIF($N$2:$N$1000,{"Low","Medium","High"}),0)),N385)</f>
        <v>Low</v>
      </c>
    </row>
    <row r="386" spans="1:15" x14ac:dyDescent="0.25">
      <c r="A386">
        <v>17</v>
      </c>
      <c r="B386">
        <f t="shared" ref="B386:B449" si="18">IF(A386="",ROUNDUP(AVERAGE($A$2:$A$1000),0),A386)</f>
        <v>17</v>
      </c>
      <c r="G386" s="3">
        <f t="shared" si="16"/>
        <v>53</v>
      </c>
      <c r="J386" t="s">
        <v>22</v>
      </c>
      <c r="K386" t="str">
        <f t="shared" si="17"/>
        <v>Not Returned</v>
      </c>
      <c r="N386" t="s">
        <v>34</v>
      </c>
      <c r="O386" t="str">
        <f>IF(N386="",INDEX({"Low","Medium","High"},MATCH(MAX(COUNTIF($N$2:$N$1000,{"Low","Medium","High"})),COUNTIF($N$2:$N$1000,{"Low","Medium","High"}),0)),N386)</f>
        <v>High</v>
      </c>
    </row>
    <row r="387" spans="1:15" x14ac:dyDescent="0.25">
      <c r="A387">
        <v>47</v>
      </c>
      <c r="B387">
        <f t="shared" si="18"/>
        <v>47</v>
      </c>
      <c r="F387">
        <v>9.1</v>
      </c>
      <c r="G387">
        <f t="shared" ref="G387:G450" si="19">IF(F387="",ROUNDUP(AVERAGE($F$2:$F$1000),0),F387)</f>
        <v>9.1</v>
      </c>
      <c r="J387" t="s">
        <v>22</v>
      </c>
      <c r="K387" t="str">
        <f t="shared" ref="K387:K450" si="20">IF(J387="","Unknown",J387)</f>
        <v>Not Returned</v>
      </c>
      <c r="N387" t="s">
        <v>40</v>
      </c>
      <c r="O387" t="str">
        <f>IF(N387="",INDEX({"Low","Medium","High"},MATCH(MAX(COUNTIF($N$2:$N$1000,{"Low","Medium","High"})),COUNTIF($N$2:$N$1000,{"Low","Medium","High"}),0)),N387)</f>
        <v>Medium</v>
      </c>
    </row>
    <row r="388" spans="1:15" x14ac:dyDescent="0.25">
      <c r="A388">
        <v>8</v>
      </c>
      <c r="B388">
        <f t="shared" si="18"/>
        <v>8</v>
      </c>
      <c r="F388">
        <v>69.680000000000007</v>
      </c>
      <c r="G388">
        <f t="shared" si="19"/>
        <v>69.680000000000007</v>
      </c>
      <c r="J388" t="s">
        <v>22</v>
      </c>
      <c r="K388" t="str">
        <f t="shared" si="20"/>
        <v>Not Returned</v>
      </c>
      <c r="N388" t="s">
        <v>34</v>
      </c>
      <c r="O388" t="str">
        <f>IF(N388="",INDEX({"Low","Medium","High"},MATCH(MAX(COUNTIF($N$2:$N$1000,{"Low","Medium","High"})),COUNTIF($N$2:$N$1000,{"Low","Medium","High"}),0)),N388)</f>
        <v>High</v>
      </c>
    </row>
    <row r="389" spans="1:15" x14ac:dyDescent="0.25">
      <c r="A389">
        <v>19</v>
      </c>
      <c r="B389">
        <f t="shared" si="18"/>
        <v>19</v>
      </c>
      <c r="F389">
        <v>86.1</v>
      </c>
      <c r="G389">
        <f t="shared" si="19"/>
        <v>86.1</v>
      </c>
      <c r="J389" t="s">
        <v>22</v>
      </c>
      <c r="K389" t="str">
        <f t="shared" si="20"/>
        <v>Not Returned</v>
      </c>
      <c r="N389" t="s">
        <v>34</v>
      </c>
      <c r="O389" t="str">
        <f>IF(N389="",INDEX({"Low","Medium","High"},MATCH(MAX(COUNTIF($N$2:$N$1000,{"Low","Medium","High"})),COUNTIF($N$2:$N$1000,{"Low","Medium","High"}),0)),N389)</f>
        <v>High</v>
      </c>
    </row>
    <row r="390" spans="1:15" x14ac:dyDescent="0.25">
      <c r="A390">
        <v>34</v>
      </c>
      <c r="B390">
        <f t="shared" si="18"/>
        <v>34</v>
      </c>
      <c r="F390">
        <v>85.2</v>
      </c>
      <c r="G390">
        <f t="shared" si="19"/>
        <v>85.2</v>
      </c>
      <c r="J390" t="s">
        <v>22</v>
      </c>
      <c r="K390" t="str">
        <f t="shared" si="20"/>
        <v>Not Returned</v>
      </c>
      <c r="N390" t="s">
        <v>40</v>
      </c>
      <c r="O390" t="str">
        <f>IF(N390="",INDEX({"Low","Medium","High"},MATCH(MAX(COUNTIF($N$2:$N$1000,{"Low","Medium","High"})),COUNTIF($N$2:$N$1000,{"Low","Medium","High"}),0)),N390)</f>
        <v>Medium</v>
      </c>
    </row>
    <row r="391" spans="1:15" x14ac:dyDescent="0.25">
      <c r="A391">
        <v>12</v>
      </c>
      <c r="B391">
        <f t="shared" si="18"/>
        <v>12</v>
      </c>
      <c r="F391">
        <v>79.790000000000006</v>
      </c>
      <c r="G391">
        <f t="shared" si="19"/>
        <v>79.790000000000006</v>
      </c>
      <c r="J391" t="s">
        <v>22</v>
      </c>
      <c r="K391" t="str">
        <f t="shared" si="20"/>
        <v>Not Returned</v>
      </c>
      <c r="N391" t="s">
        <v>34</v>
      </c>
      <c r="O391" t="str">
        <f>IF(N391="",INDEX({"Low","Medium","High"},MATCH(MAX(COUNTIF($N$2:$N$1000,{"Low","Medium","High"})),COUNTIF($N$2:$N$1000,{"Low","Medium","High"}),0)),N391)</f>
        <v>High</v>
      </c>
    </row>
    <row r="392" spans="1:15" x14ac:dyDescent="0.25">
      <c r="A392">
        <v>44</v>
      </c>
      <c r="B392">
        <f t="shared" si="18"/>
        <v>44</v>
      </c>
      <c r="F392">
        <v>58.71</v>
      </c>
      <c r="G392">
        <f t="shared" si="19"/>
        <v>58.71</v>
      </c>
      <c r="J392" t="s">
        <v>22</v>
      </c>
      <c r="K392" t="str">
        <f t="shared" si="20"/>
        <v>Not Returned</v>
      </c>
      <c r="N392" t="s">
        <v>25</v>
      </c>
      <c r="O392" t="str">
        <f>IF(N392="",INDEX({"Low","Medium","High"},MATCH(MAX(COUNTIF($N$2:$N$1000,{"Low","Medium","High"})),COUNTIF($N$2:$N$1000,{"Low","Medium","High"}),0)),N392)</f>
        <v>Low</v>
      </c>
    </row>
    <row r="393" spans="1:15" x14ac:dyDescent="0.25">
      <c r="A393">
        <v>23</v>
      </c>
      <c r="B393">
        <f t="shared" si="18"/>
        <v>23</v>
      </c>
      <c r="F393">
        <v>17.27</v>
      </c>
      <c r="G393">
        <f t="shared" si="19"/>
        <v>17.27</v>
      </c>
      <c r="J393" t="s">
        <v>22</v>
      </c>
      <c r="K393" t="str">
        <f t="shared" si="20"/>
        <v>Not Returned</v>
      </c>
      <c r="N393" t="s">
        <v>34</v>
      </c>
      <c r="O393" t="str">
        <f>IF(N393="",INDEX({"Low","Medium","High"},MATCH(MAX(COUNTIF($N$2:$N$1000,{"Low","Medium","High"})),COUNTIF($N$2:$N$1000,{"Low","Medium","High"}),0)),N393)</f>
        <v>High</v>
      </c>
    </row>
    <row r="394" spans="1:15" x14ac:dyDescent="0.25">
      <c r="A394">
        <v>26</v>
      </c>
      <c r="B394">
        <f t="shared" si="18"/>
        <v>26</v>
      </c>
      <c r="F394">
        <v>31.24</v>
      </c>
      <c r="G394">
        <f t="shared" si="19"/>
        <v>31.24</v>
      </c>
      <c r="J394" t="s">
        <v>22</v>
      </c>
      <c r="K394" t="str">
        <f t="shared" si="20"/>
        <v>Not Returned</v>
      </c>
      <c r="N394" t="s">
        <v>34</v>
      </c>
      <c r="O394" t="str">
        <f>IF(N394="",INDEX({"Low","Medium","High"},MATCH(MAX(COUNTIF($N$2:$N$1000,{"Low","Medium","High"})),COUNTIF($N$2:$N$1000,{"Low","Medium","High"}),0)),N394)</f>
        <v>High</v>
      </c>
    </row>
    <row r="395" spans="1:15" x14ac:dyDescent="0.25">
      <c r="A395">
        <v>37</v>
      </c>
      <c r="B395">
        <f t="shared" si="18"/>
        <v>37</v>
      </c>
      <c r="F395">
        <v>81.61</v>
      </c>
      <c r="G395">
        <f t="shared" si="19"/>
        <v>81.61</v>
      </c>
      <c r="J395" t="s">
        <v>22</v>
      </c>
      <c r="K395" t="str">
        <f t="shared" si="20"/>
        <v>Not Returned</v>
      </c>
      <c r="N395" t="s">
        <v>25</v>
      </c>
      <c r="O395" t="str">
        <f>IF(N395="",INDEX({"Low","Medium","High"},MATCH(MAX(COUNTIF($N$2:$N$1000,{"Low","Medium","High"})),COUNTIF($N$2:$N$1000,{"Low","Medium","High"}),0)),N395)</f>
        <v>Low</v>
      </c>
    </row>
    <row r="396" spans="1:15" x14ac:dyDescent="0.25">
      <c r="A396">
        <v>1</v>
      </c>
      <c r="B396">
        <f t="shared" si="18"/>
        <v>1</v>
      </c>
      <c r="F396">
        <v>95.64</v>
      </c>
      <c r="G396">
        <f t="shared" si="19"/>
        <v>95.64</v>
      </c>
      <c r="J396" t="s">
        <v>22</v>
      </c>
      <c r="K396" t="str">
        <f t="shared" si="20"/>
        <v>Not Returned</v>
      </c>
      <c r="N396" t="s">
        <v>40</v>
      </c>
      <c r="O396" t="str">
        <f>IF(N396="",INDEX({"Low","Medium","High"},MATCH(MAX(COUNTIF($N$2:$N$1000,{"Low","Medium","High"})),COUNTIF($N$2:$N$1000,{"Low","Medium","High"}),0)),N396)</f>
        <v>Medium</v>
      </c>
    </row>
    <row r="397" spans="1:15" x14ac:dyDescent="0.25">
      <c r="A397">
        <v>39</v>
      </c>
      <c r="B397">
        <f t="shared" si="18"/>
        <v>39</v>
      </c>
      <c r="F397">
        <v>75.13</v>
      </c>
      <c r="G397">
        <f t="shared" si="19"/>
        <v>75.13</v>
      </c>
      <c r="J397" t="s">
        <v>22</v>
      </c>
      <c r="K397" t="str">
        <f t="shared" si="20"/>
        <v>Not Returned</v>
      </c>
      <c r="N397" t="s">
        <v>25</v>
      </c>
      <c r="O397" t="str">
        <f>IF(N397="",INDEX({"Low","Medium","High"},MATCH(MAX(COUNTIF($N$2:$N$1000,{"Low","Medium","High"})),COUNTIF($N$2:$N$1000,{"Low","Medium","High"}),0)),N397)</f>
        <v>Low</v>
      </c>
    </row>
    <row r="398" spans="1:15" x14ac:dyDescent="0.25">
      <c r="A398">
        <v>43</v>
      </c>
      <c r="B398">
        <f t="shared" si="18"/>
        <v>43</v>
      </c>
      <c r="F398">
        <v>96.41</v>
      </c>
      <c r="G398">
        <f t="shared" si="19"/>
        <v>96.41</v>
      </c>
      <c r="J398" t="s">
        <v>22</v>
      </c>
      <c r="K398" t="str">
        <f t="shared" si="20"/>
        <v>Not Returned</v>
      </c>
      <c r="N398" t="s">
        <v>25</v>
      </c>
      <c r="O398" t="str">
        <f>IF(N398="",INDEX({"Low","Medium","High"},MATCH(MAX(COUNTIF($N$2:$N$1000,{"Low","Medium","High"})),COUNTIF($N$2:$N$1000,{"Low","Medium","High"}),0)),N398)</f>
        <v>Low</v>
      </c>
    </row>
    <row r="399" spans="1:15" x14ac:dyDescent="0.25">
      <c r="A399">
        <v>10</v>
      </c>
      <c r="B399">
        <f t="shared" si="18"/>
        <v>10</v>
      </c>
      <c r="G399" s="3">
        <f t="shared" si="19"/>
        <v>53</v>
      </c>
      <c r="J399" t="s">
        <v>22</v>
      </c>
      <c r="K399" t="str">
        <f t="shared" si="20"/>
        <v>Not Returned</v>
      </c>
      <c r="N399" t="s">
        <v>40</v>
      </c>
      <c r="O399" t="str">
        <f>IF(N399="",INDEX({"Low","Medium","High"},MATCH(MAX(COUNTIF($N$2:$N$1000,{"Low","Medium","High"})),COUNTIF($N$2:$N$1000,{"Low","Medium","High"}),0)),N399)</f>
        <v>Medium</v>
      </c>
    </row>
    <row r="400" spans="1:15" x14ac:dyDescent="0.25">
      <c r="A400">
        <v>25</v>
      </c>
      <c r="B400">
        <f t="shared" si="18"/>
        <v>25</v>
      </c>
      <c r="F400">
        <v>90.66</v>
      </c>
      <c r="G400">
        <f t="shared" si="19"/>
        <v>90.66</v>
      </c>
      <c r="J400" t="s">
        <v>22</v>
      </c>
      <c r="K400" t="str">
        <f t="shared" si="20"/>
        <v>Not Returned</v>
      </c>
      <c r="N400" t="s">
        <v>25</v>
      </c>
      <c r="O400" t="str">
        <f>IF(N400="",INDEX({"Low","Medium","High"},MATCH(MAX(COUNTIF($N$2:$N$1000,{"Low","Medium","High"})),COUNTIF($N$2:$N$1000,{"Low","Medium","High"}),0)),N400)</f>
        <v>Low</v>
      </c>
    </row>
    <row r="401" spans="1:15" x14ac:dyDescent="0.25">
      <c r="A401">
        <v>33</v>
      </c>
      <c r="B401">
        <f t="shared" si="18"/>
        <v>33</v>
      </c>
      <c r="F401">
        <v>89.2</v>
      </c>
      <c r="G401">
        <f t="shared" si="19"/>
        <v>89.2</v>
      </c>
      <c r="J401" t="s">
        <v>111</v>
      </c>
      <c r="K401" t="str">
        <f t="shared" si="20"/>
        <v>Returned</v>
      </c>
      <c r="N401" t="s">
        <v>40</v>
      </c>
      <c r="O401" t="str">
        <f>IF(N401="",INDEX({"Low","Medium","High"},MATCH(MAX(COUNTIF($N$2:$N$1000,{"Low","Medium","High"})),COUNTIF($N$2:$N$1000,{"Low","Medium","High"}),0)),N401)</f>
        <v>Medium</v>
      </c>
    </row>
    <row r="402" spans="1:15" x14ac:dyDescent="0.25">
      <c r="A402">
        <v>27</v>
      </c>
      <c r="B402">
        <f t="shared" si="18"/>
        <v>27</v>
      </c>
      <c r="F402">
        <v>31.33</v>
      </c>
      <c r="G402">
        <f t="shared" si="19"/>
        <v>31.33</v>
      </c>
      <c r="J402" t="s">
        <v>22</v>
      </c>
      <c r="K402" t="str">
        <f t="shared" si="20"/>
        <v>Not Returned</v>
      </c>
      <c r="N402" t="s">
        <v>25</v>
      </c>
      <c r="O402" t="str">
        <f>IF(N402="",INDEX({"Low","Medium","High"},MATCH(MAX(COUNTIF($N$2:$N$1000,{"Low","Medium","High"})),COUNTIF($N$2:$N$1000,{"Low","Medium","High"}),0)),N402)</f>
        <v>Low</v>
      </c>
    </row>
    <row r="403" spans="1:15" x14ac:dyDescent="0.25">
      <c r="A403">
        <v>8</v>
      </c>
      <c r="B403">
        <f t="shared" si="18"/>
        <v>8</v>
      </c>
      <c r="G403" s="3">
        <f t="shared" si="19"/>
        <v>53</v>
      </c>
      <c r="J403" t="s">
        <v>22</v>
      </c>
      <c r="K403" t="str">
        <f t="shared" si="20"/>
        <v>Not Returned</v>
      </c>
      <c r="N403" t="s">
        <v>40</v>
      </c>
      <c r="O403" t="str">
        <f>IF(N403="",INDEX({"Low","Medium","High"},MATCH(MAX(COUNTIF($N$2:$N$1000,{"Low","Medium","High"})),COUNTIF($N$2:$N$1000,{"Low","Medium","High"}),0)),N403)</f>
        <v>Medium</v>
      </c>
    </row>
    <row r="404" spans="1:15" x14ac:dyDescent="0.25">
      <c r="A404">
        <v>23</v>
      </c>
      <c r="B404">
        <f t="shared" si="18"/>
        <v>23</v>
      </c>
      <c r="F404">
        <v>69.45</v>
      </c>
      <c r="G404">
        <f t="shared" si="19"/>
        <v>69.45</v>
      </c>
      <c r="J404" t="s">
        <v>111</v>
      </c>
      <c r="K404" t="str">
        <f t="shared" si="20"/>
        <v>Returned</v>
      </c>
      <c r="N404" t="s">
        <v>40</v>
      </c>
      <c r="O404" t="str">
        <f>IF(N404="",INDEX({"Low","Medium","High"},MATCH(MAX(COUNTIF($N$2:$N$1000,{"Low","Medium","High"})),COUNTIF($N$2:$N$1000,{"Low","Medium","High"}),0)),N404)</f>
        <v>Medium</v>
      </c>
    </row>
    <row r="405" spans="1:15" x14ac:dyDescent="0.25">
      <c r="A405">
        <v>40</v>
      </c>
      <c r="B405">
        <f t="shared" si="18"/>
        <v>40</v>
      </c>
      <c r="F405">
        <v>78.73</v>
      </c>
      <c r="G405">
        <f t="shared" si="19"/>
        <v>78.73</v>
      </c>
      <c r="J405" t="s">
        <v>22</v>
      </c>
      <c r="K405" t="str">
        <f t="shared" si="20"/>
        <v>Not Returned</v>
      </c>
      <c r="N405" t="s">
        <v>34</v>
      </c>
      <c r="O405" t="str">
        <f>IF(N405="",INDEX({"Low","Medium","High"},MATCH(MAX(COUNTIF($N$2:$N$1000,{"Low","Medium","High"})),COUNTIF($N$2:$N$1000,{"Low","Medium","High"}),0)),N405)</f>
        <v>High</v>
      </c>
    </row>
    <row r="406" spans="1:15" x14ac:dyDescent="0.25">
      <c r="A406">
        <v>26</v>
      </c>
      <c r="B406">
        <f t="shared" si="18"/>
        <v>26</v>
      </c>
      <c r="F406">
        <v>45.21</v>
      </c>
      <c r="G406">
        <f t="shared" si="19"/>
        <v>45.21</v>
      </c>
      <c r="J406" t="s">
        <v>22</v>
      </c>
      <c r="K406" t="str">
        <f t="shared" si="20"/>
        <v>Not Returned</v>
      </c>
      <c r="N406" t="s">
        <v>40</v>
      </c>
      <c r="O406" t="str">
        <f>IF(N406="",INDEX({"Low","Medium","High"},MATCH(MAX(COUNTIF($N$2:$N$1000,{"Low","Medium","High"})),COUNTIF($N$2:$N$1000,{"Low","Medium","High"}),0)),N406)</f>
        <v>Medium</v>
      </c>
    </row>
    <row r="407" spans="1:15" x14ac:dyDescent="0.25">
      <c r="A407">
        <v>7</v>
      </c>
      <c r="B407">
        <f t="shared" si="18"/>
        <v>7</v>
      </c>
      <c r="F407">
        <v>73.92</v>
      </c>
      <c r="G407">
        <f t="shared" si="19"/>
        <v>73.92</v>
      </c>
      <c r="J407" t="s">
        <v>22</v>
      </c>
      <c r="K407" t="str">
        <f t="shared" si="20"/>
        <v>Not Returned</v>
      </c>
      <c r="N407" t="s">
        <v>25</v>
      </c>
      <c r="O407" t="str">
        <f>IF(N407="",INDEX({"Low","Medium","High"},MATCH(MAX(COUNTIF($N$2:$N$1000,{"Low","Medium","High"})),COUNTIF($N$2:$N$1000,{"Low","Medium","High"}),0)),N407)</f>
        <v>Low</v>
      </c>
    </row>
    <row r="408" spans="1:15" x14ac:dyDescent="0.25">
      <c r="A408">
        <v>23</v>
      </c>
      <c r="B408">
        <f t="shared" si="18"/>
        <v>23</v>
      </c>
      <c r="F408">
        <v>66.16</v>
      </c>
      <c r="G408">
        <f t="shared" si="19"/>
        <v>66.16</v>
      </c>
      <c r="J408" t="s">
        <v>22</v>
      </c>
      <c r="K408" t="str">
        <f t="shared" si="20"/>
        <v>Not Returned</v>
      </c>
      <c r="N408" t="s">
        <v>25</v>
      </c>
      <c r="O408" t="str">
        <f>IF(N408="",INDEX({"Low","Medium","High"},MATCH(MAX(COUNTIF($N$2:$N$1000,{"Low","Medium","High"})),COUNTIF($N$2:$N$1000,{"Low","Medium","High"}),0)),N408)</f>
        <v>Low</v>
      </c>
    </row>
    <row r="409" spans="1:15" x14ac:dyDescent="0.25">
      <c r="A409">
        <v>41</v>
      </c>
      <c r="B409">
        <f t="shared" si="18"/>
        <v>41</v>
      </c>
      <c r="F409">
        <v>65.09</v>
      </c>
      <c r="G409">
        <f t="shared" si="19"/>
        <v>65.09</v>
      </c>
      <c r="J409" t="s">
        <v>22</v>
      </c>
      <c r="K409" t="str">
        <f t="shared" si="20"/>
        <v>Not Returned</v>
      </c>
      <c r="N409" t="s">
        <v>40</v>
      </c>
      <c r="O409" t="str">
        <f>IF(N409="",INDEX({"Low","Medium","High"},MATCH(MAX(COUNTIF($N$2:$N$1000,{"Low","Medium","High"})),COUNTIF($N$2:$N$1000,{"Low","Medium","High"}),0)),N409)</f>
        <v>Medium</v>
      </c>
    </row>
    <row r="410" spans="1:15" x14ac:dyDescent="0.25">
      <c r="A410">
        <v>37</v>
      </c>
      <c r="B410">
        <f t="shared" si="18"/>
        <v>37</v>
      </c>
      <c r="F410">
        <v>33.869999999999997</v>
      </c>
      <c r="G410">
        <f t="shared" si="19"/>
        <v>33.869999999999997</v>
      </c>
      <c r="J410" t="s">
        <v>22</v>
      </c>
      <c r="K410" t="str">
        <f t="shared" si="20"/>
        <v>Not Returned</v>
      </c>
      <c r="N410" t="s">
        <v>34</v>
      </c>
      <c r="O410" t="str">
        <f>IF(N410="",INDEX({"Low","Medium","High"},MATCH(MAX(COUNTIF($N$2:$N$1000,{"Low","Medium","High"})),COUNTIF($N$2:$N$1000,{"Low","Medium","High"}),0)),N410)</f>
        <v>High</v>
      </c>
    </row>
    <row r="411" spans="1:15" x14ac:dyDescent="0.25">
      <c r="A411">
        <v>2</v>
      </c>
      <c r="B411">
        <f t="shared" si="18"/>
        <v>2</v>
      </c>
      <c r="F411">
        <v>53.33</v>
      </c>
      <c r="G411">
        <f t="shared" si="19"/>
        <v>53.33</v>
      </c>
      <c r="J411" t="s">
        <v>22</v>
      </c>
      <c r="K411" t="str">
        <f t="shared" si="20"/>
        <v>Not Returned</v>
      </c>
      <c r="N411" t="s">
        <v>40</v>
      </c>
      <c r="O411" t="str">
        <f>IF(N411="",INDEX({"Low","Medium","High"},MATCH(MAX(COUNTIF($N$2:$N$1000,{"Low","Medium","High"})),COUNTIF($N$2:$N$1000,{"Low","Medium","High"}),0)),N411)</f>
        <v>Medium</v>
      </c>
    </row>
    <row r="412" spans="1:15" x14ac:dyDescent="0.25">
      <c r="A412">
        <v>4</v>
      </c>
      <c r="B412">
        <f t="shared" si="18"/>
        <v>4</v>
      </c>
      <c r="F412">
        <v>48.07</v>
      </c>
      <c r="G412">
        <f t="shared" si="19"/>
        <v>48.07</v>
      </c>
      <c r="J412" t="s">
        <v>22</v>
      </c>
      <c r="K412" t="str">
        <f t="shared" si="20"/>
        <v>Not Returned</v>
      </c>
      <c r="N412" t="s">
        <v>40</v>
      </c>
      <c r="O412" t="str">
        <f>IF(N412="",INDEX({"Low","Medium","High"},MATCH(MAX(COUNTIF($N$2:$N$1000,{"Low","Medium","High"})),COUNTIF($N$2:$N$1000,{"Low","Medium","High"}),0)),N412)</f>
        <v>Medium</v>
      </c>
    </row>
    <row r="413" spans="1:15" x14ac:dyDescent="0.25">
      <c r="A413">
        <v>42</v>
      </c>
      <c r="B413">
        <f t="shared" si="18"/>
        <v>42</v>
      </c>
      <c r="F413">
        <v>76.63</v>
      </c>
      <c r="G413">
        <f t="shared" si="19"/>
        <v>76.63</v>
      </c>
      <c r="J413" t="s">
        <v>22</v>
      </c>
      <c r="K413" t="str">
        <f t="shared" si="20"/>
        <v>Not Returned</v>
      </c>
      <c r="N413" t="s">
        <v>34</v>
      </c>
      <c r="O413" t="str">
        <f>IF(N413="",INDEX({"Low","Medium","High"},MATCH(MAX(COUNTIF($N$2:$N$1000,{"Low","Medium","High"})),COUNTIF($N$2:$N$1000,{"Low","Medium","High"}),0)),N413)</f>
        <v>High</v>
      </c>
    </row>
    <row r="414" spans="1:15" x14ac:dyDescent="0.25">
      <c r="A414">
        <v>1</v>
      </c>
      <c r="B414">
        <f t="shared" si="18"/>
        <v>1</v>
      </c>
      <c r="F414">
        <v>87.79</v>
      </c>
      <c r="G414">
        <f t="shared" si="19"/>
        <v>87.79</v>
      </c>
      <c r="J414" t="s">
        <v>22</v>
      </c>
      <c r="K414" t="str">
        <f t="shared" si="20"/>
        <v>Not Returned</v>
      </c>
      <c r="N414" t="s">
        <v>40</v>
      </c>
      <c r="O414" t="str">
        <f>IF(N414="",INDEX({"Low","Medium","High"},MATCH(MAX(COUNTIF($N$2:$N$1000,{"Low","Medium","High"})),COUNTIF($N$2:$N$1000,{"Low","Medium","High"}),0)),N414)</f>
        <v>Medium</v>
      </c>
    </row>
    <row r="415" spans="1:15" x14ac:dyDescent="0.25">
      <c r="A415">
        <v>22</v>
      </c>
      <c r="B415">
        <f t="shared" si="18"/>
        <v>22</v>
      </c>
      <c r="F415">
        <v>50.81</v>
      </c>
      <c r="G415">
        <f t="shared" si="19"/>
        <v>50.81</v>
      </c>
      <c r="J415" t="s">
        <v>22</v>
      </c>
      <c r="K415" t="str">
        <f t="shared" si="20"/>
        <v>Not Returned</v>
      </c>
      <c r="N415" t="s">
        <v>25</v>
      </c>
      <c r="O415" t="str">
        <f>IF(N415="",INDEX({"Low","Medium","High"},MATCH(MAX(COUNTIF($N$2:$N$1000,{"Low","Medium","High"})),COUNTIF($N$2:$N$1000,{"Low","Medium","High"}),0)),N415)</f>
        <v>Low</v>
      </c>
    </row>
    <row r="416" spans="1:15" x14ac:dyDescent="0.25">
      <c r="A416">
        <v>17</v>
      </c>
      <c r="B416">
        <f t="shared" si="18"/>
        <v>17</v>
      </c>
      <c r="F416">
        <v>53.65</v>
      </c>
      <c r="G416">
        <f t="shared" si="19"/>
        <v>53.65</v>
      </c>
      <c r="J416" t="s">
        <v>22</v>
      </c>
      <c r="K416" t="str">
        <f t="shared" si="20"/>
        <v>Not Returned</v>
      </c>
      <c r="N416" t="s">
        <v>40</v>
      </c>
      <c r="O416" t="str">
        <f>IF(N416="",INDEX({"Low","Medium","High"},MATCH(MAX(COUNTIF($N$2:$N$1000,{"Low","Medium","High"})),COUNTIF($N$2:$N$1000,{"Low","Medium","High"}),0)),N416)</f>
        <v>Medium</v>
      </c>
    </row>
    <row r="417" spans="1:15" x14ac:dyDescent="0.25">
      <c r="A417">
        <v>5</v>
      </c>
      <c r="B417">
        <f t="shared" si="18"/>
        <v>5</v>
      </c>
      <c r="F417">
        <v>51.5</v>
      </c>
      <c r="G417">
        <f t="shared" si="19"/>
        <v>51.5</v>
      </c>
      <c r="J417" t="s">
        <v>22</v>
      </c>
      <c r="K417" t="str">
        <f t="shared" si="20"/>
        <v>Not Returned</v>
      </c>
      <c r="N417" t="s">
        <v>34</v>
      </c>
      <c r="O417" t="str">
        <f>IF(N417="",INDEX({"Low","Medium","High"},MATCH(MAX(COUNTIF($N$2:$N$1000,{"Low","Medium","High"})),COUNTIF($N$2:$N$1000,{"Low","Medium","High"}),0)),N417)</f>
        <v>High</v>
      </c>
    </row>
    <row r="418" spans="1:15" x14ac:dyDescent="0.25">
      <c r="A418">
        <v>23</v>
      </c>
      <c r="B418">
        <f t="shared" si="18"/>
        <v>23</v>
      </c>
      <c r="F418">
        <v>79.92</v>
      </c>
      <c r="G418">
        <f t="shared" si="19"/>
        <v>79.92</v>
      </c>
      <c r="J418" t="s">
        <v>22</v>
      </c>
      <c r="K418" t="str">
        <f t="shared" si="20"/>
        <v>Not Returned</v>
      </c>
      <c r="N418" t="s">
        <v>34</v>
      </c>
      <c r="O418" t="str">
        <f>IF(N418="",INDEX({"Low","Medium","High"},MATCH(MAX(COUNTIF($N$2:$N$1000,{"Low","Medium","High"})),COUNTIF($N$2:$N$1000,{"Low","Medium","High"}),0)),N418)</f>
        <v>High</v>
      </c>
    </row>
    <row r="419" spans="1:15" x14ac:dyDescent="0.25">
      <c r="A419">
        <v>26</v>
      </c>
      <c r="B419">
        <f t="shared" si="18"/>
        <v>26</v>
      </c>
      <c r="F419">
        <v>33.99</v>
      </c>
      <c r="G419">
        <f t="shared" si="19"/>
        <v>33.99</v>
      </c>
      <c r="J419" t="s">
        <v>22</v>
      </c>
      <c r="K419" t="str">
        <f t="shared" si="20"/>
        <v>Not Returned</v>
      </c>
      <c r="N419" t="s">
        <v>40</v>
      </c>
      <c r="O419" t="str">
        <f>IF(N419="",INDEX({"Low","Medium","High"},MATCH(MAX(COUNTIF($N$2:$N$1000,{"Low","Medium","High"})),COUNTIF($N$2:$N$1000,{"Low","Medium","High"}),0)),N419)</f>
        <v>Medium</v>
      </c>
    </row>
    <row r="420" spans="1:15" x14ac:dyDescent="0.25">
      <c r="A420">
        <v>5</v>
      </c>
      <c r="B420">
        <f t="shared" si="18"/>
        <v>5</v>
      </c>
      <c r="F420">
        <v>57.94</v>
      </c>
      <c r="G420">
        <f t="shared" si="19"/>
        <v>57.94</v>
      </c>
      <c r="J420" t="s">
        <v>22</v>
      </c>
      <c r="K420" t="str">
        <f t="shared" si="20"/>
        <v>Not Returned</v>
      </c>
      <c r="N420" t="s">
        <v>34</v>
      </c>
      <c r="O420" t="str">
        <f>IF(N420="",INDEX({"Low","Medium","High"},MATCH(MAX(COUNTIF($N$2:$N$1000,{"Low","Medium","High"})),COUNTIF($N$2:$N$1000,{"Low","Medium","High"}),0)),N420)</f>
        <v>High</v>
      </c>
    </row>
    <row r="421" spans="1:15" x14ac:dyDescent="0.25">
      <c r="A421">
        <v>46</v>
      </c>
      <c r="B421">
        <f t="shared" si="18"/>
        <v>46</v>
      </c>
      <c r="F421">
        <v>97.73</v>
      </c>
      <c r="G421">
        <f t="shared" si="19"/>
        <v>97.73</v>
      </c>
      <c r="J421" t="s">
        <v>22</v>
      </c>
      <c r="K421" t="str">
        <f t="shared" si="20"/>
        <v>Not Returned</v>
      </c>
      <c r="N421" t="s">
        <v>25</v>
      </c>
      <c r="O421" t="str">
        <f>IF(N421="",INDEX({"Low","Medium","High"},MATCH(MAX(COUNTIF($N$2:$N$1000,{"Low","Medium","High"})),COUNTIF($N$2:$N$1000,{"Low","Medium","High"}),0)),N421)</f>
        <v>Low</v>
      </c>
    </row>
    <row r="422" spans="1:15" x14ac:dyDescent="0.25">
      <c r="A422">
        <v>38</v>
      </c>
      <c r="B422">
        <f t="shared" si="18"/>
        <v>38</v>
      </c>
      <c r="F422">
        <v>73.459999999999994</v>
      </c>
      <c r="G422">
        <f t="shared" si="19"/>
        <v>73.459999999999994</v>
      </c>
      <c r="J422" t="s">
        <v>22</v>
      </c>
      <c r="K422" t="str">
        <f t="shared" si="20"/>
        <v>Not Returned</v>
      </c>
      <c r="N422" t="s">
        <v>25</v>
      </c>
      <c r="O422" t="str">
        <f>IF(N422="",INDEX({"Low","Medium","High"},MATCH(MAX(COUNTIF($N$2:$N$1000,{"Low","Medium","High"})),COUNTIF($N$2:$N$1000,{"Low","Medium","High"}),0)),N422)</f>
        <v>Low</v>
      </c>
    </row>
    <row r="423" spans="1:15" x14ac:dyDescent="0.25">
      <c r="A423">
        <v>9</v>
      </c>
      <c r="B423">
        <f t="shared" si="18"/>
        <v>9</v>
      </c>
      <c r="F423">
        <v>82.33</v>
      </c>
      <c r="G423">
        <f t="shared" si="19"/>
        <v>82.33</v>
      </c>
      <c r="J423" t="s">
        <v>22</v>
      </c>
      <c r="K423" t="str">
        <f t="shared" si="20"/>
        <v>Not Returned</v>
      </c>
      <c r="N423" t="s">
        <v>34</v>
      </c>
      <c r="O423" t="str">
        <f>IF(N423="",INDEX({"Low","Medium","High"},MATCH(MAX(COUNTIF($N$2:$N$1000,{"Low","Medium","High"})),COUNTIF($N$2:$N$1000,{"Low","Medium","High"}),0)),N423)</f>
        <v>High</v>
      </c>
    </row>
    <row r="424" spans="1:15" x14ac:dyDescent="0.25">
      <c r="A424">
        <v>14</v>
      </c>
      <c r="B424">
        <f t="shared" si="18"/>
        <v>14</v>
      </c>
      <c r="F424">
        <v>36.200000000000003</v>
      </c>
      <c r="G424">
        <f t="shared" si="19"/>
        <v>36.200000000000003</v>
      </c>
      <c r="J424" t="s">
        <v>22</v>
      </c>
      <c r="K424" t="str">
        <f t="shared" si="20"/>
        <v>Not Returned</v>
      </c>
      <c r="N424" t="s">
        <v>40</v>
      </c>
      <c r="O424" t="str">
        <f>IF(N424="",INDEX({"Low","Medium","High"},MATCH(MAX(COUNTIF($N$2:$N$1000,{"Low","Medium","High"})),COUNTIF($N$2:$N$1000,{"Low","Medium","High"}),0)),N424)</f>
        <v>Medium</v>
      </c>
    </row>
    <row r="425" spans="1:15" x14ac:dyDescent="0.25">
      <c r="A425">
        <v>32</v>
      </c>
      <c r="B425">
        <f t="shared" si="18"/>
        <v>32</v>
      </c>
      <c r="F425">
        <v>62.13</v>
      </c>
      <c r="G425">
        <f t="shared" si="19"/>
        <v>62.13</v>
      </c>
      <c r="J425" t="s">
        <v>22</v>
      </c>
      <c r="K425" t="str">
        <f t="shared" si="20"/>
        <v>Not Returned</v>
      </c>
      <c r="N425" t="s">
        <v>40</v>
      </c>
      <c r="O425" t="str">
        <f>IF(N425="",INDEX({"Low","Medium","High"},MATCH(MAX(COUNTIF($N$2:$N$1000,{"Low","Medium","High"})),COUNTIF($N$2:$N$1000,{"Low","Medium","High"}),0)),N425)</f>
        <v>Medium</v>
      </c>
    </row>
    <row r="426" spans="1:15" x14ac:dyDescent="0.25">
      <c r="A426">
        <v>2</v>
      </c>
      <c r="B426">
        <f t="shared" si="18"/>
        <v>2</v>
      </c>
      <c r="F426">
        <v>26.52</v>
      </c>
      <c r="G426">
        <f t="shared" si="19"/>
        <v>26.52</v>
      </c>
      <c r="J426" t="s">
        <v>22</v>
      </c>
      <c r="K426" t="str">
        <f t="shared" si="20"/>
        <v>Not Returned</v>
      </c>
      <c r="N426" t="s">
        <v>25</v>
      </c>
      <c r="O426" t="str">
        <f>IF(N426="",INDEX({"Low","Medium","High"},MATCH(MAX(COUNTIF($N$2:$N$1000,{"Low","Medium","High"})),COUNTIF($N$2:$N$1000,{"Low","Medium","High"}),0)),N426)</f>
        <v>Low</v>
      </c>
    </row>
    <row r="427" spans="1:15" x14ac:dyDescent="0.25">
      <c r="A427">
        <v>3</v>
      </c>
      <c r="B427">
        <f t="shared" si="18"/>
        <v>3</v>
      </c>
      <c r="G427" s="3">
        <f t="shared" si="19"/>
        <v>53</v>
      </c>
      <c r="J427" t="s">
        <v>22</v>
      </c>
      <c r="K427" t="str">
        <f t="shared" si="20"/>
        <v>Not Returned</v>
      </c>
      <c r="N427" t="s">
        <v>34</v>
      </c>
      <c r="O427" t="str">
        <f>IF(N427="",INDEX({"Low","Medium","High"},MATCH(MAX(COUNTIF($N$2:$N$1000,{"Low","Medium","High"})),COUNTIF($N$2:$N$1000,{"Low","Medium","High"}),0)),N427)</f>
        <v>High</v>
      </c>
    </row>
    <row r="428" spans="1:15" x14ac:dyDescent="0.25">
      <c r="A428">
        <v>44</v>
      </c>
      <c r="B428">
        <f t="shared" si="18"/>
        <v>44</v>
      </c>
      <c r="F428">
        <v>66.83</v>
      </c>
      <c r="G428">
        <f t="shared" si="19"/>
        <v>66.83</v>
      </c>
      <c r="J428" t="s">
        <v>22</v>
      </c>
      <c r="K428" t="str">
        <f t="shared" si="20"/>
        <v>Not Returned</v>
      </c>
      <c r="N428" t="s">
        <v>25</v>
      </c>
      <c r="O428" t="str">
        <f>IF(N428="",INDEX({"Low","Medium","High"},MATCH(MAX(COUNTIF($N$2:$N$1000,{"Low","Medium","High"})),COUNTIF($N$2:$N$1000,{"Low","Medium","High"}),0)),N428)</f>
        <v>Low</v>
      </c>
    </row>
    <row r="429" spans="1:15" x14ac:dyDescent="0.25">
      <c r="A429">
        <v>42</v>
      </c>
      <c r="B429">
        <f t="shared" si="18"/>
        <v>42</v>
      </c>
      <c r="F429">
        <v>17.05</v>
      </c>
      <c r="G429">
        <f t="shared" si="19"/>
        <v>17.05</v>
      </c>
      <c r="J429" t="s">
        <v>22</v>
      </c>
      <c r="K429" t="str">
        <f t="shared" si="20"/>
        <v>Not Returned</v>
      </c>
      <c r="N429" t="s">
        <v>25</v>
      </c>
      <c r="O429" t="str">
        <f>IF(N429="",INDEX({"Low","Medium","High"},MATCH(MAX(COUNTIF($N$2:$N$1000,{"Low","Medium","High"})),COUNTIF($N$2:$N$1000,{"Low","Medium","High"}),0)),N429)</f>
        <v>Low</v>
      </c>
    </row>
    <row r="430" spans="1:15" x14ac:dyDescent="0.25">
      <c r="A430">
        <v>37</v>
      </c>
      <c r="B430">
        <f t="shared" si="18"/>
        <v>37</v>
      </c>
      <c r="F430">
        <v>2.42</v>
      </c>
      <c r="G430">
        <f t="shared" si="19"/>
        <v>2.42</v>
      </c>
      <c r="J430" t="s">
        <v>111</v>
      </c>
      <c r="K430" t="str">
        <f t="shared" si="20"/>
        <v>Returned</v>
      </c>
      <c r="N430" t="s">
        <v>34</v>
      </c>
      <c r="O430" t="str">
        <f>IF(N430="",INDEX({"Low","Medium","High"},MATCH(MAX(COUNTIF($N$2:$N$1000,{"Low","Medium","High"})),COUNTIF($N$2:$N$1000,{"Low","Medium","High"}),0)),N430)</f>
        <v>High</v>
      </c>
    </row>
    <row r="431" spans="1:15" x14ac:dyDescent="0.25">
      <c r="A431">
        <v>49</v>
      </c>
      <c r="B431">
        <f t="shared" si="18"/>
        <v>49</v>
      </c>
      <c r="F431">
        <v>55.96</v>
      </c>
      <c r="G431">
        <f t="shared" si="19"/>
        <v>55.96</v>
      </c>
      <c r="J431" t="s">
        <v>22</v>
      </c>
      <c r="K431" t="str">
        <f t="shared" si="20"/>
        <v>Not Returned</v>
      </c>
      <c r="N431" t="s">
        <v>25</v>
      </c>
      <c r="O431" t="str">
        <f>IF(N431="",INDEX({"Low","Medium","High"},MATCH(MAX(COUNTIF($N$2:$N$1000,{"Low","Medium","High"})),COUNTIF($N$2:$N$1000,{"Low","Medium","High"}),0)),N431)</f>
        <v>Low</v>
      </c>
    </row>
    <row r="432" spans="1:15" x14ac:dyDescent="0.25">
      <c r="A432">
        <v>23</v>
      </c>
      <c r="B432">
        <f t="shared" si="18"/>
        <v>23</v>
      </c>
      <c r="F432">
        <v>53.54</v>
      </c>
      <c r="G432">
        <f t="shared" si="19"/>
        <v>53.54</v>
      </c>
      <c r="J432" t="s">
        <v>22</v>
      </c>
      <c r="K432" t="str">
        <f t="shared" si="20"/>
        <v>Not Returned</v>
      </c>
      <c r="N432" t="s">
        <v>40</v>
      </c>
      <c r="O432" t="str">
        <f>IF(N432="",INDEX({"Low","Medium","High"},MATCH(MAX(COUNTIF($N$2:$N$1000,{"Low","Medium","High"})),COUNTIF($N$2:$N$1000,{"Low","Medium","High"}),0)),N432)</f>
        <v>Medium</v>
      </c>
    </row>
    <row r="433" spans="1:15" x14ac:dyDescent="0.25">
      <c r="A433">
        <v>27</v>
      </c>
      <c r="B433">
        <f t="shared" si="18"/>
        <v>27</v>
      </c>
      <c r="F433">
        <v>66.599999999999994</v>
      </c>
      <c r="G433">
        <f t="shared" si="19"/>
        <v>66.599999999999994</v>
      </c>
      <c r="J433" t="s">
        <v>22</v>
      </c>
      <c r="K433" t="str">
        <f t="shared" si="20"/>
        <v>Not Returned</v>
      </c>
      <c r="N433" t="s">
        <v>25</v>
      </c>
      <c r="O433" t="str">
        <f>IF(N433="",INDEX({"Low","Medium","High"},MATCH(MAX(COUNTIF($N$2:$N$1000,{"Low","Medium","High"})),COUNTIF($N$2:$N$1000,{"Low","Medium","High"}),0)),N433)</f>
        <v>Low</v>
      </c>
    </row>
    <row r="434" spans="1:15" x14ac:dyDescent="0.25">
      <c r="A434">
        <v>7</v>
      </c>
      <c r="B434">
        <f t="shared" si="18"/>
        <v>7</v>
      </c>
      <c r="F434">
        <v>54.12</v>
      </c>
      <c r="G434">
        <f t="shared" si="19"/>
        <v>54.12</v>
      </c>
      <c r="J434" t="s">
        <v>22</v>
      </c>
      <c r="K434" t="str">
        <f t="shared" si="20"/>
        <v>Not Returned</v>
      </c>
      <c r="N434" t="s">
        <v>34</v>
      </c>
      <c r="O434" t="str">
        <f>IF(N434="",INDEX({"Low","Medium","High"},MATCH(MAX(COUNTIF($N$2:$N$1000,{"Low","Medium","High"})),COUNTIF($N$2:$N$1000,{"Low","Medium","High"}),0)),N434)</f>
        <v>High</v>
      </c>
    </row>
    <row r="435" spans="1:15" x14ac:dyDescent="0.25">
      <c r="A435">
        <v>2</v>
      </c>
      <c r="B435">
        <f t="shared" si="18"/>
        <v>2</v>
      </c>
      <c r="F435">
        <v>12.1</v>
      </c>
      <c r="G435">
        <f t="shared" si="19"/>
        <v>12.1</v>
      </c>
      <c r="J435" t="s">
        <v>22</v>
      </c>
      <c r="K435" t="str">
        <f t="shared" si="20"/>
        <v>Not Returned</v>
      </c>
      <c r="N435" t="s">
        <v>25</v>
      </c>
      <c r="O435" t="str">
        <f>IF(N435="",INDEX({"Low","Medium","High"},MATCH(MAX(COUNTIF($N$2:$N$1000,{"Low","Medium","High"})),COUNTIF($N$2:$N$1000,{"Low","Medium","High"}),0)),N435)</f>
        <v>Low</v>
      </c>
    </row>
    <row r="436" spans="1:15" x14ac:dyDescent="0.25">
      <c r="A436">
        <v>4</v>
      </c>
      <c r="B436">
        <f t="shared" si="18"/>
        <v>4</v>
      </c>
      <c r="F436">
        <v>65.64</v>
      </c>
      <c r="G436">
        <f t="shared" si="19"/>
        <v>65.64</v>
      </c>
      <c r="J436" t="s">
        <v>22</v>
      </c>
      <c r="K436" t="str">
        <f t="shared" si="20"/>
        <v>Not Returned</v>
      </c>
      <c r="N436" t="s">
        <v>25</v>
      </c>
      <c r="O436" t="str">
        <f>IF(N436="",INDEX({"Low","Medium","High"},MATCH(MAX(COUNTIF($N$2:$N$1000,{"Low","Medium","High"})),COUNTIF($N$2:$N$1000,{"Low","Medium","High"}),0)),N436)</f>
        <v>Low</v>
      </c>
    </row>
    <row r="437" spans="1:15" x14ac:dyDescent="0.25">
      <c r="A437">
        <v>10</v>
      </c>
      <c r="B437">
        <f t="shared" si="18"/>
        <v>10</v>
      </c>
      <c r="F437">
        <v>94.31</v>
      </c>
      <c r="G437">
        <f t="shared" si="19"/>
        <v>94.31</v>
      </c>
      <c r="J437" t="s">
        <v>22</v>
      </c>
      <c r="K437" t="str">
        <f t="shared" si="20"/>
        <v>Not Returned</v>
      </c>
      <c r="N437" t="s">
        <v>40</v>
      </c>
      <c r="O437" t="str">
        <f>IF(N437="",INDEX({"Low","Medium","High"},MATCH(MAX(COUNTIF($N$2:$N$1000,{"Low","Medium","High"})),COUNTIF($N$2:$N$1000,{"Low","Medium","High"}),0)),N437)</f>
        <v>Medium</v>
      </c>
    </row>
    <row r="438" spans="1:15" x14ac:dyDescent="0.25">
      <c r="A438">
        <v>24</v>
      </c>
      <c r="B438">
        <f t="shared" si="18"/>
        <v>24</v>
      </c>
      <c r="F438">
        <v>71.25</v>
      </c>
      <c r="G438">
        <f t="shared" si="19"/>
        <v>71.25</v>
      </c>
      <c r="J438" t="s">
        <v>22</v>
      </c>
      <c r="K438" t="str">
        <f t="shared" si="20"/>
        <v>Not Returned</v>
      </c>
      <c r="N438" t="s">
        <v>40</v>
      </c>
      <c r="O438" t="str">
        <f>IF(N438="",INDEX({"Low","Medium","High"},MATCH(MAX(COUNTIF($N$2:$N$1000,{"Low","Medium","High"})),COUNTIF($N$2:$N$1000,{"Low","Medium","High"}),0)),N438)</f>
        <v>Medium</v>
      </c>
    </row>
    <row r="439" spans="1:15" x14ac:dyDescent="0.25">
      <c r="A439">
        <v>28</v>
      </c>
      <c r="B439">
        <f t="shared" si="18"/>
        <v>28</v>
      </c>
      <c r="F439">
        <v>63.09</v>
      </c>
      <c r="G439">
        <f t="shared" si="19"/>
        <v>63.09</v>
      </c>
      <c r="J439" t="s">
        <v>22</v>
      </c>
      <c r="K439" t="str">
        <f t="shared" si="20"/>
        <v>Not Returned</v>
      </c>
      <c r="N439" t="s">
        <v>40</v>
      </c>
      <c r="O439" t="str">
        <f>IF(N439="",INDEX({"Low","Medium","High"},MATCH(MAX(COUNTIF($N$2:$N$1000,{"Low","Medium","High"})),COUNTIF($N$2:$N$1000,{"Low","Medium","High"}),0)),N439)</f>
        <v>Medium</v>
      </c>
    </row>
    <row r="440" spans="1:15" x14ac:dyDescent="0.25">
      <c r="A440">
        <v>19</v>
      </c>
      <c r="B440">
        <f t="shared" si="18"/>
        <v>19</v>
      </c>
      <c r="F440">
        <v>96.2</v>
      </c>
      <c r="G440">
        <f t="shared" si="19"/>
        <v>96.2</v>
      </c>
      <c r="J440" t="s">
        <v>22</v>
      </c>
      <c r="K440" t="str">
        <f t="shared" si="20"/>
        <v>Not Returned</v>
      </c>
      <c r="N440" t="s">
        <v>25</v>
      </c>
      <c r="O440" t="str">
        <f>IF(N440="",INDEX({"Low","Medium","High"},MATCH(MAX(COUNTIF($N$2:$N$1000,{"Low","Medium","High"})),COUNTIF($N$2:$N$1000,{"Low","Medium","High"}),0)),N440)</f>
        <v>Low</v>
      </c>
    </row>
    <row r="441" spans="1:15" x14ac:dyDescent="0.25">
      <c r="A441">
        <v>19</v>
      </c>
      <c r="B441">
        <f t="shared" si="18"/>
        <v>19</v>
      </c>
      <c r="F441">
        <v>96.5</v>
      </c>
      <c r="G441">
        <f t="shared" si="19"/>
        <v>96.5</v>
      </c>
      <c r="J441" t="s">
        <v>22</v>
      </c>
      <c r="K441" t="str">
        <f t="shared" si="20"/>
        <v>Not Returned</v>
      </c>
      <c r="N441" t="s">
        <v>40</v>
      </c>
      <c r="O441" t="str">
        <f>IF(N441="",INDEX({"Low","Medium","High"},MATCH(MAX(COUNTIF($N$2:$N$1000,{"Low","Medium","High"})),COUNTIF($N$2:$N$1000,{"Low","Medium","High"}),0)),N441)</f>
        <v>Medium</v>
      </c>
    </row>
    <row r="442" spans="1:15" x14ac:dyDescent="0.25">
      <c r="A442">
        <v>44</v>
      </c>
      <c r="B442">
        <f t="shared" si="18"/>
        <v>44</v>
      </c>
      <c r="F442">
        <v>72.16</v>
      </c>
      <c r="G442">
        <f t="shared" si="19"/>
        <v>72.16</v>
      </c>
      <c r="J442" t="s">
        <v>22</v>
      </c>
      <c r="K442" t="str">
        <f t="shared" si="20"/>
        <v>Not Returned</v>
      </c>
      <c r="N442" t="s">
        <v>40</v>
      </c>
      <c r="O442" t="str">
        <f>IF(N442="",INDEX({"Low","Medium","High"},MATCH(MAX(COUNTIF($N$2:$N$1000,{"Low","Medium","High"})),COUNTIF($N$2:$N$1000,{"Low","Medium","High"}),0)),N442)</f>
        <v>Medium</v>
      </c>
    </row>
    <row r="443" spans="1:15" x14ac:dyDescent="0.25">
      <c r="A443">
        <v>26</v>
      </c>
      <c r="B443">
        <f t="shared" si="18"/>
        <v>26</v>
      </c>
      <c r="F443">
        <v>78.81</v>
      </c>
      <c r="G443">
        <f t="shared" si="19"/>
        <v>78.81</v>
      </c>
      <c r="J443" t="s">
        <v>22</v>
      </c>
      <c r="K443" t="str">
        <f t="shared" si="20"/>
        <v>Not Returned</v>
      </c>
      <c r="N443" t="s">
        <v>34</v>
      </c>
      <c r="O443" t="str">
        <f>IF(N443="",INDEX({"Low","Medium","High"},MATCH(MAX(COUNTIF($N$2:$N$1000,{"Low","Medium","High"})),COUNTIF($N$2:$N$1000,{"Low","Medium","High"}),0)),N443)</f>
        <v>High</v>
      </c>
    </row>
    <row r="444" spans="1:15" x14ac:dyDescent="0.25">
      <c r="A444">
        <v>40</v>
      </c>
      <c r="B444">
        <f t="shared" si="18"/>
        <v>40</v>
      </c>
      <c r="F444">
        <v>87.93</v>
      </c>
      <c r="G444">
        <f t="shared" si="19"/>
        <v>87.93</v>
      </c>
      <c r="J444" t="s">
        <v>22</v>
      </c>
      <c r="K444" t="str">
        <f t="shared" si="20"/>
        <v>Not Returned</v>
      </c>
      <c r="N444" t="s">
        <v>34</v>
      </c>
      <c r="O444" t="str">
        <f>IF(N444="",INDEX({"Low","Medium","High"},MATCH(MAX(COUNTIF($N$2:$N$1000,{"Low","Medium","High"})),COUNTIF($N$2:$N$1000,{"Low","Medium","High"}),0)),N444)</f>
        <v>High</v>
      </c>
    </row>
    <row r="445" spans="1:15" x14ac:dyDescent="0.25">
      <c r="A445">
        <v>21</v>
      </c>
      <c r="B445">
        <f t="shared" si="18"/>
        <v>21</v>
      </c>
      <c r="F445">
        <v>90.85</v>
      </c>
      <c r="G445">
        <f t="shared" si="19"/>
        <v>90.85</v>
      </c>
      <c r="J445" t="s">
        <v>22</v>
      </c>
      <c r="K445" t="str">
        <f t="shared" si="20"/>
        <v>Not Returned</v>
      </c>
      <c r="N445" t="s">
        <v>25</v>
      </c>
      <c r="O445" t="str">
        <f>IF(N445="",INDEX({"Low","Medium","High"},MATCH(MAX(COUNTIF($N$2:$N$1000,{"Low","Medium","High"})),COUNTIF($N$2:$N$1000,{"Low","Medium","High"}),0)),N445)</f>
        <v>Low</v>
      </c>
    </row>
    <row r="446" spans="1:15" x14ac:dyDescent="0.25">
      <c r="A446">
        <v>47</v>
      </c>
      <c r="B446">
        <f t="shared" si="18"/>
        <v>47</v>
      </c>
      <c r="F446">
        <v>38.04</v>
      </c>
      <c r="G446">
        <f t="shared" si="19"/>
        <v>38.04</v>
      </c>
      <c r="J446" t="s">
        <v>22</v>
      </c>
      <c r="K446" t="str">
        <f t="shared" si="20"/>
        <v>Not Returned</v>
      </c>
      <c r="N446" t="s">
        <v>34</v>
      </c>
      <c r="O446" t="str">
        <f>IF(N446="",INDEX({"Low","Medium","High"},MATCH(MAX(COUNTIF($N$2:$N$1000,{"Low","Medium","High"})),COUNTIF($N$2:$N$1000,{"Low","Medium","High"}),0)),N446)</f>
        <v>High</v>
      </c>
    </row>
    <row r="447" spans="1:15" x14ac:dyDescent="0.25">
      <c r="A447">
        <v>22</v>
      </c>
      <c r="B447">
        <f t="shared" si="18"/>
        <v>22</v>
      </c>
      <c r="F447">
        <v>80.38</v>
      </c>
      <c r="G447">
        <f t="shared" si="19"/>
        <v>80.38</v>
      </c>
      <c r="J447" t="s">
        <v>22</v>
      </c>
      <c r="K447" t="str">
        <f t="shared" si="20"/>
        <v>Not Returned</v>
      </c>
      <c r="N447" t="s">
        <v>25</v>
      </c>
      <c r="O447" t="str">
        <f>IF(N447="",INDEX({"Low","Medium","High"},MATCH(MAX(COUNTIF($N$2:$N$1000,{"Low","Medium","High"})),COUNTIF($N$2:$N$1000,{"Low","Medium","High"}),0)),N447)</f>
        <v>Low</v>
      </c>
    </row>
    <row r="448" spans="1:15" x14ac:dyDescent="0.25">
      <c r="A448">
        <v>40</v>
      </c>
      <c r="B448">
        <f t="shared" si="18"/>
        <v>40</v>
      </c>
      <c r="F448">
        <v>23.38</v>
      </c>
      <c r="G448">
        <f t="shared" si="19"/>
        <v>23.38</v>
      </c>
      <c r="J448" t="s">
        <v>22</v>
      </c>
      <c r="K448" t="str">
        <f t="shared" si="20"/>
        <v>Not Returned</v>
      </c>
      <c r="N448" t="s">
        <v>25</v>
      </c>
      <c r="O448" t="str">
        <f>IF(N448="",INDEX({"Low","Medium","High"},MATCH(MAX(COUNTIF($N$2:$N$1000,{"Low","Medium","High"})),COUNTIF($N$2:$N$1000,{"Low","Medium","High"}),0)),N448)</f>
        <v>Low</v>
      </c>
    </row>
    <row r="449" spans="1:15" x14ac:dyDescent="0.25">
      <c r="A449">
        <v>15</v>
      </c>
      <c r="B449">
        <f t="shared" si="18"/>
        <v>15</v>
      </c>
      <c r="G449" s="3">
        <f t="shared" si="19"/>
        <v>53</v>
      </c>
      <c r="J449" t="s">
        <v>22</v>
      </c>
      <c r="K449" t="str">
        <f t="shared" si="20"/>
        <v>Not Returned</v>
      </c>
      <c r="N449" t="s">
        <v>25</v>
      </c>
      <c r="O449" t="str">
        <f>IF(N449="",INDEX({"Low","Medium","High"},MATCH(MAX(COUNTIF($N$2:$N$1000,{"Low","Medium","High"})),COUNTIF($N$2:$N$1000,{"Low","Medium","High"}),0)),N449)</f>
        <v>Low</v>
      </c>
    </row>
    <row r="450" spans="1:15" x14ac:dyDescent="0.25">
      <c r="A450">
        <v>8</v>
      </c>
      <c r="B450">
        <f t="shared" ref="B450:B513" si="21">IF(A450="",ROUNDUP(AVERAGE($A$2:$A$1000),0),A450)</f>
        <v>8</v>
      </c>
      <c r="F450">
        <v>38.450000000000003</v>
      </c>
      <c r="G450">
        <f t="shared" si="19"/>
        <v>38.450000000000003</v>
      </c>
      <c r="J450" t="s">
        <v>22</v>
      </c>
      <c r="K450" t="str">
        <f t="shared" si="20"/>
        <v>Not Returned</v>
      </c>
      <c r="N450" t="s">
        <v>25</v>
      </c>
      <c r="O450" t="str">
        <f>IF(N450="",INDEX({"Low","Medium","High"},MATCH(MAX(COUNTIF($N$2:$N$1000,{"Low","Medium","High"})),COUNTIF($N$2:$N$1000,{"Low","Medium","High"}),0)),N450)</f>
        <v>Low</v>
      </c>
    </row>
    <row r="451" spans="1:15" x14ac:dyDescent="0.25">
      <c r="A451">
        <v>9</v>
      </c>
      <c r="B451">
        <f t="shared" si="21"/>
        <v>9</v>
      </c>
      <c r="F451">
        <v>70.7</v>
      </c>
      <c r="G451">
        <f t="shared" ref="G451:G514" si="22">IF(F451="",ROUNDUP(AVERAGE($F$2:$F$1000),0),F451)</f>
        <v>70.7</v>
      </c>
      <c r="J451" t="s">
        <v>22</v>
      </c>
      <c r="K451" t="str">
        <f t="shared" ref="K451:K514" si="23">IF(J451="","Unknown",J451)</f>
        <v>Not Returned</v>
      </c>
      <c r="N451" t="s">
        <v>25</v>
      </c>
      <c r="O451" t="str">
        <f>IF(N451="",INDEX({"Low","Medium","High"},MATCH(MAX(COUNTIF($N$2:$N$1000,{"Low","Medium","High"})),COUNTIF($N$2:$N$1000,{"Low","Medium","High"}),0)),N451)</f>
        <v>Low</v>
      </c>
    </row>
    <row r="452" spans="1:15" x14ac:dyDescent="0.25">
      <c r="A452">
        <v>38</v>
      </c>
      <c r="B452">
        <f t="shared" si="21"/>
        <v>38</v>
      </c>
      <c r="F452">
        <v>81.010000000000005</v>
      </c>
      <c r="G452">
        <f t="shared" si="22"/>
        <v>81.010000000000005</v>
      </c>
      <c r="J452" t="s">
        <v>22</v>
      </c>
      <c r="K452" t="str">
        <f t="shared" si="23"/>
        <v>Not Returned</v>
      </c>
      <c r="N452" t="s">
        <v>25</v>
      </c>
      <c r="O452" t="str">
        <f>IF(N452="",INDEX({"Low","Medium","High"},MATCH(MAX(COUNTIF($N$2:$N$1000,{"Low","Medium","High"})),COUNTIF($N$2:$N$1000,{"Low","Medium","High"}),0)),N452)</f>
        <v>Low</v>
      </c>
    </row>
    <row r="453" spans="1:15" x14ac:dyDescent="0.25">
      <c r="A453">
        <v>46</v>
      </c>
      <c r="B453">
        <f t="shared" si="21"/>
        <v>46</v>
      </c>
      <c r="F453">
        <v>29.69</v>
      </c>
      <c r="G453">
        <f t="shared" si="22"/>
        <v>29.69</v>
      </c>
      <c r="J453" t="s">
        <v>22</v>
      </c>
      <c r="K453" t="str">
        <f t="shared" si="23"/>
        <v>Not Returned</v>
      </c>
      <c r="N453" t="s">
        <v>25</v>
      </c>
      <c r="O453" t="str">
        <f>IF(N453="",INDEX({"Low","Medium","High"},MATCH(MAX(COUNTIF($N$2:$N$1000,{"Low","Medium","High"})),COUNTIF($N$2:$N$1000,{"Low","Medium","High"}),0)),N453)</f>
        <v>Low</v>
      </c>
    </row>
    <row r="454" spans="1:15" x14ac:dyDescent="0.25">
      <c r="A454">
        <v>7</v>
      </c>
      <c r="B454">
        <f t="shared" si="21"/>
        <v>7</v>
      </c>
      <c r="F454">
        <v>84.77</v>
      </c>
      <c r="G454">
        <f t="shared" si="22"/>
        <v>84.77</v>
      </c>
      <c r="J454" t="s">
        <v>22</v>
      </c>
      <c r="K454" t="str">
        <f t="shared" si="23"/>
        <v>Not Returned</v>
      </c>
      <c r="N454" t="s">
        <v>40</v>
      </c>
      <c r="O454" t="str">
        <f>IF(N454="",INDEX({"Low","Medium","High"},MATCH(MAX(COUNTIF($N$2:$N$1000,{"Low","Medium","High"})),COUNTIF($N$2:$N$1000,{"Low","Medium","High"}),0)),N454)</f>
        <v>Medium</v>
      </c>
    </row>
    <row r="455" spans="1:15" x14ac:dyDescent="0.25">
      <c r="A455">
        <v>3</v>
      </c>
      <c r="B455">
        <f t="shared" si="21"/>
        <v>3</v>
      </c>
      <c r="F455">
        <v>45.21</v>
      </c>
      <c r="G455">
        <f t="shared" si="22"/>
        <v>45.21</v>
      </c>
      <c r="J455" t="s">
        <v>22</v>
      </c>
      <c r="K455" t="str">
        <f t="shared" si="23"/>
        <v>Not Returned</v>
      </c>
      <c r="N455" t="s">
        <v>40</v>
      </c>
      <c r="O455" t="str">
        <f>IF(N455="",INDEX({"Low","Medium","High"},MATCH(MAX(COUNTIF($N$2:$N$1000,{"Low","Medium","High"})),COUNTIF($N$2:$N$1000,{"Low","Medium","High"}),0)),N455)</f>
        <v>Medium</v>
      </c>
    </row>
    <row r="456" spans="1:15" x14ac:dyDescent="0.25">
      <c r="A456">
        <v>49</v>
      </c>
      <c r="B456">
        <f t="shared" si="21"/>
        <v>49</v>
      </c>
      <c r="F456">
        <v>17.03</v>
      </c>
      <c r="G456">
        <f t="shared" si="22"/>
        <v>17.03</v>
      </c>
      <c r="J456" t="s">
        <v>22</v>
      </c>
      <c r="K456" t="str">
        <f t="shared" si="23"/>
        <v>Not Returned</v>
      </c>
      <c r="N456" t="s">
        <v>25</v>
      </c>
      <c r="O456" t="str">
        <f>IF(N456="",INDEX({"Low","Medium","High"},MATCH(MAX(COUNTIF($N$2:$N$1000,{"Low","Medium","High"})),COUNTIF($N$2:$N$1000,{"Low","Medium","High"}),0)),N456)</f>
        <v>Low</v>
      </c>
    </row>
    <row r="457" spans="1:15" x14ac:dyDescent="0.25">
      <c r="A457">
        <v>49</v>
      </c>
      <c r="B457">
        <f t="shared" si="21"/>
        <v>49</v>
      </c>
      <c r="F457">
        <v>49.05</v>
      </c>
      <c r="G457">
        <f t="shared" si="22"/>
        <v>49.05</v>
      </c>
      <c r="J457" t="s">
        <v>22</v>
      </c>
      <c r="K457" t="str">
        <f t="shared" si="23"/>
        <v>Not Returned</v>
      </c>
      <c r="N457" t="s">
        <v>34</v>
      </c>
      <c r="O457" t="str">
        <f>IF(N457="",INDEX({"Low","Medium","High"},MATCH(MAX(COUNTIF($N$2:$N$1000,{"Low","Medium","High"})),COUNTIF($N$2:$N$1000,{"Low","Medium","High"}),0)),N457)</f>
        <v>High</v>
      </c>
    </row>
    <row r="458" spans="1:15" x14ac:dyDescent="0.25">
      <c r="A458">
        <v>8</v>
      </c>
      <c r="B458">
        <f t="shared" si="21"/>
        <v>8</v>
      </c>
      <c r="F458">
        <v>96.98</v>
      </c>
      <c r="G458">
        <f t="shared" si="22"/>
        <v>96.98</v>
      </c>
      <c r="J458" t="s">
        <v>22</v>
      </c>
      <c r="K458" t="str">
        <f t="shared" si="23"/>
        <v>Not Returned</v>
      </c>
      <c r="N458" t="s">
        <v>25</v>
      </c>
      <c r="O458" t="str">
        <f>IF(N458="",INDEX({"Low","Medium","High"},MATCH(MAX(COUNTIF($N$2:$N$1000,{"Low","Medium","High"})),COUNTIF($N$2:$N$1000,{"Low","Medium","High"}),0)),N458)</f>
        <v>Low</v>
      </c>
    </row>
    <row r="459" spans="1:15" x14ac:dyDescent="0.25">
      <c r="A459">
        <v>23</v>
      </c>
      <c r="B459">
        <f t="shared" si="21"/>
        <v>23</v>
      </c>
      <c r="F459">
        <v>64.84</v>
      </c>
      <c r="G459">
        <f t="shared" si="22"/>
        <v>64.84</v>
      </c>
      <c r="J459" t="s">
        <v>22</v>
      </c>
      <c r="K459" t="str">
        <f t="shared" si="23"/>
        <v>Not Returned</v>
      </c>
      <c r="N459" t="s">
        <v>25</v>
      </c>
      <c r="O459" t="str">
        <f>IF(N459="",INDEX({"Low","Medium","High"},MATCH(MAX(COUNTIF($N$2:$N$1000,{"Low","Medium","High"})),COUNTIF($N$2:$N$1000,{"Low","Medium","High"}),0)),N459)</f>
        <v>Low</v>
      </c>
    </row>
    <row r="460" spans="1:15" x14ac:dyDescent="0.25">
      <c r="A460">
        <v>22</v>
      </c>
      <c r="B460">
        <f t="shared" si="21"/>
        <v>22</v>
      </c>
      <c r="F460">
        <v>33.36</v>
      </c>
      <c r="G460">
        <f t="shared" si="22"/>
        <v>33.36</v>
      </c>
      <c r="J460" t="s">
        <v>22</v>
      </c>
      <c r="K460" t="str">
        <f t="shared" si="23"/>
        <v>Not Returned</v>
      </c>
      <c r="N460" t="s">
        <v>34</v>
      </c>
      <c r="O460" t="str">
        <f>IF(N460="",INDEX({"Low","Medium","High"},MATCH(MAX(COUNTIF($N$2:$N$1000,{"Low","Medium","High"})),COUNTIF($N$2:$N$1000,{"Low","Medium","High"}),0)),N460)</f>
        <v>High</v>
      </c>
    </row>
    <row r="461" spans="1:15" x14ac:dyDescent="0.25">
      <c r="A461">
        <v>20</v>
      </c>
      <c r="B461">
        <f t="shared" si="21"/>
        <v>20</v>
      </c>
      <c r="F461">
        <v>27.62</v>
      </c>
      <c r="G461">
        <f t="shared" si="22"/>
        <v>27.62</v>
      </c>
      <c r="J461" t="s">
        <v>22</v>
      </c>
      <c r="K461" t="str">
        <f t="shared" si="23"/>
        <v>Not Returned</v>
      </c>
      <c r="N461" t="s">
        <v>34</v>
      </c>
      <c r="O461" t="str">
        <f>IF(N461="",INDEX({"Low","Medium","High"},MATCH(MAX(COUNTIF($N$2:$N$1000,{"Low","Medium","High"})),COUNTIF($N$2:$N$1000,{"Low","Medium","High"}),0)),N461)</f>
        <v>High</v>
      </c>
    </row>
    <row r="462" spans="1:15" x14ac:dyDescent="0.25">
      <c r="A462">
        <v>3</v>
      </c>
      <c r="B462">
        <f t="shared" si="21"/>
        <v>3</v>
      </c>
      <c r="F462">
        <v>44.82</v>
      </c>
      <c r="G462">
        <f t="shared" si="22"/>
        <v>44.82</v>
      </c>
      <c r="J462" t="s">
        <v>22</v>
      </c>
      <c r="K462" t="str">
        <f t="shared" si="23"/>
        <v>Not Returned</v>
      </c>
      <c r="N462" t="s">
        <v>40</v>
      </c>
      <c r="O462" t="str">
        <f>IF(N462="",INDEX({"Low","Medium","High"},MATCH(MAX(COUNTIF($N$2:$N$1000,{"Low","Medium","High"})),COUNTIF($N$2:$N$1000,{"Low","Medium","High"}),0)),N462)</f>
        <v>Medium</v>
      </c>
    </row>
    <row r="463" spans="1:15" x14ac:dyDescent="0.25">
      <c r="A463">
        <v>22</v>
      </c>
      <c r="B463">
        <f t="shared" si="21"/>
        <v>22</v>
      </c>
      <c r="F463">
        <v>63.3</v>
      </c>
      <c r="G463">
        <f t="shared" si="22"/>
        <v>63.3</v>
      </c>
      <c r="J463" t="s">
        <v>22</v>
      </c>
      <c r="K463" t="str">
        <f t="shared" si="23"/>
        <v>Not Returned</v>
      </c>
      <c r="N463" t="s">
        <v>40</v>
      </c>
      <c r="O463" t="str">
        <f>IF(N463="",INDEX({"Low","Medium","High"},MATCH(MAX(COUNTIF($N$2:$N$1000,{"Low","Medium","High"})),COUNTIF($N$2:$N$1000,{"Low","Medium","High"}),0)),N463)</f>
        <v>Medium</v>
      </c>
    </row>
    <row r="464" spans="1:15" x14ac:dyDescent="0.25">
      <c r="A464">
        <v>49</v>
      </c>
      <c r="B464">
        <f t="shared" si="21"/>
        <v>49</v>
      </c>
      <c r="F464">
        <v>34.47</v>
      </c>
      <c r="G464">
        <f t="shared" si="22"/>
        <v>34.47</v>
      </c>
      <c r="J464" t="s">
        <v>22</v>
      </c>
      <c r="K464" t="str">
        <f t="shared" si="23"/>
        <v>Not Returned</v>
      </c>
      <c r="N464" t="s">
        <v>40</v>
      </c>
      <c r="O464" t="str">
        <f>IF(N464="",INDEX({"Low","Medium","High"},MATCH(MAX(COUNTIF($N$2:$N$1000,{"Low","Medium","High"})),COUNTIF($N$2:$N$1000,{"Low","Medium","High"}),0)),N464)</f>
        <v>Medium</v>
      </c>
    </row>
    <row r="465" spans="1:15" x14ac:dyDescent="0.25">
      <c r="A465">
        <v>48</v>
      </c>
      <c r="B465">
        <f t="shared" si="21"/>
        <v>48</v>
      </c>
      <c r="F465">
        <v>19.61</v>
      </c>
      <c r="G465">
        <f t="shared" si="22"/>
        <v>19.61</v>
      </c>
      <c r="J465" t="s">
        <v>22</v>
      </c>
      <c r="K465" t="str">
        <f t="shared" si="23"/>
        <v>Not Returned</v>
      </c>
      <c r="N465" t="s">
        <v>25</v>
      </c>
      <c r="O465" t="str">
        <f>IF(N465="",INDEX({"Low","Medium","High"},MATCH(MAX(COUNTIF($N$2:$N$1000,{"Low","Medium","High"})),COUNTIF($N$2:$N$1000,{"Low","Medium","High"}),0)),N465)</f>
        <v>Low</v>
      </c>
    </row>
    <row r="466" spans="1:15" x14ac:dyDescent="0.25">
      <c r="A466">
        <v>38</v>
      </c>
      <c r="B466">
        <f t="shared" si="21"/>
        <v>38</v>
      </c>
      <c r="F466">
        <v>2.63</v>
      </c>
      <c r="G466">
        <f t="shared" si="22"/>
        <v>2.63</v>
      </c>
      <c r="J466" t="s">
        <v>22</v>
      </c>
      <c r="K466" t="str">
        <f t="shared" si="23"/>
        <v>Not Returned</v>
      </c>
      <c r="N466" t="s">
        <v>25</v>
      </c>
      <c r="O466" t="str">
        <f>IF(N466="",INDEX({"Low","Medium","High"},MATCH(MAX(COUNTIF($N$2:$N$1000,{"Low","Medium","High"})),COUNTIF($N$2:$N$1000,{"Low","Medium","High"}),0)),N466)</f>
        <v>Low</v>
      </c>
    </row>
    <row r="467" spans="1:15" x14ac:dyDescent="0.25">
      <c r="A467">
        <v>38</v>
      </c>
      <c r="B467">
        <f t="shared" si="21"/>
        <v>38</v>
      </c>
      <c r="F467">
        <v>10.16</v>
      </c>
      <c r="G467">
        <f t="shared" si="22"/>
        <v>10.16</v>
      </c>
      <c r="J467" t="s">
        <v>22</v>
      </c>
      <c r="K467" t="str">
        <f t="shared" si="23"/>
        <v>Not Returned</v>
      </c>
      <c r="N467" t="s">
        <v>34</v>
      </c>
      <c r="O467" t="str">
        <f>IF(N467="",INDEX({"Low","Medium","High"},MATCH(MAX(COUNTIF($N$2:$N$1000,{"Low","Medium","High"})),COUNTIF($N$2:$N$1000,{"Low","Medium","High"}),0)),N467)</f>
        <v>High</v>
      </c>
    </row>
    <row r="468" spans="1:15" x14ac:dyDescent="0.25">
      <c r="A468">
        <v>19</v>
      </c>
      <c r="B468">
        <f t="shared" si="21"/>
        <v>19</v>
      </c>
      <c r="F468">
        <v>41.94</v>
      </c>
      <c r="G468">
        <f t="shared" si="22"/>
        <v>41.94</v>
      </c>
      <c r="J468" t="s">
        <v>22</v>
      </c>
      <c r="K468" t="str">
        <f t="shared" si="23"/>
        <v>Not Returned</v>
      </c>
      <c r="N468" t="s">
        <v>40</v>
      </c>
      <c r="O468" t="str">
        <f>IF(N468="",INDEX({"Low","Medium","High"},MATCH(MAX(COUNTIF($N$2:$N$1000,{"Low","Medium","High"})),COUNTIF($N$2:$N$1000,{"Low","Medium","High"}),0)),N468)</f>
        <v>Medium</v>
      </c>
    </row>
    <row r="469" spans="1:15" x14ac:dyDescent="0.25">
      <c r="A469">
        <v>29</v>
      </c>
      <c r="B469">
        <f t="shared" si="21"/>
        <v>29</v>
      </c>
      <c r="F469">
        <v>87.3</v>
      </c>
      <c r="G469">
        <f t="shared" si="22"/>
        <v>87.3</v>
      </c>
      <c r="J469" t="s">
        <v>22</v>
      </c>
      <c r="K469" t="str">
        <f t="shared" si="23"/>
        <v>Not Returned</v>
      </c>
      <c r="N469" t="s">
        <v>25</v>
      </c>
      <c r="O469" t="str">
        <f>IF(N469="",INDEX({"Low","Medium","High"},MATCH(MAX(COUNTIF($N$2:$N$1000,{"Low","Medium","High"})),COUNTIF($N$2:$N$1000,{"Low","Medium","High"}),0)),N469)</f>
        <v>Low</v>
      </c>
    </row>
    <row r="470" spans="1:15" x14ac:dyDescent="0.25">
      <c r="A470">
        <v>17</v>
      </c>
      <c r="B470">
        <f t="shared" si="21"/>
        <v>17</v>
      </c>
      <c r="F470">
        <v>16.22</v>
      </c>
      <c r="G470">
        <f t="shared" si="22"/>
        <v>16.22</v>
      </c>
      <c r="J470" t="s">
        <v>22</v>
      </c>
      <c r="K470" t="str">
        <f t="shared" si="23"/>
        <v>Not Returned</v>
      </c>
      <c r="N470" t="s">
        <v>25</v>
      </c>
      <c r="O470" t="str">
        <f>IF(N470="",INDEX({"Low","Medium","High"},MATCH(MAX(COUNTIF($N$2:$N$1000,{"Low","Medium","High"})),COUNTIF($N$2:$N$1000,{"Low","Medium","High"}),0)),N470)</f>
        <v>Low</v>
      </c>
    </row>
    <row r="471" spans="1:15" x14ac:dyDescent="0.25">
      <c r="A471">
        <v>12</v>
      </c>
      <c r="B471">
        <f t="shared" si="21"/>
        <v>12</v>
      </c>
      <c r="F471">
        <v>37.729999999999997</v>
      </c>
      <c r="G471">
        <f t="shared" si="22"/>
        <v>37.729999999999997</v>
      </c>
      <c r="J471" t="s">
        <v>22</v>
      </c>
      <c r="K471" t="str">
        <f t="shared" si="23"/>
        <v>Not Returned</v>
      </c>
      <c r="N471" t="s">
        <v>34</v>
      </c>
      <c r="O471" t="str">
        <f>IF(N471="",INDEX({"Low","Medium","High"},MATCH(MAX(COUNTIF($N$2:$N$1000,{"Low","Medium","High"})),COUNTIF($N$2:$N$1000,{"Low","Medium","High"}),0)),N471)</f>
        <v>High</v>
      </c>
    </row>
    <row r="472" spans="1:15" x14ac:dyDescent="0.25">
      <c r="A472">
        <v>14</v>
      </c>
      <c r="B472">
        <f t="shared" si="21"/>
        <v>14</v>
      </c>
      <c r="F472">
        <v>58.94</v>
      </c>
      <c r="G472">
        <f t="shared" si="22"/>
        <v>58.94</v>
      </c>
      <c r="J472" t="s">
        <v>111</v>
      </c>
      <c r="K472" t="str">
        <f t="shared" si="23"/>
        <v>Returned</v>
      </c>
      <c r="N472" t="s">
        <v>25</v>
      </c>
      <c r="O472" t="str">
        <f>IF(N472="",INDEX({"Low","Medium","High"},MATCH(MAX(COUNTIF($N$2:$N$1000,{"Low","Medium","High"})),COUNTIF($N$2:$N$1000,{"Low","Medium","High"}),0)),N472)</f>
        <v>Low</v>
      </c>
    </row>
    <row r="473" spans="1:15" x14ac:dyDescent="0.25">
      <c r="A473">
        <v>48</v>
      </c>
      <c r="B473">
        <f t="shared" si="21"/>
        <v>48</v>
      </c>
      <c r="F473">
        <v>36.04</v>
      </c>
      <c r="G473">
        <f t="shared" si="22"/>
        <v>36.04</v>
      </c>
      <c r="J473" t="s">
        <v>22</v>
      </c>
      <c r="K473" t="str">
        <f t="shared" si="23"/>
        <v>Not Returned</v>
      </c>
      <c r="N473" t="s">
        <v>25</v>
      </c>
      <c r="O473" t="str">
        <f>IF(N473="",INDEX({"Low","Medium","High"},MATCH(MAX(COUNTIF($N$2:$N$1000,{"Low","Medium","High"})),COUNTIF($N$2:$N$1000,{"Low","Medium","High"}),0)),N473)</f>
        <v>Low</v>
      </c>
    </row>
    <row r="474" spans="1:15" x14ac:dyDescent="0.25">
      <c r="A474">
        <v>42</v>
      </c>
      <c r="B474">
        <f t="shared" si="21"/>
        <v>42</v>
      </c>
      <c r="F474">
        <v>37.64</v>
      </c>
      <c r="G474">
        <f t="shared" si="22"/>
        <v>37.64</v>
      </c>
      <c r="J474" t="s">
        <v>111</v>
      </c>
      <c r="K474" t="str">
        <f t="shared" si="23"/>
        <v>Returned</v>
      </c>
      <c r="N474" t="s">
        <v>25</v>
      </c>
      <c r="O474" t="str">
        <f>IF(N474="",INDEX({"Low","Medium","High"},MATCH(MAX(COUNTIF($N$2:$N$1000,{"Low","Medium","High"})),COUNTIF($N$2:$N$1000,{"Low","Medium","High"}),0)),N474)</f>
        <v>Low</v>
      </c>
    </row>
    <row r="475" spans="1:15" x14ac:dyDescent="0.25">
      <c r="A475">
        <v>18</v>
      </c>
      <c r="B475">
        <f t="shared" si="21"/>
        <v>18</v>
      </c>
      <c r="F475">
        <v>47.6</v>
      </c>
      <c r="G475">
        <f t="shared" si="22"/>
        <v>47.6</v>
      </c>
      <c r="J475" t="s">
        <v>22</v>
      </c>
      <c r="K475" t="str">
        <f t="shared" si="23"/>
        <v>Not Returned</v>
      </c>
      <c r="N475" t="s">
        <v>40</v>
      </c>
      <c r="O475" t="str">
        <f>IF(N475="",INDEX({"Low","Medium","High"},MATCH(MAX(COUNTIF($N$2:$N$1000,{"Low","Medium","High"})),COUNTIF($N$2:$N$1000,{"Low","Medium","High"}),0)),N475)</f>
        <v>Medium</v>
      </c>
    </row>
    <row r="476" spans="1:15" x14ac:dyDescent="0.25">
      <c r="A476">
        <v>23</v>
      </c>
      <c r="B476">
        <f t="shared" si="21"/>
        <v>23</v>
      </c>
      <c r="F476">
        <v>70.55</v>
      </c>
      <c r="G476">
        <f t="shared" si="22"/>
        <v>70.55</v>
      </c>
      <c r="J476" t="s">
        <v>22</v>
      </c>
      <c r="K476" t="str">
        <f t="shared" si="23"/>
        <v>Not Returned</v>
      </c>
      <c r="N476" t="s">
        <v>25</v>
      </c>
      <c r="O476" t="str">
        <f>IF(N476="",INDEX({"Low","Medium","High"},MATCH(MAX(COUNTIF($N$2:$N$1000,{"Low","Medium","High"})),COUNTIF($N$2:$N$1000,{"Low","Medium","High"}),0)),N476)</f>
        <v>Low</v>
      </c>
    </row>
    <row r="477" spans="1:15" x14ac:dyDescent="0.25">
      <c r="A477">
        <v>44</v>
      </c>
      <c r="B477">
        <f t="shared" si="21"/>
        <v>44</v>
      </c>
      <c r="F477">
        <v>86.03</v>
      </c>
      <c r="G477">
        <f t="shared" si="22"/>
        <v>86.03</v>
      </c>
      <c r="J477" t="s">
        <v>22</v>
      </c>
      <c r="K477" t="str">
        <f t="shared" si="23"/>
        <v>Not Returned</v>
      </c>
      <c r="N477" t="s">
        <v>34</v>
      </c>
      <c r="O477" t="str">
        <f>IF(N477="",INDEX({"Low","Medium","High"},MATCH(MAX(COUNTIF($N$2:$N$1000,{"Low","Medium","High"})),COUNTIF($N$2:$N$1000,{"Low","Medium","High"}),0)),N477)</f>
        <v>High</v>
      </c>
    </row>
    <row r="478" spans="1:15" x14ac:dyDescent="0.25">
      <c r="A478">
        <v>31</v>
      </c>
      <c r="B478">
        <f t="shared" si="21"/>
        <v>31</v>
      </c>
      <c r="F478">
        <v>50.91</v>
      </c>
      <c r="G478">
        <f t="shared" si="22"/>
        <v>50.91</v>
      </c>
      <c r="J478" t="s">
        <v>22</v>
      </c>
      <c r="K478" t="str">
        <f t="shared" si="23"/>
        <v>Not Returned</v>
      </c>
      <c r="N478" t="s">
        <v>40</v>
      </c>
      <c r="O478" t="str">
        <f>IF(N478="",INDEX({"Low","Medium","High"},MATCH(MAX(COUNTIF($N$2:$N$1000,{"Low","Medium","High"})),COUNTIF($N$2:$N$1000,{"Low","Medium","High"}),0)),N478)</f>
        <v>Medium</v>
      </c>
    </row>
    <row r="479" spans="1:15" x14ac:dyDescent="0.25">
      <c r="A479">
        <v>13</v>
      </c>
      <c r="B479">
        <f t="shared" si="21"/>
        <v>13</v>
      </c>
      <c r="F479">
        <v>49.05</v>
      </c>
      <c r="G479">
        <f t="shared" si="22"/>
        <v>49.05</v>
      </c>
      <c r="J479" t="s">
        <v>22</v>
      </c>
      <c r="K479" t="str">
        <f t="shared" si="23"/>
        <v>Not Returned</v>
      </c>
      <c r="N479" t="s">
        <v>25</v>
      </c>
      <c r="O479" t="str">
        <f>IF(N479="",INDEX({"Low","Medium","High"},MATCH(MAX(COUNTIF($N$2:$N$1000,{"Low","Medium","High"})),COUNTIF($N$2:$N$1000,{"Low","Medium","High"}),0)),N479)</f>
        <v>Low</v>
      </c>
    </row>
    <row r="480" spans="1:15" x14ac:dyDescent="0.25">
      <c r="A480">
        <v>1</v>
      </c>
      <c r="B480">
        <f t="shared" si="21"/>
        <v>1</v>
      </c>
      <c r="F480">
        <v>74.2</v>
      </c>
      <c r="G480">
        <f t="shared" si="22"/>
        <v>74.2</v>
      </c>
      <c r="J480" t="s">
        <v>22</v>
      </c>
      <c r="K480" t="str">
        <f t="shared" si="23"/>
        <v>Not Returned</v>
      </c>
      <c r="N480" t="s">
        <v>25</v>
      </c>
      <c r="O480" t="str">
        <f>IF(N480="",INDEX({"Low","Medium","High"},MATCH(MAX(COUNTIF($N$2:$N$1000,{"Low","Medium","High"})),COUNTIF($N$2:$N$1000,{"Low","Medium","High"}),0)),N480)</f>
        <v>Low</v>
      </c>
    </row>
    <row r="481" spans="1:15" x14ac:dyDescent="0.25">
      <c r="A481">
        <v>24</v>
      </c>
      <c r="B481">
        <f t="shared" si="21"/>
        <v>24</v>
      </c>
      <c r="F481">
        <v>76.8</v>
      </c>
      <c r="G481">
        <f t="shared" si="22"/>
        <v>76.8</v>
      </c>
      <c r="J481" t="s">
        <v>22</v>
      </c>
      <c r="K481" t="str">
        <f t="shared" si="23"/>
        <v>Not Returned</v>
      </c>
      <c r="N481" t="s">
        <v>25</v>
      </c>
      <c r="O481" t="str">
        <f>IF(N481="",INDEX({"Low","Medium","High"},MATCH(MAX(COUNTIF($N$2:$N$1000,{"Low","Medium","High"})),COUNTIF($N$2:$N$1000,{"Low","Medium","High"}),0)),N481)</f>
        <v>Low</v>
      </c>
    </row>
    <row r="482" spans="1:15" x14ac:dyDescent="0.25">
      <c r="A482">
        <v>4</v>
      </c>
      <c r="B482">
        <f t="shared" si="21"/>
        <v>4</v>
      </c>
      <c r="F482">
        <v>5.37</v>
      </c>
      <c r="G482">
        <f t="shared" si="22"/>
        <v>5.37</v>
      </c>
      <c r="J482" t="s">
        <v>22</v>
      </c>
      <c r="K482" t="str">
        <f t="shared" si="23"/>
        <v>Not Returned</v>
      </c>
      <c r="N482" t="s">
        <v>25</v>
      </c>
      <c r="O482" t="str">
        <f>IF(N482="",INDEX({"Low","Medium","High"},MATCH(MAX(COUNTIF($N$2:$N$1000,{"Low","Medium","High"})),COUNTIF($N$2:$N$1000,{"Low","Medium","High"}),0)),N482)</f>
        <v>Low</v>
      </c>
    </row>
    <row r="483" spans="1:15" x14ac:dyDescent="0.25">
      <c r="A483">
        <v>29</v>
      </c>
      <c r="B483">
        <f t="shared" si="21"/>
        <v>29</v>
      </c>
      <c r="F483">
        <v>26.6</v>
      </c>
      <c r="G483">
        <f t="shared" si="22"/>
        <v>26.6</v>
      </c>
      <c r="J483" t="s">
        <v>22</v>
      </c>
      <c r="K483" t="str">
        <f t="shared" si="23"/>
        <v>Not Returned</v>
      </c>
      <c r="N483" t="s">
        <v>34</v>
      </c>
      <c r="O483" t="str">
        <f>IF(N483="",INDEX({"Low","Medium","High"},MATCH(MAX(COUNTIF($N$2:$N$1000,{"Low","Medium","High"})),COUNTIF($N$2:$N$1000,{"Low","Medium","High"}),0)),N483)</f>
        <v>High</v>
      </c>
    </row>
    <row r="484" spans="1:15" x14ac:dyDescent="0.25">
      <c r="A484">
        <v>34</v>
      </c>
      <c r="B484">
        <f t="shared" si="21"/>
        <v>34</v>
      </c>
      <c r="F484">
        <v>41.27</v>
      </c>
      <c r="G484">
        <f t="shared" si="22"/>
        <v>41.27</v>
      </c>
      <c r="J484" t="s">
        <v>22</v>
      </c>
      <c r="K484" t="str">
        <f t="shared" si="23"/>
        <v>Not Returned</v>
      </c>
      <c r="N484" t="s">
        <v>34</v>
      </c>
      <c r="O484" t="str">
        <f>IF(N484="",INDEX({"Low","Medium","High"},MATCH(MAX(COUNTIF($N$2:$N$1000,{"Low","Medium","High"})),COUNTIF($N$2:$N$1000,{"Low","Medium","High"}),0)),N484)</f>
        <v>High</v>
      </c>
    </row>
    <row r="485" spans="1:15" x14ac:dyDescent="0.25">
      <c r="A485">
        <v>16</v>
      </c>
      <c r="B485">
        <f t="shared" si="21"/>
        <v>16</v>
      </c>
      <c r="F485">
        <v>15.33</v>
      </c>
      <c r="G485">
        <f t="shared" si="22"/>
        <v>15.33</v>
      </c>
      <c r="J485" t="s">
        <v>22</v>
      </c>
      <c r="K485" t="str">
        <f t="shared" si="23"/>
        <v>Not Returned</v>
      </c>
      <c r="N485" t="s">
        <v>34</v>
      </c>
      <c r="O485" t="str">
        <f>IF(N485="",INDEX({"Low","Medium","High"},MATCH(MAX(COUNTIF($N$2:$N$1000,{"Low","Medium","High"})),COUNTIF($N$2:$N$1000,{"Low","Medium","High"}),0)),N485)</f>
        <v>High</v>
      </c>
    </row>
    <row r="486" spans="1:15" x14ac:dyDescent="0.25">
      <c r="A486">
        <v>5</v>
      </c>
      <c r="B486">
        <f t="shared" si="21"/>
        <v>5</v>
      </c>
      <c r="F486">
        <v>61.83</v>
      </c>
      <c r="G486">
        <f t="shared" si="22"/>
        <v>61.83</v>
      </c>
      <c r="J486" t="s">
        <v>22</v>
      </c>
      <c r="K486" t="str">
        <f t="shared" si="23"/>
        <v>Not Returned</v>
      </c>
      <c r="N486" t="s">
        <v>40</v>
      </c>
      <c r="O486" t="str">
        <f>IF(N486="",INDEX({"Low","Medium","High"},MATCH(MAX(COUNTIF($N$2:$N$1000,{"Low","Medium","High"})),COUNTIF($N$2:$N$1000,{"Low","Medium","High"}),0)),N486)</f>
        <v>Medium</v>
      </c>
    </row>
    <row r="487" spans="1:15" x14ac:dyDescent="0.25">
      <c r="A487">
        <v>17</v>
      </c>
      <c r="B487">
        <f t="shared" si="21"/>
        <v>17</v>
      </c>
      <c r="F487">
        <v>52.21</v>
      </c>
      <c r="G487">
        <f t="shared" si="22"/>
        <v>52.21</v>
      </c>
      <c r="J487" t="s">
        <v>22</v>
      </c>
      <c r="K487" t="str">
        <f t="shared" si="23"/>
        <v>Not Returned</v>
      </c>
      <c r="N487" t="s">
        <v>25</v>
      </c>
      <c r="O487" t="str">
        <f>IF(N487="",INDEX({"Low","Medium","High"},MATCH(MAX(COUNTIF($N$2:$N$1000,{"Low","Medium","High"})),COUNTIF($N$2:$N$1000,{"Low","Medium","High"}),0)),N487)</f>
        <v>Low</v>
      </c>
    </row>
    <row r="488" spans="1:15" x14ac:dyDescent="0.25">
      <c r="A488">
        <v>16</v>
      </c>
      <c r="B488">
        <f t="shared" si="21"/>
        <v>16</v>
      </c>
      <c r="F488">
        <v>9.5299999999999994</v>
      </c>
      <c r="G488">
        <f t="shared" si="22"/>
        <v>9.5299999999999994</v>
      </c>
      <c r="J488" t="s">
        <v>22</v>
      </c>
      <c r="K488" t="str">
        <f t="shared" si="23"/>
        <v>Not Returned</v>
      </c>
      <c r="N488" t="s">
        <v>25</v>
      </c>
      <c r="O488" t="str">
        <f>IF(N488="",INDEX({"Low","Medium","High"},MATCH(MAX(COUNTIF($N$2:$N$1000,{"Low","Medium","High"})),COUNTIF($N$2:$N$1000,{"Low","Medium","High"}),0)),N488)</f>
        <v>Low</v>
      </c>
    </row>
    <row r="489" spans="1:15" x14ac:dyDescent="0.25">
      <c r="A489">
        <v>25</v>
      </c>
      <c r="B489">
        <f t="shared" si="21"/>
        <v>25</v>
      </c>
      <c r="F489">
        <v>83.03</v>
      </c>
      <c r="G489">
        <f t="shared" si="22"/>
        <v>83.03</v>
      </c>
      <c r="J489" t="s">
        <v>22</v>
      </c>
      <c r="K489" t="str">
        <f t="shared" si="23"/>
        <v>Not Returned</v>
      </c>
      <c r="N489" t="s">
        <v>40</v>
      </c>
      <c r="O489" t="str">
        <f>IF(N489="",INDEX({"Low","Medium","High"},MATCH(MAX(COUNTIF($N$2:$N$1000,{"Low","Medium","High"})),COUNTIF($N$2:$N$1000,{"Low","Medium","High"}),0)),N489)</f>
        <v>Medium</v>
      </c>
    </row>
    <row r="490" spans="1:15" x14ac:dyDescent="0.25">
      <c r="A490">
        <v>31</v>
      </c>
      <c r="B490">
        <f t="shared" si="21"/>
        <v>31</v>
      </c>
      <c r="F490">
        <v>54.61</v>
      </c>
      <c r="G490">
        <f t="shared" si="22"/>
        <v>54.61</v>
      </c>
      <c r="J490" t="s">
        <v>22</v>
      </c>
      <c r="K490" t="str">
        <f t="shared" si="23"/>
        <v>Not Returned</v>
      </c>
      <c r="N490" t="s">
        <v>25</v>
      </c>
      <c r="O490" t="str">
        <f>IF(N490="",INDEX({"Low","Medium","High"},MATCH(MAX(COUNTIF($N$2:$N$1000,{"Low","Medium","High"})),COUNTIF($N$2:$N$1000,{"Low","Medium","High"}),0)),N490)</f>
        <v>Low</v>
      </c>
    </row>
    <row r="491" spans="1:15" x14ac:dyDescent="0.25">
      <c r="A491">
        <v>26</v>
      </c>
      <c r="B491">
        <f t="shared" si="21"/>
        <v>26</v>
      </c>
      <c r="F491">
        <v>54.36</v>
      </c>
      <c r="G491">
        <f t="shared" si="22"/>
        <v>54.36</v>
      </c>
      <c r="J491" t="s">
        <v>22</v>
      </c>
      <c r="K491" t="str">
        <f t="shared" si="23"/>
        <v>Not Returned</v>
      </c>
      <c r="N491" t="s">
        <v>34</v>
      </c>
      <c r="O491" t="str">
        <f>IF(N491="",INDEX({"Low","Medium","High"},MATCH(MAX(COUNTIF($N$2:$N$1000,{"Low","Medium","High"})),COUNTIF($N$2:$N$1000,{"Low","Medium","High"}),0)),N491)</f>
        <v>High</v>
      </c>
    </row>
    <row r="492" spans="1:15" x14ac:dyDescent="0.25">
      <c r="A492">
        <v>24</v>
      </c>
      <c r="B492">
        <f t="shared" si="21"/>
        <v>24</v>
      </c>
      <c r="F492">
        <v>2.21</v>
      </c>
      <c r="G492">
        <f t="shared" si="22"/>
        <v>2.21</v>
      </c>
      <c r="J492" t="s">
        <v>22</v>
      </c>
      <c r="K492" t="str">
        <f t="shared" si="23"/>
        <v>Not Returned</v>
      </c>
      <c r="N492" t="s">
        <v>25</v>
      </c>
      <c r="O492" t="str">
        <f>IF(N492="",INDEX({"Low","Medium","High"},MATCH(MAX(COUNTIF($N$2:$N$1000,{"Low","Medium","High"})),COUNTIF($N$2:$N$1000,{"Low","Medium","High"}),0)),N492)</f>
        <v>Low</v>
      </c>
    </row>
    <row r="493" spans="1:15" x14ac:dyDescent="0.25">
      <c r="A493">
        <v>36</v>
      </c>
      <c r="B493">
        <f t="shared" si="21"/>
        <v>36</v>
      </c>
      <c r="F493">
        <v>29.42</v>
      </c>
      <c r="G493">
        <f t="shared" si="22"/>
        <v>29.42</v>
      </c>
      <c r="J493" t="s">
        <v>22</v>
      </c>
      <c r="K493" t="str">
        <f t="shared" si="23"/>
        <v>Not Returned</v>
      </c>
      <c r="N493" t="s">
        <v>25</v>
      </c>
      <c r="O493" t="str">
        <f>IF(N493="",INDEX({"Low","Medium","High"},MATCH(MAX(COUNTIF($N$2:$N$1000,{"Low","Medium","High"})),COUNTIF($N$2:$N$1000,{"Low","Medium","High"}),0)),N493)</f>
        <v>Low</v>
      </c>
    </row>
    <row r="494" spans="1:15" x14ac:dyDescent="0.25">
      <c r="A494">
        <v>35</v>
      </c>
      <c r="B494">
        <f t="shared" si="21"/>
        <v>35</v>
      </c>
      <c r="F494">
        <v>1.31</v>
      </c>
      <c r="G494">
        <f t="shared" si="22"/>
        <v>1.31</v>
      </c>
      <c r="J494" t="s">
        <v>22</v>
      </c>
      <c r="K494" t="str">
        <f t="shared" si="23"/>
        <v>Not Returned</v>
      </c>
      <c r="N494" t="s">
        <v>40</v>
      </c>
      <c r="O494" t="str">
        <f>IF(N494="",INDEX({"Low","Medium","High"},MATCH(MAX(COUNTIF($N$2:$N$1000,{"Low","Medium","High"})),COUNTIF($N$2:$N$1000,{"Low","Medium","High"}),0)),N494)</f>
        <v>Medium</v>
      </c>
    </row>
    <row r="495" spans="1:15" x14ac:dyDescent="0.25">
      <c r="A495">
        <v>21</v>
      </c>
      <c r="B495">
        <f t="shared" si="21"/>
        <v>21</v>
      </c>
      <c r="F495">
        <v>28.27</v>
      </c>
      <c r="G495">
        <f t="shared" si="22"/>
        <v>28.27</v>
      </c>
      <c r="J495" t="s">
        <v>22</v>
      </c>
      <c r="K495" t="str">
        <f t="shared" si="23"/>
        <v>Not Returned</v>
      </c>
      <c r="N495" t="s">
        <v>40</v>
      </c>
      <c r="O495" t="str">
        <f>IF(N495="",INDEX({"Low","Medium","High"},MATCH(MAX(COUNTIF($N$2:$N$1000,{"Low","Medium","High"})),COUNTIF($N$2:$N$1000,{"Low","Medium","High"}),0)),N495)</f>
        <v>Medium</v>
      </c>
    </row>
    <row r="496" spans="1:15" x14ac:dyDescent="0.25">
      <c r="A496">
        <v>5</v>
      </c>
      <c r="B496">
        <f t="shared" si="21"/>
        <v>5</v>
      </c>
      <c r="F496">
        <v>57.05</v>
      </c>
      <c r="G496">
        <f t="shared" si="22"/>
        <v>57.05</v>
      </c>
      <c r="J496" t="s">
        <v>22</v>
      </c>
      <c r="K496" t="str">
        <f t="shared" si="23"/>
        <v>Not Returned</v>
      </c>
      <c r="N496" t="s">
        <v>25</v>
      </c>
      <c r="O496" t="str">
        <f>IF(N496="",INDEX({"Low","Medium","High"},MATCH(MAX(COUNTIF($N$2:$N$1000,{"Low","Medium","High"})),COUNTIF($N$2:$N$1000,{"Low","Medium","High"}),0)),N496)</f>
        <v>Low</v>
      </c>
    </row>
    <row r="497" spans="1:15" x14ac:dyDescent="0.25">
      <c r="A497">
        <v>28</v>
      </c>
      <c r="B497">
        <f t="shared" si="21"/>
        <v>28</v>
      </c>
      <c r="F497">
        <v>40.479999999999997</v>
      </c>
      <c r="G497">
        <f t="shared" si="22"/>
        <v>40.479999999999997</v>
      </c>
      <c r="J497" t="s">
        <v>111</v>
      </c>
      <c r="K497" t="str">
        <f t="shared" si="23"/>
        <v>Returned</v>
      </c>
      <c r="N497" t="s">
        <v>40</v>
      </c>
      <c r="O497" t="str">
        <f>IF(N497="",INDEX({"Low","Medium","High"},MATCH(MAX(COUNTIF($N$2:$N$1000,{"Low","Medium","High"})),COUNTIF($N$2:$N$1000,{"Low","Medium","High"}),0)),N497)</f>
        <v>Medium</v>
      </c>
    </row>
    <row r="498" spans="1:15" x14ac:dyDescent="0.25">
      <c r="A498">
        <v>15</v>
      </c>
      <c r="B498">
        <f t="shared" si="21"/>
        <v>15</v>
      </c>
      <c r="F498">
        <v>87.4</v>
      </c>
      <c r="G498">
        <f t="shared" si="22"/>
        <v>87.4</v>
      </c>
      <c r="J498" t="s">
        <v>22</v>
      </c>
      <c r="K498" t="str">
        <f t="shared" si="23"/>
        <v>Not Returned</v>
      </c>
      <c r="N498" t="s">
        <v>40</v>
      </c>
      <c r="O498" t="str">
        <f>IF(N498="",INDEX({"Low","Medium","High"},MATCH(MAX(COUNTIF($N$2:$N$1000,{"Low","Medium","High"})),COUNTIF($N$2:$N$1000,{"Low","Medium","High"}),0)),N498)</f>
        <v>Medium</v>
      </c>
    </row>
    <row r="499" spans="1:15" x14ac:dyDescent="0.25">
      <c r="A499">
        <v>35</v>
      </c>
      <c r="B499">
        <f t="shared" si="21"/>
        <v>35</v>
      </c>
      <c r="F499">
        <v>57.97</v>
      </c>
      <c r="G499">
        <f t="shared" si="22"/>
        <v>57.97</v>
      </c>
      <c r="J499" t="s">
        <v>22</v>
      </c>
      <c r="K499" t="str">
        <f t="shared" si="23"/>
        <v>Not Returned</v>
      </c>
      <c r="N499" t="s">
        <v>40</v>
      </c>
      <c r="O499" t="str">
        <f>IF(N499="",INDEX({"Low","Medium","High"},MATCH(MAX(COUNTIF($N$2:$N$1000,{"Low","Medium","High"})),COUNTIF($N$2:$N$1000,{"Low","Medium","High"}),0)),N499)</f>
        <v>Medium</v>
      </c>
    </row>
    <row r="500" spans="1:15" x14ac:dyDescent="0.25">
      <c r="A500">
        <v>17</v>
      </c>
      <c r="B500">
        <f t="shared" si="21"/>
        <v>17</v>
      </c>
      <c r="F500">
        <v>30.82</v>
      </c>
      <c r="G500">
        <f t="shared" si="22"/>
        <v>30.82</v>
      </c>
      <c r="J500" t="s">
        <v>22</v>
      </c>
      <c r="K500" t="str">
        <f t="shared" si="23"/>
        <v>Not Returned</v>
      </c>
      <c r="N500" t="s">
        <v>34</v>
      </c>
      <c r="O500" t="str">
        <f>IF(N500="",INDEX({"Low","Medium","High"},MATCH(MAX(COUNTIF($N$2:$N$1000,{"Low","Medium","High"})),COUNTIF($N$2:$N$1000,{"Low","Medium","High"}),0)),N500)</f>
        <v>High</v>
      </c>
    </row>
    <row r="501" spans="1:15" x14ac:dyDescent="0.25">
      <c r="A501">
        <v>31</v>
      </c>
      <c r="B501">
        <f t="shared" si="21"/>
        <v>31</v>
      </c>
      <c r="F501">
        <v>33.020000000000003</v>
      </c>
      <c r="G501">
        <f t="shared" si="22"/>
        <v>33.020000000000003</v>
      </c>
      <c r="J501" t="s">
        <v>22</v>
      </c>
      <c r="K501" t="str">
        <f t="shared" si="23"/>
        <v>Not Returned</v>
      </c>
      <c r="N501" t="s">
        <v>40</v>
      </c>
      <c r="O501" t="str">
        <f>IF(N501="",INDEX({"Low","Medium","High"},MATCH(MAX(COUNTIF($N$2:$N$1000,{"Low","Medium","High"})),COUNTIF($N$2:$N$1000,{"Low","Medium","High"}),0)),N501)</f>
        <v>Medium</v>
      </c>
    </row>
    <row r="502" spans="1:15" x14ac:dyDescent="0.25">
      <c r="A502">
        <v>40</v>
      </c>
      <c r="B502">
        <f t="shared" si="21"/>
        <v>40</v>
      </c>
      <c r="F502">
        <v>13.84</v>
      </c>
      <c r="G502">
        <f t="shared" si="22"/>
        <v>13.84</v>
      </c>
      <c r="J502" t="s">
        <v>22</v>
      </c>
      <c r="K502" t="str">
        <f t="shared" si="23"/>
        <v>Not Returned</v>
      </c>
      <c r="N502" t="s">
        <v>34</v>
      </c>
      <c r="O502" t="str">
        <f>IF(N502="",INDEX({"Low","Medium","High"},MATCH(MAX(COUNTIF($N$2:$N$1000,{"Low","Medium","High"})),COUNTIF($N$2:$N$1000,{"Low","Medium","High"}),0)),N502)</f>
        <v>High</v>
      </c>
    </row>
    <row r="503" spans="1:15" x14ac:dyDescent="0.25">
      <c r="A503">
        <v>44</v>
      </c>
      <c r="B503">
        <f t="shared" si="21"/>
        <v>44</v>
      </c>
      <c r="F503">
        <v>33.229999999999997</v>
      </c>
      <c r="G503">
        <f t="shared" si="22"/>
        <v>33.229999999999997</v>
      </c>
      <c r="J503" t="s">
        <v>22</v>
      </c>
      <c r="K503" t="str">
        <f t="shared" si="23"/>
        <v>Not Returned</v>
      </c>
      <c r="N503" t="s">
        <v>34</v>
      </c>
      <c r="O503" t="str">
        <f>IF(N503="",INDEX({"Low","Medium","High"},MATCH(MAX(COUNTIF($N$2:$N$1000,{"Low","Medium","High"})),COUNTIF($N$2:$N$1000,{"Low","Medium","High"}),0)),N503)</f>
        <v>High</v>
      </c>
    </row>
    <row r="504" spans="1:15" x14ac:dyDescent="0.25">
      <c r="A504">
        <v>14</v>
      </c>
      <c r="B504">
        <f t="shared" si="21"/>
        <v>14</v>
      </c>
      <c r="F504">
        <v>74.97</v>
      </c>
      <c r="G504">
        <f t="shared" si="22"/>
        <v>74.97</v>
      </c>
      <c r="J504" t="s">
        <v>22</v>
      </c>
      <c r="K504" t="str">
        <f t="shared" si="23"/>
        <v>Not Returned</v>
      </c>
      <c r="N504" t="s">
        <v>40</v>
      </c>
      <c r="O504" t="str">
        <f>IF(N504="",INDEX({"Low","Medium","High"},MATCH(MAX(COUNTIF($N$2:$N$1000,{"Low","Medium","High"})),COUNTIF($N$2:$N$1000,{"Low","Medium","High"}),0)),N504)</f>
        <v>Medium</v>
      </c>
    </row>
    <row r="505" spans="1:15" x14ac:dyDescent="0.25">
      <c r="A505">
        <v>12</v>
      </c>
      <c r="B505">
        <f t="shared" si="21"/>
        <v>12</v>
      </c>
      <c r="F505">
        <v>44.34</v>
      </c>
      <c r="G505">
        <f t="shared" si="22"/>
        <v>44.34</v>
      </c>
      <c r="J505" t="s">
        <v>22</v>
      </c>
      <c r="K505" t="str">
        <f t="shared" si="23"/>
        <v>Not Returned</v>
      </c>
      <c r="N505" t="s">
        <v>40</v>
      </c>
      <c r="O505" t="str">
        <f>IF(N505="",INDEX({"Low","Medium","High"},MATCH(MAX(COUNTIF($N$2:$N$1000,{"Low","Medium","High"})),COUNTIF($N$2:$N$1000,{"Low","Medium","High"}),0)),N505)</f>
        <v>Medium</v>
      </c>
    </row>
    <row r="506" spans="1:15" x14ac:dyDescent="0.25">
      <c r="A506">
        <v>5</v>
      </c>
      <c r="B506">
        <f t="shared" si="21"/>
        <v>5</v>
      </c>
      <c r="F506">
        <v>11.92</v>
      </c>
      <c r="G506">
        <f t="shared" si="22"/>
        <v>11.92</v>
      </c>
      <c r="J506" t="s">
        <v>22</v>
      </c>
      <c r="K506" t="str">
        <f t="shared" si="23"/>
        <v>Not Returned</v>
      </c>
      <c r="N506" t="s">
        <v>25</v>
      </c>
      <c r="O506" t="str">
        <f>IF(N506="",INDEX({"Low","Medium","High"},MATCH(MAX(COUNTIF($N$2:$N$1000,{"Low","Medium","High"})),COUNTIF($N$2:$N$1000,{"Low","Medium","High"}),0)),N506)</f>
        <v>Low</v>
      </c>
    </row>
    <row r="507" spans="1:15" x14ac:dyDescent="0.25">
      <c r="A507">
        <v>10</v>
      </c>
      <c r="B507">
        <f t="shared" si="21"/>
        <v>10</v>
      </c>
      <c r="F507">
        <v>76.69</v>
      </c>
      <c r="G507">
        <f t="shared" si="22"/>
        <v>76.69</v>
      </c>
      <c r="J507" t="s">
        <v>22</v>
      </c>
      <c r="K507" t="str">
        <f t="shared" si="23"/>
        <v>Not Returned</v>
      </c>
      <c r="N507" t="s">
        <v>40</v>
      </c>
      <c r="O507" t="str">
        <f>IF(N507="",INDEX({"Low","Medium","High"},MATCH(MAX(COUNTIF($N$2:$N$1000,{"Low","Medium","High"})),COUNTIF($N$2:$N$1000,{"Low","Medium","High"}),0)),N507)</f>
        <v>Medium</v>
      </c>
    </row>
    <row r="508" spans="1:15" x14ac:dyDescent="0.25">
      <c r="A508">
        <v>38</v>
      </c>
      <c r="B508">
        <f t="shared" si="21"/>
        <v>38</v>
      </c>
      <c r="F508">
        <v>19.420000000000002</v>
      </c>
      <c r="G508">
        <f t="shared" si="22"/>
        <v>19.420000000000002</v>
      </c>
      <c r="J508" t="s">
        <v>22</v>
      </c>
      <c r="K508" t="str">
        <f t="shared" si="23"/>
        <v>Not Returned</v>
      </c>
      <c r="N508" t="s">
        <v>25</v>
      </c>
      <c r="O508" t="str">
        <f>IF(N508="",INDEX({"Low","Medium","High"},MATCH(MAX(COUNTIF($N$2:$N$1000,{"Low","Medium","High"})),COUNTIF($N$2:$N$1000,{"Low","Medium","High"}),0)),N508)</f>
        <v>Low</v>
      </c>
    </row>
    <row r="509" spans="1:15" x14ac:dyDescent="0.25">
      <c r="A509">
        <v>17</v>
      </c>
      <c r="B509">
        <f t="shared" si="21"/>
        <v>17</v>
      </c>
      <c r="F509">
        <v>61.08</v>
      </c>
      <c r="G509">
        <f t="shared" si="22"/>
        <v>61.08</v>
      </c>
      <c r="J509" t="s">
        <v>22</v>
      </c>
      <c r="K509" t="str">
        <f t="shared" si="23"/>
        <v>Not Returned</v>
      </c>
      <c r="N509" t="s">
        <v>40</v>
      </c>
      <c r="O509" t="str">
        <f>IF(N509="",INDEX({"Low","Medium","High"},MATCH(MAX(COUNTIF($N$2:$N$1000,{"Low","Medium","High"})),COUNTIF($N$2:$N$1000,{"Low","Medium","High"}),0)),N509)</f>
        <v>Medium</v>
      </c>
    </row>
    <row r="510" spans="1:15" x14ac:dyDescent="0.25">
      <c r="A510">
        <v>49</v>
      </c>
      <c r="B510">
        <f t="shared" si="21"/>
        <v>49</v>
      </c>
      <c r="F510">
        <v>3.51</v>
      </c>
      <c r="G510">
        <f t="shared" si="22"/>
        <v>3.51</v>
      </c>
      <c r="J510" t="s">
        <v>22</v>
      </c>
      <c r="K510" t="str">
        <f t="shared" si="23"/>
        <v>Not Returned</v>
      </c>
      <c r="N510" t="s">
        <v>25</v>
      </c>
      <c r="O510" t="str">
        <f>IF(N510="",INDEX({"Low","Medium","High"},MATCH(MAX(COUNTIF($N$2:$N$1000,{"Low","Medium","High"})),COUNTIF($N$2:$N$1000,{"Low","Medium","High"}),0)),N510)</f>
        <v>Low</v>
      </c>
    </row>
    <row r="511" spans="1:15" x14ac:dyDescent="0.25">
      <c r="A511">
        <v>42</v>
      </c>
      <c r="B511">
        <f t="shared" si="21"/>
        <v>42</v>
      </c>
      <c r="F511">
        <v>55.62</v>
      </c>
      <c r="G511">
        <f t="shared" si="22"/>
        <v>55.62</v>
      </c>
      <c r="J511" t="s">
        <v>22</v>
      </c>
      <c r="K511" t="str">
        <f t="shared" si="23"/>
        <v>Not Returned</v>
      </c>
      <c r="N511" t="s">
        <v>34</v>
      </c>
      <c r="O511" t="str">
        <f>IF(N511="",INDEX({"Low","Medium","High"},MATCH(MAX(COUNTIF($N$2:$N$1000,{"Low","Medium","High"})),COUNTIF($N$2:$N$1000,{"Low","Medium","High"}),0)),N511)</f>
        <v>High</v>
      </c>
    </row>
    <row r="512" spans="1:15" x14ac:dyDescent="0.25">
      <c r="A512">
        <v>29</v>
      </c>
      <c r="B512">
        <f t="shared" si="21"/>
        <v>29</v>
      </c>
      <c r="F512">
        <v>3.82</v>
      </c>
      <c r="G512">
        <f t="shared" si="22"/>
        <v>3.82</v>
      </c>
      <c r="J512" t="s">
        <v>22</v>
      </c>
      <c r="K512" t="str">
        <f t="shared" si="23"/>
        <v>Not Returned</v>
      </c>
      <c r="N512" t="s">
        <v>40</v>
      </c>
      <c r="O512" t="str">
        <f>IF(N512="",INDEX({"Low","Medium","High"},MATCH(MAX(COUNTIF($N$2:$N$1000,{"Low","Medium","High"})),COUNTIF($N$2:$N$1000,{"Low","Medium","High"}),0)),N512)</f>
        <v>Medium</v>
      </c>
    </row>
    <row r="513" spans="1:15" x14ac:dyDescent="0.25">
      <c r="A513">
        <v>48</v>
      </c>
      <c r="B513">
        <f t="shared" si="21"/>
        <v>48</v>
      </c>
      <c r="F513">
        <v>53.96</v>
      </c>
      <c r="G513">
        <f t="shared" si="22"/>
        <v>53.96</v>
      </c>
      <c r="J513" t="s">
        <v>22</v>
      </c>
      <c r="K513" t="str">
        <f t="shared" si="23"/>
        <v>Not Returned</v>
      </c>
      <c r="N513" t="s">
        <v>40</v>
      </c>
      <c r="O513" t="str">
        <f>IF(N513="",INDEX({"Low","Medium","High"},MATCH(MAX(COUNTIF($N$2:$N$1000,{"Low","Medium","High"})),COUNTIF($N$2:$N$1000,{"Low","Medium","High"}),0)),N513)</f>
        <v>Medium</v>
      </c>
    </row>
    <row r="514" spans="1:15" x14ac:dyDescent="0.25">
      <c r="A514">
        <v>21</v>
      </c>
      <c r="B514">
        <f t="shared" ref="B514:B577" si="24">IF(A514="",ROUNDUP(AVERAGE($A$2:$A$1000),0),A514)</f>
        <v>21</v>
      </c>
      <c r="F514">
        <v>89.01</v>
      </c>
      <c r="G514">
        <f t="shared" si="22"/>
        <v>89.01</v>
      </c>
      <c r="J514" t="s">
        <v>111</v>
      </c>
      <c r="K514" t="str">
        <f t="shared" si="23"/>
        <v>Returned</v>
      </c>
      <c r="N514" t="s">
        <v>40</v>
      </c>
      <c r="O514" t="str">
        <f>IF(N514="",INDEX({"Low","Medium","High"},MATCH(MAX(COUNTIF($N$2:$N$1000,{"Low","Medium","High"})),COUNTIF($N$2:$N$1000,{"Low","Medium","High"}),0)),N514)</f>
        <v>Medium</v>
      </c>
    </row>
    <row r="515" spans="1:15" x14ac:dyDescent="0.25">
      <c r="A515">
        <v>47</v>
      </c>
      <c r="B515">
        <f t="shared" si="24"/>
        <v>47</v>
      </c>
      <c r="F515">
        <v>33.94</v>
      </c>
      <c r="G515">
        <f t="shared" ref="G515:G578" si="25">IF(F515="",ROUNDUP(AVERAGE($F$2:$F$1000),0),F515)</f>
        <v>33.94</v>
      </c>
      <c r="J515" t="s">
        <v>22</v>
      </c>
      <c r="K515" t="str">
        <f t="shared" ref="K515:K578" si="26">IF(J515="","Unknown",J515)</f>
        <v>Not Returned</v>
      </c>
      <c r="N515" t="s">
        <v>40</v>
      </c>
      <c r="O515" t="str">
        <f>IF(N515="",INDEX({"Low","Medium","High"},MATCH(MAX(COUNTIF($N$2:$N$1000,{"Low","Medium","High"})),COUNTIF($N$2:$N$1000,{"Low","Medium","High"}),0)),N515)</f>
        <v>Medium</v>
      </c>
    </row>
    <row r="516" spans="1:15" x14ac:dyDescent="0.25">
      <c r="A516">
        <v>2</v>
      </c>
      <c r="B516">
        <f t="shared" si="24"/>
        <v>2</v>
      </c>
      <c r="F516">
        <v>72.84</v>
      </c>
      <c r="G516">
        <f t="shared" si="25"/>
        <v>72.84</v>
      </c>
      <c r="J516" t="s">
        <v>22</v>
      </c>
      <c r="K516" t="str">
        <f t="shared" si="26"/>
        <v>Not Returned</v>
      </c>
      <c r="N516" t="s">
        <v>25</v>
      </c>
      <c r="O516" t="str">
        <f>IF(N516="",INDEX({"Low","Medium","High"},MATCH(MAX(COUNTIF($N$2:$N$1000,{"Low","Medium","High"})),COUNTIF($N$2:$N$1000,{"Low","Medium","High"}),0)),N516)</f>
        <v>Low</v>
      </c>
    </row>
    <row r="517" spans="1:15" x14ac:dyDescent="0.25">
      <c r="A517">
        <v>22</v>
      </c>
      <c r="B517">
        <f t="shared" si="24"/>
        <v>22</v>
      </c>
      <c r="F517">
        <v>45.43</v>
      </c>
      <c r="G517">
        <f t="shared" si="25"/>
        <v>45.43</v>
      </c>
      <c r="J517" t="s">
        <v>22</v>
      </c>
      <c r="K517" t="str">
        <f t="shared" si="26"/>
        <v>Not Returned</v>
      </c>
      <c r="N517" t="s">
        <v>40</v>
      </c>
      <c r="O517" t="str">
        <f>IF(N517="",INDEX({"Low","Medium","High"},MATCH(MAX(COUNTIF($N$2:$N$1000,{"Low","Medium","High"})),COUNTIF($N$2:$N$1000,{"Low","Medium","High"}),0)),N517)</f>
        <v>Medium</v>
      </c>
    </row>
    <row r="518" spans="1:15" x14ac:dyDescent="0.25">
      <c r="A518">
        <v>12</v>
      </c>
      <c r="B518">
        <f t="shared" si="24"/>
        <v>12</v>
      </c>
      <c r="F518">
        <v>36.85</v>
      </c>
      <c r="G518">
        <f t="shared" si="25"/>
        <v>36.85</v>
      </c>
      <c r="J518" t="s">
        <v>22</v>
      </c>
      <c r="K518" t="str">
        <f t="shared" si="26"/>
        <v>Not Returned</v>
      </c>
      <c r="N518" t="s">
        <v>34</v>
      </c>
      <c r="O518" t="str">
        <f>IF(N518="",INDEX({"Low","Medium","High"},MATCH(MAX(COUNTIF($N$2:$N$1000,{"Low","Medium","High"})),COUNTIF($N$2:$N$1000,{"Low","Medium","High"}),0)),N518)</f>
        <v>High</v>
      </c>
    </row>
    <row r="519" spans="1:15" x14ac:dyDescent="0.25">
      <c r="A519">
        <v>26</v>
      </c>
      <c r="B519">
        <f t="shared" si="24"/>
        <v>26</v>
      </c>
      <c r="F519">
        <v>58.36</v>
      </c>
      <c r="G519">
        <f t="shared" si="25"/>
        <v>58.36</v>
      </c>
      <c r="J519" t="s">
        <v>22</v>
      </c>
      <c r="K519" t="str">
        <f t="shared" si="26"/>
        <v>Not Returned</v>
      </c>
      <c r="N519" t="s">
        <v>25</v>
      </c>
      <c r="O519" t="str">
        <f>IF(N519="",INDEX({"Low","Medium","High"},MATCH(MAX(COUNTIF($N$2:$N$1000,{"Low","Medium","High"})),COUNTIF($N$2:$N$1000,{"Low","Medium","High"}),0)),N519)</f>
        <v>Low</v>
      </c>
    </row>
    <row r="520" spans="1:15" x14ac:dyDescent="0.25">
      <c r="A520">
        <v>5</v>
      </c>
      <c r="B520">
        <f t="shared" si="24"/>
        <v>5</v>
      </c>
      <c r="F520">
        <v>28.61</v>
      </c>
      <c r="G520">
        <f t="shared" si="25"/>
        <v>28.61</v>
      </c>
      <c r="J520" t="s">
        <v>111</v>
      </c>
      <c r="K520" t="str">
        <f t="shared" si="26"/>
        <v>Returned</v>
      </c>
      <c r="N520" t="s">
        <v>25</v>
      </c>
      <c r="O520" t="str">
        <f>IF(N520="",INDEX({"Low","Medium","High"},MATCH(MAX(COUNTIF($N$2:$N$1000,{"Low","Medium","High"})),COUNTIF($N$2:$N$1000,{"Low","Medium","High"}),0)),N520)</f>
        <v>Low</v>
      </c>
    </row>
    <row r="521" spans="1:15" x14ac:dyDescent="0.25">
      <c r="A521">
        <v>29</v>
      </c>
      <c r="B521">
        <f t="shared" si="24"/>
        <v>29</v>
      </c>
      <c r="F521">
        <v>81.08</v>
      </c>
      <c r="G521">
        <f t="shared" si="25"/>
        <v>81.08</v>
      </c>
      <c r="J521" t="s">
        <v>22</v>
      </c>
      <c r="K521" t="str">
        <f t="shared" si="26"/>
        <v>Not Returned</v>
      </c>
      <c r="N521" t="s">
        <v>25</v>
      </c>
      <c r="O521" t="str">
        <f>IF(N521="",INDEX({"Low","Medium","High"},MATCH(MAX(COUNTIF($N$2:$N$1000,{"Low","Medium","High"})),COUNTIF($N$2:$N$1000,{"Low","Medium","High"}),0)),N521)</f>
        <v>Low</v>
      </c>
    </row>
    <row r="522" spans="1:15" x14ac:dyDescent="0.25">
      <c r="A522">
        <v>1</v>
      </c>
      <c r="B522">
        <f t="shared" si="24"/>
        <v>1</v>
      </c>
      <c r="F522">
        <v>89.58</v>
      </c>
      <c r="G522">
        <f t="shared" si="25"/>
        <v>89.58</v>
      </c>
      <c r="J522" t="s">
        <v>22</v>
      </c>
      <c r="K522" t="str">
        <f t="shared" si="26"/>
        <v>Not Returned</v>
      </c>
      <c r="N522" t="s">
        <v>25</v>
      </c>
      <c r="O522" t="str">
        <f>IF(N522="",INDEX({"Low","Medium","High"},MATCH(MAX(COUNTIF($N$2:$N$1000,{"Low","Medium","High"})),COUNTIF($N$2:$N$1000,{"Low","Medium","High"}),0)),N522)</f>
        <v>Low</v>
      </c>
    </row>
    <row r="523" spans="1:15" x14ac:dyDescent="0.25">
      <c r="A523">
        <v>32</v>
      </c>
      <c r="B523">
        <f t="shared" si="24"/>
        <v>32</v>
      </c>
      <c r="F523">
        <v>18.98</v>
      </c>
      <c r="G523">
        <f t="shared" si="25"/>
        <v>18.98</v>
      </c>
      <c r="J523" t="s">
        <v>22</v>
      </c>
      <c r="K523" t="str">
        <f t="shared" si="26"/>
        <v>Not Returned</v>
      </c>
      <c r="N523" t="s">
        <v>34</v>
      </c>
      <c r="O523" t="str">
        <f>IF(N523="",INDEX({"Low","Medium","High"},MATCH(MAX(COUNTIF($N$2:$N$1000,{"Low","Medium","High"})),COUNTIF($N$2:$N$1000,{"Low","Medium","High"}),0)),N523)</f>
        <v>High</v>
      </c>
    </row>
    <row r="524" spans="1:15" x14ac:dyDescent="0.25">
      <c r="A524">
        <v>34</v>
      </c>
      <c r="B524">
        <f t="shared" si="24"/>
        <v>34</v>
      </c>
      <c r="F524">
        <v>88.22</v>
      </c>
      <c r="G524">
        <f t="shared" si="25"/>
        <v>88.22</v>
      </c>
      <c r="J524" t="s">
        <v>22</v>
      </c>
      <c r="K524" t="str">
        <f t="shared" si="26"/>
        <v>Not Returned</v>
      </c>
      <c r="N524" t="s">
        <v>34</v>
      </c>
      <c r="O524" t="str">
        <f>IF(N524="",INDEX({"Low","Medium","High"},MATCH(MAX(COUNTIF($N$2:$N$1000,{"Low","Medium","High"})),COUNTIF($N$2:$N$1000,{"Low","Medium","High"}),0)),N524)</f>
        <v>High</v>
      </c>
    </row>
    <row r="525" spans="1:15" x14ac:dyDescent="0.25">
      <c r="A525">
        <v>17</v>
      </c>
      <c r="B525">
        <f t="shared" si="24"/>
        <v>17</v>
      </c>
      <c r="F525">
        <v>60.47</v>
      </c>
      <c r="G525">
        <f t="shared" si="25"/>
        <v>60.47</v>
      </c>
      <c r="J525" t="s">
        <v>22</v>
      </c>
      <c r="K525" t="str">
        <f t="shared" si="26"/>
        <v>Not Returned</v>
      </c>
      <c r="N525" t="s">
        <v>25</v>
      </c>
      <c r="O525" t="str">
        <f>IF(N525="",INDEX({"Low","Medium","High"},MATCH(MAX(COUNTIF($N$2:$N$1000,{"Low","Medium","High"})),COUNTIF($N$2:$N$1000,{"Low","Medium","High"}),0)),N525)</f>
        <v>Low</v>
      </c>
    </row>
    <row r="526" spans="1:15" x14ac:dyDescent="0.25">
      <c r="A526">
        <v>27</v>
      </c>
      <c r="B526">
        <f t="shared" si="24"/>
        <v>27</v>
      </c>
      <c r="F526">
        <v>19.18</v>
      </c>
      <c r="G526">
        <f t="shared" si="25"/>
        <v>19.18</v>
      </c>
      <c r="J526" t="s">
        <v>22</v>
      </c>
      <c r="K526" t="str">
        <f t="shared" si="26"/>
        <v>Not Returned</v>
      </c>
      <c r="N526" t="s">
        <v>40</v>
      </c>
      <c r="O526" t="str">
        <f>IF(N526="",INDEX({"Low","Medium","High"},MATCH(MAX(COUNTIF($N$2:$N$1000,{"Low","Medium","High"})),COUNTIF($N$2:$N$1000,{"Low","Medium","High"}),0)),N526)</f>
        <v>Medium</v>
      </c>
    </row>
    <row r="527" spans="1:15" x14ac:dyDescent="0.25">
      <c r="A527">
        <v>15</v>
      </c>
      <c r="B527">
        <f t="shared" si="24"/>
        <v>15</v>
      </c>
      <c r="F527">
        <v>24.66</v>
      </c>
      <c r="G527">
        <f t="shared" si="25"/>
        <v>24.66</v>
      </c>
      <c r="J527" t="s">
        <v>111</v>
      </c>
      <c r="K527" t="str">
        <f t="shared" si="26"/>
        <v>Returned</v>
      </c>
      <c r="N527" t="s">
        <v>34</v>
      </c>
      <c r="O527" t="str">
        <f>IF(N527="",INDEX({"Low","Medium","High"},MATCH(MAX(COUNTIF($N$2:$N$1000,{"Low","Medium","High"})),COUNTIF($N$2:$N$1000,{"Low","Medium","High"}),0)),N527)</f>
        <v>High</v>
      </c>
    </row>
    <row r="528" spans="1:15" x14ac:dyDescent="0.25">
      <c r="A528">
        <v>13</v>
      </c>
      <c r="B528">
        <f t="shared" si="24"/>
        <v>13</v>
      </c>
      <c r="F528">
        <v>22.52</v>
      </c>
      <c r="G528">
        <f t="shared" si="25"/>
        <v>22.52</v>
      </c>
      <c r="J528" t="s">
        <v>22</v>
      </c>
      <c r="K528" t="str">
        <f t="shared" si="26"/>
        <v>Not Returned</v>
      </c>
      <c r="N528" t="s">
        <v>34</v>
      </c>
      <c r="O528" t="str">
        <f>IF(N528="",INDEX({"Low","Medium","High"},MATCH(MAX(COUNTIF($N$2:$N$1000,{"Low","Medium","High"})),COUNTIF($N$2:$N$1000,{"Low","Medium","High"}),0)),N528)</f>
        <v>High</v>
      </c>
    </row>
    <row r="529" spans="1:15" x14ac:dyDescent="0.25">
      <c r="A529">
        <v>14</v>
      </c>
      <c r="B529">
        <f t="shared" si="24"/>
        <v>14</v>
      </c>
      <c r="F529">
        <v>27.22</v>
      </c>
      <c r="G529">
        <f t="shared" si="25"/>
        <v>27.22</v>
      </c>
      <c r="J529" t="s">
        <v>22</v>
      </c>
      <c r="K529" t="str">
        <f t="shared" si="26"/>
        <v>Not Returned</v>
      </c>
      <c r="N529" t="s">
        <v>34</v>
      </c>
      <c r="O529" t="str">
        <f>IF(N529="",INDEX({"Low","Medium","High"},MATCH(MAX(COUNTIF($N$2:$N$1000,{"Low","Medium","High"})),COUNTIF($N$2:$N$1000,{"Low","Medium","High"}),0)),N529)</f>
        <v>High</v>
      </c>
    </row>
    <row r="530" spans="1:15" x14ac:dyDescent="0.25">
      <c r="A530">
        <v>42</v>
      </c>
      <c r="B530">
        <f t="shared" si="24"/>
        <v>42</v>
      </c>
      <c r="F530">
        <v>75.62</v>
      </c>
      <c r="G530">
        <f t="shared" si="25"/>
        <v>75.62</v>
      </c>
      <c r="J530" t="s">
        <v>22</v>
      </c>
      <c r="K530" t="str">
        <f t="shared" si="26"/>
        <v>Not Returned</v>
      </c>
      <c r="N530" t="s">
        <v>40</v>
      </c>
      <c r="O530" t="str">
        <f>IF(N530="",INDEX({"Low","Medium","High"},MATCH(MAX(COUNTIF($N$2:$N$1000,{"Low","Medium","High"})),COUNTIF($N$2:$N$1000,{"Low","Medium","High"}),0)),N530)</f>
        <v>Medium</v>
      </c>
    </row>
    <row r="531" spans="1:15" x14ac:dyDescent="0.25">
      <c r="A531">
        <v>43</v>
      </c>
      <c r="B531">
        <f t="shared" si="24"/>
        <v>43</v>
      </c>
      <c r="F531">
        <v>71.900000000000006</v>
      </c>
      <c r="G531">
        <f t="shared" si="25"/>
        <v>71.900000000000006</v>
      </c>
      <c r="J531" t="s">
        <v>22</v>
      </c>
      <c r="K531" t="str">
        <f t="shared" si="26"/>
        <v>Not Returned</v>
      </c>
      <c r="N531" t="s">
        <v>40</v>
      </c>
      <c r="O531" t="str">
        <f>IF(N531="",INDEX({"Low","Medium","High"},MATCH(MAX(COUNTIF($N$2:$N$1000,{"Low","Medium","High"})),COUNTIF($N$2:$N$1000,{"Low","Medium","High"}),0)),N531)</f>
        <v>Medium</v>
      </c>
    </row>
    <row r="532" spans="1:15" x14ac:dyDescent="0.25">
      <c r="A532">
        <v>44</v>
      </c>
      <c r="B532">
        <f t="shared" si="24"/>
        <v>44</v>
      </c>
      <c r="F532">
        <v>55.51</v>
      </c>
      <c r="G532">
        <f t="shared" si="25"/>
        <v>55.51</v>
      </c>
      <c r="J532" t="s">
        <v>22</v>
      </c>
      <c r="K532" t="str">
        <f t="shared" si="26"/>
        <v>Not Returned</v>
      </c>
      <c r="N532" t="s">
        <v>40</v>
      </c>
      <c r="O532" t="str">
        <f>IF(N532="",INDEX({"Low","Medium","High"},MATCH(MAX(COUNTIF($N$2:$N$1000,{"Low","Medium","High"})),COUNTIF($N$2:$N$1000,{"Low","Medium","High"}),0)),N532)</f>
        <v>Medium</v>
      </c>
    </row>
    <row r="533" spans="1:15" x14ac:dyDescent="0.25">
      <c r="A533">
        <v>33</v>
      </c>
      <c r="B533">
        <f t="shared" si="24"/>
        <v>33</v>
      </c>
      <c r="F533">
        <v>53.49</v>
      </c>
      <c r="G533">
        <f t="shared" si="25"/>
        <v>53.49</v>
      </c>
      <c r="J533" t="s">
        <v>22</v>
      </c>
      <c r="K533" t="str">
        <f t="shared" si="26"/>
        <v>Not Returned</v>
      </c>
      <c r="N533" t="s">
        <v>40</v>
      </c>
      <c r="O533" t="str">
        <f>IF(N533="",INDEX({"Low","Medium","High"},MATCH(MAX(COUNTIF($N$2:$N$1000,{"Low","Medium","High"})),COUNTIF($N$2:$N$1000,{"Low","Medium","High"}),0)),N533)</f>
        <v>Medium</v>
      </c>
    </row>
    <row r="534" spans="1:15" x14ac:dyDescent="0.25">
      <c r="A534">
        <v>37</v>
      </c>
      <c r="B534">
        <f t="shared" si="24"/>
        <v>37</v>
      </c>
      <c r="F534">
        <v>2.66</v>
      </c>
      <c r="G534">
        <f t="shared" si="25"/>
        <v>2.66</v>
      </c>
      <c r="J534" t="s">
        <v>22</v>
      </c>
      <c r="K534" t="str">
        <f t="shared" si="26"/>
        <v>Not Returned</v>
      </c>
      <c r="N534" t="s">
        <v>25</v>
      </c>
      <c r="O534" t="str">
        <f>IF(N534="",INDEX({"Low","Medium","High"},MATCH(MAX(COUNTIF($N$2:$N$1000,{"Low","Medium","High"})),COUNTIF($N$2:$N$1000,{"Low","Medium","High"}),0)),N534)</f>
        <v>Low</v>
      </c>
    </row>
    <row r="535" spans="1:15" x14ac:dyDescent="0.25">
      <c r="A535">
        <v>29</v>
      </c>
      <c r="B535">
        <f t="shared" si="24"/>
        <v>29</v>
      </c>
      <c r="F535">
        <v>7.42</v>
      </c>
      <c r="G535">
        <f t="shared" si="25"/>
        <v>7.42</v>
      </c>
      <c r="J535" t="s">
        <v>22</v>
      </c>
      <c r="K535" t="str">
        <f t="shared" si="26"/>
        <v>Not Returned</v>
      </c>
      <c r="N535" t="s">
        <v>40</v>
      </c>
      <c r="O535" t="str">
        <f>IF(N535="",INDEX({"Low","Medium","High"},MATCH(MAX(COUNTIF($N$2:$N$1000,{"Low","Medium","High"})),COUNTIF($N$2:$N$1000,{"Low","Medium","High"}),0)),N535)</f>
        <v>Medium</v>
      </c>
    </row>
    <row r="536" spans="1:15" x14ac:dyDescent="0.25">
      <c r="A536">
        <v>18</v>
      </c>
      <c r="B536">
        <f t="shared" si="24"/>
        <v>18</v>
      </c>
      <c r="F536">
        <v>84.2</v>
      </c>
      <c r="G536">
        <f t="shared" si="25"/>
        <v>84.2</v>
      </c>
      <c r="J536" t="s">
        <v>22</v>
      </c>
      <c r="K536" t="str">
        <f t="shared" si="26"/>
        <v>Not Returned</v>
      </c>
      <c r="N536" t="s">
        <v>25</v>
      </c>
      <c r="O536" t="str">
        <f>IF(N536="",INDEX({"Low","Medium","High"},MATCH(MAX(COUNTIF($N$2:$N$1000,{"Low","Medium","High"})),COUNTIF($N$2:$N$1000,{"Low","Medium","High"}),0)),N536)</f>
        <v>Low</v>
      </c>
    </row>
    <row r="537" spans="1:15" x14ac:dyDescent="0.25">
      <c r="A537">
        <v>32</v>
      </c>
      <c r="B537">
        <f t="shared" si="24"/>
        <v>32</v>
      </c>
      <c r="F537">
        <v>89.09</v>
      </c>
      <c r="G537">
        <f t="shared" si="25"/>
        <v>89.09</v>
      </c>
      <c r="J537" t="s">
        <v>22</v>
      </c>
      <c r="K537" t="str">
        <f t="shared" si="26"/>
        <v>Not Returned</v>
      </c>
      <c r="N537" t="s">
        <v>34</v>
      </c>
      <c r="O537" t="str">
        <f>IF(N537="",INDEX({"Low","Medium","High"},MATCH(MAX(COUNTIF($N$2:$N$1000,{"Low","Medium","High"})),COUNTIF($N$2:$N$1000,{"Low","Medium","High"}),0)),N537)</f>
        <v>High</v>
      </c>
    </row>
    <row r="538" spans="1:15" x14ac:dyDescent="0.25">
      <c r="A538">
        <v>17</v>
      </c>
      <c r="B538">
        <f t="shared" si="24"/>
        <v>17</v>
      </c>
      <c r="F538">
        <v>65.66</v>
      </c>
      <c r="G538">
        <f t="shared" si="25"/>
        <v>65.66</v>
      </c>
      <c r="J538" t="s">
        <v>22</v>
      </c>
      <c r="K538" t="str">
        <f t="shared" si="26"/>
        <v>Not Returned</v>
      </c>
      <c r="N538" t="s">
        <v>40</v>
      </c>
      <c r="O538" t="str">
        <f>IF(N538="",INDEX({"Low","Medium","High"},MATCH(MAX(COUNTIF($N$2:$N$1000,{"Low","Medium","High"})),COUNTIF($N$2:$N$1000,{"Low","Medium","High"}),0)),N538)</f>
        <v>Medium</v>
      </c>
    </row>
    <row r="539" spans="1:15" x14ac:dyDescent="0.25">
      <c r="A539">
        <v>1</v>
      </c>
      <c r="B539">
        <f t="shared" si="24"/>
        <v>1</v>
      </c>
      <c r="F539">
        <v>79.09</v>
      </c>
      <c r="G539">
        <f t="shared" si="25"/>
        <v>79.09</v>
      </c>
      <c r="J539" t="s">
        <v>22</v>
      </c>
      <c r="K539" t="str">
        <f t="shared" si="26"/>
        <v>Not Returned</v>
      </c>
      <c r="N539" t="s">
        <v>34</v>
      </c>
      <c r="O539" t="str">
        <f>IF(N539="",INDEX({"Low","Medium","High"},MATCH(MAX(COUNTIF($N$2:$N$1000,{"Low","Medium","High"})),COUNTIF($N$2:$N$1000,{"Low","Medium","High"}),0)),N539)</f>
        <v>High</v>
      </c>
    </row>
    <row r="540" spans="1:15" x14ac:dyDescent="0.25">
      <c r="A540">
        <v>3</v>
      </c>
      <c r="B540">
        <f t="shared" si="24"/>
        <v>3</v>
      </c>
      <c r="F540">
        <v>81.94</v>
      </c>
      <c r="G540">
        <f t="shared" si="25"/>
        <v>81.94</v>
      </c>
      <c r="J540" t="s">
        <v>22</v>
      </c>
      <c r="K540" t="str">
        <f t="shared" si="26"/>
        <v>Not Returned</v>
      </c>
      <c r="N540" t="s">
        <v>34</v>
      </c>
      <c r="O540" t="str">
        <f>IF(N540="",INDEX({"Low","Medium","High"},MATCH(MAX(COUNTIF($N$2:$N$1000,{"Low","Medium","High"})),COUNTIF($N$2:$N$1000,{"Low","Medium","High"}),0)),N540)</f>
        <v>High</v>
      </c>
    </row>
    <row r="541" spans="1:15" x14ac:dyDescent="0.25">
      <c r="A541">
        <v>29</v>
      </c>
      <c r="B541">
        <f t="shared" si="24"/>
        <v>29</v>
      </c>
      <c r="F541">
        <v>58.15</v>
      </c>
      <c r="G541">
        <f t="shared" si="25"/>
        <v>58.15</v>
      </c>
      <c r="J541" t="s">
        <v>22</v>
      </c>
      <c r="K541" t="str">
        <f t="shared" si="26"/>
        <v>Not Returned</v>
      </c>
      <c r="N541" t="s">
        <v>40</v>
      </c>
      <c r="O541" t="str">
        <f>IF(N541="",INDEX({"Low","Medium","High"},MATCH(MAX(COUNTIF($N$2:$N$1000,{"Low","Medium","High"})),COUNTIF($N$2:$N$1000,{"Low","Medium","High"}),0)),N541)</f>
        <v>Medium</v>
      </c>
    </row>
    <row r="542" spans="1:15" x14ac:dyDescent="0.25">
      <c r="A542">
        <v>45</v>
      </c>
      <c r="B542">
        <f t="shared" si="24"/>
        <v>45</v>
      </c>
      <c r="F542">
        <v>35.97</v>
      </c>
      <c r="G542">
        <f t="shared" si="25"/>
        <v>35.97</v>
      </c>
      <c r="J542" t="s">
        <v>22</v>
      </c>
      <c r="K542" t="str">
        <f t="shared" si="26"/>
        <v>Not Returned</v>
      </c>
      <c r="N542" t="s">
        <v>40</v>
      </c>
      <c r="O542" t="str">
        <f>IF(N542="",INDEX({"Low","Medium","High"},MATCH(MAX(COUNTIF($N$2:$N$1000,{"Low","Medium","High"})),COUNTIF($N$2:$N$1000,{"Low","Medium","High"}),0)),N542)</f>
        <v>Medium</v>
      </c>
    </row>
    <row r="543" spans="1:15" x14ac:dyDescent="0.25">
      <c r="A543">
        <v>38</v>
      </c>
      <c r="B543">
        <f t="shared" si="24"/>
        <v>38</v>
      </c>
      <c r="F543">
        <v>36.86</v>
      </c>
      <c r="G543">
        <f t="shared" si="25"/>
        <v>36.86</v>
      </c>
      <c r="J543" t="s">
        <v>22</v>
      </c>
      <c r="K543" t="str">
        <f t="shared" si="26"/>
        <v>Not Returned</v>
      </c>
      <c r="N543" t="s">
        <v>34</v>
      </c>
      <c r="O543" t="str">
        <f>IF(N543="",INDEX({"Low","Medium","High"},MATCH(MAX(COUNTIF($N$2:$N$1000,{"Low","Medium","High"})),COUNTIF($N$2:$N$1000,{"Low","Medium","High"}),0)),N543)</f>
        <v>High</v>
      </c>
    </row>
    <row r="544" spans="1:15" x14ac:dyDescent="0.25">
      <c r="A544">
        <v>30</v>
      </c>
      <c r="B544">
        <f t="shared" si="24"/>
        <v>30</v>
      </c>
      <c r="F544">
        <v>94.84</v>
      </c>
      <c r="G544">
        <f t="shared" si="25"/>
        <v>94.84</v>
      </c>
      <c r="J544" t="s">
        <v>22</v>
      </c>
      <c r="K544" t="str">
        <f t="shared" si="26"/>
        <v>Not Returned</v>
      </c>
      <c r="N544" t="s">
        <v>40</v>
      </c>
      <c r="O544" t="str">
        <f>IF(N544="",INDEX({"Low","Medium","High"},MATCH(MAX(COUNTIF($N$2:$N$1000,{"Low","Medium","High"})),COUNTIF($N$2:$N$1000,{"Low","Medium","High"}),0)),N544)</f>
        <v>Medium</v>
      </c>
    </row>
    <row r="545" spans="1:15" x14ac:dyDescent="0.25">
      <c r="A545">
        <v>8</v>
      </c>
      <c r="B545">
        <f t="shared" si="24"/>
        <v>8</v>
      </c>
      <c r="F545">
        <v>69.989999999999995</v>
      </c>
      <c r="G545">
        <f t="shared" si="25"/>
        <v>69.989999999999995</v>
      </c>
      <c r="J545" t="s">
        <v>22</v>
      </c>
      <c r="K545" t="str">
        <f t="shared" si="26"/>
        <v>Not Returned</v>
      </c>
      <c r="N545" t="s">
        <v>40</v>
      </c>
      <c r="O545" t="str">
        <f>IF(N545="",INDEX({"Low","Medium","High"},MATCH(MAX(COUNTIF($N$2:$N$1000,{"Low","Medium","High"})),COUNTIF($N$2:$N$1000,{"Low","Medium","High"}),0)),N545)</f>
        <v>Medium</v>
      </c>
    </row>
    <row r="546" spans="1:15" x14ac:dyDescent="0.25">
      <c r="A546">
        <v>35</v>
      </c>
      <c r="B546">
        <f t="shared" si="24"/>
        <v>35</v>
      </c>
      <c r="F546">
        <v>79.62</v>
      </c>
      <c r="G546">
        <f t="shared" si="25"/>
        <v>79.62</v>
      </c>
      <c r="J546" t="s">
        <v>111</v>
      </c>
      <c r="K546" t="str">
        <f t="shared" si="26"/>
        <v>Returned</v>
      </c>
      <c r="N546" t="s">
        <v>40</v>
      </c>
      <c r="O546" t="str">
        <f>IF(N546="",INDEX({"Low","Medium","High"},MATCH(MAX(COUNTIF($N$2:$N$1000,{"Low","Medium","High"})),COUNTIF($N$2:$N$1000,{"Low","Medium","High"}),0)),N546)</f>
        <v>Medium</v>
      </c>
    </row>
    <row r="547" spans="1:15" x14ac:dyDescent="0.25">
      <c r="A547">
        <v>3</v>
      </c>
      <c r="B547">
        <f t="shared" si="24"/>
        <v>3</v>
      </c>
      <c r="F547">
        <v>75.099999999999994</v>
      </c>
      <c r="G547">
        <f t="shared" si="25"/>
        <v>75.099999999999994</v>
      </c>
      <c r="J547" t="s">
        <v>22</v>
      </c>
      <c r="K547" t="str">
        <f t="shared" si="26"/>
        <v>Not Returned</v>
      </c>
      <c r="N547" t="s">
        <v>34</v>
      </c>
      <c r="O547" t="str">
        <f>IF(N547="",INDEX({"Low","Medium","High"},MATCH(MAX(COUNTIF($N$2:$N$1000,{"Low","Medium","High"})),COUNTIF($N$2:$N$1000,{"Low","Medium","High"}),0)),N547)</f>
        <v>High</v>
      </c>
    </row>
    <row r="548" spans="1:15" x14ac:dyDescent="0.25">
      <c r="A548">
        <v>9</v>
      </c>
      <c r="B548">
        <f t="shared" si="24"/>
        <v>9</v>
      </c>
      <c r="F548">
        <v>78.25</v>
      </c>
      <c r="G548">
        <f t="shared" si="25"/>
        <v>78.25</v>
      </c>
      <c r="J548" t="s">
        <v>22</v>
      </c>
      <c r="K548" t="str">
        <f t="shared" si="26"/>
        <v>Not Returned</v>
      </c>
      <c r="N548" t="s">
        <v>40</v>
      </c>
      <c r="O548" t="str">
        <f>IF(N548="",INDEX({"Low","Medium","High"},MATCH(MAX(COUNTIF($N$2:$N$1000,{"Low","Medium","High"})),COUNTIF($N$2:$N$1000,{"Low","Medium","High"}),0)),N548)</f>
        <v>Medium</v>
      </c>
    </row>
    <row r="549" spans="1:15" x14ac:dyDescent="0.25">
      <c r="A549">
        <v>1</v>
      </c>
      <c r="B549">
        <f t="shared" si="24"/>
        <v>1</v>
      </c>
      <c r="F549">
        <v>71.78</v>
      </c>
      <c r="G549">
        <f t="shared" si="25"/>
        <v>71.78</v>
      </c>
      <c r="J549" t="s">
        <v>22</v>
      </c>
      <c r="K549" t="str">
        <f t="shared" si="26"/>
        <v>Not Returned</v>
      </c>
      <c r="N549" t="s">
        <v>40</v>
      </c>
      <c r="O549" t="str">
        <f>IF(N549="",INDEX({"Low","Medium","High"},MATCH(MAX(COUNTIF($N$2:$N$1000,{"Low","Medium","High"})),COUNTIF($N$2:$N$1000,{"Low","Medium","High"}),0)),N549)</f>
        <v>Medium</v>
      </c>
    </row>
    <row r="550" spans="1:15" x14ac:dyDescent="0.25">
      <c r="A550">
        <v>33</v>
      </c>
      <c r="B550">
        <f t="shared" si="24"/>
        <v>33</v>
      </c>
      <c r="F550">
        <v>8.31</v>
      </c>
      <c r="G550">
        <f t="shared" si="25"/>
        <v>8.31</v>
      </c>
      <c r="J550" t="s">
        <v>22</v>
      </c>
      <c r="K550" t="str">
        <f t="shared" si="26"/>
        <v>Not Returned</v>
      </c>
      <c r="N550" t="s">
        <v>40</v>
      </c>
      <c r="O550" t="str">
        <f>IF(N550="",INDEX({"Low","Medium","High"},MATCH(MAX(COUNTIF($N$2:$N$1000,{"Low","Medium","High"})),COUNTIF($N$2:$N$1000,{"Low","Medium","High"}),0)),N550)</f>
        <v>Medium</v>
      </c>
    </row>
    <row r="551" spans="1:15" x14ac:dyDescent="0.25">
      <c r="A551">
        <v>4</v>
      </c>
      <c r="B551">
        <f t="shared" si="24"/>
        <v>4</v>
      </c>
      <c r="F551">
        <v>63.04</v>
      </c>
      <c r="G551">
        <f t="shared" si="25"/>
        <v>63.04</v>
      </c>
      <c r="J551" t="s">
        <v>22</v>
      </c>
      <c r="K551" t="str">
        <f t="shared" si="26"/>
        <v>Not Returned</v>
      </c>
      <c r="N551" t="s">
        <v>34</v>
      </c>
      <c r="O551" t="str">
        <f>IF(N551="",INDEX({"Low","Medium","High"},MATCH(MAX(COUNTIF($N$2:$N$1000,{"Low","Medium","High"})),COUNTIF($N$2:$N$1000,{"Low","Medium","High"}),0)),N551)</f>
        <v>High</v>
      </c>
    </row>
    <row r="552" spans="1:15" x14ac:dyDescent="0.25">
      <c r="A552">
        <v>15</v>
      </c>
      <c r="B552">
        <f t="shared" si="24"/>
        <v>15</v>
      </c>
      <c r="F552">
        <v>25.82</v>
      </c>
      <c r="G552">
        <f t="shared" si="25"/>
        <v>25.82</v>
      </c>
      <c r="J552" t="s">
        <v>22</v>
      </c>
      <c r="K552" t="str">
        <f t="shared" si="26"/>
        <v>Not Returned</v>
      </c>
      <c r="N552" t="s">
        <v>25</v>
      </c>
      <c r="O552" t="str">
        <f>IF(N552="",INDEX({"Low","Medium","High"},MATCH(MAX(COUNTIF($N$2:$N$1000,{"Low","Medium","High"})),COUNTIF($N$2:$N$1000,{"Low","Medium","High"}),0)),N552)</f>
        <v>Low</v>
      </c>
    </row>
    <row r="553" spans="1:15" x14ac:dyDescent="0.25">
      <c r="A553">
        <v>6</v>
      </c>
      <c r="B553">
        <f t="shared" si="24"/>
        <v>6</v>
      </c>
      <c r="F553">
        <v>1.17</v>
      </c>
      <c r="G553">
        <f t="shared" si="25"/>
        <v>1.17</v>
      </c>
      <c r="J553" t="s">
        <v>111</v>
      </c>
      <c r="K553" t="str">
        <f t="shared" si="26"/>
        <v>Returned</v>
      </c>
      <c r="N553" t="s">
        <v>25</v>
      </c>
      <c r="O553" t="str">
        <f>IF(N553="",INDEX({"Low","Medium","High"},MATCH(MAX(COUNTIF($N$2:$N$1000,{"Low","Medium","High"})),COUNTIF($N$2:$N$1000,{"Low","Medium","High"}),0)),N553)</f>
        <v>Low</v>
      </c>
    </row>
    <row r="554" spans="1:15" x14ac:dyDescent="0.25">
      <c r="A554">
        <v>42</v>
      </c>
      <c r="B554">
        <f t="shared" si="24"/>
        <v>42</v>
      </c>
      <c r="F554">
        <v>48.88</v>
      </c>
      <c r="G554">
        <f t="shared" si="25"/>
        <v>48.88</v>
      </c>
      <c r="J554" t="s">
        <v>22</v>
      </c>
      <c r="K554" t="str">
        <f t="shared" si="26"/>
        <v>Not Returned</v>
      </c>
      <c r="N554" t="s">
        <v>34</v>
      </c>
      <c r="O554" t="str">
        <f>IF(N554="",INDEX({"Low","Medium","High"},MATCH(MAX(COUNTIF($N$2:$N$1000,{"Low","Medium","High"})),COUNTIF($N$2:$N$1000,{"Low","Medium","High"}),0)),N554)</f>
        <v>High</v>
      </c>
    </row>
    <row r="555" spans="1:15" x14ac:dyDescent="0.25">
      <c r="A555">
        <v>35</v>
      </c>
      <c r="B555">
        <f t="shared" si="24"/>
        <v>35</v>
      </c>
      <c r="F555">
        <v>8.9</v>
      </c>
      <c r="G555">
        <f t="shared" si="25"/>
        <v>8.9</v>
      </c>
      <c r="J555" t="s">
        <v>22</v>
      </c>
      <c r="K555" t="str">
        <f t="shared" si="26"/>
        <v>Not Returned</v>
      </c>
      <c r="N555" t="s">
        <v>34</v>
      </c>
      <c r="O555" t="str">
        <f>IF(N555="",INDEX({"Low","Medium","High"},MATCH(MAX(COUNTIF($N$2:$N$1000,{"Low","Medium","High"})),COUNTIF($N$2:$N$1000,{"Low","Medium","High"}),0)),N555)</f>
        <v>High</v>
      </c>
    </row>
    <row r="556" spans="1:15" x14ac:dyDescent="0.25">
      <c r="A556">
        <v>34</v>
      </c>
      <c r="B556">
        <f t="shared" si="24"/>
        <v>34</v>
      </c>
      <c r="F556">
        <v>10.119999999999999</v>
      </c>
      <c r="G556">
        <f t="shared" si="25"/>
        <v>10.119999999999999</v>
      </c>
      <c r="J556" t="s">
        <v>22</v>
      </c>
      <c r="K556" t="str">
        <f t="shared" si="26"/>
        <v>Not Returned</v>
      </c>
      <c r="N556" t="s">
        <v>25</v>
      </c>
      <c r="O556" t="str">
        <f>IF(N556="",INDEX({"Low","Medium","High"},MATCH(MAX(COUNTIF($N$2:$N$1000,{"Low","Medium","High"})),COUNTIF($N$2:$N$1000,{"Low","Medium","High"}),0)),N556)</f>
        <v>Low</v>
      </c>
    </row>
    <row r="557" spans="1:15" x14ac:dyDescent="0.25">
      <c r="A557">
        <v>27</v>
      </c>
      <c r="B557">
        <f t="shared" si="24"/>
        <v>27</v>
      </c>
      <c r="F557">
        <v>50.55</v>
      </c>
      <c r="G557">
        <f t="shared" si="25"/>
        <v>50.55</v>
      </c>
      <c r="J557" t="s">
        <v>22</v>
      </c>
      <c r="K557" t="str">
        <f t="shared" si="26"/>
        <v>Not Returned</v>
      </c>
      <c r="N557" t="s">
        <v>25</v>
      </c>
      <c r="O557" t="str">
        <f>IF(N557="",INDEX({"Low","Medium","High"},MATCH(MAX(COUNTIF($N$2:$N$1000,{"Low","Medium","High"})),COUNTIF($N$2:$N$1000,{"Low","Medium","High"}),0)),N557)</f>
        <v>Low</v>
      </c>
    </row>
    <row r="558" spans="1:15" x14ac:dyDescent="0.25">
      <c r="A558">
        <v>42</v>
      </c>
      <c r="B558">
        <f t="shared" si="24"/>
        <v>42</v>
      </c>
      <c r="F558">
        <v>71.37</v>
      </c>
      <c r="G558">
        <f t="shared" si="25"/>
        <v>71.37</v>
      </c>
      <c r="J558" t="s">
        <v>22</v>
      </c>
      <c r="K558" t="str">
        <f t="shared" si="26"/>
        <v>Not Returned</v>
      </c>
      <c r="N558" t="s">
        <v>34</v>
      </c>
      <c r="O558" t="str">
        <f>IF(N558="",INDEX({"Low","Medium","High"},MATCH(MAX(COUNTIF($N$2:$N$1000,{"Low","Medium","High"})),COUNTIF($N$2:$N$1000,{"Low","Medium","High"}),0)),N558)</f>
        <v>High</v>
      </c>
    </row>
    <row r="559" spans="1:15" x14ac:dyDescent="0.25">
      <c r="A559">
        <v>13</v>
      </c>
      <c r="B559">
        <f t="shared" si="24"/>
        <v>13</v>
      </c>
      <c r="F559">
        <v>53.36</v>
      </c>
      <c r="G559">
        <f t="shared" si="25"/>
        <v>53.36</v>
      </c>
      <c r="J559" t="s">
        <v>22</v>
      </c>
      <c r="K559" t="str">
        <f t="shared" si="26"/>
        <v>Not Returned</v>
      </c>
      <c r="N559" t="s">
        <v>25</v>
      </c>
      <c r="O559" t="str">
        <f>IF(N559="",INDEX({"Low","Medium","High"},MATCH(MAX(COUNTIF($N$2:$N$1000,{"Low","Medium","High"})),COUNTIF($N$2:$N$1000,{"Low","Medium","High"}),0)),N559)</f>
        <v>Low</v>
      </c>
    </row>
    <row r="560" spans="1:15" x14ac:dyDescent="0.25">
      <c r="A560">
        <v>41</v>
      </c>
      <c r="B560">
        <f t="shared" si="24"/>
        <v>41</v>
      </c>
      <c r="F560">
        <v>52.83</v>
      </c>
      <c r="G560">
        <f t="shared" si="25"/>
        <v>52.83</v>
      </c>
      <c r="J560" t="s">
        <v>22</v>
      </c>
      <c r="K560" t="str">
        <f t="shared" si="26"/>
        <v>Not Returned</v>
      </c>
      <c r="N560" t="s">
        <v>40</v>
      </c>
      <c r="O560" t="str">
        <f>IF(N560="",INDEX({"Low","Medium","High"},MATCH(MAX(COUNTIF($N$2:$N$1000,{"Low","Medium","High"})),COUNTIF($N$2:$N$1000,{"Low","Medium","High"}),0)),N560)</f>
        <v>Medium</v>
      </c>
    </row>
    <row r="561" spans="1:15" x14ac:dyDescent="0.25">
      <c r="A561">
        <v>22</v>
      </c>
      <c r="B561">
        <f t="shared" si="24"/>
        <v>22</v>
      </c>
      <c r="F561">
        <v>8.6199999999999992</v>
      </c>
      <c r="G561">
        <f t="shared" si="25"/>
        <v>8.6199999999999992</v>
      </c>
      <c r="J561" t="s">
        <v>22</v>
      </c>
      <c r="K561" t="str">
        <f t="shared" si="26"/>
        <v>Not Returned</v>
      </c>
      <c r="N561" t="s">
        <v>25</v>
      </c>
      <c r="O561" t="str">
        <f>IF(N561="",INDEX({"Low","Medium","High"},MATCH(MAX(COUNTIF($N$2:$N$1000,{"Low","Medium","High"})),COUNTIF($N$2:$N$1000,{"Low","Medium","High"}),0)),N561)</f>
        <v>Low</v>
      </c>
    </row>
    <row r="562" spans="1:15" x14ac:dyDescent="0.25">
      <c r="A562">
        <v>40</v>
      </c>
      <c r="B562">
        <f t="shared" si="24"/>
        <v>40</v>
      </c>
      <c r="F562">
        <v>71.47</v>
      </c>
      <c r="G562">
        <f t="shared" si="25"/>
        <v>71.47</v>
      </c>
      <c r="J562" t="s">
        <v>22</v>
      </c>
      <c r="K562" t="str">
        <f t="shared" si="26"/>
        <v>Not Returned</v>
      </c>
      <c r="N562" t="s">
        <v>25</v>
      </c>
      <c r="O562" t="str">
        <f>IF(N562="",INDEX({"Low","Medium","High"},MATCH(MAX(COUNTIF($N$2:$N$1000,{"Low","Medium","High"})),COUNTIF($N$2:$N$1000,{"Low","Medium","High"}),0)),N562)</f>
        <v>Low</v>
      </c>
    </row>
    <row r="563" spans="1:15" x14ac:dyDescent="0.25">
      <c r="A563">
        <v>29</v>
      </c>
      <c r="B563">
        <f t="shared" si="24"/>
        <v>29</v>
      </c>
      <c r="F563">
        <v>19.86</v>
      </c>
      <c r="G563">
        <f t="shared" si="25"/>
        <v>19.86</v>
      </c>
      <c r="J563" t="s">
        <v>22</v>
      </c>
      <c r="K563" t="str">
        <f t="shared" si="26"/>
        <v>Not Returned</v>
      </c>
      <c r="N563" t="s">
        <v>25</v>
      </c>
      <c r="O563" t="str">
        <f>IF(N563="",INDEX({"Low","Medium","High"},MATCH(MAX(COUNTIF($N$2:$N$1000,{"Low","Medium","High"})),COUNTIF($N$2:$N$1000,{"Low","Medium","High"}),0)),N563)</f>
        <v>Low</v>
      </c>
    </row>
    <row r="564" spans="1:15" x14ac:dyDescent="0.25">
      <c r="A564">
        <v>37</v>
      </c>
      <c r="B564">
        <f t="shared" si="24"/>
        <v>37</v>
      </c>
      <c r="F564">
        <v>43.68</v>
      </c>
      <c r="G564">
        <f t="shared" si="25"/>
        <v>43.68</v>
      </c>
      <c r="J564" t="s">
        <v>22</v>
      </c>
      <c r="K564" t="str">
        <f t="shared" si="26"/>
        <v>Not Returned</v>
      </c>
      <c r="N564" t="s">
        <v>34</v>
      </c>
      <c r="O564" t="str">
        <f>IF(N564="",INDEX({"Low","Medium","High"},MATCH(MAX(COUNTIF($N$2:$N$1000,{"Low","Medium","High"})),COUNTIF($N$2:$N$1000,{"Low","Medium","High"}),0)),N564)</f>
        <v>High</v>
      </c>
    </row>
    <row r="565" spans="1:15" x14ac:dyDescent="0.25">
      <c r="A565">
        <v>43</v>
      </c>
      <c r="B565">
        <f t="shared" si="24"/>
        <v>43</v>
      </c>
      <c r="F565">
        <v>80.34</v>
      </c>
      <c r="G565">
        <f t="shared" si="25"/>
        <v>80.34</v>
      </c>
      <c r="J565" t="s">
        <v>22</v>
      </c>
      <c r="K565" t="str">
        <f t="shared" si="26"/>
        <v>Not Returned</v>
      </c>
      <c r="N565" t="s">
        <v>40</v>
      </c>
      <c r="O565" t="str">
        <f>IF(N565="",INDEX({"Low","Medium","High"},MATCH(MAX(COUNTIF($N$2:$N$1000,{"Low","Medium","High"})),COUNTIF($N$2:$N$1000,{"Low","Medium","High"}),0)),N565)</f>
        <v>Medium</v>
      </c>
    </row>
    <row r="566" spans="1:15" x14ac:dyDescent="0.25">
      <c r="A566">
        <v>45</v>
      </c>
      <c r="B566">
        <f t="shared" si="24"/>
        <v>45</v>
      </c>
      <c r="F566">
        <v>97.53</v>
      </c>
      <c r="G566">
        <f t="shared" si="25"/>
        <v>97.53</v>
      </c>
      <c r="J566" t="s">
        <v>22</v>
      </c>
      <c r="K566" t="str">
        <f t="shared" si="26"/>
        <v>Not Returned</v>
      </c>
      <c r="N566" t="s">
        <v>34</v>
      </c>
      <c r="O566" t="str">
        <f>IF(N566="",INDEX({"Low","Medium","High"},MATCH(MAX(COUNTIF($N$2:$N$1000,{"Low","Medium","High"})),COUNTIF($N$2:$N$1000,{"Low","Medium","High"}),0)),N566)</f>
        <v>High</v>
      </c>
    </row>
    <row r="567" spans="1:15" x14ac:dyDescent="0.25">
      <c r="A567">
        <v>12</v>
      </c>
      <c r="B567">
        <f t="shared" si="24"/>
        <v>12</v>
      </c>
      <c r="F567">
        <v>63.64</v>
      </c>
      <c r="G567">
        <f t="shared" si="25"/>
        <v>63.64</v>
      </c>
      <c r="J567" t="s">
        <v>22</v>
      </c>
      <c r="K567" t="str">
        <f t="shared" si="26"/>
        <v>Not Returned</v>
      </c>
      <c r="N567" t="s">
        <v>40</v>
      </c>
      <c r="O567" t="str">
        <f>IF(N567="",INDEX({"Low","Medium","High"},MATCH(MAX(COUNTIF($N$2:$N$1000,{"Low","Medium","High"})),COUNTIF($N$2:$N$1000,{"Low","Medium","High"}),0)),N567)</f>
        <v>Medium</v>
      </c>
    </row>
    <row r="568" spans="1:15" x14ac:dyDescent="0.25">
      <c r="A568">
        <v>41</v>
      </c>
      <c r="B568">
        <f t="shared" si="24"/>
        <v>41</v>
      </c>
      <c r="F568">
        <v>54.41</v>
      </c>
      <c r="G568">
        <f t="shared" si="25"/>
        <v>54.41</v>
      </c>
      <c r="J568" t="s">
        <v>22</v>
      </c>
      <c r="K568" t="str">
        <f t="shared" si="26"/>
        <v>Not Returned</v>
      </c>
      <c r="N568" t="s">
        <v>25</v>
      </c>
      <c r="O568" t="str">
        <f>IF(N568="",INDEX({"Low","Medium","High"},MATCH(MAX(COUNTIF($N$2:$N$1000,{"Low","Medium","High"})),COUNTIF($N$2:$N$1000,{"Low","Medium","High"}),0)),N568)</f>
        <v>Low</v>
      </c>
    </row>
    <row r="569" spans="1:15" x14ac:dyDescent="0.25">
      <c r="A569">
        <v>5</v>
      </c>
      <c r="B569">
        <f t="shared" si="24"/>
        <v>5</v>
      </c>
      <c r="F569">
        <v>65.31</v>
      </c>
      <c r="G569">
        <f t="shared" si="25"/>
        <v>65.31</v>
      </c>
      <c r="J569" t="s">
        <v>22</v>
      </c>
      <c r="K569" t="str">
        <f t="shared" si="26"/>
        <v>Not Returned</v>
      </c>
      <c r="N569" t="s">
        <v>25</v>
      </c>
      <c r="O569" t="str">
        <f>IF(N569="",INDEX({"Low","Medium","High"},MATCH(MAX(COUNTIF($N$2:$N$1000,{"Low","Medium","High"})),COUNTIF($N$2:$N$1000,{"Low","Medium","High"}),0)),N569)</f>
        <v>Low</v>
      </c>
    </row>
    <row r="570" spans="1:15" x14ac:dyDescent="0.25">
      <c r="A570">
        <v>5</v>
      </c>
      <c r="B570">
        <f t="shared" si="24"/>
        <v>5</v>
      </c>
      <c r="F570">
        <v>59.92</v>
      </c>
      <c r="G570">
        <f t="shared" si="25"/>
        <v>59.92</v>
      </c>
      <c r="J570" t="s">
        <v>22</v>
      </c>
      <c r="K570" t="str">
        <f t="shared" si="26"/>
        <v>Not Returned</v>
      </c>
      <c r="N570" t="s">
        <v>25</v>
      </c>
      <c r="O570" t="str">
        <f>IF(N570="",INDEX({"Low","Medium","High"},MATCH(MAX(COUNTIF($N$2:$N$1000,{"Low","Medium","High"})),COUNTIF($N$2:$N$1000,{"Low","Medium","High"}),0)),N570)</f>
        <v>Low</v>
      </c>
    </row>
    <row r="571" spans="1:15" x14ac:dyDescent="0.25">
      <c r="A571">
        <v>26</v>
      </c>
      <c r="B571">
        <f t="shared" si="24"/>
        <v>26</v>
      </c>
      <c r="F571">
        <v>81.98</v>
      </c>
      <c r="G571">
        <f t="shared" si="25"/>
        <v>81.98</v>
      </c>
      <c r="J571" t="s">
        <v>22</v>
      </c>
      <c r="K571" t="str">
        <f t="shared" si="26"/>
        <v>Not Returned</v>
      </c>
      <c r="N571" t="s">
        <v>34</v>
      </c>
      <c r="O571" t="str">
        <f>IF(N571="",INDEX({"Low","Medium","High"},MATCH(MAX(COUNTIF($N$2:$N$1000,{"Low","Medium","High"})),COUNTIF($N$2:$N$1000,{"Low","Medium","High"}),0)),N571)</f>
        <v>High</v>
      </c>
    </row>
    <row r="572" spans="1:15" x14ac:dyDescent="0.25">
      <c r="A572">
        <v>26</v>
      </c>
      <c r="B572">
        <f t="shared" si="24"/>
        <v>26</v>
      </c>
      <c r="F572">
        <v>93.44</v>
      </c>
      <c r="G572">
        <f t="shared" si="25"/>
        <v>93.44</v>
      </c>
      <c r="J572" t="s">
        <v>22</v>
      </c>
      <c r="K572" t="str">
        <f t="shared" si="26"/>
        <v>Not Returned</v>
      </c>
      <c r="N572" t="s">
        <v>40</v>
      </c>
      <c r="O572" t="str">
        <f>IF(N572="",INDEX({"Low","Medium","High"},MATCH(MAX(COUNTIF($N$2:$N$1000,{"Low","Medium","High"})),COUNTIF($N$2:$N$1000,{"Low","Medium","High"}),0)),N572)</f>
        <v>Medium</v>
      </c>
    </row>
    <row r="573" spans="1:15" x14ac:dyDescent="0.25">
      <c r="A573">
        <v>10</v>
      </c>
      <c r="B573">
        <f t="shared" si="24"/>
        <v>10</v>
      </c>
      <c r="F573">
        <v>24.49</v>
      </c>
      <c r="G573">
        <f t="shared" si="25"/>
        <v>24.49</v>
      </c>
      <c r="J573" t="s">
        <v>22</v>
      </c>
      <c r="K573" t="str">
        <f t="shared" si="26"/>
        <v>Not Returned</v>
      </c>
      <c r="N573" t="s">
        <v>25</v>
      </c>
      <c r="O573" t="str">
        <f>IF(N573="",INDEX({"Low","Medium","High"},MATCH(MAX(COUNTIF($N$2:$N$1000,{"Low","Medium","High"})),COUNTIF($N$2:$N$1000,{"Low","Medium","High"}),0)),N573)</f>
        <v>Low</v>
      </c>
    </row>
    <row r="574" spans="1:15" x14ac:dyDescent="0.25">
      <c r="A574">
        <v>49</v>
      </c>
      <c r="B574">
        <f t="shared" si="24"/>
        <v>49</v>
      </c>
      <c r="F574">
        <v>24.56</v>
      </c>
      <c r="G574">
        <f t="shared" si="25"/>
        <v>24.56</v>
      </c>
      <c r="J574" t="s">
        <v>22</v>
      </c>
      <c r="K574" t="str">
        <f t="shared" si="26"/>
        <v>Not Returned</v>
      </c>
      <c r="N574" t="s">
        <v>40</v>
      </c>
      <c r="O574" t="str">
        <f>IF(N574="",INDEX({"Low","Medium","High"},MATCH(MAX(COUNTIF($N$2:$N$1000,{"Low","Medium","High"})),COUNTIF($N$2:$N$1000,{"Low","Medium","High"}),0)),N574)</f>
        <v>Medium</v>
      </c>
    </row>
    <row r="575" spans="1:15" x14ac:dyDescent="0.25">
      <c r="A575">
        <v>7</v>
      </c>
      <c r="B575">
        <f t="shared" si="24"/>
        <v>7</v>
      </c>
      <c r="F575">
        <v>48.27</v>
      </c>
      <c r="G575">
        <f t="shared" si="25"/>
        <v>48.27</v>
      </c>
      <c r="J575" t="s">
        <v>22</v>
      </c>
      <c r="K575" t="str">
        <f t="shared" si="26"/>
        <v>Not Returned</v>
      </c>
      <c r="N575" t="s">
        <v>25</v>
      </c>
      <c r="O575" t="str">
        <f>IF(N575="",INDEX({"Low","Medium","High"},MATCH(MAX(COUNTIF($N$2:$N$1000,{"Low","Medium","High"})),COUNTIF($N$2:$N$1000,{"Low","Medium","High"}),0)),N575)</f>
        <v>Low</v>
      </c>
    </row>
    <row r="576" spans="1:15" x14ac:dyDescent="0.25">
      <c r="A576">
        <v>6</v>
      </c>
      <c r="B576">
        <f t="shared" si="24"/>
        <v>6</v>
      </c>
      <c r="F576">
        <v>75.989999999999995</v>
      </c>
      <c r="G576">
        <f t="shared" si="25"/>
        <v>75.989999999999995</v>
      </c>
      <c r="J576" t="s">
        <v>22</v>
      </c>
      <c r="K576" t="str">
        <f t="shared" si="26"/>
        <v>Not Returned</v>
      </c>
      <c r="N576" t="s">
        <v>25</v>
      </c>
      <c r="O576" t="str">
        <f>IF(N576="",INDEX({"Low","Medium","High"},MATCH(MAX(COUNTIF($N$2:$N$1000,{"Low","Medium","High"})),COUNTIF($N$2:$N$1000,{"Low","Medium","High"}),0)),N576)</f>
        <v>Low</v>
      </c>
    </row>
    <row r="577" spans="1:15" x14ac:dyDescent="0.25">
      <c r="A577">
        <v>2</v>
      </c>
      <c r="B577">
        <f t="shared" si="24"/>
        <v>2</v>
      </c>
      <c r="F577">
        <v>42.98</v>
      </c>
      <c r="G577">
        <f t="shared" si="25"/>
        <v>42.98</v>
      </c>
      <c r="J577" t="s">
        <v>22</v>
      </c>
      <c r="K577" t="str">
        <f t="shared" si="26"/>
        <v>Not Returned</v>
      </c>
      <c r="N577" t="s">
        <v>25</v>
      </c>
      <c r="O577" t="str">
        <f>IF(N577="",INDEX({"Low","Medium","High"},MATCH(MAX(COUNTIF($N$2:$N$1000,{"Low","Medium","High"})),COUNTIF($N$2:$N$1000,{"Low","Medium","High"}),0)),N577)</f>
        <v>Low</v>
      </c>
    </row>
    <row r="578" spans="1:15" x14ac:dyDescent="0.25">
      <c r="A578">
        <v>15</v>
      </c>
      <c r="B578">
        <f t="shared" ref="B578:B641" si="27">IF(A578="",ROUNDUP(AVERAGE($A$2:$A$1000),0),A578)</f>
        <v>15</v>
      </c>
      <c r="F578">
        <v>78.98</v>
      </c>
      <c r="G578">
        <f t="shared" si="25"/>
        <v>78.98</v>
      </c>
      <c r="J578" t="s">
        <v>22</v>
      </c>
      <c r="K578" t="str">
        <f t="shared" si="26"/>
        <v>Not Returned</v>
      </c>
      <c r="N578" t="s">
        <v>40</v>
      </c>
      <c r="O578" t="str">
        <f>IF(N578="",INDEX({"Low","Medium","High"},MATCH(MAX(COUNTIF($N$2:$N$1000,{"Low","Medium","High"})),COUNTIF($N$2:$N$1000,{"Low","Medium","High"}),0)),N578)</f>
        <v>Medium</v>
      </c>
    </row>
    <row r="579" spans="1:15" x14ac:dyDescent="0.25">
      <c r="A579">
        <v>32</v>
      </c>
      <c r="B579">
        <f t="shared" si="27"/>
        <v>32</v>
      </c>
      <c r="F579">
        <v>11.83</v>
      </c>
      <c r="G579">
        <f t="shared" ref="G579:G642" si="28">IF(F579="",ROUNDUP(AVERAGE($F$2:$F$1000),0),F579)</f>
        <v>11.83</v>
      </c>
      <c r="J579" t="s">
        <v>111</v>
      </c>
      <c r="K579" t="str">
        <f t="shared" ref="K579:K642" si="29">IF(J579="","Unknown",J579)</f>
        <v>Returned</v>
      </c>
      <c r="N579" t="s">
        <v>34</v>
      </c>
      <c r="O579" t="str">
        <f>IF(N579="",INDEX({"Low","Medium","High"},MATCH(MAX(COUNTIF($N$2:$N$1000,{"Low","Medium","High"})),COUNTIF($N$2:$N$1000,{"Low","Medium","High"}),0)),N579)</f>
        <v>High</v>
      </c>
    </row>
    <row r="580" spans="1:15" x14ac:dyDescent="0.25">
      <c r="A580">
        <v>2</v>
      </c>
      <c r="B580">
        <f t="shared" si="27"/>
        <v>2</v>
      </c>
      <c r="F580">
        <v>2.13</v>
      </c>
      <c r="G580">
        <f t="shared" si="28"/>
        <v>2.13</v>
      </c>
      <c r="J580" t="s">
        <v>22</v>
      </c>
      <c r="K580" t="str">
        <f t="shared" si="29"/>
        <v>Not Returned</v>
      </c>
      <c r="N580" t="s">
        <v>40</v>
      </c>
      <c r="O580" t="str">
        <f>IF(N580="",INDEX({"Low","Medium","High"},MATCH(MAX(COUNTIF($N$2:$N$1000,{"Low","Medium","High"})),COUNTIF($N$2:$N$1000,{"Low","Medium","High"}),0)),N580)</f>
        <v>Medium</v>
      </c>
    </row>
    <row r="581" spans="1:15" x14ac:dyDescent="0.25">
      <c r="A581">
        <v>31</v>
      </c>
      <c r="B581">
        <f t="shared" si="27"/>
        <v>31</v>
      </c>
      <c r="F581">
        <v>45.03</v>
      </c>
      <c r="G581">
        <f t="shared" si="28"/>
        <v>45.03</v>
      </c>
      <c r="J581" t="s">
        <v>22</v>
      </c>
      <c r="K581" t="str">
        <f t="shared" si="29"/>
        <v>Not Returned</v>
      </c>
      <c r="N581" t="s">
        <v>40</v>
      </c>
      <c r="O581" t="str">
        <f>IF(N581="",INDEX({"Low","Medium","High"},MATCH(MAX(COUNTIF($N$2:$N$1000,{"Low","Medium","High"})),COUNTIF($N$2:$N$1000,{"Low","Medium","High"}),0)),N581)</f>
        <v>Medium</v>
      </c>
    </row>
    <row r="582" spans="1:15" x14ac:dyDescent="0.25">
      <c r="A582">
        <v>43</v>
      </c>
      <c r="B582">
        <f t="shared" si="27"/>
        <v>43</v>
      </c>
      <c r="F582">
        <v>8.77</v>
      </c>
      <c r="G582">
        <f t="shared" si="28"/>
        <v>8.77</v>
      </c>
      <c r="J582" t="s">
        <v>22</v>
      </c>
      <c r="K582" t="str">
        <f t="shared" si="29"/>
        <v>Not Returned</v>
      </c>
      <c r="N582" t="s">
        <v>40</v>
      </c>
      <c r="O582" t="str">
        <f>IF(N582="",INDEX({"Low","Medium","High"},MATCH(MAX(COUNTIF($N$2:$N$1000,{"Low","Medium","High"})),COUNTIF($N$2:$N$1000,{"Low","Medium","High"}),0)),N582)</f>
        <v>Medium</v>
      </c>
    </row>
    <row r="583" spans="1:15" x14ac:dyDescent="0.25">
      <c r="A583">
        <v>1</v>
      </c>
      <c r="B583">
        <f t="shared" si="27"/>
        <v>1</v>
      </c>
      <c r="F583">
        <v>99.65</v>
      </c>
      <c r="G583">
        <f t="shared" si="28"/>
        <v>99.65</v>
      </c>
      <c r="J583" t="s">
        <v>22</v>
      </c>
      <c r="K583" t="str">
        <f t="shared" si="29"/>
        <v>Not Returned</v>
      </c>
      <c r="N583" t="s">
        <v>25</v>
      </c>
      <c r="O583" t="str">
        <f>IF(N583="",INDEX({"Low","Medium","High"},MATCH(MAX(COUNTIF($N$2:$N$1000,{"Low","Medium","High"})),COUNTIF($N$2:$N$1000,{"Low","Medium","High"}),0)),N583)</f>
        <v>Low</v>
      </c>
    </row>
    <row r="584" spans="1:15" x14ac:dyDescent="0.25">
      <c r="A584">
        <v>11</v>
      </c>
      <c r="B584">
        <f t="shared" si="27"/>
        <v>11</v>
      </c>
      <c r="F584">
        <v>47.27</v>
      </c>
      <c r="G584">
        <f t="shared" si="28"/>
        <v>47.27</v>
      </c>
      <c r="J584" t="s">
        <v>22</v>
      </c>
      <c r="K584" t="str">
        <f t="shared" si="29"/>
        <v>Not Returned</v>
      </c>
      <c r="N584" t="s">
        <v>40</v>
      </c>
      <c r="O584" t="str">
        <f>IF(N584="",INDEX({"Low","Medium","High"},MATCH(MAX(COUNTIF($N$2:$N$1000,{"Low","Medium","High"})),COUNTIF($N$2:$N$1000,{"Low","Medium","High"}),0)),N584)</f>
        <v>Medium</v>
      </c>
    </row>
    <row r="585" spans="1:15" x14ac:dyDescent="0.25">
      <c r="A585">
        <v>18</v>
      </c>
      <c r="B585">
        <f t="shared" si="27"/>
        <v>18</v>
      </c>
      <c r="F585">
        <v>20.96</v>
      </c>
      <c r="G585">
        <f t="shared" si="28"/>
        <v>20.96</v>
      </c>
      <c r="J585" t="s">
        <v>22</v>
      </c>
      <c r="K585" t="str">
        <f t="shared" si="29"/>
        <v>Not Returned</v>
      </c>
      <c r="N585" t="s">
        <v>34</v>
      </c>
      <c r="O585" t="str">
        <f>IF(N585="",INDEX({"Low","Medium","High"},MATCH(MAX(COUNTIF($N$2:$N$1000,{"Low","Medium","High"})),COUNTIF($N$2:$N$1000,{"Low","Medium","High"}),0)),N585)</f>
        <v>High</v>
      </c>
    </row>
    <row r="586" spans="1:15" x14ac:dyDescent="0.25">
      <c r="A586">
        <v>39</v>
      </c>
      <c r="B586">
        <f t="shared" si="27"/>
        <v>39</v>
      </c>
      <c r="F586">
        <v>90.04</v>
      </c>
      <c r="G586">
        <f t="shared" si="28"/>
        <v>90.04</v>
      </c>
      <c r="J586" t="s">
        <v>22</v>
      </c>
      <c r="K586" t="str">
        <f t="shared" si="29"/>
        <v>Not Returned</v>
      </c>
      <c r="N586" t="s">
        <v>40</v>
      </c>
      <c r="O586" t="str">
        <f>IF(N586="",INDEX({"Low","Medium","High"},MATCH(MAX(COUNTIF($N$2:$N$1000,{"Low","Medium","High"})),COUNTIF($N$2:$N$1000,{"Low","Medium","High"}),0)),N586)</f>
        <v>Medium</v>
      </c>
    </row>
    <row r="587" spans="1:15" x14ac:dyDescent="0.25">
      <c r="A587">
        <v>1</v>
      </c>
      <c r="B587">
        <f t="shared" si="27"/>
        <v>1</v>
      </c>
      <c r="F587">
        <v>82.94</v>
      </c>
      <c r="G587">
        <f t="shared" si="28"/>
        <v>82.94</v>
      </c>
      <c r="J587" t="s">
        <v>22</v>
      </c>
      <c r="K587" t="str">
        <f t="shared" si="29"/>
        <v>Not Returned</v>
      </c>
      <c r="N587" t="s">
        <v>34</v>
      </c>
      <c r="O587" t="str">
        <f>IF(N587="",INDEX({"Low","Medium","High"},MATCH(MAX(COUNTIF($N$2:$N$1000,{"Low","Medium","High"})),COUNTIF($N$2:$N$1000,{"Low","Medium","High"}),0)),N587)</f>
        <v>High</v>
      </c>
    </row>
    <row r="588" spans="1:15" x14ac:dyDescent="0.25">
      <c r="A588">
        <v>25</v>
      </c>
      <c r="B588">
        <f t="shared" si="27"/>
        <v>25</v>
      </c>
      <c r="F588">
        <v>81.92</v>
      </c>
      <c r="G588">
        <f t="shared" si="28"/>
        <v>81.92</v>
      </c>
      <c r="J588" t="s">
        <v>22</v>
      </c>
      <c r="K588" t="str">
        <f t="shared" si="29"/>
        <v>Not Returned</v>
      </c>
      <c r="N588" t="s">
        <v>34</v>
      </c>
      <c r="O588" t="str">
        <f>IF(N588="",INDEX({"Low","Medium","High"},MATCH(MAX(COUNTIF($N$2:$N$1000,{"Low","Medium","High"})),COUNTIF($N$2:$N$1000,{"Low","Medium","High"}),0)),N588)</f>
        <v>High</v>
      </c>
    </row>
    <row r="589" spans="1:15" x14ac:dyDescent="0.25">
      <c r="A589">
        <v>34</v>
      </c>
      <c r="B589">
        <f t="shared" si="27"/>
        <v>34</v>
      </c>
      <c r="F589">
        <v>20.48</v>
      </c>
      <c r="G589">
        <f t="shared" si="28"/>
        <v>20.48</v>
      </c>
      <c r="J589" t="s">
        <v>22</v>
      </c>
      <c r="K589" t="str">
        <f t="shared" si="29"/>
        <v>Not Returned</v>
      </c>
      <c r="N589" t="s">
        <v>40</v>
      </c>
      <c r="O589" t="str">
        <f>IF(N589="",INDEX({"Low","Medium","High"},MATCH(MAX(COUNTIF($N$2:$N$1000,{"Low","Medium","High"})),COUNTIF($N$2:$N$1000,{"Low","Medium","High"}),0)),N589)</f>
        <v>Medium</v>
      </c>
    </row>
    <row r="590" spans="1:15" x14ac:dyDescent="0.25">
      <c r="A590">
        <v>3</v>
      </c>
      <c r="B590">
        <f t="shared" si="27"/>
        <v>3</v>
      </c>
      <c r="F590">
        <v>95.41</v>
      </c>
      <c r="G590">
        <f t="shared" si="28"/>
        <v>95.41</v>
      </c>
      <c r="J590" t="s">
        <v>22</v>
      </c>
      <c r="K590" t="str">
        <f t="shared" si="29"/>
        <v>Not Returned</v>
      </c>
      <c r="N590" t="s">
        <v>40</v>
      </c>
      <c r="O590" t="str">
        <f>IF(N590="",INDEX({"Low","Medium","High"},MATCH(MAX(COUNTIF($N$2:$N$1000,{"Low","Medium","High"})),COUNTIF($N$2:$N$1000,{"Low","Medium","High"}),0)),N590)</f>
        <v>Medium</v>
      </c>
    </row>
    <row r="591" spans="1:15" x14ac:dyDescent="0.25">
      <c r="A591">
        <v>39</v>
      </c>
      <c r="B591">
        <f t="shared" si="27"/>
        <v>39</v>
      </c>
      <c r="F591">
        <v>26.06</v>
      </c>
      <c r="G591">
        <f t="shared" si="28"/>
        <v>26.06</v>
      </c>
      <c r="J591" t="s">
        <v>22</v>
      </c>
      <c r="K591" t="str">
        <f t="shared" si="29"/>
        <v>Not Returned</v>
      </c>
      <c r="N591" t="s">
        <v>34</v>
      </c>
      <c r="O591" t="str">
        <f>IF(N591="",INDEX({"Low","Medium","High"},MATCH(MAX(COUNTIF($N$2:$N$1000,{"Low","Medium","High"})),COUNTIF($N$2:$N$1000,{"Low","Medium","High"}),0)),N591)</f>
        <v>High</v>
      </c>
    </row>
    <row r="592" spans="1:15" x14ac:dyDescent="0.25">
      <c r="A592">
        <v>41</v>
      </c>
      <c r="B592">
        <f t="shared" si="27"/>
        <v>41</v>
      </c>
      <c r="F592">
        <v>38.75</v>
      </c>
      <c r="G592">
        <f t="shared" si="28"/>
        <v>38.75</v>
      </c>
      <c r="J592" t="s">
        <v>22</v>
      </c>
      <c r="K592" t="str">
        <f t="shared" si="29"/>
        <v>Not Returned</v>
      </c>
      <c r="N592" t="s">
        <v>34</v>
      </c>
      <c r="O592" t="str">
        <f>IF(N592="",INDEX({"Low","Medium","High"},MATCH(MAX(COUNTIF($N$2:$N$1000,{"Low","Medium","High"})),COUNTIF($N$2:$N$1000,{"Low","Medium","High"}),0)),N592)</f>
        <v>High</v>
      </c>
    </row>
    <row r="593" spans="1:15" x14ac:dyDescent="0.25">
      <c r="A593">
        <v>31</v>
      </c>
      <c r="B593">
        <f t="shared" si="27"/>
        <v>31</v>
      </c>
      <c r="F593">
        <v>78.98</v>
      </c>
      <c r="G593">
        <f t="shared" si="28"/>
        <v>78.98</v>
      </c>
      <c r="J593" t="s">
        <v>22</v>
      </c>
      <c r="K593" t="str">
        <f t="shared" si="29"/>
        <v>Not Returned</v>
      </c>
      <c r="N593" t="s">
        <v>25</v>
      </c>
      <c r="O593" t="str">
        <f>IF(N593="",INDEX({"Low","Medium","High"},MATCH(MAX(COUNTIF($N$2:$N$1000,{"Low","Medium","High"})),COUNTIF($N$2:$N$1000,{"Low","Medium","High"}),0)),N593)</f>
        <v>Low</v>
      </c>
    </row>
    <row r="594" spans="1:15" x14ac:dyDescent="0.25">
      <c r="A594">
        <v>34</v>
      </c>
      <c r="B594">
        <f t="shared" si="27"/>
        <v>34</v>
      </c>
      <c r="F594">
        <v>23.71</v>
      </c>
      <c r="G594">
        <f t="shared" si="28"/>
        <v>23.71</v>
      </c>
      <c r="J594" t="s">
        <v>22</v>
      </c>
      <c r="K594" t="str">
        <f t="shared" si="29"/>
        <v>Not Returned</v>
      </c>
      <c r="N594" t="s">
        <v>34</v>
      </c>
      <c r="O594" t="str">
        <f>IF(N594="",INDEX({"Low","Medium","High"},MATCH(MAX(COUNTIF($N$2:$N$1000,{"Low","Medium","High"})),COUNTIF($N$2:$N$1000,{"Low","Medium","High"}),0)),N594)</f>
        <v>High</v>
      </c>
    </row>
    <row r="595" spans="1:15" x14ac:dyDescent="0.25">
      <c r="A595">
        <v>19</v>
      </c>
      <c r="B595">
        <f t="shared" si="27"/>
        <v>19</v>
      </c>
      <c r="F595">
        <v>89.18</v>
      </c>
      <c r="G595">
        <f t="shared" si="28"/>
        <v>89.18</v>
      </c>
      <c r="J595" t="s">
        <v>22</v>
      </c>
      <c r="K595" t="str">
        <f t="shared" si="29"/>
        <v>Not Returned</v>
      </c>
      <c r="N595" t="s">
        <v>34</v>
      </c>
      <c r="O595" t="str">
        <f>IF(N595="",INDEX({"Low","Medium","High"},MATCH(MAX(COUNTIF($N$2:$N$1000,{"Low","Medium","High"})),COUNTIF($N$2:$N$1000,{"Low","Medium","High"}),0)),N595)</f>
        <v>High</v>
      </c>
    </row>
    <row r="596" spans="1:15" x14ac:dyDescent="0.25">
      <c r="A596">
        <v>48</v>
      </c>
      <c r="B596">
        <f t="shared" si="27"/>
        <v>48</v>
      </c>
      <c r="F596">
        <v>9.94</v>
      </c>
      <c r="G596">
        <f t="shared" si="28"/>
        <v>9.94</v>
      </c>
      <c r="J596" t="s">
        <v>22</v>
      </c>
      <c r="K596" t="str">
        <f t="shared" si="29"/>
        <v>Not Returned</v>
      </c>
      <c r="N596" t="s">
        <v>40</v>
      </c>
      <c r="O596" t="str">
        <f>IF(N596="",INDEX({"Low","Medium","High"},MATCH(MAX(COUNTIF($N$2:$N$1000,{"Low","Medium","High"})),COUNTIF($N$2:$N$1000,{"Low","Medium","High"}),0)),N596)</f>
        <v>Medium</v>
      </c>
    </row>
    <row r="597" spans="1:15" x14ac:dyDescent="0.25">
      <c r="A597">
        <v>30</v>
      </c>
      <c r="B597">
        <f t="shared" si="27"/>
        <v>30</v>
      </c>
      <c r="F597">
        <v>98.89</v>
      </c>
      <c r="G597">
        <f t="shared" si="28"/>
        <v>98.89</v>
      </c>
      <c r="J597" t="s">
        <v>22</v>
      </c>
      <c r="K597" t="str">
        <f t="shared" si="29"/>
        <v>Not Returned</v>
      </c>
      <c r="N597" t="s">
        <v>25</v>
      </c>
      <c r="O597" t="str">
        <f>IF(N597="",INDEX({"Low","Medium","High"},MATCH(MAX(COUNTIF($N$2:$N$1000,{"Low","Medium","High"})),COUNTIF($N$2:$N$1000,{"Low","Medium","High"}),0)),N597)</f>
        <v>Low</v>
      </c>
    </row>
    <row r="598" spans="1:15" x14ac:dyDescent="0.25">
      <c r="A598">
        <v>28</v>
      </c>
      <c r="B598">
        <f t="shared" si="27"/>
        <v>28</v>
      </c>
      <c r="F598">
        <v>96.04</v>
      </c>
      <c r="G598">
        <f t="shared" si="28"/>
        <v>96.04</v>
      </c>
      <c r="J598" t="s">
        <v>22</v>
      </c>
      <c r="K598" t="str">
        <f t="shared" si="29"/>
        <v>Not Returned</v>
      </c>
      <c r="N598" t="s">
        <v>40</v>
      </c>
      <c r="O598" t="str">
        <f>IF(N598="",INDEX({"Low","Medium","High"},MATCH(MAX(COUNTIF($N$2:$N$1000,{"Low","Medium","High"})),COUNTIF($N$2:$N$1000,{"Low","Medium","High"}),0)),N598)</f>
        <v>Medium</v>
      </c>
    </row>
    <row r="599" spans="1:15" x14ac:dyDescent="0.25">
      <c r="A599">
        <v>42</v>
      </c>
      <c r="B599">
        <f t="shared" si="27"/>
        <v>42</v>
      </c>
      <c r="F599">
        <v>39.18</v>
      </c>
      <c r="G599">
        <f t="shared" si="28"/>
        <v>39.18</v>
      </c>
      <c r="J599" t="s">
        <v>22</v>
      </c>
      <c r="K599" t="str">
        <f t="shared" si="29"/>
        <v>Not Returned</v>
      </c>
      <c r="N599" t="s">
        <v>40</v>
      </c>
      <c r="O599" t="str">
        <f>IF(N599="",INDEX({"Low","Medium","High"},MATCH(MAX(COUNTIF($N$2:$N$1000,{"Low","Medium","High"})),COUNTIF($N$2:$N$1000,{"Low","Medium","High"}),0)),N599)</f>
        <v>Medium</v>
      </c>
    </row>
    <row r="600" spans="1:15" x14ac:dyDescent="0.25">
      <c r="A600">
        <v>35</v>
      </c>
      <c r="B600">
        <f t="shared" si="27"/>
        <v>35</v>
      </c>
      <c r="F600">
        <v>87.14</v>
      </c>
      <c r="G600">
        <f t="shared" si="28"/>
        <v>87.14</v>
      </c>
      <c r="J600" t="s">
        <v>22</v>
      </c>
      <c r="K600" t="str">
        <f t="shared" si="29"/>
        <v>Not Returned</v>
      </c>
      <c r="N600" t="s">
        <v>25</v>
      </c>
      <c r="O600" t="str">
        <f>IF(N600="",INDEX({"Low","Medium","High"},MATCH(MAX(COUNTIF($N$2:$N$1000,{"Low","Medium","High"})),COUNTIF($N$2:$N$1000,{"Low","Medium","High"}),0)),N600)</f>
        <v>Low</v>
      </c>
    </row>
    <row r="601" spans="1:15" x14ac:dyDescent="0.25">
      <c r="A601">
        <v>36</v>
      </c>
      <c r="B601">
        <f t="shared" si="27"/>
        <v>36</v>
      </c>
      <c r="F601">
        <v>84.19</v>
      </c>
      <c r="G601">
        <f t="shared" si="28"/>
        <v>84.19</v>
      </c>
      <c r="J601" t="s">
        <v>22</v>
      </c>
      <c r="K601" t="str">
        <f t="shared" si="29"/>
        <v>Not Returned</v>
      </c>
      <c r="N601" t="s">
        <v>40</v>
      </c>
      <c r="O601" t="str">
        <f>IF(N601="",INDEX({"Low","Medium","High"},MATCH(MAX(COUNTIF($N$2:$N$1000,{"Low","Medium","High"})),COUNTIF($N$2:$N$1000,{"Low","Medium","High"}),0)),N601)</f>
        <v>Medium</v>
      </c>
    </row>
    <row r="602" spans="1:15" x14ac:dyDescent="0.25">
      <c r="A602">
        <v>1</v>
      </c>
      <c r="B602">
        <f t="shared" si="27"/>
        <v>1</v>
      </c>
      <c r="F602">
        <v>74.209999999999994</v>
      </c>
      <c r="G602">
        <f t="shared" si="28"/>
        <v>74.209999999999994</v>
      </c>
      <c r="J602" t="s">
        <v>22</v>
      </c>
      <c r="K602" t="str">
        <f t="shared" si="29"/>
        <v>Not Returned</v>
      </c>
      <c r="N602" t="s">
        <v>34</v>
      </c>
      <c r="O602" t="str">
        <f>IF(N602="",INDEX({"Low","Medium","High"},MATCH(MAX(COUNTIF($N$2:$N$1000,{"Low","Medium","High"})),COUNTIF($N$2:$N$1000,{"Low","Medium","High"}),0)),N602)</f>
        <v>High</v>
      </c>
    </row>
    <row r="603" spans="1:15" x14ac:dyDescent="0.25">
      <c r="A603">
        <v>35</v>
      </c>
      <c r="B603">
        <f t="shared" si="27"/>
        <v>35</v>
      </c>
      <c r="F603">
        <v>89.87</v>
      </c>
      <c r="G603">
        <f t="shared" si="28"/>
        <v>89.87</v>
      </c>
      <c r="J603" t="s">
        <v>22</v>
      </c>
      <c r="K603" t="str">
        <f t="shared" si="29"/>
        <v>Not Returned</v>
      </c>
      <c r="N603" t="s">
        <v>25</v>
      </c>
      <c r="O603" t="str">
        <f>IF(N603="",INDEX({"Low","Medium","High"},MATCH(MAX(COUNTIF($N$2:$N$1000,{"Low","Medium","High"})),COUNTIF($N$2:$N$1000,{"Low","Medium","High"}),0)),N603)</f>
        <v>Low</v>
      </c>
    </row>
    <row r="604" spans="1:15" x14ac:dyDescent="0.25">
      <c r="A604">
        <v>12</v>
      </c>
      <c r="B604">
        <f t="shared" si="27"/>
        <v>12</v>
      </c>
      <c r="F604">
        <v>65.069999999999993</v>
      </c>
      <c r="G604">
        <f t="shared" si="28"/>
        <v>65.069999999999993</v>
      </c>
      <c r="J604" t="s">
        <v>111</v>
      </c>
      <c r="K604" t="str">
        <f t="shared" si="29"/>
        <v>Returned</v>
      </c>
      <c r="N604" t="s">
        <v>40</v>
      </c>
      <c r="O604" t="str">
        <f>IF(N604="",INDEX({"Low","Medium","High"},MATCH(MAX(COUNTIF($N$2:$N$1000,{"Low","Medium","High"})),COUNTIF($N$2:$N$1000,{"Low","Medium","High"}),0)),N604)</f>
        <v>Medium</v>
      </c>
    </row>
    <row r="605" spans="1:15" x14ac:dyDescent="0.25">
      <c r="A605">
        <v>9</v>
      </c>
      <c r="B605">
        <f t="shared" si="27"/>
        <v>9</v>
      </c>
      <c r="F605">
        <v>20.76</v>
      </c>
      <c r="G605">
        <f t="shared" si="28"/>
        <v>20.76</v>
      </c>
      <c r="J605" t="s">
        <v>22</v>
      </c>
      <c r="K605" t="str">
        <f t="shared" si="29"/>
        <v>Not Returned</v>
      </c>
      <c r="N605" t="s">
        <v>40</v>
      </c>
      <c r="O605" t="str">
        <f>IF(N605="",INDEX({"Low","Medium","High"},MATCH(MAX(COUNTIF($N$2:$N$1000,{"Low","Medium","High"})),COUNTIF($N$2:$N$1000,{"Low","Medium","High"}),0)),N605)</f>
        <v>Medium</v>
      </c>
    </row>
    <row r="606" spans="1:15" x14ac:dyDescent="0.25">
      <c r="A606">
        <v>19</v>
      </c>
      <c r="B606">
        <f t="shared" si="27"/>
        <v>19</v>
      </c>
      <c r="F606">
        <v>47.87</v>
      </c>
      <c r="G606">
        <f t="shared" si="28"/>
        <v>47.87</v>
      </c>
      <c r="J606" t="s">
        <v>22</v>
      </c>
      <c r="K606" t="str">
        <f t="shared" si="29"/>
        <v>Not Returned</v>
      </c>
      <c r="N606" t="s">
        <v>25</v>
      </c>
      <c r="O606" t="str">
        <f>IF(N606="",INDEX({"Low","Medium","High"},MATCH(MAX(COUNTIF($N$2:$N$1000,{"Low","Medium","High"})),COUNTIF($N$2:$N$1000,{"Low","Medium","High"}),0)),N606)</f>
        <v>Low</v>
      </c>
    </row>
    <row r="607" spans="1:15" x14ac:dyDescent="0.25">
      <c r="A607">
        <v>29</v>
      </c>
      <c r="B607">
        <f t="shared" si="27"/>
        <v>29</v>
      </c>
      <c r="F607">
        <v>3.49</v>
      </c>
      <c r="G607">
        <f t="shared" si="28"/>
        <v>3.49</v>
      </c>
      <c r="J607" t="s">
        <v>22</v>
      </c>
      <c r="K607" t="str">
        <f t="shared" si="29"/>
        <v>Not Returned</v>
      </c>
      <c r="N607" t="s">
        <v>25</v>
      </c>
      <c r="O607" t="str">
        <f>IF(N607="",INDEX({"Low","Medium","High"},MATCH(MAX(COUNTIF($N$2:$N$1000,{"Low","Medium","High"})),COUNTIF($N$2:$N$1000,{"Low","Medium","High"}),0)),N607)</f>
        <v>Low</v>
      </c>
    </row>
    <row r="608" spans="1:15" x14ac:dyDescent="0.25">
      <c r="A608">
        <v>6</v>
      </c>
      <c r="B608">
        <f t="shared" si="27"/>
        <v>6</v>
      </c>
      <c r="F608">
        <v>13.89</v>
      </c>
      <c r="G608">
        <f t="shared" si="28"/>
        <v>13.89</v>
      </c>
      <c r="J608" t="s">
        <v>22</v>
      </c>
      <c r="K608" t="str">
        <f t="shared" si="29"/>
        <v>Not Returned</v>
      </c>
      <c r="N608" t="s">
        <v>40</v>
      </c>
      <c r="O608" t="str">
        <f>IF(N608="",INDEX({"Low","Medium","High"},MATCH(MAX(COUNTIF($N$2:$N$1000,{"Low","Medium","High"})),COUNTIF($N$2:$N$1000,{"Low","Medium","High"}),0)),N608)</f>
        <v>Medium</v>
      </c>
    </row>
    <row r="609" spans="1:15" x14ac:dyDescent="0.25">
      <c r="A609">
        <v>24</v>
      </c>
      <c r="B609">
        <f t="shared" si="27"/>
        <v>24</v>
      </c>
      <c r="F609">
        <v>61.03</v>
      </c>
      <c r="G609">
        <f t="shared" si="28"/>
        <v>61.03</v>
      </c>
      <c r="J609" t="s">
        <v>22</v>
      </c>
      <c r="K609" t="str">
        <f t="shared" si="29"/>
        <v>Not Returned</v>
      </c>
      <c r="N609" t="s">
        <v>25</v>
      </c>
      <c r="O609" t="str">
        <f>IF(N609="",INDEX({"Low","Medium","High"},MATCH(MAX(COUNTIF($N$2:$N$1000,{"Low","Medium","High"})),COUNTIF($N$2:$N$1000,{"Low","Medium","High"}),0)),N609)</f>
        <v>Low</v>
      </c>
    </row>
    <row r="610" spans="1:15" x14ac:dyDescent="0.25">
      <c r="A610">
        <v>47</v>
      </c>
      <c r="B610">
        <f t="shared" si="27"/>
        <v>47</v>
      </c>
      <c r="F610">
        <v>13.89</v>
      </c>
      <c r="G610">
        <f t="shared" si="28"/>
        <v>13.89</v>
      </c>
      <c r="J610" t="s">
        <v>22</v>
      </c>
      <c r="K610" t="str">
        <f t="shared" si="29"/>
        <v>Not Returned</v>
      </c>
      <c r="N610" t="s">
        <v>25</v>
      </c>
      <c r="O610" t="str">
        <f>IF(N610="",INDEX({"Low","Medium","High"},MATCH(MAX(COUNTIF($N$2:$N$1000,{"Low","Medium","High"})),COUNTIF($N$2:$N$1000,{"Low","Medium","High"}),0)),N610)</f>
        <v>Low</v>
      </c>
    </row>
    <row r="611" spans="1:15" x14ac:dyDescent="0.25">
      <c r="A611">
        <v>22</v>
      </c>
      <c r="B611">
        <f t="shared" si="27"/>
        <v>22</v>
      </c>
      <c r="F611">
        <v>81.12</v>
      </c>
      <c r="G611">
        <f t="shared" si="28"/>
        <v>81.12</v>
      </c>
      <c r="J611" t="s">
        <v>22</v>
      </c>
      <c r="K611" t="str">
        <f t="shared" si="29"/>
        <v>Not Returned</v>
      </c>
      <c r="N611" t="s">
        <v>25</v>
      </c>
      <c r="O611" t="str">
        <f>IF(N611="",INDEX({"Low","Medium","High"},MATCH(MAX(COUNTIF($N$2:$N$1000,{"Low","Medium","High"})),COUNTIF($N$2:$N$1000,{"Low","Medium","High"}),0)),N611)</f>
        <v>Low</v>
      </c>
    </row>
    <row r="612" spans="1:15" x14ac:dyDescent="0.25">
      <c r="A612">
        <v>32</v>
      </c>
      <c r="B612">
        <f t="shared" si="27"/>
        <v>32</v>
      </c>
      <c r="F612">
        <v>30.18</v>
      </c>
      <c r="G612">
        <f t="shared" si="28"/>
        <v>30.18</v>
      </c>
      <c r="J612" t="s">
        <v>22</v>
      </c>
      <c r="K612" t="str">
        <f t="shared" si="29"/>
        <v>Not Returned</v>
      </c>
      <c r="N612" t="s">
        <v>40</v>
      </c>
      <c r="O612" t="str">
        <f>IF(N612="",INDEX({"Low","Medium","High"},MATCH(MAX(COUNTIF($N$2:$N$1000,{"Low","Medium","High"})),COUNTIF($N$2:$N$1000,{"Low","Medium","High"}),0)),N612)</f>
        <v>Medium</v>
      </c>
    </row>
    <row r="613" spans="1:15" x14ac:dyDescent="0.25">
      <c r="A613">
        <v>4</v>
      </c>
      <c r="B613">
        <f t="shared" si="27"/>
        <v>4</v>
      </c>
      <c r="F613">
        <v>79.959999999999994</v>
      </c>
      <c r="G613">
        <f t="shared" si="28"/>
        <v>79.959999999999994</v>
      </c>
      <c r="J613" t="s">
        <v>22</v>
      </c>
      <c r="K613" t="str">
        <f t="shared" si="29"/>
        <v>Not Returned</v>
      </c>
      <c r="N613" t="s">
        <v>40</v>
      </c>
      <c r="O613" t="str">
        <f>IF(N613="",INDEX({"Low","Medium","High"},MATCH(MAX(COUNTIF($N$2:$N$1000,{"Low","Medium","High"})),COUNTIF($N$2:$N$1000,{"Low","Medium","High"}),0)),N613)</f>
        <v>Medium</v>
      </c>
    </row>
    <row r="614" spans="1:15" x14ac:dyDescent="0.25">
      <c r="A614">
        <v>13</v>
      </c>
      <c r="B614">
        <f t="shared" si="27"/>
        <v>13</v>
      </c>
      <c r="F614">
        <v>46.33</v>
      </c>
      <c r="G614">
        <f t="shared" si="28"/>
        <v>46.33</v>
      </c>
      <c r="J614" t="s">
        <v>22</v>
      </c>
      <c r="K614" t="str">
        <f t="shared" si="29"/>
        <v>Not Returned</v>
      </c>
      <c r="N614" t="s">
        <v>34</v>
      </c>
      <c r="O614" t="str">
        <f>IF(N614="",INDEX({"Low","Medium","High"},MATCH(MAX(COUNTIF($N$2:$N$1000,{"Low","Medium","High"})),COUNTIF($N$2:$N$1000,{"Low","Medium","High"}),0)),N614)</f>
        <v>High</v>
      </c>
    </row>
    <row r="615" spans="1:15" x14ac:dyDescent="0.25">
      <c r="A615">
        <v>31</v>
      </c>
      <c r="B615">
        <f t="shared" si="27"/>
        <v>31</v>
      </c>
      <c r="F615">
        <v>36.96</v>
      </c>
      <c r="G615">
        <f t="shared" si="28"/>
        <v>36.96</v>
      </c>
      <c r="J615" t="s">
        <v>22</v>
      </c>
      <c r="K615" t="str">
        <f t="shared" si="29"/>
        <v>Not Returned</v>
      </c>
      <c r="N615" t="s">
        <v>40</v>
      </c>
      <c r="O615" t="str">
        <f>IF(N615="",INDEX({"Low","Medium","High"},MATCH(MAX(COUNTIF($N$2:$N$1000,{"Low","Medium","High"})),COUNTIF($N$2:$N$1000,{"Low","Medium","High"}),0)),N615)</f>
        <v>Medium</v>
      </c>
    </row>
    <row r="616" spans="1:15" x14ac:dyDescent="0.25">
      <c r="A616">
        <v>39</v>
      </c>
      <c r="B616">
        <f t="shared" si="27"/>
        <v>39</v>
      </c>
      <c r="F616">
        <v>60.61</v>
      </c>
      <c r="G616">
        <f t="shared" si="28"/>
        <v>60.61</v>
      </c>
      <c r="J616" t="s">
        <v>22</v>
      </c>
      <c r="K616" t="str">
        <f t="shared" si="29"/>
        <v>Not Returned</v>
      </c>
      <c r="N616" t="s">
        <v>25</v>
      </c>
      <c r="O616" t="str">
        <f>IF(N616="",INDEX({"Low","Medium","High"},MATCH(MAX(COUNTIF($N$2:$N$1000,{"Low","Medium","High"})),COUNTIF($N$2:$N$1000,{"Low","Medium","High"}),0)),N616)</f>
        <v>Low</v>
      </c>
    </row>
    <row r="617" spans="1:15" x14ac:dyDescent="0.25">
      <c r="A617">
        <v>19</v>
      </c>
      <c r="B617">
        <f t="shared" si="27"/>
        <v>19</v>
      </c>
      <c r="F617">
        <v>43.54</v>
      </c>
      <c r="G617">
        <f t="shared" si="28"/>
        <v>43.54</v>
      </c>
      <c r="J617" t="s">
        <v>22</v>
      </c>
      <c r="K617" t="str">
        <f t="shared" si="29"/>
        <v>Not Returned</v>
      </c>
      <c r="N617" t="s">
        <v>25</v>
      </c>
      <c r="O617" t="str">
        <f>IF(N617="",INDEX({"Low","Medium","High"},MATCH(MAX(COUNTIF($N$2:$N$1000,{"Low","Medium","High"})),COUNTIF($N$2:$N$1000,{"Low","Medium","High"}),0)),N617)</f>
        <v>Low</v>
      </c>
    </row>
    <row r="618" spans="1:15" x14ac:dyDescent="0.25">
      <c r="A618">
        <v>28</v>
      </c>
      <c r="B618">
        <f t="shared" si="27"/>
        <v>28</v>
      </c>
      <c r="F618">
        <v>88.15</v>
      </c>
      <c r="G618">
        <f t="shared" si="28"/>
        <v>88.15</v>
      </c>
      <c r="J618" t="s">
        <v>22</v>
      </c>
      <c r="K618" t="str">
        <f t="shared" si="29"/>
        <v>Not Returned</v>
      </c>
      <c r="N618" t="s">
        <v>25</v>
      </c>
      <c r="O618" t="str">
        <f>IF(N618="",INDEX({"Low","Medium","High"},MATCH(MAX(COUNTIF($N$2:$N$1000,{"Low","Medium","High"})),COUNTIF($N$2:$N$1000,{"Low","Medium","High"}),0)),N618)</f>
        <v>Low</v>
      </c>
    </row>
    <row r="619" spans="1:15" x14ac:dyDescent="0.25">
      <c r="A619">
        <v>13</v>
      </c>
      <c r="B619">
        <f t="shared" si="27"/>
        <v>13</v>
      </c>
      <c r="F619">
        <v>13.43</v>
      </c>
      <c r="G619">
        <f t="shared" si="28"/>
        <v>13.43</v>
      </c>
      <c r="J619" t="s">
        <v>22</v>
      </c>
      <c r="K619" t="str">
        <f t="shared" si="29"/>
        <v>Not Returned</v>
      </c>
      <c r="N619" t="s">
        <v>25</v>
      </c>
      <c r="O619" t="str">
        <f>IF(N619="",INDEX({"Low","Medium","High"},MATCH(MAX(COUNTIF($N$2:$N$1000,{"Low","Medium","High"})),COUNTIF($N$2:$N$1000,{"Low","Medium","High"}),0)),N619)</f>
        <v>Low</v>
      </c>
    </row>
    <row r="620" spans="1:15" x14ac:dyDescent="0.25">
      <c r="A620">
        <v>44</v>
      </c>
      <c r="B620">
        <f t="shared" si="27"/>
        <v>44</v>
      </c>
      <c r="F620">
        <v>1.07</v>
      </c>
      <c r="G620">
        <f t="shared" si="28"/>
        <v>1.07</v>
      </c>
      <c r="J620" t="s">
        <v>22</v>
      </c>
      <c r="K620" t="str">
        <f t="shared" si="29"/>
        <v>Not Returned</v>
      </c>
      <c r="N620" t="s">
        <v>40</v>
      </c>
      <c r="O620" t="str">
        <f>IF(N620="",INDEX({"Low","Medium","High"},MATCH(MAX(COUNTIF($N$2:$N$1000,{"Low","Medium","High"})),COUNTIF($N$2:$N$1000,{"Low","Medium","High"}),0)),N620)</f>
        <v>Medium</v>
      </c>
    </row>
    <row r="621" spans="1:15" x14ac:dyDescent="0.25">
      <c r="A621">
        <v>24</v>
      </c>
      <c r="B621">
        <f t="shared" si="27"/>
        <v>24</v>
      </c>
      <c r="F621">
        <v>99.99</v>
      </c>
      <c r="G621">
        <f t="shared" si="28"/>
        <v>99.99</v>
      </c>
      <c r="J621" t="s">
        <v>22</v>
      </c>
      <c r="K621" t="str">
        <f t="shared" si="29"/>
        <v>Not Returned</v>
      </c>
      <c r="N621" t="s">
        <v>25</v>
      </c>
      <c r="O621" t="str">
        <f>IF(N621="",INDEX({"Low","Medium","High"},MATCH(MAX(COUNTIF($N$2:$N$1000,{"Low","Medium","High"})),COUNTIF($N$2:$N$1000,{"Low","Medium","High"}),0)),N621)</f>
        <v>Low</v>
      </c>
    </row>
    <row r="622" spans="1:15" x14ac:dyDescent="0.25">
      <c r="A622">
        <v>40</v>
      </c>
      <c r="B622">
        <f t="shared" si="27"/>
        <v>40</v>
      </c>
      <c r="F622">
        <v>88.28</v>
      </c>
      <c r="G622">
        <f t="shared" si="28"/>
        <v>88.28</v>
      </c>
      <c r="J622" t="s">
        <v>22</v>
      </c>
      <c r="K622" t="str">
        <f t="shared" si="29"/>
        <v>Not Returned</v>
      </c>
      <c r="N622" t="s">
        <v>40</v>
      </c>
      <c r="O622" t="str">
        <f>IF(N622="",INDEX({"Low","Medium","High"},MATCH(MAX(COUNTIF($N$2:$N$1000,{"Low","Medium","High"})),COUNTIF($N$2:$N$1000,{"Low","Medium","High"}),0)),N622)</f>
        <v>Medium</v>
      </c>
    </row>
    <row r="623" spans="1:15" x14ac:dyDescent="0.25">
      <c r="A623">
        <v>15</v>
      </c>
      <c r="B623">
        <f t="shared" si="27"/>
        <v>15</v>
      </c>
      <c r="F623">
        <v>57.79</v>
      </c>
      <c r="G623">
        <f t="shared" si="28"/>
        <v>57.79</v>
      </c>
      <c r="J623" t="s">
        <v>22</v>
      </c>
      <c r="K623" t="str">
        <f t="shared" si="29"/>
        <v>Not Returned</v>
      </c>
      <c r="N623" t="s">
        <v>25</v>
      </c>
      <c r="O623" t="str">
        <f>IF(N623="",INDEX({"Low","Medium","High"},MATCH(MAX(COUNTIF($N$2:$N$1000,{"Low","Medium","High"})),COUNTIF($N$2:$N$1000,{"Low","Medium","High"}),0)),N623)</f>
        <v>Low</v>
      </c>
    </row>
    <row r="624" spans="1:15" x14ac:dyDescent="0.25">
      <c r="A624">
        <v>21</v>
      </c>
      <c r="B624">
        <f t="shared" si="27"/>
        <v>21</v>
      </c>
      <c r="F624">
        <v>32.49</v>
      </c>
      <c r="G624">
        <f t="shared" si="28"/>
        <v>32.49</v>
      </c>
      <c r="J624" t="s">
        <v>22</v>
      </c>
      <c r="K624" t="str">
        <f t="shared" si="29"/>
        <v>Not Returned</v>
      </c>
      <c r="N624" t="s">
        <v>34</v>
      </c>
      <c r="O624" t="str">
        <f>IF(N624="",INDEX({"Low","Medium","High"},MATCH(MAX(COUNTIF($N$2:$N$1000,{"Low","Medium","High"})),COUNTIF($N$2:$N$1000,{"Low","Medium","High"}),0)),N624)</f>
        <v>High</v>
      </c>
    </row>
    <row r="625" spans="1:15" x14ac:dyDescent="0.25">
      <c r="A625">
        <v>15</v>
      </c>
      <c r="B625">
        <f t="shared" si="27"/>
        <v>15</v>
      </c>
      <c r="F625">
        <v>67.67</v>
      </c>
      <c r="G625">
        <f t="shared" si="28"/>
        <v>67.67</v>
      </c>
      <c r="J625" t="s">
        <v>22</v>
      </c>
      <c r="K625" t="str">
        <f t="shared" si="29"/>
        <v>Not Returned</v>
      </c>
      <c r="N625" t="s">
        <v>25</v>
      </c>
      <c r="O625" t="str">
        <f>IF(N625="",INDEX({"Low","Medium","High"},MATCH(MAX(COUNTIF($N$2:$N$1000,{"Low","Medium","High"})),COUNTIF($N$2:$N$1000,{"Low","Medium","High"}),0)),N625)</f>
        <v>Low</v>
      </c>
    </row>
    <row r="626" spans="1:15" x14ac:dyDescent="0.25">
      <c r="A626">
        <v>5</v>
      </c>
      <c r="B626">
        <f t="shared" si="27"/>
        <v>5</v>
      </c>
      <c r="F626">
        <v>98.58</v>
      </c>
      <c r="G626">
        <f t="shared" si="28"/>
        <v>98.58</v>
      </c>
      <c r="J626" t="s">
        <v>22</v>
      </c>
      <c r="K626" t="str">
        <f t="shared" si="29"/>
        <v>Not Returned</v>
      </c>
      <c r="N626" t="s">
        <v>40</v>
      </c>
      <c r="O626" t="str">
        <f>IF(N626="",INDEX({"Low","Medium","High"},MATCH(MAX(COUNTIF($N$2:$N$1000,{"Low","Medium","High"})),COUNTIF($N$2:$N$1000,{"Low","Medium","High"}),0)),N626)</f>
        <v>Medium</v>
      </c>
    </row>
    <row r="627" spans="1:15" x14ac:dyDescent="0.25">
      <c r="A627">
        <v>39</v>
      </c>
      <c r="B627">
        <f t="shared" si="27"/>
        <v>39</v>
      </c>
      <c r="F627">
        <v>38.450000000000003</v>
      </c>
      <c r="G627">
        <f t="shared" si="28"/>
        <v>38.450000000000003</v>
      </c>
      <c r="J627" t="s">
        <v>22</v>
      </c>
      <c r="K627" t="str">
        <f t="shared" si="29"/>
        <v>Not Returned</v>
      </c>
      <c r="N627" t="s">
        <v>34</v>
      </c>
      <c r="O627" t="str">
        <f>IF(N627="",INDEX({"Low","Medium","High"},MATCH(MAX(COUNTIF($N$2:$N$1000,{"Low","Medium","High"})),COUNTIF($N$2:$N$1000,{"Low","Medium","High"}),0)),N627)</f>
        <v>High</v>
      </c>
    </row>
    <row r="628" spans="1:15" x14ac:dyDescent="0.25">
      <c r="A628">
        <v>45</v>
      </c>
      <c r="B628">
        <f t="shared" si="27"/>
        <v>45</v>
      </c>
      <c r="G628" s="3">
        <f t="shared" si="28"/>
        <v>53</v>
      </c>
      <c r="J628" t="s">
        <v>22</v>
      </c>
      <c r="K628" t="str">
        <f t="shared" si="29"/>
        <v>Not Returned</v>
      </c>
      <c r="N628" t="s">
        <v>40</v>
      </c>
      <c r="O628" t="str">
        <f>IF(N628="",INDEX({"Low","Medium","High"},MATCH(MAX(COUNTIF($N$2:$N$1000,{"Low","Medium","High"})),COUNTIF($N$2:$N$1000,{"Low","Medium","High"}),0)),N628)</f>
        <v>Medium</v>
      </c>
    </row>
    <row r="629" spans="1:15" x14ac:dyDescent="0.25">
      <c r="A629">
        <v>8</v>
      </c>
      <c r="B629">
        <f t="shared" si="27"/>
        <v>8</v>
      </c>
      <c r="F629">
        <v>36.270000000000003</v>
      </c>
      <c r="G629">
        <f t="shared" si="28"/>
        <v>36.270000000000003</v>
      </c>
      <c r="J629" t="s">
        <v>22</v>
      </c>
      <c r="K629" t="str">
        <f t="shared" si="29"/>
        <v>Not Returned</v>
      </c>
      <c r="N629" t="s">
        <v>40</v>
      </c>
      <c r="O629" t="str">
        <f>IF(N629="",INDEX({"Low","Medium","High"},MATCH(MAX(COUNTIF($N$2:$N$1000,{"Low","Medium","High"})),COUNTIF($N$2:$N$1000,{"Low","Medium","High"}),0)),N629)</f>
        <v>Medium</v>
      </c>
    </row>
    <row r="630" spans="1:15" x14ac:dyDescent="0.25">
      <c r="A630">
        <v>12</v>
      </c>
      <c r="B630">
        <f t="shared" si="27"/>
        <v>12</v>
      </c>
      <c r="F630">
        <v>72.680000000000007</v>
      </c>
      <c r="G630">
        <f t="shared" si="28"/>
        <v>72.680000000000007</v>
      </c>
      <c r="J630" t="s">
        <v>22</v>
      </c>
      <c r="K630" t="str">
        <f t="shared" si="29"/>
        <v>Not Returned</v>
      </c>
      <c r="N630" t="s">
        <v>34</v>
      </c>
      <c r="O630" t="str">
        <f>IF(N630="",INDEX({"Low","Medium","High"},MATCH(MAX(COUNTIF($N$2:$N$1000,{"Low","Medium","High"})),COUNTIF($N$2:$N$1000,{"Low","Medium","High"}),0)),N630)</f>
        <v>High</v>
      </c>
    </row>
    <row r="631" spans="1:15" x14ac:dyDescent="0.25">
      <c r="A631">
        <v>1</v>
      </c>
      <c r="B631">
        <f t="shared" si="27"/>
        <v>1</v>
      </c>
      <c r="F631">
        <v>22.84</v>
      </c>
      <c r="G631">
        <f t="shared" si="28"/>
        <v>22.84</v>
      </c>
      <c r="J631" t="s">
        <v>22</v>
      </c>
      <c r="K631" t="str">
        <f t="shared" si="29"/>
        <v>Not Returned</v>
      </c>
      <c r="N631" t="s">
        <v>25</v>
      </c>
      <c r="O631" t="str">
        <f>IF(N631="",INDEX({"Low","Medium","High"},MATCH(MAX(COUNTIF($N$2:$N$1000,{"Low","Medium","High"})),COUNTIF($N$2:$N$1000,{"Low","Medium","High"}),0)),N631)</f>
        <v>Low</v>
      </c>
    </row>
    <row r="632" spans="1:15" x14ac:dyDescent="0.25">
      <c r="A632">
        <v>20</v>
      </c>
      <c r="B632">
        <f t="shared" si="27"/>
        <v>20</v>
      </c>
      <c r="F632">
        <v>3.97</v>
      </c>
      <c r="G632">
        <f t="shared" si="28"/>
        <v>3.97</v>
      </c>
      <c r="J632" t="s">
        <v>22</v>
      </c>
      <c r="K632" t="str">
        <f t="shared" si="29"/>
        <v>Not Returned</v>
      </c>
      <c r="N632" t="s">
        <v>25</v>
      </c>
      <c r="O632" t="str">
        <f>IF(N632="",INDEX({"Low","Medium","High"},MATCH(MAX(COUNTIF($N$2:$N$1000,{"Low","Medium","High"})),COUNTIF($N$2:$N$1000,{"Low","Medium","High"}),0)),N632)</f>
        <v>Low</v>
      </c>
    </row>
    <row r="633" spans="1:15" x14ac:dyDescent="0.25">
      <c r="A633">
        <v>5</v>
      </c>
      <c r="B633">
        <f t="shared" si="27"/>
        <v>5</v>
      </c>
      <c r="F633">
        <v>26.35</v>
      </c>
      <c r="G633">
        <f t="shared" si="28"/>
        <v>26.35</v>
      </c>
      <c r="J633" t="s">
        <v>22</v>
      </c>
      <c r="K633" t="str">
        <f t="shared" si="29"/>
        <v>Not Returned</v>
      </c>
      <c r="N633" t="s">
        <v>40</v>
      </c>
      <c r="O633" t="str">
        <f>IF(N633="",INDEX({"Low","Medium","High"},MATCH(MAX(COUNTIF($N$2:$N$1000,{"Low","Medium","High"})),COUNTIF($N$2:$N$1000,{"Low","Medium","High"}),0)),N633)</f>
        <v>Medium</v>
      </c>
    </row>
    <row r="634" spans="1:15" x14ac:dyDescent="0.25">
      <c r="A634">
        <v>28</v>
      </c>
      <c r="B634">
        <f t="shared" si="27"/>
        <v>28</v>
      </c>
      <c r="F634">
        <v>82.63</v>
      </c>
      <c r="G634">
        <f t="shared" si="28"/>
        <v>82.63</v>
      </c>
      <c r="J634" t="s">
        <v>22</v>
      </c>
      <c r="K634" t="str">
        <f t="shared" si="29"/>
        <v>Not Returned</v>
      </c>
      <c r="N634" t="s">
        <v>40</v>
      </c>
      <c r="O634" t="str">
        <f>IF(N634="",INDEX({"Low","Medium","High"},MATCH(MAX(COUNTIF($N$2:$N$1000,{"Low","Medium","High"})),COUNTIF($N$2:$N$1000,{"Low","Medium","High"}),0)),N634)</f>
        <v>Medium</v>
      </c>
    </row>
    <row r="635" spans="1:15" x14ac:dyDescent="0.25">
      <c r="A635">
        <v>28</v>
      </c>
      <c r="B635">
        <f t="shared" si="27"/>
        <v>28</v>
      </c>
      <c r="F635">
        <v>28.72</v>
      </c>
      <c r="G635">
        <f t="shared" si="28"/>
        <v>28.72</v>
      </c>
      <c r="J635" t="s">
        <v>22</v>
      </c>
      <c r="K635" t="str">
        <f t="shared" si="29"/>
        <v>Not Returned</v>
      </c>
      <c r="N635" t="s">
        <v>25</v>
      </c>
      <c r="O635" t="str">
        <f>IF(N635="",INDEX({"Low","Medium","High"},MATCH(MAX(COUNTIF($N$2:$N$1000,{"Low","Medium","High"})),COUNTIF($N$2:$N$1000,{"Low","Medium","High"}),0)),N635)</f>
        <v>Low</v>
      </c>
    </row>
    <row r="636" spans="1:15" x14ac:dyDescent="0.25">
      <c r="A636">
        <v>26</v>
      </c>
      <c r="B636">
        <f t="shared" si="27"/>
        <v>26</v>
      </c>
      <c r="F636">
        <v>81.52</v>
      </c>
      <c r="G636">
        <f t="shared" si="28"/>
        <v>81.52</v>
      </c>
      <c r="J636" t="s">
        <v>22</v>
      </c>
      <c r="K636" t="str">
        <f t="shared" si="29"/>
        <v>Not Returned</v>
      </c>
      <c r="N636" t="s">
        <v>40</v>
      </c>
      <c r="O636" t="str">
        <f>IF(N636="",INDEX({"Low","Medium","High"},MATCH(MAX(COUNTIF($N$2:$N$1000,{"Low","Medium","High"})),COUNTIF($N$2:$N$1000,{"Low","Medium","High"}),0)),N636)</f>
        <v>Medium</v>
      </c>
    </row>
    <row r="637" spans="1:15" x14ac:dyDescent="0.25">
      <c r="A637">
        <v>18</v>
      </c>
      <c r="B637">
        <f t="shared" si="27"/>
        <v>18</v>
      </c>
      <c r="F637">
        <v>77.650000000000006</v>
      </c>
      <c r="G637">
        <f t="shared" si="28"/>
        <v>77.650000000000006</v>
      </c>
      <c r="J637" t="s">
        <v>22</v>
      </c>
      <c r="K637" t="str">
        <f t="shared" si="29"/>
        <v>Not Returned</v>
      </c>
      <c r="N637" t="s">
        <v>25</v>
      </c>
      <c r="O637" t="str">
        <f>IF(N637="",INDEX({"Low","Medium","High"},MATCH(MAX(COUNTIF($N$2:$N$1000,{"Low","Medium","High"})),COUNTIF($N$2:$N$1000,{"Low","Medium","High"}),0)),N637)</f>
        <v>Low</v>
      </c>
    </row>
    <row r="638" spans="1:15" x14ac:dyDescent="0.25">
      <c r="A638">
        <v>23</v>
      </c>
      <c r="B638">
        <f t="shared" si="27"/>
        <v>23</v>
      </c>
      <c r="F638">
        <v>60.94</v>
      </c>
      <c r="G638">
        <f t="shared" si="28"/>
        <v>60.94</v>
      </c>
      <c r="J638" t="s">
        <v>22</v>
      </c>
      <c r="K638" t="str">
        <f t="shared" si="29"/>
        <v>Not Returned</v>
      </c>
      <c r="N638" t="s">
        <v>25</v>
      </c>
      <c r="O638" t="str">
        <f>IF(N638="",INDEX({"Low","Medium","High"},MATCH(MAX(COUNTIF($N$2:$N$1000,{"Low","Medium","High"})),COUNTIF($N$2:$N$1000,{"Low","Medium","High"}),0)),N638)</f>
        <v>Low</v>
      </c>
    </row>
    <row r="639" spans="1:15" x14ac:dyDescent="0.25">
      <c r="A639">
        <v>42</v>
      </c>
      <c r="B639">
        <f t="shared" si="27"/>
        <v>42</v>
      </c>
      <c r="F639">
        <v>18.440000000000001</v>
      </c>
      <c r="G639">
        <f t="shared" si="28"/>
        <v>18.440000000000001</v>
      </c>
      <c r="J639" t="s">
        <v>22</v>
      </c>
      <c r="K639" t="str">
        <f t="shared" si="29"/>
        <v>Not Returned</v>
      </c>
      <c r="N639" t="s">
        <v>40</v>
      </c>
      <c r="O639" t="str">
        <f>IF(N639="",INDEX({"Low","Medium","High"},MATCH(MAX(COUNTIF($N$2:$N$1000,{"Low","Medium","High"})),COUNTIF($N$2:$N$1000,{"Low","Medium","High"}),0)),N639)</f>
        <v>Medium</v>
      </c>
    </row>
    <row r="640" spans="1:15" x14ac:dyDescent="0.25">
      <c r="A640">
        <v>18</v>
      </c>
      <c r="B640">
        <f t="shared" si="27"/>
        <v>18</v>
      </c>
      <c r="F640">
        <v>44.7</v>
      </c>
      <c r="G640">
        <f t="shared" si="28"/>
        <v>44.7</v>
      </c>
      <c r="J640" t="s">
        <v>22</v>
      </c>
      <c r="K640" t="str">
        <f t="shared" si="29"/>
        <v>Not Returned</v>
      </c>
      <c r="N640" t="s">
        <v>40</v>
      </c>
      <c r="O640" t="str">
        <f>IF(N640="",INDEX({"Low","Medium","High"},MATCH(MAX(COUNTIF($N$2:$N$1000,{"Low","Medium","High"})),COUNTIF($N$2:$N$1000,{"Low","Medium","High"}),0)),N640)</f>
        <v>Medium</v>
      </c>
    </row>
    <row r="641" spans="1:15" x14ac:dyDescent="0.25">
      <c r="A641">
        <v>43</v>
      </c>
      <c r="B641">
        <f t="shared" si="27"/>
        <v>43</v>
      </c>
      <c r="F641">
        <v>79.89</v>
      </c>
      <c r="G641">
        <f t="shared" si="28"/>
        <v>79.89</v>
      </c>
      <c r="J641" t="s">
        <v>22</v>
      </c>
      <c r="K641" t="str">
        <f t="shared" si="29"/>
        <v>Not Returned</v>
      </c>
      <c r="N641" t="s">
        <v>34</v>
      </c>
      <c r="O641" t="str">
        <f>IF(N641="",INDEX({"Low","Medium","High"},MATCH(MAX(COUNTIF($N$2:$N$1000,{"Low","Medium","High"})),COUNTIF($N$2:$N$1000,{"Low","Medium","High"}),0)),N641)</f>
        <v>High</v>
      </c>
    </row>
    <row r="642" spans="1:15" x14ac:dyDescent="0.25">
      <c r="A642">
        <v>8</v>
      </c>
      <c r="B642">
        <f t="shared" ref="B642:B705" si="30">IF(A642="",ROUNDUP(AVERAGE($A$2:$A$1000),0),A642)</f>
        <v>8</v>
      </c>
      <c r="F642">
        <v>24.76</v>
      </c>
      <c r="G642">
        <f t="shared" si="28"/>
        <v>24.76</v>
      </c>
      <c r="J642" t="s">
        <v>22</v>
      </c>
      <c r="K642" t="str">
        <f t="shared" si="29"/>
        <v>Not Returned</v>
      </c>
      <c r="N642" t="s">
        <v>34</v>
      </c>
      <c r="O642" t="str">
        <f>IF(N642="",INDEX({"Low","Medium","High"},MATCH(MAX(COUNTIF($N$2:$N$1000,{"Low","Medium","High"})),COUNTIF($N$2:$N$1000,{"Low","Medium","High"}),0)),N642)</f>
        <v>High</v>
      </c>
    </row>
    <row r="643" spans="1:15" x14ac:dyDescent="0.25">
      <c r="A643">
        <v>24</v>
      </c>
      <c r="B643">
        <f t="shared" si="30"/>
        <v>24</v>
      </c>
      <c r="F643">
        <v>73.61</v>
      </c>
      <c r="G643">
        <f t="shared" ref="G643:G706" si="31">IF(F643="",ROUNDUP(AVERAGE($F$2:$F$1000),0),F643)</f>
        <v>73.61</v>
      </c>
      <c r="J643" t="s">
        <v>22</v>
      </c>
      <c r="K643" t="str">
        <f t="shared" ref="K643:K706" si="32">IF(J643="","Unknown",J643)</f>
        <v>Not Returned</v>
      </c>
      <c r="N643" t="s">
        <v>34</v>
      </c>
      <c r="O643" t="str">
        <f>IF(N643="",INDEX({"Low","Medium","High"},MATCH(MAX(COUNTIF($N$2:$N$1000,{"Low","Medium","High"})),COUNTIF($N$2:$N$1000,{"Low","Medium","High"}),0)),N643)</f>
        <v>High</v>
      </c>
    </row>
    <row r="644" spans="1:15" x14ac:dyDescent="0.25">
      <c r="A644">
        <v>22</v>
      </c>
      <c r="B644">
        <f t="shared" si="30"/>
        <v>22</v>
      </c>
      <c r="F644">
        <v>95.52</v>
      </c>
      <c r="G644">
        <f t="shared" si="31"/>
        <v>95.52</v>
      </c>
      <c r="J644" t="s">
        <v>22</v>
      </c>
      <c r="K644" t="str">
        <f t="shared" si="32"/>
        <v>Not Returned</v>
      </c>
      <c r="N644" t="s">
        <v>25</v>
      </c>
      <c r="O644" t="str">
        <f>IF(N644="",INDEX({"Low","Medium","High"},MATCH(MAX(COUNTIF($N$2:$N$1000,{"Low","Medium","High"})),COUNTIF($N$2:$N$1000,{"Low","Medium","High"}),0)),N644)</f>
        <v>Low</v>
      </c>
    </row>
    <row r="645" spans="1:15" x14ac:dyDescent="0.25">
      <c r="A645">
        <v>20</v>
      </c>
      <c r="B645">
        <f t="shared" si="30"/>
        <v>20</v>
      </c>
      <c r="F645">
        <v>97.07</v>
      </c>
      <c r="G645">
        <f t="shared" si="31"/>
        <v>97.07</v>
      </c>
      <c r="J645" t="s">
        <v>22</v>
      </c>
      <c r="K645" t="str">
        <f t="shared" si="32"/>
        <v>Not Returned</v>
      </c>
      <c r="N645" t="s">
        <v>25</v>
      </c>
      <c r="O645" t="str">
        <f>IF(N645="",INDEX({"Low","Medium","High"},MATCH(MAX(COUNTIF($N$2:$N$1000,{"Low","Medium","High"})),COUNTIF($N$2:$N$1000,{"Low","Medium","High"}),0)),N645)</f>
        <v>Low</v>
      </c>
    </row>
    <row r="646" spans="1:15" x14ac:dyDescent="0.25">
      <c r="A646">
        <v>32</v>
      </c>
      <c r="B646">
        <f t="shared" si="30"/>
        <v>32</v>
      </c>
      <c r="F646">
        <v>69.19</v>
      </c>
      <c r="G646">
        <f t="shared" si="31"/>
        <v>69.19</v>
      </c>
      <c r="J646" t="s">
        <v>22</v>
      </c>
      <c r="K646" t="str">
        <f t="shared" si="32"/>
        <v>Not Returned</v>
      </c>
      <c r="N646" t="s">
        <v>40</v>
      </c>
      <c r="O646" t="str">
        <f>IF(N646="",INDEX({"Low","Medium","High"},MATCH(MAX(COUNTIF($N$2:$N$1000,{"Low","Medium","High"})),COUNTIF($N$2:$N$1000,{"Low","Medium","High"}),0)),N646)</f>
        <v>Medium</v>
      </c>
    </row>
    <row r="647" spans="1:15" x14ac:dyDescent="0.25">
      <c r="A647">
        <v>37</v>
      </c>
      <c r="B647">
        <f t="shared" si="30"/>
        <v>37</v>
      </c>
      <c r="F647">
        <v>55.44</v>
      </c>
      <c r="G647">
        <f t="shared" si="31"/>
        <v>55.44</v>
      </c>
      <c r="J647" t="s">
        <v>111</v>
      </c>
      <c r="K647" t="str">
        <f t="shared" si="32"/>
        <v>Returned</v>
      </c>
      <c r="N647" t="s">
        <v>34</v>
      </c>
      <c r="O647" t="str">
        <f>IF(N647="",INDEX({"Low","Medium","High"},MATCH(MAX(COUNTIF($N$2:$N$1000,{"Low","Medium","High"})),COUNTIF($N$2:$N$1000,{"Low","Medium","High"}),0)),N647)</f>
        <v>High</v>
      </c>
    </row>
    <row r="648" spans="1:15" x14ac:dyDescent="0.25">
      <c r="A648">
        <v>49</v>
      </c>
      <c r="B648">
        <f t="shared" si="30"/>
        <v>49</v>
      </c>
      <c r="F648">
        <v>69</v>
      </c>
      <c r="G648">
        <f t="shared" si="31"/>
        <v>69</v>
      </c>
      <c r="J648" t="s">
        <v>22</v>
      </c>
      <c r="K648" t="str">
        <f t="shared" si="32"/>
        <v>Not Returned</v>
      </c>
      <c r="N648" t="s">
        <v>25</v>
      </c>
      <c r="O648" t="str">
        <f>IF(N648="",INDEX({"Low","Medium","High"},MATCH(MAX(COUNTIF($N$2:$N$1000,{"Low","Medium","High"})),COUNTIF($N$2:$N$1000,{"Low","Medium","High"}),0)),N648)</f>
        <v>Low</v>
      </c>
    </row>
    <row r="649" spans="1:15" x14ac:dyDescent="0.25">
      <c r="A649">
        <v>30</v>
      </c>
      <c r="B649">
        <f t="shared" si="30"/>
        <v>30</v>
      </c>
      <c r="F649">
        <v>57</v>
      </c>
      <c r="G649">
        <f t="shared" si="31"/>
        <v>57</v>
      </c>
      <c r="J649" t="s">
        <v>22</v>
      </c>
      <c r="K649" t="str">
        <f t="shared" si="32"/>
        <v>Not Returned</v>
      </c>
      <c r="N649" t="s">
        <v>34</v>
      </c>
      <c r="O649" t="str">
        <f>IF(N649="",INDEX({"Low","Medium","High"},MATCH(MAX(COUNTIF($N$2:$N$1000,{"Low","Medium","High"})),COUNTIF($N$2:$N$1000,{"Low","Medium","High"}),0)),N649)</f>
        <v>High</v>
      </c>
    </row>
    <row r="650" spans="1:15" x14ac:dyDescent="0.25">
      <c r="A650">
        <v>48</v>
      </c>
      <c r="B650">
        <f t="shared" si="30"/>
        <v>48</v>
      </c>
      <c r="F650">
        <v>97.14</v>
      </c>
      <c r="G650">
        <f t="shared" si="31"/>
        <v>97.14</v>
      </c>
      <c r="J650" t="s">
        <v>22</v>
      </c>
      <c r="K650" t="str">
        <f t="shared" si="32"/>
        <v>Not Returned</v>
      </c>
      <c r="N650" t="s">
        <v>34</v>
      </c>
      <c r="O650" t="str">
        <f>IF(N650="",INDEX({"Low","Medium","High"},MATCH(MAX(COUNTIF($N$2:$N$1000,{"Low","Medium","High"})),COUNTIF($N$2:$N$1000,{"Low","Medium","High"}),0)),N650)</f>
        <v>High</v>
      </c>
    </row>
    <row r="651" spans="1:15" x14ac:dyDescent="0.25">
      <c r="A651">
        <v>21</v>
      </c>
      <c r="B651">
        <f t="shared" si="30"/>
        <v>21</v>
      </c>
      <c r="F651">
        <v>99.39</v>
      </c>
      <c r="G651">
        <f t="shared" si="31"/>
        <v>99.39</v>
      </c>
      <c r="J651" t="s">
        <v>111</v>
      </c>
      <c r="K651" t="str">
        <f t="shared" si="32"/>
        <v>Returned</v>
      </c>
      <c r="N651" t="s">
        <v>34</v>
      </c>
      <c r="O651" t="str">
        <f>IF(N651="",INDEX({"Low","Medium","High"},MATCH(MAX(COUNTIF($N$2:$N$1000,{"Low","Medium","High"})),COUNTIF($N$2:$N$1000,{"Low","Medium","High"}),0)),N651)</f>
        <v>High</v>
      </c>
    </row>
    <row r="652" spans="1:15" x14ac:dyDescent="0.25">
      <c r="A652">
        <v>15</v>
      </c>
      <c r="B652">
        <f t="shared" si="30"/>
        <v>15</v>
      </c>
      <c r="F652">
        <v>2.71</v>
      </c>
      <c r="G652">
        <f t="shared" si="31"/>
        <v>2.71</v>
      </c>
      <c r="J652" t="s">
        <v>22</v>
      </c>
      <c r="K652" t="str">
        <f t="shared" si="32"/>
        <v>Not Returned</v>
      </c>
      <c r="N652" t="s">
        <v>34</v>
      </c>
      <c r="O652" t="str">
        <f>IF(N652="",INDEX({"Low","Medium","High"},MATCH(MAX(COUNTIF($N$2:$N$1000,{"Low","Medium","High"})),COUNTIF($N$2:$N$1000,{"Low","Medium","High"}),0)),N652)</f>
        <v>High</v>
      </c>
    </row>
    <row r="653" spans="1:15" x14ac:dyDescent="0.25">
      <c r="A653">
        <v>25</v>
      </c>
      <c r="B653">
        <f t="shared" si="30"/>
        <v>25</v>
      </c>
      <c r="F653">
        <v>52.02</v>
      </c>
      <c r="G653">
        <f t="shared" si="31"/>
        <v>52.02</v>
      </c>
      <c r="J653" t="s">
        <v>22</v>
      </c>
      <c r="K653" t="str">
        <f t="shared" si="32"/>
        <v>Not Returned</v>
      </c>
      <c r="N653" t="s">
        <v>40</v>
      </c>
      <c r="O653" t="str">
        <f>IF(N653="",INDEX({"Low","Medium","High"},MATCH(MAX(COUNTIF($N$2:$N$1000,{"Low","Medium","High"})),COUNTIF($N$2:$N$1000,{"Low","Medium","High"}),0)),N653)</f>
        <v>Medium</v>
      </c>
    </row>
    <row r="654" spans="1:15" x14ac:dyDescent="0.25">
      <c r="A654">
        <v>7</v>
      </c>
      <c r="B654">
        <f t="shared" si="30"/>
        <v>7</v>
      </c>
      <c r="F654">
        <v>81.52</v>
      </c>
      <c r="G654">
        <f t="shared" si="31"/>
        <v>81.52</v>
      </c>
      <c r="J654" t="s">
        <v>22</v>
      </c>
      <c r="K654" t="str">
        <f t="shared" si="32"/>
        <v>Not Returned</v>
      </c>
      <c r="N654" t="s">
        <v>40</v>
      </c>
      <c r="O654" t="str">
        <f>IF(N654="",INDEX({"Low","Medium","High"},MATCH(MAX(COUNTIF($N$2:$N$1000,{"Low","Medium","High"})),COUNTIF($N$2:$N$1000,{"Low","Medium","High"}),0)),N654)</f>
        <v>Medium</v>
      </c>
    </row>
    <row r="655" spans="1:15" x14ac:dyDescent="0.25">
      <c r="A655">
        <v>32</v>
      </c>
      <c r="B655">
        <f t="shared" si="30"/>
        <v>32</v>
      </c>
      <c r="F655">
        <v>37.08</v>
      </c>
      <c r="G655">
        <f t="shared" si="31"/>
        <v>37.08</v>
      </c>
      <c r="J655" t="s">
        <v>22</v>
      </c>
      <c r="K655" t="str">
        <f t="shared" si="32"/>
        <v>Not Returned</v>
      </c>
      <c r="N655" t="s">
        <v>40</v>
      </c>
      <c r="O655" t="str">
        <f>IF(N655="",INDEX({"Low","Medium","High"},MATCH(MAX(COUNTIF($N$2:$N$1000,{"Low","Medium","High"})),COUNTIF($N$2:$N$1000,{"Low","Medium","High"}),0)),N655)</f>
        <v>Medium</v>
      </c>
    </row>
    <row r="656" spans="1:15" x14ac:dyDescent="0.25">
      <c r="A656">
        <v>23</v>
      </c>
      <c r="B656">
        <f t="shared" si="30"/>
        <v>23</v>
      </c>
      <c r="F656">
        <v>32.5</v>
      </c>
      <c r="G656">
        <f t="shared" si="31"/>
        <v>32.5</v>
      </c>
      <c r="J656" t="s">
        <v>22</v>
      </c>
      <c r="K656" t="str">
        <f t="shared" si="32"/>
        <v>Not Returned</v>
      </c>
      <c r="N656" t="s">
        <v>25</v>
      </c>
      <c r="O656" t="str">
        <f>IF(N656="",INDEX({"Low","Medium","High"},MATCH(MAX(COUNTIF($N$2:$N$1000,{"Low","Medium","High"})),COUNTIF($N$2:$N$1000,{"Low","Medium","High"}),0)),N656)</f>
        <v>Low</v>
      </c>
    </row>
    <row r="657" spans="1:15" x14ac:dyDescent="0.25">
      <c r="A657">
        <v>47</v>
      </c>
      <c r="B657">
        <f t="shared" si="30"/>
        <v>47</v>
      </c>
      <c r="F657">
        <v>32.46</v>
      </c>
      <c r="G657">
        <f t="shared" si="31"/>
        <v>32.46</v>
      </c>
      <c r="J657" t="s">
        <v>22</v>
      </c>
      <c r="K657" t="str">
        <f t="shared" si="32"/>
        <v>Not Returned</v>
      </c>
      <c r="N657" t="s">
        <v>34</v>
      </c>
      <c r="O657" t="str">
        <f>IF(N657="",INDEX({"Low","Medium","High"},MATCH(MAX(COUNTIF($N$2:$N$1000,{"Low","Medium","High"})),COUNTIF($N$2:$N$1000,{"Low","Medium","High"}),0)),N657)</f>
        <v>High</v>
      </c>
    </row>
    <row r="658" spans="1:15" x14ac:dyDescent="0.25">
      <c r="A658">
        <v>42</v>
      </c>
      <c r="B658">
        <f t="shared" si="30"/>
        <v>42</v>
      </c>
      <c r="F658">
        <v>43.9</v>
      </c>
      <c r="G658">
        <f t="shared" si="31"/>
        <v>43.9</v>
      </c>
      <c r="J658" t="s">
        <v>22</v>
      </c>
      <c r="K658" t="str">
        <f t="shared" si="32"/>
        <v>Not Returned</v>
      </c>
      <c r="N658" t="s">
        <v>25</v>
      </c>
      <c r="O658" t="str">
        <f>IF(N658="",INDEX({"Low","Medium","High"},MATCH(MAX(COUNTIF($N$2:$N$1000,{"Low","Medium","High"})),COUNTIF($N$2:$N$1000,{"Low","Medium","High"}),0)),N658)</f>
        <v>Low</v>
      </c>
    </row>
    <row r="659" spans="1:15" x14ac:dyDescent="0.25">
      <c r="A659">
        <v>43</v>
      </c>
      <c r="B659">
        <f t="shared" si="30"/>
        <v>43</v>
      </c>
      <c r="F659">
        <v>78.459999999999994</v>
      </c>
      <c r="G659">
        <f t="shared" si="31"/>
        <v>78.459999999999994</v>
      </c>
      <c r="J659" t="s">
        <v>22</v>
      </c>
      <c r="K659" t="str">
        <f t="shared" si="32"/>
        <v>Not Returned</v>
      </c>
      <c r="N659" t="s">
        <v>25</v>
      </c>
      <c r="O659" t="str">
        <f>IF(N659="",INDEX({"Low","Medium","High"},MATCH(MAX(COUNTIF($N$2:$N$1000,{"Low","Medium","High"})),COUNTIF($N$2:$N$1000,{"Low","Medium","High"}),0)),N659)</f>
        <v>Low</v>
      </c>
    </row>
    <row r="660" spans="1:15" x14ac:dyDescent="0.25">
      <c r="A660">
        <v>27</v>
      </c>
      <c r="B660">
        <f t="shared" si="30"/>
        <v>27</v>
      </c>
      <c r="F660">
        <v>97.42</v>
      </c>
      <c r="G660">
        <f t="shared" si="31"/>
        <v>97.42</v>
      </c>
      <c r="J660" t="s">
        <v>22</v>
      </c>
      <c r="K660" t="str">
        <f t="shared" si="32"/>
        <v>Not Returned</v>
      </c>
      <c r="N660" t="s">
        <v>40</v>
      </c>
      <c r="O660" t="str">
        <f>IF(N660="",INDEX({"Low","Medium","High"},MATCH(MAX(COUNTIF($N$2:$N$1000,{"Low","Medium","High"})),COUNTIF($N$2:$N$1000,{"Low","Medium","High"}),0)),N660)</f>
        <v>Medium</v>
      </c>
    </row>
    <row r="661" spans="1:15" x14ac:dyDescent="0.25">
      <c r="A661">
        <v>5</v>
      </c>
      <c r="B661">
        <f t="shared" si="30"/>
        <v>5</v>
      </c>
      <c r="F661">
        <v>51.94</v>
      </c>
      <c r="G661">
        <f t="shared" si="31"/>
        <v>51.94</v>
      </c>
      <c r="J661" t="s">
        <v>22</v>
      </c>
      <c r="K661" t="str">
        <f t="shared" si="32"/>
        <v>Not Returned</v>
      </c>
      <c r="N661" t="s">
        <v>34</v>
      </c>
      <c r="O661" t="str">
        <f>IF(N661="",INDEX({"Low","Medium","High"},MATCH(MAX(COUNTIF($N$2:$N$1000,{"Low","Medium","High"})),COUNTIF($N$2:$N$1000,{"Low","Medium","High"}),0)),N661)</f>
        <v>High</v>
      </c>
    </row>
    <row r="662" spans="1:15" x14ac:dyDescent="0.25">
      <c r="A662">
        <v>23</v>
      </c>
      <c r="B662">
        <f t="shared" si="30"/>
        <v>23</v>
      </c>
      <c r="F662">
        <v>86.69</v>
      </c>
      <c r="G662">
        <f t="shared" si="31"/>
        <v>86.69</v>
      </c>
      <c r="J662" t="s">
        <v>22</v>
      </c>
      <c r="K662" t="str">
        <f t="shared" si="32"/>
        <v>Not Returned</v>
      </c>
      <c r="N662" t="s">
        <v>34</v>
      </c>
      <c r="O662" t="str">
        <f>IF(N662="",INDEX({"Low","Medium","High"},MATCH(MAX(COUNTIF($N$2:$N$1000,{"Low","Medium","High"})),COUNTIF($N$2:$N$1000,{"Low","Medium","High"}),0)),N662)</f>
        <v>High</v>
      </c>
    </row>
    <row r="663" spans="1:15" x14ac:dyDescent="0.25">
      <c r="A663">
        <v>38</v>
      </c>
      <c r="B663">
        <f t="shared" si="30"/>
        <v>38</v>
      </c>
      <c r="F663">
        <v>83.81</v>
      </c>
      <c r="G663">
        <f t="shared" si="31"/>
        <v>83.81</v>
      </c>
      <c r="J663" t="s">
        <v>22</v>
      </c>
      <c r="K663" t="str">
        <f t="shared" si="32"/>
        <v>Not Returned</v>
      </c>
      <c r="N663" t="s">
        <v>40</v>
      </c>
      <c r="O663" t="str">
        <f>IF(N663="",INDEX({"Low","Medium","High"},MATCH(MAX(COUNTIF($N$2:$N$1000,{"Low","Medium","High"})),COUNTIF($N$2:$N$1000,{"Low","Medium","High"}),0)),N663)</f>
        <v>Medium</v>
      </c>
    </row>
    <row r="664" spans="1:15" x14ac:dyDescent="0.25">
      <c r="A664">
        <v>33</v>
      </c>
      <c r="B664">
        <f t="shared" si="30"/>
        <v>33</v>
      </c>
      <c r="F664">
        <v>58.19</v>
      </c>
      <c r="G664">
        <f t="shared" si="31"/>
        <v>58.19</v>
      </c>
      <c r="J664" t="s">
        <v>22</v>
      </c>
      <c r="K664" t="str">
        <f t="shared" si="32"/>
        <v>Not Returned</v>
      </c>
      <c r="N664" t="s">
        <v>34</v>
      </c>
      <c r="O664" t="str">
        <f>IF(N664="",INDEX({"Low","Medium","High"},MATCH(MAX(COUNTIF($N$2:$N$1000,{"Low","Medium","High"})),COUNTIF($N$2:$N$1000,{"Low","Medium","High"}),0)),N664)</f>
        <v>High</v>
      </c>
    </row>
    <row r="665" spans="1:15" x14ac:dyDescent="0.25">
      <c r="A665">
        <v>9</v>
      </c>
      <c r="B665">
        <f t="shared" si="30"/>
        <v>9</v>
      </c>
      <c r="F665">
        <v>73.459999999999994</v>
      </c>
      <c r="G665">
        <f t="shared" si="31"/>
        <v>73.459999999999994</v>
      </c>
      <c r="J665" t="s">
        <v>22</v>
      </c>
      <c r="K665" t="str">
        <f t="shared" si="32"/>
        <v>Not Returned</v>
      </c>
      <c r="N665" t="s">
        <v>25</v>
      </c>
      <c r="O665" t="str">
        <f>IF(N665="",INDEX({"Low","Medium","High"},MATCH(MAX(COUNTIF($N$2:$N$1000,{"Low","Medium","High"})),COUNTIF($N$2:$N$1000,{"Low","Medium","High"}),0)),N665)</f>
        <v>Low</v>
      </c>
    </row>
    <row r="666" spans="1:15" x14ac:dyDescent="0.25">
      <c r="A666">
        <v>25</v>
      </c>
      <c r="B666">
        <f t="shared" si="30"/>
        <v>25</v>
      </c>
      <c r="F666">
        <v>51.33</v>
      </c>
      <c r="G666">
        <f t="shared" si="31"/>
        <v>51.33</v>
      </c>
      <c r="J666" t="s">
        <v>22</v>
      </c>
      <c r="K666" t="str">
        <f t="shared" si="32"/>
        <v>Not Returned</v>
      </c>
      <c r="N666" t="s">
        <v>25</v>
      </c>
      <c r="O666" t="str">
        <f>IF(N666="",INDEX({"Low","Medium","High"},MATCH(MAX(COUNTIF($N$2:$N$1000,{"Low","Medium","High"})),COUNTIF($N$2:$N$1000,{"Low","Medium","High"}),0)),N666)</f>
        <v>Low</v>
      </c>
    </row>
    <row r="667" spans="1:15" x14ac:dyDescent="0.25">
      <c r="A667">
        <v>38</v>
      </c>
      <c r="B667">
        <f t="shared" si="30"/>
        <v>38</v>
      </c>
      <c r="F667">
        <v>33.909999999999997</v>
      </c>
      <c r="G667">
        <f t="shared" si="31"/>
        <v>33.909999999999997</v>
      </c>
      <c r="J667" t="s">
        <v>22</v>
      </c>
      <c r="K667" t="str">
        <f t="shared" si="32"/>
        <v>Not Returned</v>
      </c>
      <c r="N667" t="s">
        <v>25</v>
      </c>
      <c r="O667" t="str">
        <f>IF(N667="",INDEX({"Low","Medium","High"},MATCH(MAX(COUNTIF($N$2:$N$1000,{"Low","Medium","High"})),COUNTIF($N$2:$N$1000,{"Low","Medium","High"}),0)),N667)</f>
        <v>Low</v>
      </c>
    </row>
    <row r="668" spans="1:15" x14ac:dyDescent="0.25">
      <c r="A668">
        <v>25</v>
      </c>
      <c r="B668">
        <f t="shared" si="30"/>
        <v>25</v>
      </c>
      <c r="F668">
        <v>81.09</v>
      </c>
      <c r="G668">
        <f t="shared" si="31"/>
        <v>81.09</v>
      </c>
      <c r="J668" t="s">
        <v>22</v>
      </c>
      <c r="K668" t="str">
        <f t="shared" si="32"/>
        <v>Not Returned</v>
      </c>
      <c r="N668" t="s">
        <v>34</v>
      </c>
      <c r="O668" t="str">
        <f>IF(N668="",INDEX({"Low","Medium","High"},MATCH(MAX(COUNTIF($N$2:$N$1000,{"Low","Medium","High"})),COUNTIF($N$2:$N$1000,{"Low","Medium","High"}),0)),N668)</f>
        <v>High</v>
      </c>
    </row>
    <row r="669" spans="1:15" x14ac:dyDescent="0.25">
      <c r="A669">
        <v>46</v>
      </c>
      <c r="B669">
        <f t="shared" si="30"/>
        <v>46</v>
      </c>
      <c r="F669">
        <v>9.08</v>
      </c>
      <c r="G669">
        <f t="shared" si="31"/>
        <v>9.08</v>
      </c>
      <c r="J669" t="s">
        <v>22</v>
      </c>
      <c r="K669" t="str">
        <f t="shared" si="32"/>
        <v>Not Returned</v>
      </c>
      <c r="N669" t="s">
        <v>25</v>
      </c>
      <c r="O669" t="str">
        <f>IF(N669="",INDEX({"Low","Medium","High"},MATCH(MAX(COUNTIF($N$2:$N$1000,{"Low","Medium","High"})),COUNTIF($N$2:$N$1000,{"Low","Medium","High"}),0)),N669)</f>
        <v>Low</v>
      </c>
    </row>
    <row r="670" spans="1:15" x14ac:dyDescent="0.25">
      <c r="A670">
        <v>19</v>
      </c>
      <c r="B670">
        <f t="shared" si="30"/>
        <v>19</v>
      </c>
      <c r="F670">
        <v>24.43</v>
      </c>
      <c r="G670">
        <f t="shared" si="31"/>
        <v>24.43</v>
      </c>
      <c r="J670" t="s">
        <v>111</v>
      </c>
      <c r="K670" t="str">
        <f t="shared" si="32"/>
        <v>Returned</v>
      </c>
      <c r="N670" t="s">
        <v>25</v>
      </c>
      <c r="O670" t="str">
        <f>IF(N670="",INDEX({"Low","Medium","High"},MATCH(MAX(COUNTIF($N$2:$N$1000,{"Low","Medium","High"})),COUNTIF($N$2:$N$1000,{"Low","Medium","High"}),0)),N670)</f>
        <v>Low</v>
      </c>
    </row>
    <row r="671" spans="1:15" x14ac:dyDescent="0.25">
      <c r="A671">
        <v>38</v>
      </c>
      <c r="B671">
        <f t="shared" si="30"/>
        <v>38</v>
      </c>
      <c r="F671">
        <v>27.85</v>
      </c>
      <c r="G671">
        <f t="shared" si="31"/>
        <v>27.85</v>
      </c>
      <c r="J671" t="s">
        <v>22</v>
      </c>
      <c r="K671" t="str">
        <f t="shared" si="32"/>
        <v>Not Returned</v>
      </c>
      <c r="N671" t="s">
        <v>34</v>
      </c>
      <c r="O671" t="str">
        <f>IF(N671="",INDEX({"Low","Medium","High"},MATCH(MAX(COUNTIF($N$2:$N$1000,{"Low","Medium","High"})),COUNTIF($N$2:$N$1000,{"Low","Medium","High"}),0)),N671)</f>
        <v>High</v>
      </c>
    </row>
    <row r="672" spans="1:15" x14ac:dyDescent="0.25">
      <c r="A672">
        <v>48</v>
      </c>
      <c r="B672">
        <f t="shared" si="30"/>
        <v>48</v>
      </c>
      <c r="F672">
        <v>1.83</v>
      </c>
      <c r="G672">
        <f t="shared" si="31"/>
        <v>1.83</v>
      </c>
      <c r="J672" t="s">
        <v>22</v>
      </c>
      <c r="K672" t="str">
        <f t="shared" si="32"/>
        <v>Not Returned</v>
      </c>
      <c r="N672" t="s">
        <v>25</v>
      </c>
      <c r="O672" t="str">
        <f>IF(N672="",INDEX({"Low","Medium","High"},MATCH(MAX(COUNTIF($N$2:$N$1000,{"Low","Medium","High"})),COUNTIF($N$2:$N$1000,{"Low","Medium","High"}),0)),N672)</f>
        <v>Low</v>
      </c>
    </row>
    <row r="673" spans="1:15" x14ac:dyDescent="0.25">
      <c r="A673">
        <v>34</v>
      </c>
      <c r="B673">
        <f t="shared" si="30"/>
        <v>34</v>
      </c>
      <c r="F673">
        <v>61.61</v>
      </c>
      <c r="G673">
        <f t="shared" si="31"/>
        <v>61.61</v>
      </c>
      <c r="J673" t="s">
        <v>22</v>
      </c>
      <c r="K673" t="str">
        <f t="shared" si="32"/>
        <v>Not Returned</v>
      </c>
      <c r="N673" t="s">
        <v>34</v>
      </c>
      <c r="O673" t="str">
        <f>IF(N673="",INDEX({"Low","Medium","High"},MATCH(MAX(COUNTIF($N$2:$N$1000,{"Low","Medium","High"})),COUNTIF($N$2:$N$1000,{"Low","Medium","High"}),0)),N673)</f>
        <v>High</v>
      </c>
    </row>
    <row r="674" spans="1:15" x14ac:dyDescent="0.25">
      <c r="A674">
        <v>48</v>
      </c>
      <c r="B674">
        <f t="shared" si="30"/>
        <v>48</v>
      </c>
      <c r="F674">
        <v>18.559999999999999</v>
      </c>
      <c r="G674">
        <f t="shared" si="31"/>
        <v>18.559999999999999</v>
      </c>
      <c r="J674" t="s">
        <v>22</v>
      </c>
      <c r="K674" t="str">
        <f t="shared" si="32"/>
        <v>Not Returned</v>
      </c>
      <c r="N674" t="s">
        <v>25</v>
      </c>
      <c r="O674" t="str">
        <f>IF(N674="",INDEX({"Low","Medium","High"},MATCH(MAX(COUNTIF($N$2:$N$1000,{"Low","Medium","High"})),COUNTIF($N$2:$N$1000,{"Low","Medium","High"}),0)),N674)</f>
        <v>Low</v>
      </c>
    </row>
    <row r="675" spans="1:15" x14ac:dyDescent="0.25">
      <c r="A675">
        <v>15</v>
      </c>
      <c r="B675">
        <f t="shared" si="30"/>
        <v>15</v>
      </c>
      <c r="F675">
        <v>32.840000000000003</v>
      </c>
      <c r="G675">
        <f t="shared" si="31"/>
        <v>32.840000000000003</v>
      </c>
      <c r="J675" t="s">
        <v>22</v>
      </c>
      <c r="K675" t="str">
        <f t="shared" si="32"/>
        <v>Not Returned</v>
      </c>
      <c r="N675" t="s">
        <v>40</v>
      </c>
      <c r="O675" t="str">
        <f>IF(N675="",INDEX({"Low","Medium","High"},MATCH(MAX(COUNTIF($N$2:$N$1000,{"Low","Medium","High"})),COUNTIF($N$2:$N$1000,{"Low","Medium","High"}),0)),N675)</f>
        <v>Medium</v>
      </c>
    </row>
    <row r="676" spans="1:15" x14ac:dyDescent="0.25">
      <c r="A676">
        <v>3</v>
      </c>
      <c r="B676">
        <f t="shared" si="30"/>
        <v>3</v>
      </c>
      <c r="F676">
        <v>66.63</v>
      </c>
      <c r="G676">
        <f t="shared" si="31"/>
        <v>66.63</v>
      </c>
      <c r="J676" t="s">
        <v>22</v>
      </c>
      <c r="K676" t="str">
        <f t="shared" si="32"/>
        <v>Not Returned</v>
      </c>
      <c r="N676" t="s">
        <v>25</v>
      </c>
      <c r="O676" t="str">
        <f>IF(N676="",INDEX({"Low","Medium","High"},MATCH(MAX(COUNTIF($N$2:$N$1000,{"Low","Medium","High"})),COUNTIF($N$2:$N$1000,{"Low","Medium","High"}),0)),N676)</f>
        <v>Low</v>
      </c>
    </row>
    <row r="677" spans="1:15" x14ac:dyDescent="0.25">
      <c r="A677">
        <v>10</v>
      </c>
      <c r="B677">
        <f t="shared" si="30"/>
        <v>10</v>
      </c>
      <c r="F677">
        <v>86.01</v>
      </c>
      <c r="G677">
        <f t="shared" si="31"/>
        <v>86.01</v>
      </c>
      <c r="J677" t="s">
        <v>22</v>
      </c>
      <c r="K677" t="str">
        <f t="shared" si="32"/>
        <v>Not Returned</v>
      </c>
      <c r="N677" t="s">
        <v>40</v>
      </c>
      <c r="O677" t="str">
        <f>IF(N677="",INDEX({"Low","Medium","High"},MATCH(MAX(COUNTIF($N$2:$N$1000,{"Low","Medium","High"})),COUNTIF($N$2:$N$1000,{"Low","Medium","High"}),0)),N677)</f>
        <v>Medium</v>
      </c>
    </row>
    <row r="678" spans="1:15" x14ac:dyDescent="0.25">
      <c r="A678">
        <v>18</v>
      </c>
      <c r="B678">
        <f t="shared" si="30"/>
        <v>18</v>
      </c>
      <c r="F678">
        <v>81.67</v>
      </c>
      <c r="G678">
        <f t="shared" si="31"/>
        <v>81.67</v>
      </c>
      <c r="J678" t="s">
        <v>22</v>
      </c>
      <c r="K678" t="str">
        <f t="shared" si="32"/>
        <v>Not Returned</v>
      </c>
      <c r="N678" t="s">
        <v>25</v>
      </c>
      <c r="O678" t="str">
        <f>IF(N678="",INDEX({"Low","Medium","High"},MATCH(MAX(COUNTIF($N$2:$N$1000,{"Low","Medium","High"})),COUNTIF($N$2:$N$1000,{"Low","Medium","High"}),0)),N678)</f>
        <v>Low</v>
      </c>
    </row>
    <row r="679" spans="1:15" x14ac:dyDescent="0.25">
      <c r="A679">
        <v>8</v>
      </c>
      <c r="B679">
        <f t="shared" si="30"/>
        <v>8</v>
      </c>
      <c r="F679">
        <v>52.65</v>
      </c>
      <c r="G679">
        <f t="shared" si="31"/>
        <v>52.65</v>
      </c>
      <c r="J679" t="s">
        <v>111</v>
      </c>
      <c r="K679" t="str">
        <f t="shared" si="32"/>
        <v>Returned</v>
      </c>
      <c r="N679" t="s">
        <v>40</v>
      </c>
      <c r="O679" t="str">
        <f>IF(N679="",INDEX({"Low","Medium","High"},MATCH(MAX(COUNTIF($N$2:$N$1000,{"Low","Medium","High"})),COUNTIF($N$2:$N$1000,{"Low","Medium","High"}),0)),N679)</f>
        <v>Medium</v>
      </c>
    </row>
    <row r="680" spans="1:15" x14ac:dyDescent="0.25">
      <c r="A680">
        <v>16</v>
      </c>
      <c r="B680">
        <f t="shared" si="30"/>
        <v>16</v>
      </c>
      <c r="F680">
        <v>49.93</v>
      </c>
      <c r="G680">
        <f t="shared" si="31"/>
        <v>49.93</v>
      </c>
      <c r="J680" t="s">
        <v>22</v>
      </c>
      <c r="K680" t="str">
        <f t="shared" si="32"/>
        <v>Not Returned</v>
      </c>
      <c r="N680" t="s">
        <v>40</v>
      </c>
      <c r="O680" t="str">
        <f>IF(N680="",INDEX({"Low","Medium","High"},MATCH(MAX(COUNTIF($N$2:$N$1000,{"Low","Medium","High"})),COUNTIF($N$2:$N$1000,{"Low","Medium","High"}),0)),N680)</f>
        <v>Medium</v>
      </c>
    </row>
    <row r="681" spans="1:15" x14ac:dyDescent="0.25">
      <c r="A681">
        <v>8</v>
      </c>
      <c r="B681">
        <f t="shared" si="30"/>
        <v>8</v>
      </c>
      <c r="F681">
        <v>70.319999999999993</v>
      </c>
      <c r="G681">
        <f t="shared" si="31"/>
        <v>70.319999999999993</v>
      </c>
      <c r="J681" t="s">
        <v>22</v>
      </c>
      <c r="K681" t="str">
        <f t="shared" si="32"/>
        <v>Not Returned</v>
      </c>
      <c r="N681" t="s">
        <v>25</v>
      </c>
      <c r="O681" t="str">
        <f>IF(N681="",INDEX({"Low","Medium","High"},MATCH(MAX(COUNTIF($N$2:$N$1000,{"Low","Medium","High"})),COUNTIF($N$2:$N$1000,{"Low","Medium","High"}),0)),N681)</f>
        <v>Low</v>
      </c>
    </row>
    <row r="682" spans="1:15" x14ac:dyDescent="0.25">
      <c r="A682">
        <v>7</v>
      </c>
      <c r="B682">
        <f t="shared" si="30"/>
        <v>7</v>
      </c>
      <c r="F682">
        <v>7.09</v>
      </c>
      <c r="G682">
        <f t="shared" si="31"/>
        <v>7.09</v>
      </c>
      <c r="J682" t="s">
        <v>22</v>
      </c>
      <c r="K682" t="str">
        <f t="shared" si="32"/>
        <v>Not Returned</v>
      </c>
      <c r="N682" t="s">
        <v>25</v>
      </c>
      <c r="O682" t="str">
        <f>IF(N682="",INDEX({"Low","Medium","High"},MATCH(MAX(COUNTIF($N$2:$N$1000,{"Low","Medium","High"})),COUNTIF($N$2:$N$1000,{"Low","Medium","High"}),0)),N682)</f>
        <v>Low</v>
      </c>
    </row>
    <row r="683" spans="1:15" x14ac:dyDescent="0.25">
      <c r="A683">
        <v>4</v>
      </c>
      <c r="B683">
        <f t="shared" si="30"/>
        <v>4</v>
      </c>
      <c r="F683">
        <v>5.79</v>
      </c>
      <c r="G683">
        <f t="shared" si="31"/>
        <v>5.79</v>
      </c>
      <c r="J683" t="s">
        <v>22</v>
      </c>
      <c r="K683" t="str">
        <f t="shared" si="32"/>
        <v>Not Returned</v>
      </c>
      <c r="N683" t="s">
        <v>25</v>
      </c>
      <c r="O683" t="str">
        <f>IF(N683="",INDEX({"Low","Medium","High"},MATCH(MAX(COUNTIF($N$2:$N$1000,{"Low","Medium","High"})),COUNTIF($N$2:$N$1000,{"Low","Medium","High"}),0)),N683)</f>
        <v>Low</v>
      </c>
    </row>
    <row r="684" spans="1:15" x14ac:dyDescent="0.25">
      <c r="A684">
        <v>20</v>
      </c>
      <c r="B684">
        <f t="shared" si="30"/>
        <v>20</v>
      </c>
      <c r="F684">
        <v>54.64</v>
      </c>
      <c r="G684">
        <f t="shared" si="31"/>
        <v>54.64</v>
      </c>
      <c r="J684" t="s">
        <v>22</v>
      </c>
      <c r="K684" t="str">
        <f t="shared" si="32"/>
        <v>Not Returned</v>
      </c>
      <c r="N684" t="s">
        <v>34</v>
      </c>
      <c r="O684" t="str">
        <f>IF(N684="",INDEX({"Low","Medium","High"},MATCH(MAX(COUNTIF($N$2:$N$1000,{"Low","Medium","High"})),COUNTIF($N$2:$N$1000,{"Low","Medium","High"}),0)),N684)</f>
        <v>High</v>
      </c>
    </row>
    <row r="685" spans="1:15" x14ac:dyDescent="0.25">
      <c r="A685">
        <v>30</v>
      </c>
      <c r="B685">
        <f t="shared" si="30"/>
        <v>30</v>
      </c>
      <c r="F685">
        <v>42.42</v>
      </c>
      <c r="G685">
        <f t="shared" si="31"/>
        <v>42.42</v>
      </c>
      <c r="J685" t="s">
        <v>22</v>
      </c>
      <c r="K685" t="str">
        <f t="shared" si="32"/>
        <v>Not Returned</v>
      </c>
      <c r="N685" t="s">
        <v>34</v>
      </c>
      <c r="O685" t="str">
        <f>IF(N685="",INDEX({"Low","Medium","High"},MATCH(MAX(COUNTIF($N$2:$N$1000,{"Low","Medium","High"})),COUNTIF($N$2:$N$1000,{"Low","Medium","High"}),0)),N685)</f>
        <v>High</v>
      </c>
    </row>
    <row r="686" spans="1:15" x14ac:dyDescent="0.25">
      <c r="A686">
        <v>32</v>
      </c>
      <c r="B686">
        <f t="shared" si="30"/>
        <v>32</v>
      </c>
      <c r="F686">
        <v>95.28</v>
      </c>
      <c r="G686">
        <f t="shared" si="31"/>
        <v>95.28</v>
      </c>
      <c r="J686" t="s">
        <v>22</v>
      </c>
      <c r="K686" t="str">
        <f t="shared" si="32"/>
        <v>Not Returned</v>
      </c>
      <c r="N686" t="s">
        <v>40</v>
      </c>
      <c r="O686" t="str">
        <f>IF(N686="",INDEX({"Low","Medium","High"},MATCH(MAX(COUNTIF($N$2:$N$1000,{"Low","Medium","High"})),COUNTIF($N$2:$N$1000,{"Low","Medium","High"}),0)),N686)</f>
        <v>Medium</v>
      </c>
    </row>
    <row r="687" spans="1:15" x14ac:dyDescent="0.25">
      <c r="A687">
        <v>18</v>
      </c>
      <c r="B687">
        <f t="shared" si="30"/>
        <v>18</v>
      </c>
      <c r="F687">
        <v>5.26</v>
      </c>
      <c r="G687">
        <f t="shared" si="31"/>
        <v>5.26</v>
      </c>
      <c r="J687" t="s">
        <v>22</v>
      </c>
      <c r="K687" t="str">
        <f t="shared" si="32"/>
        <v>Not Returned</v>
      </c>
      <c r="N687" t="s">
        <v>25</v>
      </c>
      <c r="O687" t="str">
        <f>IF(N687="",INDEX({"Low","Medium","High"},MATCH(MAX(COUNTIF($N$2:$N$1000,{"Low","Medium","High"})),COUNTIF($N$2:$N$1000,{"Low","Medium","High"}),0)),N687)</f>
        <v>Low</v>
      </c>
    </row>
    <row r="688" spans="1:15" x14ac:dyDescent="0.25">
      <c r="A688">
        <v>31</v>
      </c>
      <c r="B688">
        <f t="shared" si="30"/>
        <v>31</v>
      </c>
      <c r="F688">
        <v>1.72</v>
      </c>
      <c r="G688">
        <f t="shared" si="31"/>
        <v>1.72</v>
      </c>
      <c r="J688" t="s">
        <v>22</v>
      </c>
      <c r="K688" t="str">
        <f t="shared" si="32"/>
        <v>Not Returned</v>
      </c>
      <c r="N688" t="s">
        <v>25</v>
      </c>
      <c r="O688" t="str">
        <f>IF(N688="",INDEX({"Low","Medium","High"},MATCH(MAX(COUNTIF($N$2:$N$1000,{"Low","Medium","High"})),COUNTIF($N$2:$N$1000,{"Low","Medium","High"}),0)),N688)</f>
        <v>Low</v>
      </c>
    </row>
    <row r="689" spans="1:15" x14ac:dyDescent="0.25">
      <c r="A689">
        <v>49</v>
      </c>
      <c r="B689">
        <f t="shared" si="30"/>
        <v>49</v>
      </c>
      <c r="F689">
        <v>23.01</v>
      </c>
      <c r="G689">
        <f t="shared" si="31"/>
        <v>23.01</v>
      </c>
      <c r="J689" t="s">
        <v>111</v>
      </c>
      <c r="K689" t="str">
        <f t="shared" si="32"/>
        <v>Returned</v>
      </c>
      <c r="N689" t="s">
        <v>25</v>
      </c>
      <c r="O689" t="str">
        <f>IF(N689="",INDEX({"Low","Medium","High"},MATCH(MAX(COUNTIF($N$2:$N$1000,{"Low","Medium","High"})),COUNTIF($N$2:$N$1000,{"Low","Medium","High"}),0)),N689)</f>
        <v>Low</v>
      </c>
    </row>
    <row r="690" spans="1:15" x14ac:dyDescent="0.25">
      <c r="A690">
        <v>48</v>
      </c>
      <c r="B690">
        <f t="shared" si="30"/>
        <v>48</v>
      </c>
      <c r="F690">
        <v>19.149999999999999</v>
      </c>
      <c r="G690">
        <f t="shared" si="31"/>
        <v>19.149999999999999</v>
      </c>
      <c r="J690" t="s">
        <v>22</v>
      </c>
      <c r="K690" t="str">
        <f t="shared" si="32"/>
        <v>Not Returned</v>
      </c>
      <c r="N690" t="s">
        <v>25</v>
      </c>
      <c r="O690" t="str">
        <f>IF(N690="",INDEX({"Low","Medium","High"},MATCH(MAX(COUNTIF($N$2:$N$1000,{"Low","Medium","High"})),COUNTIF($N$2:$N$1000,{"Low","Medium","High"}),0)),N690)</f>
        <v>Low</v>
      </c>
    </row>
    <row r="691" spans="1:15" x14ac:dyDescent="0.25">
      <c r="A691">
        <v>25</v>
      </c>
      <c r="B691">
        <f t="shared" si="30"/>
        <v>25</v>
      </c>
      <c r="F691">
        <v>57.23</v>
      </c>
      <c r="G691">
        <f t="shared" si="31"/>
        <v>57.23</v>
      </c>
      <c r="J691" t="s">
        <v>22</v>
      </c>
      <c r="K691" t="str">
        <f t="shared" si="32"/>
        <v>Not Returned</v>
      </c>
      <c r="N691" t="s">
        <v>34</v>
      </c>
      <c r="O691" t="str">
        <f>IF(N691="",INDEX({"Low","Medium","High"},MATCH(MAX(COUNTIF($N$2:$N$1000,{"Low","Medium","High"})),COUNTIF($N$2:$N$1000,{"Low","Medium","High"}),0)),N691)</f>
        <v>High</v>
      </c>
    </row>
    <row r="692" spans="1:15" x14ac:dyDescent="0.25">
      <c r="A692">
        <v>2</v>
      </c>
      <c r="B692">
        <f t="shared" si="30"/>
        <v>2</v>
      </c>
      <c r="F692">
        <v>60.23</v>
      </c>
      <c r="G692">
        <f t="shared" si="31"/>
        <v>60.23</v>
      </c>
      <c r="J692" t="s">
        <v>111</v>
      </c>
      <c r="K692" t="str">
        <f t="shared" si="32"/>
        <v>Returned</v>
      </c>
      <c r="N692" t="s">
        <v>25</v>
      </c>
      <c r="O692" t="str">
        <f>IF(N692="",INDEX({"Low","Medium","High"},MATCH(MAX(COUNTIF($N$2:$N$1000,{"Low","Medium","High"})),COUNTIF($N$2:$N$1000,{"Low","Medium","High"}),0)),N692)</f>
        <v>Low</v>
      </c>
    </row>
    <row r="693" spans="1:15" x14ac:dyDescent="0.25">
      <c r="A693">
        <v>34</v>
      </c>
      <c r="B693">
        <f t="shared" si="30"/>
        <v>34</v>
      </c>
      <c r="F693">
        <v>76.099999999999994</v>
      </c>
      <c r="G693">
        <f t="shared" si="31"/>
        <v>76.099999999999994</v>
      </c>
      <c r="J693" t="s">
        <v>22</v>
      </c>
      <c r="K693" t="str">
        <f t="shared" si="32"/>
        <v>Not Returned</v>
      </c>
      <c r="N693" t="s">
        <v>40</v>
      </c>
      <c r="O693" t="str">
        <f>IF(N693="",INDEX({"Low","Medium","High"},MATCH(MAX(COUNTIF($N$2:$N$1000,{"Low","Medium","High"})),COUNTIF($N$2:$N$1000,{"Low","Medium","High"}),0)),N693)</f>
        <v>Medium</v>
      </c>
    </row>
    <row r="694" spans="1:15" x14ac:dyDescent="0.25">
      <c r="A694">
        <v>47</v>
      </c>
      <c r="B694">
        <f t="shared" si="30"/>
        <v>47</v>
      </c>
      <c r="F694">
        <v>65.58</v>
      </c>
      <c r="G694">
        <f t="shared" si="31"/>
        <v>65.58</v>
      </c>
      <c r="J694" t="s">
        <v>22</v>
      </c>
      <c r="K694" t="str">
        <f t="shared" si="32"/>
        <v>Not Returned</v>
      </c>
      <c r="N694" t="s">
        <v>34</v>
      </c>
      <c r="O694" t="str">
        <f>IF(N694="",INDEX({"Low","Medium","High"},MATCH(MAX(COUNTIF($N$2:$N$1000,{"Low","Medium","High"})),COUNTIF($N$2:$N$1000,{"Low","Medium","High"}),0)),N694)</f>
        <v>High</v>
      </c>
    </row>
    <row r="695" spans="1:15" x14ac:dyDescent="0.25">
      <c r="A695">
        <v>3</v>
      </c>
      <c r="B695">
        <f t="shared" si="30"/>
        <v>3</v>
      </c>
      <c r="F695">
        <v>82.79</v>
      </c>
      <c r="G695">
        <f t="shared" si="31"/>
        <v>82.79</v>
      </c>
      <c r="J695" t="s">
        <v>22</v>
      </c>
      <c r="K695" t="str">
        <f t="shared" si="32"/>
        <v>Not Returned</v>
      </c>
      <c r="N695" t="s">
        <v>25</v>
      </c>
      <c r="O695" t="str">
        <f>IF(N695="",INDEX({"Low","Medium","High"},MATCH(MAX(COUNTIF($N$2:$N$1000,{"Low","Medium","High"})),COUNTIF($N$2:$N$1000,{"Low","Medium","High"}),0)),N695)</f>
        <v>Low</v>
      </c>
    </row>
    <row r="696" spans="1:15" x14ac:dyDescent="0.25">
      <c r="A696">
        <v>21</v>
      </c>
      <c r="B696">
        <f t="shared" si="30"/>
        <v>21</v>
      </c>
      <c r="F696">
        <v>31.98</v>
      </c>
      <c r="G696">
        <f t="shared" si="31"/>
        <v>31.98</v>
      </c>
      <c r="J696" t="s">
        <v>22</v>
      </c>
      <c r="K696" t="str">
        <f t="shared" si="32"/>
        <v>Not Returned</v>
      </c>
      <c r="N696" t="s">
        <v>34</v>
      </c>
      <c r="O696" t="str">
        <f>IF(N696="",INDEX({"Low","Medium","High"},MATCH(MAX(COUNTIF($N$2:$N$1000,{"Low","Medium","High"})),COUNTIF($N$2:$N$1000,{"Low","Medium","High"}),0)),N696)</f>
        <v>High</v>
      </c>
    </row>
    <row r="697" spans="1:15" x14ac:dyDescent="0.25">
      <c r="A697">
        <v>31</v>
      </c>
      <c r="B697">
        <f t="shared" si="30"/>
        <v>31</v>
      </c>
      <c r="F697">
        <v>22.61</v>
      </c>
      <c r="G697">
        <f t="shared" si="31"/>
        <v>22.61</v>
      </c>
      <c r="J697" t="s">
        <v>22</v>
      </c>
      <c r="K697" t="str">
        <f t="shared" si="32"/>
        <v>Not Returned</v>
      </c>
      <c r="N697" t="s">
        <v>25</v>
      </c>
      <c r="O697" t="str">
        <f>IF(N697="",INDEX({"Low","Medium","High"},MATCH(MAX(COUNTIF($N$2:$N$1000,{"Low","Medium","High"})),COUNTIF($N$2:$N$1000,{"Low","Medium","High"}),0)),N697)</f>
        <v>Low</v>
      </c>
    </row>
    <row r="698" spans="1:15" x14ac:dyDescent="0.25">
      <c r="A698">
        <v>48</v>
      </c>
      <c r="B698">
        <f t="shared" si="30"/>
        <v>48</v>
      </c>
      <c r="F698">
        <v>57.6</v>
      </c>
      <c r="G698">
        <f t="shared" si="31"/>
        <v>57.6</v>
      </c>
      <c r="J698" t="s">
        <v>22</v>
      </c>
      <c r="K698" t="str">
        <f t="shared" si="32"/>
        <v>Not Returned</v>
      </c>
      <c r="N698" t="s">
        <v>25</v>
      </c>
      <c r="O698" t="str">
        <f>IF(N698="",INDEX({"Low","Medium","High"},MATCH(MAX(COUNTIF($N$2:$N$1000,{"Low","Medium","High"})),COUNTIF($N$2:$N$1000,{"Low","Medium","High"}),0)),N698)</f>
        <v>Low</v>
      </c>
    </row>
    <row r="699" spans="1:15" x14ac:dyDescent="0.25">
      <c r="A699">
        <v>2</v>
      </c>
      <c r="B699">
        <f t="shared" si="30"/>
        <v>2</v>
      </c>
      <c r="F699">
        <v>95.94</v>
      </c>
      <c r="G699">
        <f t="shared" si="31"/>
        <v>95.94</v>
      </c>
      <c r="J699" t="s">
        <v>22</v>
      </c>
      <c r="K699" t="str">
        <f t="shared" si="32"/>
        <v>Not Returned</v>
      </c>
      <c r="N699" t="s">
        <v>34</v>
      </c>
      <c r="O699" t="str">
        <f>IF(N699="",INDEX({"Low","Medium","High"},MATCH(MAX(COUNTIF($N$2:$N$1000,{"Low","Medium","High"})),COUNTIF($N$2:$N$1000,{"Low","Medium","High"}),0)),N699)</f>
        <v>High</v>
      </c>
    </row>
    <row r="700" spans="1:15" x14ac:dyDescent="0.25">
      <c r="A700">
        <v>48</v>
      </c>
      <c r="B700">
        <f t="shared" si="30"/>
        <v>48</v>
      </c>
      <c r="F700">
        <v>89.69</v>
      </c>
      <c r="G700">
        <f t="shared" si="31"/>
        <v>89.69</v>
      </c>
      <c r="J700" t="s">
        <v>22</v>
      </c>
      <c r="K700" t="str">
        <f t="shared" si="32"/>
        <v>Not Returned</v>
      </c>
      <c r="N700" t="s">
        <v>25</v>
      </c>
      <c r="O700" t="str">
        <f>IF(N700="",INDEX({"Low","Medium","High"},MATCH(MAX(COUNTIF($N$2:$N$1000,{"Low","Medium","High"})),COUNTIF($N$2:$N$1000,{"Low","Medium","High"}),0)),N700)</f>
        <v>Low</v>
      </c>
    </row>
    <row r="701" spans="1:15" x14ac:dyDescent="0.25">
      <c r="A701">
        <v>30</v>
      </c>
      <c r="B701">
        <f t="shared" si="30"/>
        <v>30</v>
      </c>
      <c r="F701">
        <v>49.31</v>
      </c>
      <c r="G701">
        <f t="shared" si="31"/>
        <v>49.31</v>
      </c>
      <c r="J701" t="s">
        <v>22</v>
      </c>
      <c r="K701" t="str">
        <f t="shared" si="32"/>
        <v>Not Returned</v>
      </c>
      <c r="N701" t="s">
        <v>34</v>
      </c>
      <c r="O701" t="str">
        <f>IF(N701="",INDEX({"Low","Medium","High"},MATCH(MAX(COUNTIF($N$2:$N$1000,{"Low","Medium","High"})),COUNTIF($N$2:$N$1000,{"Low","Medium","High"}),0)),N701)</f>
        <v>High</v>
      </c>
    </row>
    <row r="702" spans="1:15" x14ac:dyDescent="0.25">
      <c r="A702">
        <v>16</v>
      </c>
      <c r="B702">
        <f t="shared" si="30"/>
        <v>16</v>
      </c>
      <c r="F702">
        <v>98.1</v>
      </c>
      <c r="G702">
        <f t="shared" si="31"/>
        <v>98.1</v>
      </c>
      <c r="J702" t="s">
        <v>22</v>
      </c>
      <c r="K702" t="str">
        <f t="shared" si="32"/>
        <v>Not Returned</v>
      </c>
      <c r="N702" t="s">
        <v>25</v>
      </c>
      <c r="O702" t="str">
        <f>IF(N702="",INDEX({"Low","Medium","High"},MATCH(MAX(COUNTIF($N$2:$N$1000,{"Low","Medium","High"})),COUNTIF($N$2:$N$1000,{"Low","Medium","High"}),0)),N702)</f>
        <v>Low</v>
      </c>
    </row>
    <row r="703" spans="1:15" x14ac:dyDescent="0.25">
      <c r="A703">
        <v>45</v>
      </c>
      <c r="B703">
        <f t="shared" si="30"/>
        <v>45</v>
      </c>
      <c r="F703">
        <v>56.78</v>
      </c>
      <c r="G703">
        <f t="shared" si="31"/>
        <v>56.78</v>
      </c>
      <c r="J703" t="s">
        <v>22</v>
      </c>
      <c r="K703" t="str">
        <f t="shared" si="32"/>
        <v>Not Returned</v>
      </c>
      <c r="N703" t="s">
        <v>25</v>
      </c>
      <c r="O703" t="str">
        <f>IF(N703="",INDEX({"Low","Medium","High"},MATCH(MAX(COUNTIF($N$2:$N$1000,{"Low","Medium","High"})),COUNTIF($N$2:$N$1000,{"Low","Medium","High"}),0)),N703)</f>
        <v>Low</v>
      </c>
    </row>
    <row r="704" spans="1:15" x14ac:dyDescent="0.25">
      <c r="A704">
        <v>38</v>
      </c>
      <c r="B704">
        <f t="shared" si="30"/>
        <v>38</v>
      </c>
      <c r="F704">
        <v>85.64</v>
      </c>
      <c r="G704">
        <f t="shared" si="31"/>
        <v>85.64</v>
      </c>
      <c r="J704" t="s">
        <v>22</v>
      </c>
      <c r="K704" t="str">
        <f t="shared" si="32"/>
        <v>Not Returned</v>
      </c>
      <c r="N704" t="s">
        <v>40</v>
      </c>
      <c r="O704" t="str">
        <f>IF(N704="",INDEX({"Low","Medium","High"},MATCH(MAX(COUNTIF($N$2:$N$1000,{"Low","Medium","High"})),COUNTIF($N$2:$N$1000,{"Low","Medium","High"}),0)),N704)</f>
        <v>Medium</v>
      </c>
    </row>
    <row r="705" spans="1:15" x14ac:dyDescent="0.25">
      <c r="A705">
        <v>28</v>
      </c>
      <c r="B705">
        <f t="shared" si="30"/>
        <v>28</v>
      </c>
      <c r="F705">
        <v>40.61</v>
      </c>
      <c r="G705">
        <f t="shared" si="31"/>
        <v>40.61</v>
      </c>
      <c r="J705" t="s">
        <v>22</v>
      </c>
      <c r="K705" t="str">
        <f t="shared" si="32"/>
        <v>Not Returned</v>
      </c>
      <c r="N705" t="s">
        <v>25</v>
      </c>
      <c r="O705" t="str">
        <f>IF(N705="",INDEX({"Low","Medium","High"},MATCH(MAX(COUNTIF($N$2:$N$1000,{"Low","Medium","High"})),COUNTIF($N$2:$N$1000,{"Low","Medium","High"}),0)),N705)</f>
        <v>Low</v>
      </c>
    </row>
    <row r="706" spans="1:15" x14ac:dyDescent="0.25">
      <c r="A706">
        <v>17</v>
      </c>
      <c r="B706">
        <f t="shared" ref="B706:B769" si="33">IF(A706="",ROUNDUP(AVERAGE($A$2:$A$1000),0),A706)</f>
        <v>17</v>
      </c>
      <c r="F706">
        <v>47.85</v>
      </c>
      <c r="G706">
        <f t="shared" si="31"/>
        <v>47.85</v>
      </c>
      <c r="J706" t="s">
        <v>22</v>
      </c>
      <c r="K706" t="str">
        <f t="shared" si="32"/>
        <v>Not Returned</v>
      </c>
      <c r="N706" t="s">
        <v>40</v>
      </c>
      <c r="O706" t="str">
        <f>IF(N706="",INDEX({"Low","Medium","High"},MATCH(MAX(COUNTIF($N$2:$N$1000,{"Low","Medium","High"})),COUNTIF($N$2:$N$1000,{"Low","Medium","High"}),0)),N706)</f>
        <v>Medium</v>
      </c>
    </row>
    <row r="707" spans="1:15" x14ac:dyDescent="0.25">
      <c r="A707">
        <v>39</v>
      </c>
      <c r="B707">
        <f t="shared" si="33"/>
        <v>39</v>
      </c>
      <c r="F707">
        <v>71.75</v>
      </c>
      <c r="G707">
        <f t="shared" ref="G707:G770" si="34">IF(F707="",ROUNDUP(AVERAGE($F$2:$F$1000),0),F707)</f>
        <v>71.75</v>
      </c>
      <c r="J707" t="s">
        <v>22</v>
      </c>
      <c r="K707" t="str">
        <f t="shared" ref="K707:K770" si="35">IF(J707="","Unknown",J707)</f>
        <v>Not Returned</v>
      </c>
      <c r="N707" t="s">
        <v>40</v>
      </c>
      <c r="O707" t="str">
        <f>IF(N707="",INDEX({"Low","Medium","High"},MATCH(MAX(COUNTIF($N$2:$N$1000,{"Low","Medium","High"})),COUNTIF($N$2:$N$1000,{"Low","Medium","High"}),0)),N707)</f>
        <v>Medium</v>
      </c>
    </row>
    <row r="708" spans="1:15" x14ac:dyDescent="0.25">
      <c r="A708">
        <v>19</v>
      </c>
      <c r="B708">
        <f t="shared" si="33"/>
        <v>19</v>
      </c>
      <c r="F708">
        <v>76.349999999999994</v>
      </c>
      <c r="G708">
        <f t="shared" si="34"/>
        <v>76.349999999999994</v>
      </c>
      <c r="J708" t="s">
        <v>22</v>
      </c>
      <c r="K708" t="str">
        <f t="shared" si="35"/>
        <v>Not Returned</v>
      </c>
      <c r="N708" t="s">
        <v>40</v>
      </c>
      <c r="O708" t="str">
        <f>IF(N708="",INDEX({"Low","Medium","High"},MATCH(MAX(COUNTIF($N$2:$N$1000,{"Low","Medium","High"})),COUNTIF($N$2:$N$1000,{"Low","Medium","High"}),0)),N708)</f>
        <v>Medium</v>
      </c>
    </row>
    <row r="709" spans="1:15" x14ac:dyDescent="0.25">
      <c r="A709">
        <v>18</v>
      </c>
      <c r="B709">
        <f t="shared" si="33"/>
        <v>18</v>
      </c>
      <c r="F709">
        <v>75.02</v>
      </c>
      <c r="G709">
        <f t="shared" si="34"/>
        <v>75.02</v>
      </c>
      <c r="J709" t="s">
        <v>111</v>
      </c>
      <c r="K709" t="str">
        <f t="shared" si="35"/>
        <v>Returned</v>
      </c>
      <c r="N709" t="s">
        <v>40</v>
      </c>
      <c r="O709" t="str">
        <f>IF(N709="",INDEX({"Low","Medium","High"},MATCH(MAX(COUNTIF($N$2:$N$1000,{"Low","Medium","High"})),COUNTIF($N$2:$N$1000,{"Low","Medium","High"}),0)),N709)</f>
        <v>Medium</v>
      </c>
    </row>
    <row r="710" spans="1:15" x14ac:dyDescent="0.25">
      <c r="A710">
        <v>46</v>
      </c>
      <c r="B710">
        <f t="shared" si="33"/>
        <v>46</v>
      </c>
      <c r="F710">
        <v>24.32</v>
      </c>
      <c r="G710">
        <f t="shared" si="34"/>
        <v>24.32</v>
      </c>
      <c r="J710" t="s">
        <v>22</v>
      </c>
      <c r="K710" t="str">
        <f t="shared" si="35"/>
        <v>Not Returned</v>
      </c>
      <c r="N710" t="s">
        <v>34</v>
      </c>
      <c r="O710" t="str">
        <f>IF(N710="",INDEX({"Low","Medium","High"},MATCH(MAX(COUNTIF($N$2:$N$1000,{"Low","Medium","High"})),COUNTIF($N$2:$N$1000,{"Low","Medium","High"}),0)),N710)</f>
        <v>High</v>
      </c>
    </row>
    <row r="711" spans="1:15" x14ac:dyDescent="0.25">
      <c r="A711">
        <v>38</v>
      </c>
      <c r="B711">
        <f t="shared" si="33"/>
        <v>38</v>
      </c>
      <c r="F711">
        <v>94.48</v>
      </c>
      <c r="G711">
        <f t="shared" si="34"/>
        <v>94.48</v>
      </c>
      <c r="J711" t="s">
        <v>22</v>
      </c>
      <c r="K711" t="str">
        <f t="shared" si="35"/>
        <v>Not Returned</v>
      </c>
      <c r="N711" t="s">
        <v>34</v>
      </c>
      <c r="O711" t="str">
        <f>IF(N711="",INDEX({"Low","Medium","High"},MATCH(MAX(COUNTIF($N$2:$N$1000,{"Low","Medium","High"})),COUNTIF($N$2:$N$1000,{"Low","Medium","High"}),0)),N711)</f>
        <v>High</v>
      </c>
    </row>
    <row r="712" spans="1:15" x14ac:dyDescent="0.25">
      <c r="A712">
        <v>26</v>
      </c>
      <c r="B712">
        <f t="shared" si="33"/>
        <v>26</v>
      </c>
      <c r="F712">
        <v>54.18</v>
      </c>
      <c r="G712">
        <f t="shared" si="34"/>
        <v>54.18</v>
      </c>
      <c r="J712" t="s">
        <v>22</v>
      </c>
      <c r="K712" t="str">
        <f t="shared" si="35"/>
        <v>Not Returned</v>
      </c>
      <c r="N712" t="s">
        <v>25</v>
      </c>
      <c r="O712" t="str">
        <f>IF(N712="",INDEX({"Low","Medium","High"},MATCH(MAX(COUNTIF($N$2:$N$1000,{"Low","Medium","High"})),COUNTIF($N$2:$N$1000,{"Low","Medium","High"}),0)),N712)</f>
        <v>Low</v>
      </c>
    </row>
    <row r="713" spans="1:15" x14ac:dyDescent="0.25">
      <c r="A713">
        <v>40</v>
      </c>
      <c r="B713">
        <f t="shared" si="33"/>
        <v>40</v>
      </c>
      <c r="F713">
        <v>35.64</v>
      </c>
      <c r="G713">
        <f t="shared" si="34"/>
        <v>35.64</v>
      </c>
      <c r="J713" t="s">
        <v>22</v>
      </c>
      <c r="K713" t="str">
        <f t="shared" si="35"/>
        <v>Not Returned</v>
      </c>
      <c r="N713" t="s">
        <v>25</v>
      </c>
      <c r="O713" t="str">
        <f>IF(N713="",INDEX({"Low","Medium","High"},MATCH(MAX(COUNTIF($N$2:$N$1000,{"Low","Medium","High"})),COUNTIF($N$2:$N$1000,{"Low","Medium","High"}),0)),N713)</f>
        <v>Low</v>
      </c>
    </row>
    <row r="714" spans="1:15" x14ac:dyDescent="0.25">
      <c r="A714">
        <v>28</v>
      </c>
      <c r="B714">
        <f t="shared" si="33"/>
        <v>28</v>
      </c>
      <c r="F714">
        <v>11.52</v>
      </c>
      <c r="G714">
        <f t="shared" si="34"/>
        <v>11.52</v>
      </c>
      <c r="J714" t="s">
        <v>22</v>
      </c>
      <c r="K714" t="str">
        <f t="shared" si="35"/>
        <v>Not Returned</v>
      </c>
      <c r="N714" t="s">
        <v>25</v>
      </c>
      <c r="O714" t="str">
        <f>IF(N714="",INDEX({"Low","Medium","High"},MATCH(MAX(COUNTIF($N$2:$N$1000,{"Low","Medium","High"})),COUNTIF($N$2:$N$1000,{"Low","Medium","High"}),0)),N714)</f>
        <v>Low</v>
      </c>
    </row>
    <row r="715" spans="1:15" x14ac:dyDescent="0.25">
      <c r="A715">
        <v>47</v>
      </c>
      <c r="B715">
        <f t="shared" si="33"/>
        <v>47</v>
      </c>
      <c r="F715">
        <v>42.18</v>
      </c>
      <c r="G715">
        <f t="shared" si="34"/>
        <v>42.18</v>
      </c>
      <c r="J715" t="s">
        <v>22</v>
      </c>
      <c r="K715" t="str">
        <f t="shared" si="35"/>
        <v>Not Returned</v>
      </c>
      <c r="N715" t="s">
        <v>25</v>
      </c>
      <c r="O715" t="str">
        <f>IF(N715="",INDEX({"Low","Medium","High"},MATCH(MAX(COUNTIF($N$2:$N$1000,{"Low","Medium","High"})),COUNTIF($N$2:$N$1000,{"Low","Medium","High"}),0)),N715)</f>
        <v>Low</v>
      </c>
    </row>
    <row r="716" spans="1:15" x14ac:dyDescent="0.25">
      <c r="A716">
        <v>7</v>
      </c>
      <c r="B716">
        <f t="shared" si="33"/>
        <v>7</v>
      </c>
      <c r="F716">
        <v>59.24</v>
      </c>
      <c r="G716">
        <f t="shared" si="34"/>
        <v>59.24</v>
      </c>
      <c r="J716" t="s">
        <v>22</v>
      </c>
      <c r="K716" t="str">
        <f t="shared" si="35"/>
        <v>Not Returned</v>
      </c>
      <c r="N716" t="s">
        <v>40</v>
      </c>
      <c r="O716" t="str">
        <f>IF(N716="",INDEX({"Low","Medium","High"},MATCH(MAX(COUNTIF($N$2:$N$1000,{"Low","Medium","High"})),COUNTIF($N$2:$N$1000,{"Low","Medium","High"}),0)),N716)</f>
        <v>Medium</v>
      </c>
    </row>
    <row r="717" spans="1:15" x14ac:dyDescent="0.25">
      <c r="A717">
        <v>39</v>
      </c>
      <c r="B717">
        <f t="shared" si="33"/>
        <v>39</v>
      </c>
      <c r="F717">
        <v>79.16</v>
      </c>
      <c r="G717">
        <f t="shared" si="34"/>
        <v>79.16</v>
      </c>
      <c r="J717" t="s">
        <v>22</v>
      </c>
      <c r="K717" t="str">
        <f t="shared" si="35"/>
        <v>Not Returned</v>
      </c>
      <c r="N717" t="s">
        <v>25</v>
      </c>
      <c r="O717" t="str">
        <f>IF(N717="",INDEX({"Low","Medium","High"},MATCH(MAX(COUNTIF($N$2:$N$1000,{"Low","Medium","High"})),COUNTIF($N$2:$N$1000,{"Low","Medium","High"}),0)),N717)</f>
        <v>Low</v>
      </c>
    </row>
    <row r="718" spans="1:15" x14ac:dyDescent="0.25">
      <c r="A718">
        <v>26</v>
      </c>
      <c r="B718">
        <f t="shared" si="33"/>
        <v>26</v>
      </c>
      <c r="F718">
        <v>33.130000000000003</v>
      </c>
      <c r="G718">
        <f t="shared" si="34"/>
        <v>33.130000000000003</v>
      </c>
      <c r="J718" t="s">
        <v>22</v>
      </c>
      <c r="K718" t="str">
        <f t="shared" si="35"/>
        <v>Not Returned</v>
      </c>
      <c r="N718" t="s">
        <v>25</v>
      </c>
      <c r="O718" t="str">
        <f>IF(N718="",INDEX({"Low","Medium","High"},MATCH(MAX(COUNTIF($N$2:$N$1000,{"Low","Medium","High"})),COUNTIF($N$2:$N$1000,{"Low","Medium","High"}),0)),N718)</f>
        <v>Low</v>
      </c>
    </row>
    <row r="719" spans="1:15" x14ac:dyDescent="0.25">
      <c r="A719">
        <v>42</v>
      </c>
      <c r="B719">
        <f t="shared" si="33"/>
        <v>42</v>
      </c>
      <c r="F719">
        <v>89.95</v>
      </c>
      <c r="G719">
        <f t="shared" si="34"/>
        <v>89.95</v>
      </c>
      <c r="J719" t="s">
        <v>22</v>
      </c>
      <c r="K719" t="str">
        <f t="shared" si="35"/>
        <v>Not Returned</v>
      </c>
      <c r="N719" t="s">
        <v>40</v>
      </c>
      <c r="O719" t="str">
        <f>IF(N719="",INDEX({"Low","Medium","High"},MATCH(MAX(COUNTIF($N$2:$N$1000,{"Low","Medium","High"})),COUNTIF($N$2:$N$1000,{"Low","Medium","High"}),0)),N719)</f>
        <v>Medium</v>
      </c>
    </row>
    <row r="720" spans="1:15" x14ac:dyDescent="0.25">
      <c r="A720">
        <v>43</v>
      </c>
      <c r="B720">
        <f t="shared" si="33"/>
        <v>43</v>
      </c>
      <c r="F720">
        <v>86.15</v>
      </c>
      <c r="G720">
        <f t="shared" si="34"/>
        <v>86.15</v>
      </c>
      <c r="J720" t="s">
        <v>22</v>
      </c>
      <c r="K720" t="str">
        <f t="shared" si="35"/>
        <v>Not Returned</v>
      </c>
      <c r="N720" t="s">
        <v>40</v>
      </c>
      <c r="O720" t="str">
        <f>IF(N720="",INDEX({"Low","Medium","High"},MATCH(MAX(COUNTIF($N$2:$N$1000,{"Low","Medium","High"})),COUNTIF($N$2:$N$1000,{"Low","Medium","High"}),0)),N720)</f>
        <v>Medium</v>
      </c>
    </row>
    <row r="721" spans="1:15" x14ac:dyDescent="0.25">
      <c r="A721">
        <v>35</v>
      </c>
      <c r="B721">
        <f t="shared" si="33"/>
        <v>35</v>
      </c>
      <c r="F721">
        <v>85.41</v>
      </c>
      <c r="G721">
        <f t="shared" si="34"/>
        <v>85.41</v>
      </c>
      <c r="J721" t="s">
        <v>22</v>
      </c>
      <c r="K721" t="str">
        <f t="shared" si="35"/>
        <v>Not Returned</v>
      </c>
      <c r="N721" t="s">
        <v>34</v>
      </c>
      <c r="O721" t="str">
        <f>IF(N721="",INDEX({"Low","Medium","High"},MATCH(MAX(COUNTIF($N$2:$N$1000,{"Low","Medium","High"})),COUNTIF($N$2:$N$1000,{"Low","Medium","High"}),0)),N721)</f>
        <v>High</v>
      </c>
    </row>
    <row r="722" spans="1:15" x14ac:dyDescent="0.25">
      <c r="A722">
        <v>8</v>
      </c>
      <c r="B722">
        <f t="shared" si="33"/>
        <v>8</v>
      </c>
      <c r="F722">
        <v>97.03</v>
      </c>
      <c r="G722">
        <f t="shared" si="34"/>
        <v>97.03</v>
      </c>
      <c r="J722" t="s">
        <v>22</v>
      </c>
      <c r="K722" t="str">
        <f t="shared" si="35"/>
        <v>Not Returned</v>
      </c>
      <c r="N722" t="s">
        <v>34</v>
      </c>
      <c r="O722" t="str">
        <f>IF(N722="",INDEX({"Low","Medium","High"},MATCH(MAX(COUNTIF($N$2:$N$1000,{"Low","Medium","High"})),COUNTIF($N$2:$N$1000,{"Low","Medium","High"}),0)),N722)</f>
        <v>High</v>
      </c>
    </row>
    <row r="723" spans="1:15" x14ac:dyDescent="0.25">
      <c r="A723">
        <v>45</v>
      </c>
      <c r="B723">
        <f t="shared" si="33"/>
        <v>45</v>
      </c>
      <c r="F723">
        <v>84.9</v>
      </c>
      <c r="G723">
        <f t="shared" si="34"/>
        <v>84.9</v>
      </c>
      <c r="J723" t="s">
        <v>111</v>
      </c>
      <c r="K723" t="str">
        <f t="shared" si="35"/>
        <v>Returned</v>
      </c>
      <c r="N723" t="s">
        <v>25</v>
      </c>
      <c r="O723" t="str">
        <f>IF(N723="",INDEX({"Low","Medium","High"},MATCH(MAX(COUNTIF($N$2:$N$1000,{"Low","Medium","High"})),COUNTIF($N$2:$N$1000,{"Low","Medium","High"}),0)),N723)</f>
        <v>Low</v>
      </c>
    </row>
    <row r="724" spans="1:15" x14ac:dyDescent="0.25">
      <c r="A724">
        <v>4</v>
      </c>
      <c r="B724">
        <f t="shared" si="33"/>
        <v>4</v>
      </c>
      <c r="F724">
        <v>46.58</v>
      </c>
      <c r="G724">
        <f t="shared" si="34"/>
        <v>46.58</v>
      </c>
      <c r="J724" t="s">
        <v>22</v>
      </c>
      <c r="K724" t="str">
        <f t="shared" si="35"/>
        <v>Not Returned</v>
      </c>
      <c r="N724" t="s">
        <v>40</v>
      </c>
      <c r="O724" t="str">
        <f>IF(N724="",INDEX({"Low","Medium","High"},MATCH(MAX(COUNTIF($N$2:$N$1000,{"Low","Medium","High"})),COUNTIF($N$2:$N$1000,{"Low","Medium","High"}),0)),N724)</f>
        <v>Medium</v>
      </c>
    </row>
    <row r="725" spans="1:15" x14ac:dyDescent="0.25">
      <c r="A725">
        <v>21</v>
      </c>
      <c r="B725">
        <f t="shared" si="33"/>
        <v>21</v>
      </c>
      <c r="F725">
        <v>67.37</v>
      </c>
      <c r="G725">
        <f t="shared" si="34"/>
        <v>67.37</v>
      </c>
      <c r="J725" t="s">
        <v>22</v>
      </c>
      <c r="K725" t="str">
        <f t="shared" si="35"/>
        <v>Not Returned</v>
      </c>
      <c r="N725" t="s">
        <v>25</v>
      </c>
      <c r="O725" t="str">
        <f>IF(N725="",INDEX({"Low","Medium","High"},MATCH(MAX(COUNTIF($N$2:$N$1000,{"Low","Medium","High"})),COUNTIF($N$2:$N$1000,{"Low","Medium","High"}),0)),N725)</f>
        <v>Low</v>
      </c>
    </row>
    <row r="726" spans="1:15" x14ac:dyDescent="0.25">
      <c r="A726">
        <v>27</v>
      </c>
      <c r="B726">
        <f t="shared" si="33"/>
        <v>27</v>
      </c>
      <c r="F726">
        <v>14.66</v>
      </c>
      <c r="G726">
        <f t="shared" si="34"/>
        <v>14.66</v>
      </c>
      <c r="J726" t="s">
        <v>22</v>
      </c>
      <c r="K726" t="str">
        <f t="shared" si="35"/>
        <v>Not Returned</v>
      </c>
      <c r="N726" t="s">
        <v>40</v>
      </c>
      <c r="O726" t="str">
        <f>IF(N726="",INDEX({"Low","Medium","High"},MATCH(MAX(COUNTIF($N$2:$N$1000,{"Low","Medium","High"})),COUNTIF($N$2:$N$1000,{"Low","Medium","High"}),0)),N726)</f>
        <v>Medium</v>
      </c>
    </row>
    <row r="727" spans="1:15" x14ac:dyDescent="0.25">
      <c r="A727">
        <v>39</v>
      </c>
      <c r="B727">
        <f t="shared" si="33"/>
        <v>39</v>
      </c>
      <c r="F727">
        <v>15.07</v>
      </c>
      <c r="G727">
        <f t="shared" si="34"/>
        <v>15.07</v>
      </c>
      <c r="J727" t="s">
        <v>22</v>
      </c>
      <c r="K727" t="str">
        <f t="shared" si="35"/>
        <v>Not Returned</v>
      </c>
      <c r="N727" t="s">
        <v>34</v>
      </c>
      <c r="O727" t="str">
        <f>IF(N727="",INDEX({"Low","Medium","High"},MATCH(MAX(COUNTIF($N$2:$N$1000,{"Low","Medium","High"})),COUNTIF($N$2:$N$1000,{"Low","Medium","High"}),0)),N727)</f>
        <v>High</v>
      </c>
    </row>
    <row r="728" spans="1:15" x14ac:dyDescent="0.25">
      <c r="A728">
        <v>22</v>
      </c>
      <c r="B728">
        <f t="shared" si="33"/>
        <v>22</v>
      </c>
      <c r="F728">
        <v>63.83</v>
      </c>
      <c r="G728">
        <f t="shared" si="34"/>
        <v>63.83</v>
      </c>
      <c r="J728" t="s">
        <v>22</v>
      </c>
      <c r="K728" t="str">
        <f t="shared" si="35"/>
        <v>Not Returned</v>
      </c>
      <c r="N728" t="s">
        <v>34</v>
      </c>
      <c r="O728" t="str">
        <f>IF(N728="",INDEX({"Low","Medium","High"},MATCH(MAX(COUNTIF($N$2:$N$1000,{"Low","Medium","High"})),COUNTIF($N$2:$N$1000,{"Low","Medium","High"}),0)),N728)</f>
        <v>High</v>
      </c>
    </row>
    <row r="729" spans="1:15" x14ac:dyDescent="0.25">
      <c r="A729">
        <v>23</v>
      </c>
      <c r="B729">
        <f t="shared" si="33"/>
        <v>23</v>
      </c>
      <c r="F729">
        <v>29.32</v>
      </c>
      <c r="G729">
        <f t="shared" si="34"/>
        <v>29.32</v>
      </c>
      <c r="J729" t="s">
        <v>22</v>
      </c>
      <c r="K729" t="str">
        <f t="shared" si="35"/>
        <v>Not Returned</v>
      </c>
      <c r="N729" t="s">
        <v>25</v>
      </c>
      <c r="O729" t="str">
        <f>IF(N729="",INDEX({"Low","Medium","High"},MATCH(MAX(COUNTIF($N$2:$N$1000,{"Low","Medium","High"})),COUNTIF($N$2:$N$1000,{"Low","Medium","High"}),0)),N729)</f>
        <v>Low</v>
      </c>
    </row>
    <row r="730" spans="1:15" x14ac:dyDescent="0.25">
      <c r="A730">
        <v>46</v>
      </c>
      <c r="B730">
        <f t="shared" si="33"/>
        <v>46</v>
      </c>
      <c r="F730">
        <v>67.959999999999994</v>
      </c>
      <c r="G730">
        <f t="shared" si="34"/>
        <v>67.959999999999994</v>
      </c>
      <c r="J730" t="s">
        <v>22</v>
      </c>
      <c r="K730" t="str">
        <f t="shared" si="35"/>
        <v>Not Returned</v>
      </c>
      <c r="N730" t="s">
        <v>34</v>
      </c>
      <c r="O730" t="str">
        <f>IF(N730="",INDEX({"Low","Medium","High"},MATCH(MAX(COUNTIF($N$2:$N$1000,{"Low","Medium","High"})),COUNTIF($N$2:$N$1000,{"Low","Medium","High"}),0)),N730)</f>
        <v>High</v>
      </c>
    </row>
    <row r="731" spans="1:15" x14ac:dyDescent="0.25">
      <c r="A731">
        <v>3</v>
      </c>
      <c r="B731">
        <f t="shared" si="33"/>
        <v>3</v>
      </c>
      <c r="F731">
        <v>75.180000000000007</v>
      </c>
      <c r="G731">
        <f t="shared" si="34"/>
        <v>75.180000000000007</v>
      </c>
      <c r="J731" t="s">
        <v>22</v>
      </c>
      <c r="K731" t="str">
        <f t="shared" si="35"/>
        <v>Not Returned</v>
      </c>
      <c r="N731" t="s">
        <v>25</v>
      </c>
      <c r="O731" t="str">
        <f>IF(N731="",INDEX({"Low","Medium","High"},MATCH(MAX(COUNTIF($N$2:$N$1000,{"Low","Medium","High"})),COUNTIF($N$2:$N$1000,{"Low","Medium","High"}),0)),N731)</f>
        <v>Low</v>
      </c>
    </row>
    <row r="732" spans="1:15" x14ac:dyDescent="0.25">
      <c r="A732">
        <v>44</v>
      </c>
      <c r="B732">
        <f t="shared" si="33"/>
        <v>44</v>
      </c>
      <c r="F732">
        <v>2.7</v>
      </c>
      <c r="G732">
        <f t="shared" si="34"/>
        <v>2.7</v>
      </c>
      <c r="J732" t="s">
        <v>22</v>
      </c>
      <c r="K732" t="str">
        <f t="shared" si="35"/>
        <v>Not Returned</v>
      </c>
      <c r="N732" t="s">
        <v>34</v>
      </c>
      <c r="O732" t="str">
        <f>IF(N732="",INDEX({"Low","Medium","High"},MATCH(MAX(COUNTIF($N$2:$N$1000,{"Low","Medium","High"})),COUNTIF($N$2:$N$1000,{"Low","Medium","High"}),0)),N732)</f>
        <v>High</v>
      </c>
    </row>
    <row r="733" spans="1:15" x14ac:dyDescent="0.25">
      <c r="A733">
        <v>8</v>
      </c>
      <c r="B733">
        <f t="shared" si="33"/>
        <v>8</v>
      </c>
      <c r="F733">
        <v>7.28</v>
      </c>
      <c r="G733">
        <f t="shared" si="34"/>
        <v>7.28</v>
      </c>
      <c r="J733" t="s">
        <v>111</v>
      </c>
      <c r="K733" t="str">
        <f t="shared" si="35"/>
        <v>Returned</v>
      </c>
      <c r="N733" t="s">
        <v>34</v>
      </c>
      <c r="O733" t="str">
        <f>IF(N733="",INDEX({"Low","Medium","High"},MATCH(MAX(COUNTIF($N$2:$N$1000,{"Low","Medium","High"})),COUNTIF($N$2:$N$1000,{"Low","Medium","High"}),0)),N733)</f>
        <v>High</v>
      </c>
    </row>
    <row r="734" spans="1:15" x14ac:dyDescent="0.25">
      <c r="A734">
        <v>14</v>
      </c>
      <c r="B734">
        <f t="shared" si="33"/>
        <v>14</v>
      </c>
      <c r="F734">
        <v>32.17</v>
      </c>
      <c r="G734">
        <f t="shared" si="34"/>
        <v>32.17</v>
      </c>
      <c r="J734" t="s">
        <v>22</v>
      </c>
      <c r="K734" t="str">
        <f t="shared" si="35"/>
        <v>Not Returned</v>
      </c>
      <c r="N734" t="s">
        <v>40</v>
      </c>
      <c r="O734" t="str">
        <f>IF(N734="",INDEX({"Low","Medium","High"},MATCH(MAX(COUNTIF($N$2:$N$1000,{"Low","Medium","High"})),COUNTIF($N$2:$N$1000,{"Low","Medium","High"}),0)),N734)</f>
        <v>Medium</v>
      </c>
    </row>
    <row r="735" spans="1:15" x14ac:dyDescent="0.25">
      <c r="A735">
        <v>27</v>
      </c>
      <c r="B735">
        <f t="shared" si="33"/>
        <v>27</v>
      </c>
      <c r="F735">
        <v>82.79</v>
      </c>
      <c r="G735">
        <f t="shared" si="34"/>
        <v>82.79</v>
      </c>
      <c r="J735" t="s">
        <v>22</v>
      </c>
      <c r="K735" t="str">
        <f t="shared" si="35"/>
        <v>Not Returned</v>
      </c>
      <c r="N735" t="s">
        <v>40</v>
      </c>
      <c r="O735" t="str">
        <f>IF(N735="",INDEX({"Low","Medium","High"},MATCH(MAX(COUNTIF($N$2:$N$1000,{"Low","Medium","High"})),COUNTIF($N$2:$N$1000,{"Low","Medium","High"}),0)),N735)</f>
        <v>Medium</v>
      </c>
    </row>
    <row r="736" spans="1:15" x14ac:dyDescent="0.25">
      <c r="A736">
        <v>49</v>
      </c>
      <c r="B736">
        <f t="shared" si="33"/>
        <v>49</v>
      </c>
      <c r="F736">
        <v>72.569999999999993</v>
      </c>
      <c r="G736">
        <f t="shared" si="34"/>
        <v>72.569999999999993</v>
      </c>
      <c r="J736" t="s">
        <v>22</v>
      </c>
      <c r="K736" t="str">
        <f t="shared" si="35"/>
        <v>Not Returned</v>
      </c>
      <c r="N736" t="s">
        <v>34</v>
      </c>
      <c r="O736" t="str">
        <f>IF(N736="",INDEX({"Low","Medium","High"},MATCH(MAX(COUNTIF($N$2:$N$1000,{"Low","Medium","High"})),COUNTIF($N$2:$N$1000,{"Low","Medium","High"}),0)),N736)</f>
        <v>High</v>
      </c>
    </row>
    <row r="737" spans="1:15" x14ac:dyDescent="0.25">
      <c r="A737">
        <v>25</v>
      </c>
      <c r="B737">
        <f t="shared" si="33"/>
        <v>25</v>
      </c>
      <c r="F737">
        <v>81.41</v>
      </c>
      <c r="G737">
        <f t="shared" si="34"/>
        <v>81.41</v>
      </c>
      <c r="J737" t="s">
        <v>111</v>
      </c>
      <c r="K737" t="str">
        <f t="shared" si="35"/>
        <v>Returned</v>
      </c>
      <c r="N737" t="s">
        <v>34</v>
      </c>
      <c r="O737" t="str">
        <f>IF(N737="",INDEX({"Low","Medium","High"},MATCH(MAX(COUNTIF($N$2:$N$1000,{"Low","Medium","High"})),COUNTIF($N$2:$N$1000,{"Low","Medium","High"}),0)),N737)</f>
        <v>High</v>
      </c>
    </row>
    <row r="738" spans="1:15" x14ac:dyDescent="0.25">
      <c r="A738">
        <v>1</v>
      </c>
      <c r="B738">
        <f t="shared" si="33"/>
        <v>1</v>
      </c>
      <c r="F738">
        <v>63.07</v>
      </c>
      <c r="G738">
        <f t="shared" si="34"/>
        <v>63.07</v>
      </c>
      <c r="J738" t="s">
        <v>22</v>
      </c>
      <c r="K738" t="str">
        <f t="shared" si="35"/>
        <v>Not Returned</v>
      </c>
      <c r="N738" t="s">
        <v>34</v>
      </c>
      <c r="O738" t="str">
        <f>IF(N738="",INDEX({"Low","Medium","High"},MATCH(MAX(COUNTIF($N$2:$N$1000,{"Low","Medium","High"})),COUNTIF($N$2:$N$1000,{"Low","Medium","High"}),0)),N738)</f>
        <v>High</v>
      </c>
    </row>
    <row r="739" spans="1:15" x14ac:dyDescent="0.25">
      <c r="A739">
        <v>36</v>
      </c>
      <c r="B739">
        <f t="shared" si="33"/>
        <v>36</v>
      </c>
      <c r="F739">
        <v>94.65</v>
      </c>
      <c r="G739">
        <f t="shared" si="34"/>
        <v>94.65</v>
      </c>
      <c r="J739" t="s">
        <v>22</v>
      </c>
      <c r="K739" t="str">
        <f t="shared" si="35"/>
        <v>Not Returned</v>
      </c>
      <c r="N739" t="s">
        <v>34</v>
      </c>
      <c r="O739" t="str">
        <f>IF(N739="",INDEX({"Low","Medium","High"},MATCH(MAX(COUNTIF($N$2:$N$1000,{"Low","Medium","High"})),COUNTIF($N$2:$N$1000,{"Low","Medium","High"}),0)),N739)</f>
        <v>High</v>
      </c>
    </row>
    <row r="740" spans="1:15" x14ac:dyDescent="0.25">
      <c r="A740">
        <v>24</v>
      </c>
      <c r="B740">
        <f t="shared" si="33"/>
        <v>24</v>
      </c>
      <c r="F740">
        <v>85.51</v>
      </c>
      <c r="G740">
        <f t="shared" si="34"/>
        <v>85.51</v>
      </c>
      <c r="J740" t="s">
        <v>22</v>
      </c>
      <c r="K740" t="str">
        <f t="shared" si="35"/>
        <v>Not Returned</v>
      </c>
      <c r="N740" t="s">
        <v>34</v>
      </c>
      <c r="O740" t="str">
        <f>IF(N740="",INDEX({"Low","Medium","High"},MATCH(MAX(COUNTIF($N$2:$N$1000,{"Low","Medium","High"})),COUNTIF($N$2:$N$1000,{"Low","Medium","High"}),0)),N740)</f>
        <v>High</v>
      </c>
    </row>
    <row r="741" spans="1:15" x14ac:dyDescent="0.25">
      <c r="A741">
        <v>43</v>
      </c>
      <c r="B741">
        <f t="shared" si="33"/>
        <v>43</v>
      </c>
      <c r="F741">
        <v>40.479999999999997</v>
      </c>
      <c r="G741">
        <f t="shared" si="34"/>
        <v>40.479999999999997</v>
      </c>
      <c r="J741" t="s">
        <v>22</v>
      </c>
      <c r="K741" t="str">
        <f t="shared" si="35"/>
        <v>Not Returned</v>
      </c>
      <c r="N741" t="s">
        <v>25</v>
      </c>
      <c r="O741" t="str">
        <f>IF(N741="",INDEX({"Low","Medium","High"},MATCH(MAX(COUNTIF($N$2:$N$1000,{"Low","Medium","High"})),COUNTIF($N$2:$N$1000,{"Low","Medium","High"}),0)),N741)</f>
        <v>Low</v>
      </c>
    </row>
    <row r="742" spans="1:15" x14ac:dyDescent="0.25">
      <c r="A742">
        <v>31</v>
      </c>
      <c r="B742">
        <f t="shared" si="33"/>
        <v>31</v>
      </c>
      <c r="F742">
        <v>65.88</v>
      </c>
      <c r="G742">
        <f t="shared" si="34"/>
        <v>65.88</v>
      </c>
      <c r="J742" t="s">
        <v>22</v>
      </c>
      <c r="K742" t="str">
        <f t="shared" si="35"/>
        <v>Not Returned</v>
      </c>
      <c r="N742" t="s">
        <v>40</v>
      </c>
      <c r="O742" t="str">
        <f>IF(N742="",INDEX({"Low","Medium","High"},MATCH(MAX(COUNTIF($N$2:$N$1000,{"Low","Medium","High"})),COUNTIF($N$2:$N$1000,{"Low","Medium","High"}),0)),N742)</f>
        <v>Medium</v>
      </c>
    </row>
    <row r="743" spans="1:15" x14ac:dyDescent="0.25">
      <c r="A743">
        <v>27</v>
      </c>
      <c r="B743">
        <f t="shared" si="33"/>
        <v>27</v>
      </c>
      <c r="F743">
        <v>69.33</v>
      </c>
      <c r="G743">
        <f t="shared" si="34"/>
        <v>69.33</v>
      </c>
      <c r="J743" t="s">
        <v>22</v>
      </c>
      <c r="K743" t="str">
        <f t="shared" si="35"/>
        <v>Not Returned</v>
      </c>
      <c r="N743" t="s">
        <v>25</v>
      </c>
      <c r="O743" t="str">
        <f>IF(N743="",INDEX({"Low","Medium","High"},MATCH(MAX(COUNTIF($N$2:$N$1000,{"Low","Medium","High"})),COUNTIF($N$2:$N$1000,{"Low","Medium","High"}),0)),N743)</f>
        <v>Low</v>
      </c>
    </row>
    <row r="744" spans="1:15" x14ac:dyDescent="0.25">
      <c r="A744">
        <v>43</v>
      </c>
      <c r="B744">
        <f t="shared" si="33"/>
        <v>43</v>
      </c>
      <c r="F744">
        <v>27.6</v>
      </c>
      <c r="G744">
        <f t="shared" si="34"/>
        <v>27.6</v>
      </c>
      <c r="J744" t="s">
        <v>22</v>
      </c>
      <c r="K744" t="str">
        <f t="shared" si="35"/>
        <v>Not Returned</v>
      </c>
      <c r="N744" t="s">
        <v>34</v>
      </c>
      <c r="O744" t="str">
        <f>IF(N744="",INDEX({"Low","Medium","High"},MATCH(MAX(COUNTIF($N$2:$N$1000,{"Low","Medium","High"})),COUNTIF($N$2:$N$1000,{"Low","Medium","High"}),0)),N744)</f>
        <v>High</v>
      </c>
    </row>
    <row r="745" spans="1:15" x14ac:dyDescent="0.25">
      <c r="A745">
        <v>28</v>
      </c>
      <c r="B745">
        <f t="shared" si="33"/>
        <v>28</v>
      </c>
      <c r="F745">
        <v>66.760000000000005</v>
      </c>
      <c r="G745">
        <f t="shared" si="34"/>
        <v>66.760000000000005</v>
      </c>
      <c r="J745" t="s">
        <v>22</v>
      </c>
      <c r="K745" t="str">
        <f t="shared" si="35"/>
        <v>Not Returned</v>
      </c>
      <c r="N745" t="s">
        <v>34</v>
      </c>
      <c r="O745" t="str">
        <f>IF(N745="",INDEX({"Low","Medium","High"},MATCH(MAX(COUNTIF($N$2:$N$1000,{"Low","Medium","High"})),COUNTIF($N$2:$N$1000,{"Low","Medium","High"}),0)),N745)</f>
        <v>High</v>
      </c>
    </row>
    <row r="746" spans="1:15" x14ac:dyDescent="0.25">
      <c r="A746">
        <v>31</v>
      </c>
      <c r="B746">
        <f t="shared" si="33"/>
        <v>31</v>
      </c>
      <c r="F746">
        <v>13.9</v>
      </c>
      <c r="G746">
        <f t="shared" si="34"/>
        <v>13.9</v>
      </c>
      <c r="J746" t="s">
        <v>22</v>
      </c>
      <c r="K746" t="str">
        <f t="shared" si="35"/>
        <v>Not Returned</v>
      </c>
      <c r="N746" t="s">
        <v>40</v>
      </c>
      <c r="O746" t="str">
        <f>IF(N746="",INDEX({"Low","Medium","High"},MATCH(MAX(COUNTIF($N$2:$N$1000,{"Low","Medium","High"})),COUNTIF($N$2:$N$1000,{"Low","Medium","High"}),0)),N746)</f>
        <v>Medium</v>
      </c>
    </row>
    <row r="747" spans="1:15" x14ac:dyDescent="0.25">
      <c r="A747">
        <v>30</v>
      </c>
      <c r="B747">
        <f t="shared" si="33"/>
        <v>30</v>
      </c>
      <c r="F747">
        <v>22.8</v>
      </c>
      <c r="G747">
        <f t="shared" si="34"/>
        <v>22.8</v>
      </c>
      <c r="J747" t="s">
        <v>22</v>
      </c>
      <c r="K747" t="str">
        <f t="shared" si="35"/>
        <v>Not Returned</v>
      </c>
      <c r="N747" t="s">
        <v>25</v>
      </c>
      <c r="O747" t="str">
        <f>IF(N747="",INDEX({"Low","Medium","High"},MATCH(MAX(COUNTIF($N$2:$N$1000,{"Low","Medium","High"})),COUNTIF($N$2:$N$1000,{"Low","Medium","High"}),0)),N747)</f>
        <v>Low</v>
      </c>
    </row>
    <row r="748" spans="1:15" x14ac:dyDescent="0.25">
      <c r="A748">
        <v>13</v>
      </c>
      <c r="B748">
        <f t="shared" si="33"/>
        <v>13</v>
      </c>
      <c r="F748">
        <v>94.81</v>
      </c>
      <c r="G748">
        <f t="shared" si="34"/>
        <v>94.81</v>
      </c>
      <c r="J748" t="s">
        <v>22</v>
      </c>
      <c r="K748" t="str">
        <f t="shared" si="35"/>
        <v>Not Returned</v>
      </c>
      <c r="N748" t="s">
        <v>40</v>
      </c>
      <c r="O748" t="str">
        <f>IF(N748="",INDEX({"Low","Medium","High"},MATCH(MAX(COUNTIF($N$2:$N$1000,{"Low","Medium","High"})),COUNTIF($N$2:$N$1000,{"Low","Medium","High"}),0)),N748)</f>
        <v>Medium</v>
      </c>
    </row>
    <row r="749" spans="1:15" x14ac:dyDescent="0.25">
      <c r="A749">
        <v>12</v>
      </c>
      <c r="B749">
        <f t="shared" si="33"/>
        <v>12</v>
      </c>
      <c r="F749">
        <v>57.92</v>
      </c>
      <c r="G749">
        <f t="shared" si="34"/>
        <v>57.92</v>
      </c>
      <c r="J749" t="s">
        <v>111</v>
      </c>
      <c r="K749" t="str">
        <f t="shared" si="35"/>
        <v>Returned</v>
      </c>
      <c r="N749" t="s">
        <v>40</v>
      </c>
      <c r="O749" t="str">
        <f>IF(N749="",INDEX({"Low","Medium","High"},MATCH(MAX(COUNTIF($N$2:$N$1000,{"Low","Medium","High"})),COUNTIF($N$2:$N$1000,{"Low","Medium","High"}),0)),N749)</f>
        <v>Medium</v>
      </c>
    </row>
    <row r="750" spans="1:15" x14ac:dyDescent="0.25">
      <c r="A750">
        <v>30</v>
      </c>
      <c r="B750">
        <f t="shared" si="33"/>
        <v>30</v>
      </c>
      <c r="F750">
        <v>58.01</v>
      </c>
      <c r="G750">
        <f t="shared" si="34"/>
        <v>58.01</v>
      </c>
      <c r="J750" t="s">
        <v>22</v>
      </c>
      <c r="K750" t="str">
        <f t="shared" si="35"/>
        <v>Not Returned</v>
      </c>
      <c r="N750" t="s">
        <v>40</v>
      </c>
      <c r="O750" t="str">
        <f>IF(N750="",INDEX({"Low","Medium","High"},MATCH(MAX(COUNTIF($N$2:$N$1000,{"Low","Medium","High"})),COUNTIF($N$2:$N$1000,{"Low","Medium","High"}),0)),N750)</f>
        <v>Medium</v>
      </c>
    </row>
    <row r="751" spans="1:15" x14ac:dyDescent="0.25">
      <c r="A751">
        <v>43</v>
      </c>
      <c r="B751">
        <f t="shared" si="33"/>
        <v>43</v>
      </c>
      <c r="F751">
        <v>56.9</v>
      </c>
      <c r="G751">
        <f t="shared" si="34"/>
        <v>56.9</v>
      </c>
      <c r="J751" t="s">
        <v>22</v>
      </c>
      <c r="K751" t="str">
        <f t="shared" si="35"/>
        <v>Not Returned</v>
      </c>
      <c r="N751" t="s">
        <v>25</v>
      </c>
      <c r="O751" t="str">
        <f>IF(N751="",INDEX({"Low","Medium","High"},MATCH(MAX(COUNTIF($N$2:$N$1000,{"Low","Medium","High"})),COUNTIF($N$2:$N$1000,{"Low","Medium","High"}),0)),N751)</f>
        <v>Low</v>
      </c>
    </row>
    <row r="752" spans="1:15" x14ac:dyDescent="0.25">
      <c r="A752">
        <v>48</v>
      </c>
      <c r="B752">
        <f t="shared" si="33"/>
        <v>48</v>
      </c>
      <c r="F752">
        <v>12.47</v>
      </c>
      <c r="G752">
        <f t="shared" si="34"/>
        <v>12.47</v>
      </c>
      <c r="J752" t="s">
        <v>22</v>
      </c>
      <c r="K752" t="str">
        <f t="shared" si="35"/>
        <v>Not Returned</v>
      </c>
      <c r="N752" t="s">
        <v>25</v>
      </c>
      <c r="O752" t="str">
        <f>IF(N752="",INDEX({"Low","Medium","High"},MATCH(MAX(COUNTIF($N$2:$N$1000,{"Low","Medium","High"})),COUNTIF($N$2:$N$1000,{"Low","Medium","High"}),0)),N752)</f>
        <v>Low</v>
      </c>
    </row>
    <row r="753" spans="1:15" x14ac:dyDescent="0.25">
      <c r="A753">
        <v>49</v>
      </c>
      <c r="B753">
        <f t="shared" si="33"/>
        <v>49</v>
      </c>
      <c r="F753">
        <v>14.27</v>
      </c>
      <c r="G753">
        <f t="shared" si="34"/>
        <v>14.27</v>
      </c>
      <c r="J753" t="s">
        <v>22</v>
      </c>
      <c r="K753" t="str">
        <f t="shared" si="35"/>
        <v>Not Returned</v>
      </c>
      <c r="N753" t="s">
        <v>40</v>
      </c>
      <c r="O753" t="str">
        <f>IF(N753="",INDEX({"Low","Medium","High"},MATCH(MAX(COUNTIF($N$2:$N$1000,{"Low","Medium","High"})),COUNTIF($N$2:$N$1000,{"Low","Medium","High"}),0)),N753)</f>
        <v>Medium</v>
      </c>
    </row>
    <row r="754" spans="1:15" x14ac:dyDescent="0.25">
      <c r="A754">
        <v>39</v>
      </c>
      <c r="B754">
        <f t="shared" si="33"/>
        <v>39</v>
      </c>
      <c r="F754">
        <v>86.32</v>
      </c>
      <c r="G754">
        <f t="shared" si="34"/>
        <v>86.32</v>
      </c>
      <c r="J754" t="s">
        <v>111</v>
      </c>
      <c r="K754" t="str">
        <f t="shared" si="35"/>
        <v>Returned</v>
      </c>
      <c r="N754" t="s">
        <v>34</v>
      </c>
      <c r="O754" t="str">
        <f>IF(N754="",INDEX({"Low","Medium","High"},MATCH(MAX(COUNTIF($N$2:$N$1000,{"Low","Medium","High"})),COUNTIF($N$2:$N$1000,{"Low","Medium","High"}),0)),N754)</f>
        <v>High</v>
      </c>
    </row>
    <row r="755" spans="1:15" x14ac:dyDescent="0.25">
      <c r="A755">
        <v>4</v>
      </c>
      <c r="B755">
        <f t="shared" si="33"/>
        <v>4</v>
      </c>
      <c r="F755">
        <v>28.14</v>
      </c>
      <c r="G755">
        <f t="shared" si="34"/>
        <v>28.14</v>
      </c>
      <c r="J755" t="s">
        <v>22</v>
      </c>
      <c r="K755" t="str">
        <f t="shared" si="35"/>
        <v>Not Returned</v>
      </c>
      <c r="N755" t="s">
        <v>40</v>
      </c>
      <c r="O755" t="str">
        <f>IF(N755="",INDEX({"Low","Medium","High"},MATCH(MAX(COUNTIF($N$2:$N$1000,{"Low","Medium","High"})),COUNTIF($N$2:$N$1000,{"Low","Medium","High"}),0)),N755)</f>
        <v>Medium</v>
      </c>
    </row>
    <row r="756" spans="1:15" x14ac:dyDescent="0.25">
      <c r="A756">
        <v>17</v>
      </c>
      <c r="B756">
        <f t="shared" si="33"/>
        <v>17</v>
      </c>
      <c r="F756">
        <v>47.37</v>
      </c>
      <c r="G756">
        <f t="shared" si="34"/>
        <v>47.37</v>
      </c>
      <c r="J756" t="s">
        <v>111</v>
      </c>
      <c r="K756" t="str">
        <f t="shared" si="35"/>
        <v>Returned</v>
      </c>
      <c r="N756" t="s">
        <v>34</v>
      </c>
      <c r="O756" t="str">
        <f>IF(N756="",INDEX({"Low","Medium","High"},MATCH(MAX(COUNTIF($N$2:$N$1000,{"Low","Medium","High"})),COUNTIF($N$2:$N$1000,{"Low","Medium","High"}),0)),N756)</f>
        <v>High</v>
      </c>
    </row>
    <row r="757" spans="1:15" x14ac:dyDescent="0.25">
      <c r="A757">
        <v>44</v>
      </c>
      <c r="B757">
        <f t="shared" si="33"/>
        <v>44</v>
      </c>
      <c r="F757">
        <v>1.54</v>
      </c>
      <c r="G757">
        <f t="shared" si="34"/>
        <v>1.54</v>
      </c>
      <c r="J757" t="s">
        <v>22</v>
      </c>
      <c r="K757" t="str">
        <f t="shared" si="35"/>
        <v>Not Returned</v>
      </c>
      <c r="N757" t="s">
        <v>34</v>
      </c>
      <c r="O757" t="str">
        <f>IF(N757="",INDEX({"Low","Medium","High"},MATCH(MAX(COUNTIF($N$2:$N$1000,{"Low","Medium","High"})),COUNTIF($N$2:$N$1000,{"Low","Medium","High"}),0)),N757)</f>
        <v>High</v>
      </c>
    </row>
    <row r="758" spans="1:15" x14ac:dyDescent="0.25">
      <c r="A758">
        <v>1</v>
      </c>
      <c r="B758">
        <f t="shared" si="33"/>
        <v>1</v>
      </c>
      <c r="F758">
        <v>13.94</v>
      </c>
      <c r="G758">
        <f t="shared" si="34"/>
        <v>13.94</v>
      </c>
      <c r="J758" t="s">
        <v>111</v>
      </c>
      <c r="K758" t="str">
        <f t="shared" si="35"/>
        <v>Returned</v>
      </c>
      <c r="N758" t="s">
        <v>25</v>
      </c>
      <c r="O758" t="str">
        <f>IF(N758="",INDEX({"Low","Medium","High"},MATCH(MAX(COUNTIF($N$2:$N$1000,{"Low","Medium","High"})),COUNTIF($N$2:$N$1000,{"Low","Medium","High"}),0)),N758)</f>
        <v>Low</v>
      </c>
    </row>
    <row r="759" spans="1:15" x14ac:dyDescent="0.25">
      <c r="A759">
        <v>44</v>
      </c>
      <c r="B759">
        <f t="shared" si="33"/>
        <v>44</v>
      </c>
      <c r="F759">
        <v>52.56</v>
      </c>
      <c r="G759">
        <f t="shared" si="34"/>
        <v>52.56</v>
      </c>
      <c r="J759" t="s">
        <v>22</v>
      </c>
      <c r="K759" t="str">
        <f t="shared" si="35"/>
        <v>Not Returned</v>
      </c>
      <c r="N759" t="s">
        <v>40</v>
      </c>
      <c r="O759" t="str">
        <f>IF(N759="",INDEX({"Low","Medium","High"},MATCH(MAX(COUNTIF($N$2:$N$1000,{"Low","Medium","High"})),COUNTIF($N$2:$N$1000,{"Low","Medium","High"}),0)),N759)</f>
        <v>Medium</v>
      </c>
    </row>
    <row r="760" spans="1:15" x14ac:dyDescent="0.25">
      <c r="A760">
        <v>16</v>
      </c>
      <c r="B760">
        <f t="shared" si="33"/>
        <v>16</v>
      </c>
      <c r="F760">
        <v>6.55</v>
      </c>
      <c r="G760">
        <f t="shared" si="34"/>
        <v>6.55</v>
      </c>
      <c r="J760" t="s">
        <v>111</v>
      </c>
      <c r="K760" t="str">
        <f t="shared" si="35"/>
        <v>Returned</v>
      </c>
      <c r="N760" t="s">
        <v>40</v>
      </c>
      <c r="O760" t="str">
        <f>IF(N760="",INDEX({"Low","Medium","High"},MATCH(MAX(COUNTIF($N$2:$N$1000,{"Low","Medium","High"})),COUNTIF($N$2:$N$1000,{"Low","Medium","High"}),0)),N760)</f>
        <v>Medium</v>
      </c>
    </row>
    <row r="761" spans="1:15" x14ac:dyDescent="0.25">
      <c r="A761">
        <v>10</v>
      </c>
      <c r="B761">
        <f t="shared" si="33"/>
        <v>10</v>
      </c>
      <c r="F761">
        <v>73.92</v>
      </c>
      <c r="G761">
        <f t="shared" si="34"/>
        <v>73.92</v>
      </c>
      <c r="J761" t="s">
        <v>22</v>
      </c>
      <c r="K761" t="str">
        <f t="shared" si="35"/>
        <v>Not Returned</v>
      </c>
      <c r="N761" t="s">
        <v>34</v>
      </c>
      <c r="O761" t="str">
        <f>IF(N761="",INDEX({"Low","Medium","High"},MATCH(MAX(COUNTIF($N$2:$N$1000,{"Low","Medium","High"})),COUNTIF($N$2:$N$1000,{"Low","Medium","High"}),0)),N761)</f>
        <v>High</v>
      </c>
    </row>
    <row r="762" spans="1:15" x14ac:dyDescent="0.25">
      <c r="A762">
        <v>2</v>
      </c>
      <c r="B762">
        <f t="shared" si="33"/>
        <v>2</v>
      </c>
      <c r="F762">
        <v>38.44</v>
      </c>
      <c r="G762">
        <f t="shared" si="34"/>
        <v>38.44</v>
      </c>
      <c r="J762" t="s">
        <v>22</v>
      </c>
      <c r="K762" t="str">
        <f t="shared" si="35"/>
        <v>Not Returned</v>
      </c>
      <c r="N762" t="s">
        <v>34</v>
      </c>
      <c r="O762" t="str">
        <f>IF(N762="",INDEX({"Low","Medium","High"},MATCH(MAX(COUNTIF($N$2:$N$1000,{"Low","Medium","High"})),COUNTIF($N$2:$N$1000,{"Low","Medium","High"}),0)),N762)</f>
        <v>High</v>
      </c>
    </row>
    <row r="763" spans="1:15" x14ac:dyDescent="0.25">
      <c r="A763">
        <v>11</v>
      </c>
      <c r="B763">
        <f t="shared" si="33"/>
        <v>11</v>
      </c>
      <c r="F763">
        <v>99.17</v>
      </c>
      <c r="G763">
        <f t="shared" si="34"/>
        <v>99.17</v>
      </c>
      <c r="J763" t="s">
        <v>22</v>
      </c>
      <c r="K763" t="str">
        <f t="shared" si="35"/>
        <v>Not Returned</v>
      </c>
      <c r="N763" t="s">
        <v>40</v>
      </c>
      <c r="O763" t="str">
        <f>IF(N763="",INDEX({"Low","Medium","High"},MATCH(MAX(COUNTIF($N$2:$N$1000,{"Low","Medium","High"})),COUNTIF($N$2:$N$1000,{"Low","Medium","High"}),0)),N763)</f>
        <v>Medium</v>
      </c>
    </row>
    <row r="764" spans="1:15" x14ac:dyDescent="0.25">
      <c r="A764">
        <v>3</v>
      </c>
      <c r="B764">
        <f t="shared" si="33"/>
        <v>3</v>
      </c>
      <c r="F764">
        <v>26.1</v>
      </c>
      <c r="G764">
        <f t="shared" si="34"/>
        <v>26.1</v>
      </c>
      <c r="J764" t="s">
        <v>22</v>
      </c>
      <c r="K764" t="str">
        <f t="shared" si="35"/>
        <v>Not Returned</v>
      </c>
      <c r="N764" t="s">
        <v>34</v>
      </c>
      <c r="O764" t="str">
        <f>IF(N764="",INDEX({"Low","Medium","High"},MATCH(MAX(COUNTIF($N$2:$N$1000,{"Low","Medium","High"})),COUNTIF($N$2:$N$1000,{"Low","Medium","High"}),0)),N764)</f>
        <v>High</v>
      </c>
    </row>
    <row r="765" spans="1:15" x14ac:dyDescent="0.25">
      <c r="A765">
        <v>8</v>
      </c>
      <c r="B765">
        <f t="shared" si="33"/>
        <v>8</v>
      </c>
      <c r="F765">
        <v>28.36</v>
      </c>
      <c r="G765">
        <f t="shared" si="34"/>
        <v>28.36</v>
      </c>
      <c r="J765" t="s">
        <v>22</v>
      </c>
      <c r="K765" t="str">
        <f t="shared" si="35"/>
        <v>Not Returned</v>
      </c>
      <c r="N765" t="s">
        <v>40</v>
      </c>
      <c r="O765" t="str">
        <f>IF(N765="",INDEX({"Low","Medium","High"},MATCH(MAX(COUNTIF($N$2:$N$1000,{"Low","Medium","High"})),COUNTIF($N$2:$N$1000,{"Low","Medium","High"}),0)),N765)</f>
        <v>Medium</v>
      </c>
    </row>
    <row r="766" spans="1:15" x14ac:dyDescent="0.25">
      <c r="A766">
        <v>16</v>
      </c>
      <c r="B766">
        <f t="shared" si="33"/>
        <v>16</v>
      </c>
      <c r="F766">
        <v>96.46</v>
      </c>
      <c r="G766">
        <f t="shared" si="34"/>
        <v>96.46</v>
      </c>
      <c r="J766" t="s">
        <v>22</v>
      </c>
      <c r="K766" t="str">
        <f t="shared" si="35"/>
        <v>Not Returned</v>
      </c>
      <c r="N766" t="s">
        <v>34</v>
      </c>
      <c r="O766" t="str">
        <f>IF(N766="",INDEX({"Low","Medium","High"},MATCH(MAX(COUNTIF($N$2:$N$1000,{"Low","Medium","High"})),COUNTIF($N$2:$N$1000,{"Low","Medium","High"}),0)),N766)</f>
        <v>High</v>
      </c>
    </row>
    <row r="767" spans="1:15" x14ac:dyDescent="0.25">
      <c r="A767">
        <v>47</v>
      </c>
      <c r="B767">
        <f t="shared" si="33"/>
        <v>47</v>
      </c>
      <c r="F767">
        <v>30.39</v>
      </c>
      <c r="G767">
        <f t="shared" si="34"/>
        <v>30.39</v>
      </c>
      <c r="J767" t="s">
        <v>22</v>
      </c>
      <c r="K767" t="str">
        <f t="shared" si="35"/>
        <v>Not Returned</v>
      </c>
      <c r="N767" t="s">
        <v>25</v>
      </c>
      <c r="O767" t="str">
        <f>IF(N767="",INDEX({"Low","Medium","High"},MATCH(MAX(COUNTIF($N$2:$N$1000,{"Low","Medium","High"})),COUNTIF($N$2:$N$1000,{"Low","Medium","High"}),0)),N767)</f>
        <v>Low</v>
      </c>
    </row>
    <row r="768" spans="1:15" x14ac:dyDescent="0.25">
      <c r="A768">
        <v>9</v>
      </c>
      <c r="B768">
        <f t="shared" si="33"/>
        <v>9</v>
      </c>
      <c r="F768">
        <v>67.260000000000005</v>
      </c>
      <c r="G768">
        <f t="shared" si="34"/>
        <v>67.260000000000005</v>
      </c>
      <c r="J768" t="s">
        <v>22</v>
      </c>
      <c r="K768" t="str">
        <f t="shared" si="35"/>
        <v>Not Returned</v>
      </c>
      <c r="N768" t="s">
        <v>40</v>
      </c>
      <c r="O768" t="str">
        <f>IF(N768="",INDEX({"Low","Medium","High"},MATCH(MAX(COUNTIF($N$2:$N$1000,{"Low","Medium","High"})),COUNTIF($N$2:$N$1000,{"Low","Medium","High"}),0)),N768)</f>
        <v>Medium</v>
      </c>
    </row>
    <row r="769" spans="1:15" x14ac:dyDescent="0.25">
      <c r="A769">
        <v>46</v>
      </c>
      <c r="B769">
        <f t="shared" si="33"/>
        <v>46</v>
      </c>
      <c r="F769">
        <v>68.92</v>
      </c>
      <c r="G769">
        <f t="shared" si="34"/>
        <v>68.92</v>
      </c>
      <c r="J769" t="s">
        <v>22</v>
      </c>
      <c r="K769" t="str">
        <f t="shared" si="35"/>
        <v>Not Returned</v>
      </c>
      <c r="N769" t="s">
        <v>34</v>
      </c>
      <c r="O769" t="str">
        <f>IF(N769="",INDEX({"Low","Medium","High"},MATCH(MAX(COUNTIF($N$2:$N$1000,{"Low","Medium","High"})),COUNTIF($N$2:$N$1000,{"Low","Medium","High"}),0)),N769)</f>
        <v>High</v>
      </c>
    </row>
    <row r="770" spans="1:15" x14ac:dyDescent="0.25">
      <c r="A770">
        <v>46</v>
      </c>
      <c r="B770">
        <f t="shared" ref="B770:B833" si="36">IF(A770="",ROUNDUP(AVERAGE($A$2:$A$1000),0),A770)</f>
        <v>46</v>
      </c>
      <c r="F770">
        <v>83.44</v>
      </c>
      <c r="G770">
        <f t="shared" si="34"/>
        <v>83.44</v>
      </c>
      <c r="J770" t="s">
        <v>111</v>
      </c>
      <c r="K770" t="str">
        <f t="shared" si="35"/>
        <v>Returned</v>
      </c>
      <c r="N770" t="s">
        <v>25</v>
      </c>
      <c r="O770" t="str">
        <f>IF(N770="",INDEX({"Low","Medium","High"},MATCH(MAX(COUNTIF($N$2:$N$1000,{"Low","Medium","High"})),COUNTIF($N$2:$N$1000,{"Low","Medium","High"}),0)),N770)</f>
        <v>Low</v>
      </c>
    </row>
    <row r="771" spans="1:15" x14ac:dyDescent="0.25">
      <c r="A771">
        <v>27</v>
      </c>
      <c r="B771">
        <f t="shared" si="36"/>
        <v>27</v>
      </c>
      <c r="F771">
        <v>97.02</v>
      </c>
      <c r="G771">
        <f t="shared" ref="G771:G834" si="37">IF(F771="",ROUNDUP(AVERAGE($F$2:$F$1000),0),F771)</f>
        <v>97.02</v>
      </c>
      <c r="J771" t="s">
        <v>22</v>
      </c>
      <c r="K771" t="str">
        <f t="shared" ref="K771:K834" si="38">IF(J771="","Unknown",J771)</f>
        <v>Not Returned</v>
      </c>
      <c r="N771" t="s">
        <v>25</v>
      </c>
      <c r="O771" t="str">
        <f>IF(N771="",INDEX({"Low","Medium","High"},MATCH(MAX(COUNTIF($N$2:$N$1000,{"Low","Medium","High"})),COUNTIF($N$2:$N$1000,{"Low","Medium","High"}),0)),N771)</f>
        <v>Low</v>
      </c>
    </row>
    <row r="772" spans="1:15" x14ac:dyDescent="0.25">
      <c r="A772">
        <v>22</v>
      </c>
      <c r="B772">
        <f t="shared" si="36"/>
        <v>22</v>
      </c>
      <c r="F772">
        <v>57.2</v>
      </c>
      <c r="G772">
        <f t="shared" si="37"/>
        <v>57.2</v>
      </c>
      <c r="J772" t="s">
        <v>22</v>
      </c>
      <c r="K772" t="str">
        <f t="shared" si="38"/>
        <v>Not Returned</v>
      </c>
      <c r="N772" t="s">
        <v>25</v>
      </c>
      <c r="O772" t="str">
        <f>IF(N772="",INDEX({"Low","Medium","High"},MATCH(MAX(COUNTIF($N$2:$N$1000,{"Low","Medium","High"})),COUNTIF($N$2:$N$1000,{"Low","Medium","High"}),0)),N772)</f>
        <v>Low</v>
      </c>
    </row>
    <row r="773" spans="1:15" x14ac:dyDescent="0.25">
      <c r="A773">
        <v>27</v>
      </c>
      <c r="B773">
        <f t="shared" si="36"/>
        <v>27</v>
      </c>
      <c r="F773">
        <v>55.2</v>
      </c>
      <c r="G773">
        <f t="shared" si="37"/>
        <v>55.2</v>
      </c>
      <c r="J773" t="s">
        <v>22</v>
      </c>
      <c r="K773" t="str">
        <f t="shared" si="38"/>
        <v>Not Returned</v>
      </c>
      <c r="N773" t="s">
        <v>40</v>
      </c>
      <c r="O773" t="str">
        <f>IF(N773="",INDEX({"Low","Medium","High"},MATCH(MAX(COUNTIF($N$2:$N$1000,{"Low","Medium","High"})),COUNTIF($N$2:$N$1000,{"Low","Medium","High"}),0)),N773)</f>
        <v>Medium</v>
      </c>
    </row>
    <row r="774" spans="1:15" x14ac:dyDescent="0.25">
      <c r="A774">
        <v>38</v>
      </c>
      <c r="B774">
        <f t="shared" si="36"/>
        <v>38</v>
      </c>
      <c r="F774">
        <v>34.590000000000003</v>
      </c>
      <c r="G774">
        <f t="shared" si="37"/>
        <v>34.590000000000003</v>
      </c>
      <c r="J774" t="s">
        <v>22</v>
      </c>
      <c r="K774" t="str">
        <f t="shared" si="38"/>
        <v>Not Returned</v>
      </c>
      <c r="N774" t="s">
        <v>25</v>
      </c>
      <c r="O774" t="str">
        <f>IF(N774="",INDEX({"Low","Medium","High"},MATCH(MAX(COUNTIF($N$2:$N$1000,{"Low","Medium","High"})),COUNTIF($N$2:$N$1000,{"Low","Medium","High"}),0)),N774)</f>
        <v>Low</v>
      </c>
    </row>
    <row r="775" spans="1:15" x14ac:dyDescent="0.25">
      <c r="A775">
        <v>6</v>
      </c>
      <c r="B775">
        <f t="shared" si="36"/>
        <v>6</v>
      </c>
      <c r="F775">
        <v>50.45</v>
      </c>
      <c r="G775">
        <f t="shared" si="37"/>
        <v>50.45</v>
      </c>
      <c r="J775" t="s">
        <v>22</v>
      </c>
      <c r="K775" t="str">
        <f t="shared" si="38"/>
        <v>Not Returned</v>
      </c>
      <c r="N775" t="s">
        <v>34</v>
      </c>
      <c r="O775" t="str">
        <f>IF(N775="",INDEX({"Low","Medium","High"},MATCH(MAX(COUNTIF($N$2:$N$1000,{"Low","Medium","High"})),COUNTIF($N$2:$N$1000,{"Low","Medium","High"}),0)),N775)</f>
        <v>High</v>
      </c>
    </row>
    <row r="776" spans="1:15" x14ac:dyDescent="0.25">
      <c r="A776">
        <v>21</v>
      </c>
      <c r="B776">
        <f t="shared" si="36"/>
        <v>21</v>
      </c>
      <c r="F776">
        <v>20.61</v>
      </c>
      <c r="G776">
        <f t="shared" si="37"/>
        <v>20.61</v>
      </c>
      <c r="J776" t="s">
        <v>22</v>
      </c>
      <c r="K776" t="str">
        <f t="shared" si="38"/>
        <v>Not Returned</v>
      </c>
      <c r="N776" t="s">
        <v>34</v>
      </c>
      <c r="O776" t="str">
        <f>IF(N776="",INDEX({"Low","Medium","High"},MATCH(MAX(COUNTIF($N$2:$N$1000,{"Low","Medium","High"})),COUNTIF($N$2:$N$1000,{"Low","Medium","High"}),0)),N776)</f>
        <v>High</v>
      </c>
    </row>
    <row r="777" spans="1:15" x14ac:dyDescent="0.25">
      <c r="A777">
        <v>7</v>
      </c>
      <c r="B777">
        <f t="shared" si="36"/>
        <v>7</v>
      </c>
      <c r="F777">
        <v>81.41</v>
      </c>
      <c r="G777">
        <f t="shared" si="37"/>
        <v>81.41</v>
      </c>
      <c r="J777" t="s">
        <v>22</v>
      </c>
      <c r="K777" t="str">
        <f t="shared" si="38"/>
        <v>Not Returned</v>
      </c>
      <c r="N777" t="s">
        <v>40</v>
      </c>
      <c r="O777" t="str">
        <f>IF(N777="",INDEX({"Low","Medium","High"},MATCH(MAX(COUNTIF($N$2:$N$1000,{"Low","Medium","High"})),COUNTIF($N$2:$N$1000,{"Low","Medium","High"}),0)),N777)</f>
        <v>Medium</v>
      </c>
    </row>
    <row r="778" spans="1:15" x14ac:dyDescent="0.25">
      <c r="A778">
        <v>10</v>
      </c>
      <c r="B778">
        <f t="shared" si="36"/>
        <v>10</v>
      </c>
      <c r="F778">
        <v>7.45</v>
      </c>
      <c r="G778">
        <f t="shared" si="37"/>
        <v>7.45</v>
      </c>
      <c r="J778" t="s">
        <v>22</v>
      </c>
      <c r="K778" t="str">
        <f t="shared" si="38"/>
        <v>Not Returned</v>
      </c>
      <c r="N778" t="s">
        <v>25</v>
      </c>
      <c r="O778" t="str">
        <f>IF(N778="",INDEX({"Low","Medium","High"},MATCH(MAX(COUNTIF($N$2:$N$1000,{"Low","Medium","High"})),COUNTIF($N$2:$N$1000,{"Low","Medium","High"}),0)),N778)</f>
        <v>Low</v>
      </c>
    </row>
    <row r="779" spans="1:15" x14ac:dyDescent="0.25">
      <c r="A779">
        <v>47</v>
      </c>
      <c r="B779">
        <f t="shared" si="36"/>
        <v>47</v>
      </c>
      <c r="F779">
        <v>79.78</v>
      </c>
      <c r="G779">
        <f t="shared" si="37"/>
        <v>79.78</v>
      </c>
      <c r="J779" t="s">
        <v>22</v>
      </c>
      <c r="K779" t="str">
        <f t="shared" si="38"/>
        <v>Not Returned</v>
      </c>
      <c r="N779" t="s">
        <v>40</v>
      </c>
      <c r="O779" t="str">
        <f>IF(N779="",INDEX({"Low","Medium","High"},MATCH(MAX(COUNTIF($N$2:$N$1000,{"Low","Medium","High"})),COUNTIF($N$2:$N$1000,{"Low","Medium","High"}),0)),N779)</f>
        <v>Medium</v>
      </c>
    </row>
    <row r="780" spans="1:15" x14ac:dyDescent="0.25">
      <c r="A780">
        <v>16</v>
      </c>
      <c r="B780">
        <f t="shared" si="36"/>
        <v>16</v>
      </c>
      <c r="F780">
        <v>96.08</v>
      </c>
      <c r="G780">
        <f t="shared" si="37"/>
        <v>96.08</v>
      </c>
      <c r="J780" t="s">
        <v>22</v>
      </c>
      <c r="K780" t="str">
        <f t="shared" si="38"/>
        <v>Not Returned</v>
      </c>
      <c r="N780" t="s">
        <v>40</v>
      </c>
      <c r="O780" t="str">
        <f>IF(N780="",INDEX({"Low","Medium","High"},MATCH(MAX(COUNTIF($N$2:$N$1000,{"Low","Medium","High"})),COUNTIF($N$2:$N$1000,{"Low","Medium","High"}),0)),N780)</f>
        <v>Medium</v>
      </c>
    </row>
    <row r="781" spans="1:15" x14ac:dyDescent="0.25">
      <c r="A781">
        <v>34</v>
      </c>
      <c r="B781">
        <f t="shared" si="36"/>
        <v>34</v>
      </c>
      <c r="F781">
        <v>77.94</v>
      </c>
      <c r="G781">
        <f t="shared" si="37"/>
        <v>77.94</v>
      </c>
      <c r="J781" t="s">
        <v>22</v>
      </c>
      <c r="K781" t="str">
        <f t="shared" si="38"/>
        <v>Not Returned</v>
      </c>
      <c r="N781" t="s">
        <v>25</v>
      </c>
      <c r="O781" t="str">
        <f>IF(N781="",INDEX({"Low","Medium","High"},MATCH(MAX(COUNTIF($N$2:$N$1000,{"Low","Medium","High"})),COUNTIF($N$2:$N$1000,{"Low","Medium","High"}),0)),N781)</f>
        <v>Low</v>
      </c>
    </row>
    <row r="782" spans="1:15" x14ac:dyDescent="0.25">
      <c r="A782">
        <v>34</v>
      </c>
      <c r="B782">
        <f t="shared" si="36"/>
        <v>34</v>
      </c>
      <c r="F782">
        <v>86.56</v>
      </c>
      <c r="G782">
        <f t="shared" si="37"/>
        <v>86.56</v>
      </c>
      <c r="J782" t="s">
        <v>111</v>
      </c>
      <c r="K782" t="str">
        <f t="shared" si="38"/>
        <v>Returned</v>
      </c>
      <c r="N782" t="s">
        <v>25</v>
      </c>
      <c r="O782" t="str">
        <f>IF(N782="",INDEX({"Low","Medium","High"},MATCH(MAX(COUNTIF($N$2:$N$1000,{"Low","Medium","High"})),COUNTIF($N$2:$N$1000,{"Low","Medium","High"}),0)),N782)</f>
        <v>Low</v>
      </c>
    </row>
    <row r="783" spans="1:15" x14ac:dyDescent="0.25">
      <c r="A783">
        <v>7</v>
      </c>
      <c r="B783">
        <f t="shared" si="36"/>
        <v>7</v>
      </c>
      <c r="F783">
        <v>98.99</v>
      </c>
      <c r="G783">
        <f t="shared" si="37"/>
        <v>98.99</v>
      </c>
      <c r="J783" t="s">
        <v>22</v>
      </c>
      <c r="K783" t="str">
        <f t="shared" si="38"/>
        <v>Not Returned</v>
      </c>
      <c r="N783" t="s">
        <v>34</v>
      </c>
      <c r="O783" t="str">
        <f>IF(N783="",INDEX({"Low","Medium","High"},MATCH(MAX(COUNTIF($N$2:$N$1000,{"Low","Medium","High"})),COUNTIF($N$2:$N$1000,{"Low","Medium","High"}),0)),N783)</f>
        <v>High</v>
      </c>
    </row>
    <row r="784" spans="1:15" x14ac:dyDescent="0.25">
      <c r="A784">
        <v>26</v>
      </c>
      <c r="B784">
        <f t="shared" si="36"/>
        <v>26</v>
      </c>
      <c r="F784">
        <v>15.52</v>
      </c>
      <c r="G784">
        <f t="shared" si="37"/>
        <v>15.52</v>
      </c>
      <c r="J784" t="s">
        <v>22</v>
      </c>
      <c r="K784" t="str">
        <f t="shared" si="38"/>
        <v>Not Returned</v>
      </c>
      <c r="N784" t="s">
        <v>40</v>
      </c>
      <c r="O784" t="str">
        <f>IF(N784="",INDEX({"Low","Medium","High"},MATCH(MAX(COUNTIF($N$2:$N$1000,{"Low","Medium","High"})),COUNTIF($N$2:$N$1000,{"Low","Medium","High"}),0)),N784)</f>
        <v>Medium</v>
      </c>
    </row>
    <row r="785" spans="1:15" x14ac:dyDescent="0.25">
      <c r="A785">
        <v>18</v>
      </c>
      <c r="B785">
        <f t="shared" si="36"/>
        <v>18</v>
      </c>
      <c r="F785">
        <v>70.14</v>
      </c>
      <c r="G785">
        <f t="shared" si="37"/>
        <v>70.14</v>
      </c>
      <c r="J785" t="s">
        <v>22</v>
      </c>
      <c r="K785" t="str">
        <f t="shared" si="38"/>
        <v>Not Returned</v>
      </c>
      <c r="N785" t="s">
        <v>25</v>
      </c>
      <c r="O785" t="str">
        <f>IF(N785="",INDEX({"Low","Medium","High"},MATCH(MAX(COUNTIF($N$2:$N$1000,{"Low","Medium","High"})),COUNTIF($N$2:$N$1000,{"Low","Medium","High"}),0)),N785)</f>
        <v>Low</v>
      </c>
    </row>
    <row r="786" spans="1:15" x14ac:dyDescent="0.25">
      <c r="A786">
        <v>10</v>
      </c>
      <c r="B786">
        <f t="shared" si="36"/>
        <v>10</v>
      </c>
      <c r="F786">
        <v>96.19</v>
      </c>
      <c r="G786">
        <f t="shared" si="37"/>
        <v>96.19</v>
      </c>
      <c r="J786" t="s">
        <v>22</v>
      </c>
      <c r="K786" t="str">
        <f t="shared" si="38"/>
        <v>Not Returned</v>
      </c>
      <c r="N786" t="s">
        <v>25</v>
      </c>
      <c r="O786" t="str">
        <f>IF(N786="",INDEX({"Low","Medium","High"},MATCH(MAX(COUNTIF($N$2:$N$1000,{"Low","Medium","High"})),COUNTIF($N$2:$N$1000,{"Low","Medium","High"}),0)),N786)</f>
        <v>Low</v>
      </c>
    </row>
    <row r="787" spans="1:15" x14ac:dyDescent="0.25">
      <c r="A787">
        <v>40</v>
      </c>
      <c r="B787">
        <f t="shared" si="36"/>
        <v>40</v>
      </c>
      <c r="F787">
        <v>55.16</v>
      </c>
      <c r="G787">
        <f t="shared" si="37"/>
        <v>55.16</v>
      </c>
      <c r="J787" t="s">
        <v>22</v>
      </c>
      <c r="K787" t="str">
        <f t="shared" si="38"/>
        <v>Not Returned</v>
      </c>
      <c r="N787" t="s">
        <v>25</v>
      </c>
      <c r="O787" t="str">
        <f>IF(N787="",INDEX({"Low","Medium","High"},MATCH(MAX(COUNTIF($N$2:$N$1000,{"Low","Medium","High"})),COUNTIF($N$2:$N$1000,{"Low","Medium","High"}),0)),N787)</f>
        <v>Low</v>
      </c>
    </row>
    <row r="788" spans="1:15" x14ac:dyDescent="0.25">
      <c r="A788">
        <v>29</v>
      </c>
      <c r="B788">
        <f t="shared" si="36"/>
        <v>29</v>
      </c>
      <c r="F788">
        <v>84.49</v>
      </c>
      <c r="G788">
        <f t="shared" si="37"/>
        <v>84.49</v>
      </c>
      <c r="J788" t="s">
        <v>22</v>
      </c>
      <c r="K788" t="str">
        <f t="shared" si="38"/>
        <v>Not Returned</v>
      </c>
      <c r="N788" t="s">
        <v>40</v>
      </c>
      <c r="O788" t="str">
        <f>IF(N788="",INDEX({"Low","Medium","High"},MATCH(MAX(COUNTIF($N$2:$N$1000,{"Low","Medium","High"})),COUNTIF($N$2:$N$1000,{"Low","Medium","High"}),0)),N788)</f>
        <v>Medium</v>
      </c>
    </row>
    <row r="789" spans="1:15" x14ac:dyDescent="0.25">
      <c r="A789">
        <v>14</v>
      </c>
      <c r="B789">
        <f t="shared" si="36"/>
        <v>14</v>
      </c>
      <c r="F789">
        <v>9.48</v>
      </c>
      <c r="G789">
        <f t="shared" si="37"/>
        <v>9.48</v>
      </c>
      <c r="J789" t="s">
        <v>22</v>
      </c>
      <c r="K789" t="str">
        <f t="shared" si="38"/>
        <v>Not Returned</v>
      </c>
      <c r="N789" t="s">
        <v>34</v>
      </c>
      <c r="O789" t="str">
        <f>IF(N789="",INDEX({"Low","Medium","High"},MATCH(MAX(COUNTIF($N$2:$N$1000,{"Low","Medium","High"})),COUNTIF($N$2:$N$1000,{"Low","Medium","High"}),0)),N789)</f>
        <v>High</v>
      </c>
    </row>
    <row r="790" spans="1:15" x14ac:dyDescent="0.25">
      <c r="A790">
        <v>14</v>
      </c>
      <c r="B790">
        <f t="shared" si="36"/>
        <v>14</v>
      </c>
      <c r="F790">
        <v>54.79</v>
      </c>
      <c r="G790">
        <f t="shared" si="37"/>
        <v>54.79</v>
      </c>
      <c r="J790" t="s">
        <v>22</v>
      </c>
      <c r="K790" t="str">
        <f t="shared" si="38"/>
        <v>Not Returned</v>
      </c>
      <c r="N790" t="s">
        <v>25</v>
      </c>
      <c r="O790" t="str">
        <f>IF(N790="",INDEX({"Low","Medium","High"},MATCH(MAX(COUNTIF($N$2:$N$1000,{"Low","Medium","High"})),COUNTIF($N$2:$N$1000,{"Low","Medium","High"}),0)),N790)</f>
        <v>Low</v>
      </c>
    </row>
    <row r="791" spans="1:15" x14ac:dyDescent="0.25">
      <c r="A791">
        <v>38</v>
      </c>
      <c r="B791">
        <f t="shared" si="36"/>
        <v>38</v>
      </c>
      <c r="F791">
        <v>96.08</v>
      </c>
      <c r="G791">
        <f t="shared" si="37"/>
        <v>96.08</v>
      </c>
      <c r="J791" t="s">
        <v>111</v>
      </c>
      <c r="K791" t="str">
        <f t="shared" si="38"/>
        <v>Returned</v>
      </c>
      <c r="N791" t="s">
        <v>25</v>
      </c>
      <c r="O791" t="str">
        <f>IF(N791="",INDEX({"Low","Medium","High"},MATCH(MAX(COUNTIF($N$2:$N$1000,{"Low","Medium","High"})),COUNTIF($N$2:$N$1000,{"Low","Medium","High"}),0)),N791)</f>
        <v>Low</v>
      </c>
    </row>
    <row r="792" spans="1:15" x14ac:dyDescent="0.25">
      <c r="A792">
        <v>8</v>
      </c>
      <c r="B792">
        <f t="shared" si="36"/>
        <v>8</v>
      </c>
      <c r="F792">
        <v>74.430000000000007</v>
      </c>
      <c r="G792">
        <f t="shared" si="37"/>
        <v>74.430000000000007</v>
      </c>
      <c r="J792" t="s">
        <v>22</v>
      </c>
      <c r="K792" t="str">
        <f t="shared" si="38"/>
        <v>Not Returned</v>
      </c>
      <c r="N792" t="s">
        <v>25</v>
      </c>
      <c r="O792" t="str">
        <f>IF(N792="",INDEX({"Low","Medium","High"},MATCH(MAX(COUNTIF($N$2:$N$1000,{"Low","Medium","High"})),COUNTIF($N$2:$N$1000,{"Low","Medium","High"}),0)),N792)</f>
        <v>Low</v>
      </c>
    </row>
    <row r="793" spans="1:15" x14ac:dyDescent="0.25">
      <c r="A793">
        <v>10</v>
      </c>
      <c r="B793">
        <f t="shared" si="36"/>
        <v>10</v>
      </c>
      <c r="F793">
        <v>5.04</v>
      </c>
      <c r="G793">
        <f t="shared" si="37"/>
        <v>5.04</v>
      </c>
      <c r="J793" t="s">
        <v>111</v>
      </c>
      <c r="K793" t="str">
        <f t="shared" si="38"/>
        <v>Returned</v>
      </c>
      <c r="N793" t="s">
        <v>25</v>
      </c>
      <c r="O793" t="str">
        <f>IF(N793="",INDEX({"Low","Medium","High"},MATCH(MAX(COUNTIF($N$2:$N$1000,{"Low","Medium","High"})),COUNTIF($N$2:$N$1000,{"Low","Medium","High"}),0)),N793)</f>
        <v>Low</v>
      </c>
    </row>
    <row r="794" spans="1:15" x14ac:dyDescent="0.25">
      <c r="A794">
        <v>29</v>
      </c>
      <c r="B794">
        <f t="shared" si="36"/>
        <v>29</v>
      </c>
      <c r="F794">
        <v>24.55</v>
      </c>
      <c r="G794">
        <f t="shared" si="37"/>
        <v>24.55</v>
      </c>
      <c r="J794" t="s">
        <v>22</v>
      </c>
      <c r="K794" t="str">
        <f t="shared" si="38"/>
        <v>Not Returned</v>
      </c>
      <c r="N794" t="s">
        <v>25</v>
      </c>
      <c r="O794" t="str">
        <f>IF(N794="",INDEX({"Low","Medium","High"},MATCH(MAX(COUNTIF($N$2:$N$1000,{"Low","Medium","High"})),COUNTIF($N$2:$N$1000,{"Low","Medium","High"}),0)),N794)</f>
        <v>Low</v>
      </c>
    </row>
    <row r="795" spans="1:15" x14ac:dyDescent="0.25">
      <c r="A795">
        <v>19</v>
      </c>
      <c r="B795">
        <f t="shared" si="36"/>
        <v>19</v>
      </c>
      <c r="F795">
        <v>68.81</v>
      </c>
      <c r="G795">
        <f t="shared" si="37"/>
        <v>68.81</v>
      </c>
      <c r="J795" t="s">
        <v>22</v>
      </c>
      <c r="K795" t="str">
        <f t="shared" si="38"/>
        <v>Not Returned</v>
      </c>
      <c r="N795" t="s">
        <v>25</v>
      </c>
      <c r="O795" t="str">
        <f>IF(N795="",INDEX({"Low","Medium","High"},MATCH(MAX(COUNTIF($N$2:$N$1000,{"Low","Medium","High"})),COUNTIF($N$2:$N$1000,{"Low","Medium","High"}),0)),N795)</f>
        <v>Low</v>
      </c>
    </row>
    <row r="796" spans="1:15" x14ac:dyDescent="0.25">
      <c r="A796">
        <v>39</v>
      </c>
      <c r="B796">
        <f t="shared" si="36"/>
        <v>39</v>
      </c>
      <c r="F796">
        <v>99.14</v>
      </c>
      <c r="G796">
        <f t="shared" si="37"/>
        <v>99.14</v>
      </c>
      <c r="J796" t="s">
        <v>22</v>
      </c>
      <c r="K796" t="str">
        <f t="shared" si="38"/>
        <v>Not Returned</v>
      </c>
      <c r="N796" t="s">
        <v>40</v>
      </c>
      <c r="O796" t="str">
        <f>IF(N796="",INDEX({"Low","Medium","High"},MATCH(MAX(COUNTIF($N$2:$N$1000,{"Low","Medium","High"})),COUNTIF($N$2:$N$1000,{"Low","Medium","High"}),0)),N796)</f>
        <v>Medium</v>
      </c>
    </row>
    <row r="797" spans="1:15" x14ac:dyDescent="0.25">
      <c r="A797">
        <v>36</v>
      </c>
      <c r="B797">
        <f t="shared" si="36"/>
        <v>36</v>
      </c>
      <c r="F797">
        <v>80.900000000000006</v>
      </c>
      <c r="G797">
        <f t="shared" si="37"/>
        <v>80.900000000000006</v>
      </c>
      <c r="J797" t="s">
        <v>22</v>
      </c>
      <c r="K797" t="str">
        <f t="shared" si="38"/>
        <v>Not Returned</v>
      </c>
      <c r="N797" t="s">
        <v>34</v>
      </c>
      <c r="O797" t="str">
        <f>IF(N797="",INDEX({"Low","Medium","High"},MATCH(MAX(COUNTIF($N$2:$N$1000,{"Low","Medium","High"})),COUNTIF($N$2:$N$1000,{"Low","Medium","High"}),0)),N797)</f>
        <v>High</v>
      </c>
    </row>
    <row r="798" spans="1:15" x14ac:dyDescent="0.25">
      <c r="A798">
        <v>49</v>
      </c>
      <c r="B798">
        <f t="shared" si="36"/>
        <v>49</v>
      </c>
      <c r="F798">
        <v>35.71</v>
      </c>
      <c r="G798">
        <f t="shared" si="37"/>
        <v>35.71</v>
      </c>
      <c r="J798" t="s">
        <v>22</v>
      </c>
      <c r="K798" t="str">
        <f t="shared" si="38"/>
        <v>Not Returned</v>
      </c>
      <c r="N798" t="s">
        <v>25</v>
      </c>
      <c r="O798" t="str">
        <f>IF(N798="",INDEX({"Low","Medium","High"},MATCH(MAX(COUNTIF($N$2:$N$1000,{"Low","Medium","High"})),COUNTIF($N$2:$N$1000,{"Low","Medium","High"}),0)),N798)</f>
        <v>Low</v>
      </c>
    </row>
    <row r="799" spans="1:15" x14ac:dyDescent="0.25">
      <c r="A799">
        <v>18</v>
      </c>
      <c r="B799">
        <f t="shared" si="36"/>
        <v>18</v>
      </c>
      <c r="F799">
        <v>99.85</v>
      </c>
      <c r="G799">
        <f t="shared" si="37"/>
        <v>99.85</v>
      </c>
      <c r="J799" t="s">
        <v>22</v>
      </c>
      <c r="K799" t="str">
        <f t="shared" si="38"/>
        <v>Not Returned</v>
      </c>
      <c r="N799" t="s">
        <v>34</v>
      </c>
      <c r="O799" t="str">
        <f>IF(N799="",INDEX({"Low","Medium","High"},MATCH(MAX(COUNTIF($N$2:$N$1000,{"Low","Medium","High"})),COUNTIF($N$2:$N$1000,{"Low","Medium","High"}),0)),N799)</f>
        <v>High</v>
      </c>
    </row>
    <row r="800" spans="1:15" x14ac:dyDescent="0.25">
      <c r="A800">
        <v>31</v>
      </c>
      <c r="B800">
        <f t="shared" si="36"/>
        <v>31</v>
      </c>
      <c r="F800">
        <v>20.7</v>
      </c>
      <c r="G800">
        <f t="shared" si="37"/>
        <v>20.7</v>
      </c>
      <c r="J800" t="s">
        <v>22</v>
      </c>
      <c r="K800" t="str">
        <f t="shared" si="38"/>
        <v>Not Returned</v>
      </c>
      <c r="N800" t="s">
        <v>40</v>
      </c>
      <c r="O800" t="str">
        <f>IF(N800="",INDEX({"Low","Medium","High"},MATCH(MAX(COUNTIF($N$2:$N$1000,{"Low","Medium","High"})),COUNTIF($N$2:$N$1000,{"Low","Medium","High"}),0)),N800)</f>
        <v>Medium</v>
      </c>
    </row>
    <row r="801" spans="1:15" x14ac:dyDescent="0.25">
      <c r="A801">
        <v>44</v>
      </c>
      <c r="B801">
        <f t="shared" si="36"/>
        <v>44</v>
      </c>
      <c r="F801">
        <v>27.67</v>
      </c>
      <c r="G801">
        <f t="shared" si="37"/>
        <v>27.67</v>
      </c>
      <c r="J801" t="s">
        <v>22</v>
      </c>
      <c r="K801" t="str">
        <f t="shared" si="38"/>
        <v>Not Returned</v>
      </c>
      <c r="N801" t="s">
        <v>34</v>
      </c>
      <c r="O801" t="str">
        <f>IF(N801="",INDEX({"Low","Medium","High"},MATCH(MAX(COUNTIF($N$2:$N$1000,{"Low","Medium","High"})),COUNTIF($N$2:$N$1000,{"Low","Medium","High"}),0)),N801)</f>
        <v>High</v>
      </c>
    </row>
    <row r="802" spans="1:15" x14ac:dyDescent="0.25">
      <c r="A802">
        <v>14</v>
      </c>
      <c r="B802">
        <f t="shared" si="36"/>
        <v>14</v>
      </c>
      <c r="F802">
        <v>56.1</v>
      </c>
      <c r="G802">
        <f t="shared" si="37"/>
        <v>56.1</v>
      </c>
      <c r="J802" t="s">
        <v>22</v>
      </c>
      <c r="K802" t="str">
        <f t="shared" si="38"/>
        <v>Not Returned</v>
      </c>
      <c r="N802" t="s">
        <v>25</v>
      </c>
      <c r="O802" t="str">
        <f>IF(N802="",INDEX({"Low","Medium","High"},MATCH(MAX(COUNTIF($N$2:$N$1000,{"Low","Medium","High"})),COUNTIF($N$2:$N$1000,{"Low","Medium","High"}),0)),N802)</f>
        <v>Low</v>
      </c>
    </row>
    <row r="803" spans="1:15" x14ac:dyDescent="0.25">
      <c r="A803">
        <v>45</v>
      </c>
      <c r="B803">
        <f t="shared" si="36"/>
        <v>45</v>
      </c>
      <c r="F803">
        <v>28.62</v>
      </c>
      <c r="G803">
        <f t="shared" si="37"/>
        <v>28.62</v>
      </c>
      <c r="J803" t="s">
        <v>22</v>
      </c>
      <c r="K803" t="str">
        <f t="shared" si="38"/>
        <v>Not Returned</v>
      </c>
      <c r="N803" t="s">
        <v>34</v>
      </c>
      <c r="O803" t="str">
        <f>IF(N803="",INDEX({"Low","Medium","High"},MATCH(MAX(COUNTIF($N$2:$N$1000,{"Low","Medium","High"})),COUNTIF($N$2:$N$1000,{"Low","Medium","High"}),0)),N803)</f>
        <v>High</v>
      </c>
    </row>
    <row r="804" spans="1:15" x14ac:dyDescent="0.25">
      <c r="A804">
        <v>40</v>
      </c>
      <c r="B804">
        <f t="shared" si="36"/>
        <v>40</v>
      </c>
      <c r="F804">
        <v>40.93</v>
      </c>
      <c r="G804">
        <f t="shared" si="37"/>
        <v>40.93</v>
      </c>
      <c r="J804" t="s">
        <v>22</v>
      </c>
      <c r="K804" t="str">
        <f t="shared" si="38"/>
        <v>Not Returned</v>
      </c>
      <c r="N804" t="s">
        <v>25</v>
      </c>
      <c r="O804" t="str">
        <f>IF(N804="",INDEX({"Low","Medium","High"},MATCH(MAX(COUNTIF($N$2:$N$1000,{"Low","Medium","High"})),COUNTIF($N$2:$N$1000,{"Low","Medium","High"}),0)),N804)</f>
        <v>Low</v>
      </c>
    </row>
    <row r="805" spans="1:15" x14ac:dyDescent="0.25">
      <c r="A805">
        <v>24</v>
      </c>
      <c r="B805">
        <f t="shared" si="36"/>
        <v>24</v>
      </c>
      <c r="F805">
        <v>90.05</v>
      </c>
      <c r="G805">
        <f t="shared" si="37"/>
        <v>90.05</v>
      </c>
      <c r="J805" t="s">
        <v>22</v>
      </c>
      <c r="K805" t="str">
        <f t="shared" si="38"/>
        <v>Not Returned</v>
      </c>
      <c r="N805" t="s">
        <v>40</v>
      </c>
      <c r="O805" t="str">
        <f>IF(N805="",INDEX({"Low","Medium","High"},MATCH(MAX(COUNTIF($N$2:$N$1000,{"Low","Medium","High"})),COUNTIF($N$2:$N$1000,{"Low","Medium","High"}),0)),N805)</f>
        <v>Medium</v>
      </c>
    </row>
    <row r="806" spans="1:15" x14ac:dyDescent="0.25">
      <c r="A806">
        <v>47</v>
      </c>
      <c r="B806">
        <f t="shared" si="36"/>
        <v>47</v>
      </c>
      <c r="F806">
        <v>48.2</v>
      </c>
      <c r="G806">
        <f t="shared" si="37"/>
        <v>48.2</v>
      </c>
      <c r="J806" t="s">
        <v>22</v>
      </c>
      <c r="K806" t="str">
        <f t="shared" si="38"/>
        <v>Not Returned</v>
      </c>
      <c r="N806" t="s">
        <v>34</v>
      </c>
      <c r="O806" t="str">
        <f>IF(N806="",INDEX({"Low","Medium","High"},MATCH(MAX(COUNTIF($N$2:$N$1000,{"Low","Medium","High"})),COUNTIF($N$2:$N$1000,{"Low","Medium","High"}),0)),N806)</f>
        <v>High</v>
      </c>
    </row>
    <row r="807" spans="1:15" x14ac:dyDescent="0.25">
      <c r="A807">
        <v>29</v>
      </c>
      <c r="B807">
        <f t="shared" si="36"/>
        <v>29</v>
      </c>
      <c r="F807">
        <v>82.33</v>
      </c>
      <c r="G807">
        <f t="shared" si="37"/>
        <v>82.33</v>
      </c>
      <c r="J807" t="s">
        <v>22</v>
      </c>
      <c r="K807" t="str">
        <f t="shared" si="38"/>
        <v>Not Returned</v>
      </c>
      <c r="N807" t="s">
        <v>40</v>
      </c>
      <c r="O807" t="str">
        <f>IF(N807="",INDEX({"Low","Medium","High"},MATCH(MAX(COUNTIF($N$2:$N$1000,{"Low","Medium","High"})),COUNTIF($N$2:$N$1000,{"Low","Medium","High"}),0)),N807)</f>
        <v>Medium</v>
      </c>
    </row>
    <row r="808" spans="1:15" x14ac:dyDescent="0.25">
      <c r="A808">
        <v>34</v>
      </c>
      <c r="B808">
        <f t="shared" si="36"/>
        <v>34</v>
      </c>
      <c r="F808">
        <v>76.2</v>
      </c>
      <c r="G808">
        <f t="shared" si="37"/>
        <v>76.2</v>
      </c>
      <c r="J808" t="s">
        <v>111</v>
      </c>
      <c r="K808" t="str">
        <f t="shared" si="38"/>
        <v>Returned</v>
      </c>
      <c r="N808" t="s">
        <v>34</v>
      </c>
      <c r="O808" t="str">
        <f>IF(N808="",INDEX({"Low","Medium","High"},MATCH(MAX(COUNTIF($N$2:$N$1000,{"Low","Medium","High"})),COUNTIF($N$2:$N$1000,{"Low","Medium","High"}),0)),N808)</f>
        <v>High</v>
      </c>
    </row>
    <row r="809" spans="1:15" x14ac:dyDescent="0.25">
      <c r="A809">
        <v>5</v>
      </c>
      <c r="B809">
        <f t="shared" si="36"/>
        <v>5</v>
      </c>
      <c r="F809">
        <v>92.08</v>
      </c>
      <c r="G809">
        <f t="shared" si="37"/>
        <v>92.08</v>
      </c>
      <c r="J809" t="s">
        <v>111</v>
      </c>
      <c r="K809" t="str">
        <f t="shared" si="38"/>
        <v>Returned</v>
      </c>
      <c r="N809" t="s">
        <v>25</v>
      </c>
      <c r="O809" t="str">
        <f>IF(N809="",INDEX({"Low","Medium","High"},MATCH(MAX(COUNTIF($N$2:$N$1000,{"Low","Medium","High"})),COUNTIF($N$2:$N$1000,{"Low","Medium","High"}),0)),N809)</f>
        <v>Low</v>
      </c>
    </row>
    <row r="810" spans="1:15" x14ac:dyDescent="0.25">
      <c r="A810">
        <v>31</v>
      </c>
      <c r="B810">
        <f t="shared" si="36"/>
        <v>31</v>
      </c>
      <c r="F810">
        <v>59.74</v>
      </c>
      <c r="G810">
        <f t="shared" si="37"/>
        <v>59.74</v>
      </c>
      <c r="J810" t="s">
        <v>111</v>
      </c>
      <c r="K810" t="str">
        <f t="shared" si="38"/>
        <v>Returned</v>
      </c>
      <c r="N810" t="s">
        <v>40</v>
      </c>
      <c r="O810" t="str">
        <f>IF(N810="",INDEX({"Low","Medium","High"},MATCH(MAX(COUNTIF($N$2:$N$1000,{"Low","Medium","High"})),COUNTIF($N$2:$N$1000,{"Low","Medium","High"}),0)),N810)</f>
        <v>Medium</v>
      </c>
    </row>
    <row r="811" spans="1:15" x14ac:dyDescent="0.25">
      <c r="A811">
        <v>7</v>
      </c>
      <c r="B811">
        <f t="shared" si="36"/>
        <v>7</v>
      </c>
      <c r="F811">
        <v>88.69</v>
      </c>
      <c r="G811">
        <f t="shared" si="37"/>
        <v>88.69</v>
      </c>
      <c r="J811" t="s">
        <v>22</v>
      </c>
      <c r="K811" t="str">
        <f t="shared" si="38"/>
        <v>Not Returned</v>
      </c>
      <c r="N811" t="s">
        <v>34</v>
      </c>
      <c r="O811" t="str">
        <f>IF(N811="",INDEX({"Low","Medium","High"},MATCH(MAX(COUNTIF($N$2:$N$1000,{"Low","Medium","High"})),COUNTIF($N$2:$N$1000,{"Low","Medium","High"}),0)),N811)</f>
        <v>High</v>
      </c>
    </row>
    <row r="812" spans="1:15" x14ac:dyDescent="0.25">
      <c r="A812">
        <v>47</v>
      </c>
      <c r="B812">
        <f t="shared" si="36"/>
        <v>47</v>
      </c>
      <c r="F812">
        <v>57.27</v>
      </c>
      <c r="G812">
        <f t="shared" si="37"/>
        <v>57.27</v>
      </c>
      <c r="J812" t="s">
        <v>22</v>
      </c>
      <c r="K812" t="str">
        <f t="shared" si="38"/>
        <v>Not Returned</v>
      </c>
      <c r="N812" t="s">
        <v>34</v>
      </c>
      <c r="O812" t="str">
        <f>IF(N812="",INDEX({"Low","Medium","High"},MATCH(MAX(COUNTIF($N$2:$N$1000,{"Low","Medium","High"})),COUNTIF($N$2:$N$1000,{"Low","Medium","High"}),0)),N812)</f>
        <v>High</v>
      </c>
    </row>
    <row r="813" spans="1:15" x14ac:dyDescent="0.25">
      <c r="A813">
        <v>22</v>
      </c>
      <c r="B813">
        <f t="shared" si="36"/>
        <v>22</v>
      </c>
      <c r="F813">
        <v>46.61</v>
      </c>
      <c r="G813">
        <f t="shared" si="37"/>
        <v>46.61</v>
      </c>
      <c r="J813" t="s">
        <v>22</v>
      </c>
      <c r="K813" t="str">
        <f t="shared" si="38"/>
        <v>Not Returned</v>
      </c>
      <c r="N813" t="s">
        <v>25</v>
      </c>
      <c r="O813" t="str">
        <f>IF(N813="",INDEX({"Low","Medium","High"},MATCH(MAX(COUNTIF($N$2:$N$1000,{"Low","Medium","High"})),COUNTIF($N$2:$N$1000,{"Low","Medium","High"}),0)),N813)</f>
        <v>Low</v>
      </c>
    </row>
    <row r="814" spans="1:15" x14ac:dyDescent="0.25">
      <c r="A814">
        <v>17</v>
      </c>
      <c r="B814">
        <f t="shared" si="36"/>
        <v>17</v>
      </c>
      <c r="F814">
        <v>42.22</v>
      </c>
      <c r="G814">
        <f t="shared" si="37"/>
        <v>42.22</v>
      </c>
      <c r="J814" t="s">
        <v>22</v>
      </c>
      <c r="K814" t="str">
        <f t="shared" si="38"/>
        <v>Not Returned</v>
      </c>
      <c r="N814" t="s">
        <v>25</v>
      </c>
      <c r="O814" t="str">
        <f>IF(N814="",INDEX({"Low","Medium","High"},MATCH(MAX(COUNTIF($N$2:$N$1000,{"Low","Medium","High"})),COUNTIF($N$2:$N$1000,{"Low","Medium","High"}),0)),N814)</f>
        <v>Low</v>
      </c>
    </row>
    <row r="815" spans="1:15" x14ac:dyDescent="0.25">
      <c r="A815">
        <v>32</v>
      </c>
      <c r="B815">
        <f t="shared" si="36"/>
        <v>32</v>
      </c>
      <c r="F815">
        <v>96.36</v>
      </c>
      <c r="G815">
        <f t="shared" si="37"/>
        <v>96.36</v>
      </c>
      <c r="J815" t="s">
        <v>22</v>
      </c>
      <c r="K815" t="str">
        <f t="shared" si="38"/>
        <v>Not Returned</v>
      </c>
      <c r="N815" t="s">
        <v>25</v>
      </c>
      <c r="O815" t="str">
        <f>IF(N815="",INDEX({"Low","Medium","High"},MATCH(MAX(COUNTIF($N$2:$N$1000,{"Low","Medium","High"})),COUNTIF($N$2:$N$1000,{"Low","Medium","High"}),0)),N815)</f>
        <v>Low</v>
      </c>
    </row>
    <row r="816" spans="1:15" x14ac:dyDescent="0.25">
      <c r="A816">
        <v>3</v>
      </c>
      <c r="B816">
        <f t="shared" si="36"/>
        <v>3</v>
      </c>
      <c r="F816">
        <v>3.82</v>
      </c>
      <c r="G816">
        <f t="shared" si="37"/>
        <v>3.82</v>
      </c>
      <c r="J816" t="s">
        <v>22</v>
      </c>
      <c r="K816" t="str">
        <f t="shared" si="38"/>
        <v>Not Returned</v>
      </c>
      <c r="N816" t="s">
        <v>40</v>
      </c>
      <c r="O816" t="str">
        <f>IF(N816="",INDEX({"Low","Medium","High"},MATCH(MAX(COUNTIF($N$2:$N$1000,{"Low","Medium","High"})),COUNTIF($N$2:$N$1000,{"Low","Medium","High"}),0)),N816)</f>
        <v>Medium</v>
      </c>
    </row>
    <row r="817" spans="1:15" x14ac:dyDescent="0.25">
      <c r="A817">
        <v>28</v>
      </c>
      <c r="B817">
        <f t="shared" si="36"/>
        <v>28</v>
      </c>
      <c r="F817">
        <v>52.44</v>
      </c>
      <c r="G817">
        <f t="shared" si="37"/>
        <v>52.44</v>
      </c>
      <c r="J817" t="s">
        <v>22</v>
      </c>
      <c r="K817" t="str">
        <f t="shared" si="38"/>
        <v>Not Returned</v>
      </c>
      <c r="N817" t="s">
        <v>25</v>
      </c>
      <c r="O817" t="str">
        <f>IF(N817="",INDEX({"Low","Medium","High"},MATCH(MAX(COUNTIF($N$2:$N$1000,{"Low","Medium","High"})),COUNTIF($N$2:$N$1000,{"Low","Medium","High"}),0)),N817)</f>
        <v>Low</v>
      </c>
    </row>
    <row r="818" spans="1:15" x14ac:dyDescent="0.25">
      <c r="A818">
        <v>43</v>
      </c>
      <c r="B818">
        <f t="shared" si="36"/>
        <v>43</v>
      </c>
      <c r="F818">
        <v>68.8</v>
      </c>
      <c r="G818">
        <f t="shared" si="37"/>
        <v>68.8</v>
      </c>
      <c r="J818" t="s">
        <v>22</v>
      </c>
      <c r="K818" t="str">
        <f t="shared" si="38"/>
        <v>Not Returned</v>
      </c>
      <c r="N818" t="s">
        <v>34</v>
      </c>
      <c r="O818" t="str">
        <f>IF(N818="",INDEX({"Low","Medium","High"},MATCH(MAX(COUNTIF($N$2:$N$1000,{"Low","Medium","High"})),COUNTIF($N$2:$N$1000,{"Low","Medium","High"}),0)),N818)</f>
        <v>High</v>
      </c>
    </row>
    <row r="819" spans="1:15" x14ac:dyDescent="0.25">
      <c r="A819">
        <v>42</v>
      </c>
      <c r="B819">
        <f t="shared" si="36"/>
        <v>42</v>
      </c>
      <c r="F819">
        <v>14.6</v>
      </c>
      <c r="G819">
        <f t="shared" si="37"/>
        <v>14.6</v>
      </c>
      <c r="J819" t="s">
        <v>22</v>
      </c>
      <c r="K819" t="str">
        <f t="shared" si="38"/>
        <v>Not Returned</v>
      </c>
      <c r="N819" t="s">
        <v>40</v>
      </c>
      <c r="O819" t="str">
        <f>IF(N819="",INDEX({"Low","Medium","High"},MATCH(MAX(COUNTIF($N$2:$N$1000,{"Low","Medium","High"})),COUNTIF($N$2:$N$1000,{"Low","Medium","High"}),0)),N819)</f>
        <v>Medium</v>
      </c>
    </row>
    <row r="820" spans="1:15" x14ac:dyDescent="0.25">
      <c r="A820">
        <v>15</v>
      </c>
      <c r="B820">
        <f t="shared" si="36"/>
        <v>15</v>
      </c>
      <c r="F820">
        <v>61.68</v>
      </c>
      <c r="G820">
        <f t="shared" si="37"/>
        <v>61.68</v>
      </c>
      <c r="J820" t="s">
        <v>22</v>
      </c>
      <c r="K820" t="str">
        <f t="shared" si="38"/>
        <v>Not Returned</v>
      </c>
      <c r="N820" t="s">
        <v>40</v>
      </c>
      <c r="O820" t="str">
        <f>IF(N820="",INDEX({"Low","Medium","High"},MATCH(MAX(COUNTIF($N$2:$N$1000,{"Low","Medium","High"})),COUNTIF($N$2:$N$1000,{"Low","Medium","High"}),0)),N820)</f>
        <v>Medium</v>
      </c>
    </row>
    <row r="821" spans="1:15" x14ac:dyDescent="0.25">
      <c r="A821">
        <v>39</v>
      </c>
      <c r="B821">
        <f t="shared" si="36"/>
        <v>39</v>
      </c>
      <c r="F821">
        <v>86.85</v>
      </c>
      <c r="G821">
        <f t="shared" si="37"/>
        <v>86.85</v>
      </c>
      <c r="J821" t="s">
        <v>22</v>
      </c>
      <c r="K821" t="str">
        <f t="shared" si="38"/>
        <v>Not Returned</v>
      </c>
      <c r="N821" t="s">
        <v>25</v>
      </c>
      <c r="O821" t="str">
        <f>IF(N821="",INDEX({"Low","Medium","High"},MATCH(MAX(COUNTIF($N$2:$N$1000,{"Low","Medium","High"})),COUNTIF($N$2:$N$1000,{"Low","Medium","High"}),0)),N821)</f>
        <v>Low</v>
      </c>
    </row>
    <row r="822" spans="1:15" x14ac:dyDescent="0.25">
      <c r="A822">
        <v>40</v>
      </c>
      <c r="B822">
        <f t="shared" si="36"/>
        <v>40</v>
      </c>
      <c r="F822">
        <v>21.34</v>
      </c>
      <c r="G822">
        <f t="shared" si="37"/>
        <v>21.34</v>
      </c>
      <c r="J822" t="s">
        <v>22</v>
      </c>
      <c r="K822" t="str">
        <f t="shared" si="38"/>
        <v>Not Returned</v>
      </c>
      <c r="N822" t="s">
        <v>40</v>
      </c>
      <c r="O822" t="str">
        <f>IF(N822="",INDEX({"Low","Medium","High"},MATCH(MAX(COUNTIF($N$2:$N$1000,{"Low","Medium","High"})),COUNTIF($N$2:$N$1000,{"Low","Medium","High"}),0)),N822)</f>
        <v>Medium</v>
      </c>
    </row>
    <row r="823" spans="1:15" x14ac:dyDescent="0.25">
      <c r="A823">
        <v>22</v>
      </c>
      <c r="B823">
        <f t="shared" si="36"/>
        <v>22</v>
      </c>
      <c r="F823">
        <v>69.34</v>
      </c>
      <c r="G823">
        <f t="shared" si="37"/>
        <v>69.34</v>
      </c>
      <c r="J823" t="s">
        <v>22</v>
      </c>
      <c r="K823" t="str">
        <f t="shared" si="38"/>
        <v>Not Returned</v>
      </c>
      <c r="N823" t="s">
        <v>25</v>
      </c>
      <c r="O823" t="str">
        <f>IF(N823="",INDEX({"Low","Medium","High"},MATCH(MAX(COUNTIF($N$2:$N$1000,{"Low","Medium","High"})),COUNTIF($N$2:$N$1000,{"Low","Medium","High"}),0)),N823)</f>
        <v>Low</v>
      </c>
    </row>
    <row r="824" spans="1:15" x14ac:dyDescent="0.25">
      <c r="A824">
        <v>19</v>
      </c>
      <c r="B824">
        <f t="shared" si="36"/>
        <v>19</v>
      </c>
      <c r="F824">
        <v>33.380000000000003</v>
      </c>
      <c r="G824">
        <f t="shared" si="37"/>
        <v>33.380000000000003</v>
      </c>
      <c r="J824" t="s">
        <v>22</v>
      </c>
      <c r="K824" t="str">
        <f t="shared" si="38"/>
        <v>Not Returned</v>
      </c>
      <c r="N824" t="s">
        <v>40</v>
      </c>
      <c r="O824" t="str">
        <f>IF(N824="",INDEX({"Low","Medium","High"},MATCH(MAX(COUNTIF($N$2:$N$1000,{"Low","Medium","High"})),COUNTIF($N$2:$N$1000,{"Low","Medium","High"}),0)),N824)</f>
        <v>Medium</v>
      </c>
    </row>
    <row r="825" spans="1:15" x14ac:dyDescent="0.25">
      <c r="A825">
        <v>45</v>
      </c>
      <c r="B825">
        <f t="shared" si="36"/>
        <v>45</v>
      </c>
      <c r="F825">
        <v>17.899999999999999</v>
      </c>
      <c r="G825">
        <f t="shared" si="37"/>
        <v>17.899999999999999</v>
      </c>
      <c r="J825" t="s">
        <v>22</v>
      </c>
      <c r="K825" t="str">
        <f t="shared" si="38"/>
        <v>Not Returned</v>
      </c>
      <c r="N825" t="s">
        <v>25</v>
      </c>
      <c r="O825" t="str">
        <f>IF(N825="",INDEX({"Low","Medium","High"},MATCH(MAX(COUNTIF($N$2:$N$1000,{"Low","Medium","High"})),COUNTIF($N$2:$N$1000,{"Low","Medium","High"}),0)),N825)</f>
        <v>Low</v>
      </c>
    </row>
    <row r="826" spans="1:15" x14ac:dyDescent="0.25">
      <c r="A826">
        <v>11</v>
      </c>
      <c r="B826">
        <f t="shared" si="36"/>
        <v>11</v>
      </c>
      <c r="F826">
        <v>56.04</v>
      </c>
      <c r="G826">
        <f t="shared" si="37"/>
        <v>56.04</v>
      </c>
      <c r="J826" t="s">
        <v>22</v>
      </c>
      <c r="K826" t="str">
        <f t="shared" si="38"/>
        <v>Not Returned</v>
      </c>
      <c r="N826" t="s">
        <v>34</v>
      </c>
      <c r="O826" t="str">
        <f>IF(N826="",INDEX({"Low","Medium","High"},MATCH(MAX(COUNTIF($N$2:$N$1000,{"Low","Medium","High"})),COUNTIF($N$2:$N$1000,{"Low","Medium","High"}),0)),N826)</f>
        <v>High</v>
      </c>
    </row>
    <row r="827" spans="1:15" x14ac:dyDescent="0.25">
      <c r="A827">
        <v>13</v>
      </c>
      <c r="B827">
        <f t="shared" si="36"/>
        <v>13</v>
      </c>
      <c r="F827">
        <v>19.329999999999998</v>
      </c>
      <c r="G827">
        <f t="shared" si="37"/>
        <v>19.329999999999998</v>
      </c>
      <c r="J827" t="s">
        <v>111</v>
      </c>
      <c r="K827" t="str">
        <f t="shared" si="38"/>
        <v>Returned</v>
      </c>
      <c r="N827" t="s">
        <v>34</v>
      </c>
      <c r="O827" t="str">
        <f>IF(N827="",INDEX({"Low","Medium","High"},MATCH(MAX(COUNTIF($N$2:$N$1000,{"Low","Medium","High"})),COUNTIF($N$2:$N$1000,{"Low","Medium","High"}),0)),N827)</f>
        <v>High</v>
      </c>
    </row>
    <row r="828" spans="1:15" x14ac:dyDescent="0.25">
      <c r="A828">
        <v>39</v>
      </c>
      <c r="B828">
        <f t="shared" si="36"/>
        <v>39</v>
      </c>
      <c r="F828">
        <v>6.98</v>
      </c>
      <c r="G828">
        <f t="shared" si="37"/>
        <v>6.98</v>
      </c>
      <c r="J828" t="s">
        <v>22</v>
      </c>
      <c r="K828" t="str">
        <f t="shared" si="38"/>
        <v>Not Returned</v>
      </c>
      <c r="N828" t="s">
        <v>40</v>
      </c>
      <c r="O828" t="str">
        <f>IF(N828="",INDEX({"Low","Medium","High"},MATCH(MAX(COUNTIF($N$2:$N$1000,{"Low","Medium","High"})),COUNTIF($N$2:$N$1000,{"Low","Medium","High"}),0)),N828)</f>
        <v>Medium</v>
      </c>
    </row>
    <row r="829" spans="1:15" x14ac:dyDescent="0.25">
      <c r="A829">
        <v>28</v>
      </c>
      <c r="B829">
        <f t="shared" si="36"/>
        <v>28</v>
      </c>
      <c r="F829">
        <v>69.650000000000006</v>
      </c>
      <c r="G829">
        <f t="shared" si="37"/>
        <v>69.650000000000006</v>
      </c>
      <c r="J829" t="s">
        <v>22</v>
      </c>
      <c r="K829" t="str">
        <f t="shared" si="38"/>
        <v>Not Returned</v>
      </c>
      <c r="N829" t="s">
        <v>34</v>
      </c>
      <c r="O829" t="str">
        <f>IF(N829="",INDEX({"Low","Medium","High"},MATCH(MAX(COUNTIF($N$2:$N$1000,{"Low","Medium","High"})),COUNTIF($N$2:$N$1000,{"Low","Medium","High"}),0)),N829)</f>
        <v>High</v>
      </c>
    </row>
    <row r="830" spans="1:15" x14ac:dyDescent="0.25">
      <c r="A830">
        <v>2</v>
      </c>
      <c r="B830">
        <f t="shared" si="36"/>
        <v>2</v>
      </c>
      <c r="F830">
        <v>59.94</v>
      </c>
      <c r="G830">
        <f t="shared" si="37"/>
        <v>59.94</v>
      </c>
      <c r="J830" t="s">
        <v>22</v>
      </c>
      <c r="K830" t="str">
        <f t="shared" si="38"/>
        <v>Not Returned</v>
      </c>
      <c r="N830" t="s">
        <v>40</v>
      </c>
      <c r="O830" t="str">
        <f>IF(N830="",INDEX({"Low","Medium","High"},MATCH(MAX(COUNTIF($N$2:$N$1000,{"Low","Medium","High"})),COUNTIF($N$2:$N$1000,{"Low","Medium","High"}),0)),N830)</f>
        <v>Medium</v>
      </c>
    </row>
    <row r="831" spans="1:15" x14ac:dyDescent="0.25">
      <c r="A831">
        <v>45</v>
      </c>
      <c r="B831">
        <f t="shared" si="36"/>
        <v>45</v>
      </c>
      <c r="F831">
        <v>13.22</v>
      </c>
      <c r="G831">
        <f t="shared" si="37"/>
        <v>13.22</v>
      </c>
      <c r="J831" t="s">
        <v>22</v>
      </c>
      <c r="K831" t="str">
        <f t="shared" si="38"/>
        <v>Not Returned</v>
      </c>
      <c r="N831" t="s">
        <v>34</v>
      </c>
      <c r="O831" t="str">
        <f>IF(N831="",INDEX({"Low","Medium","High"},MATCH(MAX(COUNTIF($N$2:$N$1000,{"Low","Medium","High"})),COUNTIF($N$2:$N$1000,{"Low","Medium","High"}),0)),N831)</f>
        <v>High</v>
      </c>
    </row>
    <row r="832" spans="1:15" x14ac:dyDescent="0.25">
      <c r="A832">
        <v>35</v>
      </c>
      <c r="B832">
        <f t="shared" si="36"/>
        <v>35</v>
      </c>
      <c r="F832">
        <v>53.22</v>
      </c>
      <c r="G832">
        <f t="shared" si="37"/>
        <v>53.22</v>
      </c>
      <c r="J832" t="s">
        <v>22</v>
      </c>
      <c r="K832" t="str">
        <f t="shared" si="38"/>
        <v>Not Returned</v>
      </c>
      <c r="N832" t="s">
        <v>25</v>
      </c>
      <c r="O832" t="str">
        <f>IF(N832="",INDEX({"Low","Medium","High"},MATCH(MAX(COUNTIF($N$2:$N$1000,{"Low","Medium","High"})),COUNTIF($N$2:$N$1000,{"Low","Medium","High"}),0)),N832)</f>
        <v>Low</v>
      </c>
    </row>
    <row r="833" spans="1:15" x14ac:dyDescent="0.25">
      <c r="A833">
        <v>30</v>
      </c>
      <c r="B833">
        <f t="shared" si="36"/>
        <v>30</v>
      </c>
      <c r="F833">
        <v>50.14</v>
      </c>
      <c r="G833">
        <f t="shared" si="37"/>
        <v>50.14</v>
      </c>
      <c r="J833" t="s">
        <v>22</v>
      </c>
      <c r="K833" t="str">
        <f t="shared" si="38"/>
        <v>Not Returned</v>
      </c>
      <c r="N833" t="s">
        <v>25</v>
      </c>
      <c r="O833" t="str">
        <f>IF(N833="",INDEX({"Low","Medium","High"},MATCH(MAX(COUNTIF($N$2:$N$1000,{"Low","Medium","High"})),COUNTIF($N$2:$N$1000,{"Low","Medium","High"}),0)),N833)</f>
        <v>Low</v>
      </c>
    </row>
    <row r="834" spans="1:15" x14ac:dyDescent="0.25">
      <c r="A834">
        <v>28</v>
      </c>
      <c r="B834">
        <f t="shared" ref="B834:B897" si="39">IF(A834="",ROUNDUP(AVERAGE($A$2:$A$1000),0),A834)</f>
        <v>28</v>
      </c>
      <c r="F834">
        <v>82.34</v>
      </c>
      <c r="G834">
        <f t="shared" si="37"/>
        <v>82.34</v>
      </c>
      <c r="J834" t="s">
        <v>22</v>
      </c>
      <c r="K834" t="str">
        <f t="shared" si="38"/>
        <v>Not Returned</v>
      </c>
      <c r="N834" t="s">
        <v>40</v>
      </c>
      <c r="O834" t="str">
        <f>IF(N834="",INDEX({"Low","Medium","High"},MATCH(MAX(COUNTIF($N$2:$N$1000,{"Low","Medium","High"})),COUNTIF($N$2:$N$1000,{"Low","Medium","High"}),0)),N834)</f>
        <v>Medium</v>
      </c>
    </row>
    <row r="835" spans="1:15" x14ac:dyDescent="0.25">
      <c r="A835">
        <v>39</v>
      </c>
      <c r="B835">
        <f t="shared" si="39"/>
        <v>39</v>
      </c>
      <c r="F835">
        <v>95.75</v>
      </c>
      <c r="G835">
        <f t="shared" ref="G835:G898" si="40">IF(F835="",ROUNDUP(AVERAGE($F$2:$F$1000),0),F835)</f>
        <v>95.75</v>
      </c>
      <c r="J835" t="s">
        <v>22</v>
      </c>
      <c r="K835" t="str">
        <f t="shared" ref="K835:K898" si="41">IF(J835="","Unknown",J835)</f>
        <v>Not Returned</v>
      </c>
      <c r="N835" t="s">
        <v>40</v>
      </c>
      <c r="O835" t="str">
        <f>IF(N835="",INDEX({"Low","Medium","High"},MATCH(MAX(COUNTIF($N$2:$N$1000,{"Low","Medium","High"})),COUNTIF($N$2:$N$1000,{"Low","Medium","High"}),0)),N835)</f>
        <v>Medium</v>
      </c>
    </row>
    <row r="836" spans="1:15" x14ac:dyDescent="0.25">
      <c r="A836">
        <v>33</v>
      </c>
      <c r="B836">
        <f t="shared" si="39"/>
        <v>33</v>
      </c>
      <c r="F836">
        <v>24.85</v>
      </c>
      <c r="G836">
        <f t="shared" si="40"/>
        <v>24.85</v>
      </c>
      <c r="J836" t="s">
        <v>111</v>
      </c>
      <c r="K836" t="str">
        <f t="shared" si="41"/>
        <v>Returned</v>
      </c>
      <c r="N836" t="s">
        <v>25</v>
      </c>
      <c r="O836" t="str">
        <f>IF(N836="",INDEX({"Low","Medium","High"},MATCH(MAX(COUNTIF($N$2:$N$1000,{"Low","Medium","High"})),COUNTIF($N$2:$N$1000,{"Low","Medium","High"}),0)),N836)</f>
        <v>Low</v>
      </c>
    </row>
    <row r="837" spans="1:15" x14ac:dyDescent="0.25">
      <c r="A837">
        <v>31</v>
      </c>
      <c r="B837">
        <f t="shared" si="39"/>
        <v>31</v>
      </c>
      <c r="F837">
        <v>43.94</v>
      </c>
      <c r="G837">
        <f t="shared" si="40"/>
        <v>43.94</v>
      </c>
      <c r="J837" t="s">
        <v>22</v>
      </c>
      <c r="K837" t="str">
        <f t="shared" si="41"/>
        <v>Not Returned</v>
      </c>
      <c r="N837" t="s">
        <v>25</v>
      </c>
      <c r="O837" t="str">
        <f>IF(N837="",INDEX({"Low","Medium","High"},MATCH(MAX(COUNTIF($N$2:$N$1000,{"Low","Medium","High"})),COUNTIF($N$2:$N$1000,{"Low","Medium","High"}),0)),N837)</f>
        <v>Low</v>
      </c>
    </row>
    <row r="838" spans="1:15" x14ac:dyDescent="0.25">
      <c r="A838">
        <v>31</v>
      </c>
      <c r="B838">
        <f t="shared" si="39"/>
        <v>31</v>
      </c>
      <c r="F838">
        <v>96.68</v>
      </c>
      <c r="G838">
        <f t="shared" si="40"/>
        <v>96.68</v>
      </c>
      <c r="J838" t="s">
        <v>22</v>
      </c>
      <c r="K838" t="str">
        <f t="shared" si="41"/>
        <v>Not Returned</v>
      </c>
      <c r="N838" t="s">
        <v>25</v>
      </c>
      <c r="O838" t="str">
        <f>IF(N838="",INDEX({"Low","Medium","High"},MATCH(MAX(COUNTIF($N$2:$N$1000,{"Low","Medium","High"})),COUNTIF($N$2:$N$1000,{"Low","Medium","High"}),0)),N838)</f>
        <v>Low</v>
      </c>
    </row>
    <row r="839" spans="1:15" x14ac:dyDescent="0.25">
      <c r="A839">
        <v>10</v>
      </c>
      <c r="B839">
        <f t="shared" si="39"/>
        <v>10</v>
      </c>
      <c r="F839">
        <v>36.22</v>
      </c>
      <c r="G839">
        <f t="shared" si="40"/>
        <v>36.22</v>
      </c>
      <c r="J839" t="s">
        <v>22</v>
      </c>
      <c r="K839" t="str">
        <f t="shared" si="41"/>
        <v>Not Returned</v>
      </c>
      <c r="N839" t="s">
        <v>40</v>
      </c>
      <c r="O839" t="str">
        <f>IF(N839="",INDEX({"Low","Medium","High"},MATCH(MAX(COUNTIF($N$2:$N$1000,{"Low","Medium","High"})),COUNTIF($N$2:$N$1000,{"Low","Medium","High"}),0)),N839)</f>
        <v>Medium</v>
      </c>
    </row>
    <row r="840" spans="1:15" x14ac:dyDescent="0.25">
      <c r="A840">
        <v>44</v>
      </c>
      <c r="B840">
        <f t="shared" si="39"/>
        <v>44</v>
      </c>
      <c r="F840">
        <v>7.52</v>
      </c>
      <c r="G840">
        <f t="shared" si="40"/>
        <v>7.52</v>
      </c>
      <c r="J840" t="s">
        <v>22</v>
      </c>
      <c r="K840" t="str">
        <f t="shared" si="41"/>
        <v>Not Returned</v>
      </c>
      <c r="N840" t="s">
        <v>40</v>
      </c>
      <c r="O840" t="str">
        <f>IF(N840="",INDEX({"Low","Medium","High"},MATCH(MAX(COUNTIF($N$2:$N$1000,{"Low","Medium","High"})),COUNTIF($N$2:$N$1000,{"Low","Medium","High"}),0)),N840)</f>
        <v>Medium</v>
      </c>
    </row>
    <row r="841" spans="1:15" x14ac:dyDescent="0.25">
      <c r="A841">
        <v>18</v>
      </c>
      <c r="B841">
        <f t="shared" si="39"/>
        <v>18</v>
      </c>
      <c r="F841">
        <v>57.7</v>
      </c>
      <c r="G841">
        <f t="shared" si="40"/>
        <v>57.7</v>
      </c>
      <c r="J841" t="s">
        <v>22</v>
      </c>
      <c r="K841" t="str">
        <f t="shared" si="41"/>
        <v>Not Returned</v>
      </c>
      <c r="N841" t="s">
        <v>25</v>
      </c>
      <c r="O841" t="str">
        <f>IF(N841="",INDEX({"Low","Medium","High"},MATCH(MAX(COUNTIF($N$2:$N$1000,{"Low","Medium","High"})),COUNTIF($N$2:$N$1000,{"Low","Medium","High"}),0)),N841)</f>
        <v>Low</v>
      </c>
    </row>
    <row r="842" spans="1:15" x14ac:dyDescent="0.25">
      <c r="A842">
        <v>31</v>
      </c>
      <c r="B842">
        <f t="shared" si="39"/>
        <v>31</v>
      </c>
      <c r="F842">
        <v>26.63</v>
      </c>
      <c r="G842">
        <f t="shared" si="40"/>
        <v>26.63</v>
      </c>
      <c r="J842" t="s">
        <v>22</v>
      </c>
      <c r="K842" t="str">
        <f t="shared" si="41"/>
        <v>Not Returned</v>
      </c>
      <c r="N842" t="s">
        <v>40</v>
      </c>
      <c r="O842" t="str">
        <f>IF(N842="",INDEX({"Low","Medium","High"},MATCH(MAX(COUNTIF($N$2:$N$1000,{"Low","Medium","High"})),COUNTIF($N$2:$N$1000,{"Low","Medium","High"}),0)),N842)</f>
        <v>Medium</v>
      </c>
    </row>
    <row r="843" spans="1:15" x14ac:dyDescent="0.25">
      <c r="A843">
        <v>1</v>
      </c>
      <c r="B843">
        <f t="shared" si="39"/>
        <v>1</v>
      </c>
      <c r="F843">
        <v>49.48</v>
      </c>
      <c r="G843">
        <f t="shared" si="40"/>
        <v>49.48</v>
      </c>
      <c r="J843" t="s">
        <v>22</v>
      </c>
      <c r="K843" t="str">
        <f t="shared" si="41"/>
        <v>Not Returned</v>
      </c>
      <c r="N843" t="s">
        <v>40</v>
      </c>
      <c r="O843" t="str">
        <f>IF(N843="",INDEX({"Low","Medium","High"},MATCH(MAX(COUNTIF($N$2:$N$1000,{"Low","Medium","High"})),COUNTIF($N$2:$N$1000,{"Low","Medium","High"}),0)),N843)</f>
        <v>Medium</v>
      </c>
    </row>
    <row r="844" spans="1:15" x14ac:dyDescent="0.25">
      <c r="A844">
        <v>26</v>
      </c>
      <c r="B844">
        <f t="shared" si="39"/>
        <v>26</v>
      </c>
      <c r="F844">
        <v>11.97</v>
      </c>
      <c r="G844">
        <f t="shared" si="40"/>
        <v>11.97</v>
      </c>
      <c r="J844" t="s">
        <v>22</v>
      </c>
      <c r="K844" t="str">
        <f t="shared" si="41"/>
        <v>Not Returned</v>
      </c>
      <c r="N844" t="s">
        <v>25</v>
      </c>
      <c r="O844" t="str">
        <f>IF(N844="",INDEX({"Low","Medium","High"},MATCH(MAX(COUNTIF($N$2:$N$1000,{"Low","Medium","High"})),COUNTIF($N$2:$N$1000,{"Low","Medium","High"}),0)),N844)</f>
        <v>Low</v>
      </c>
    </row>
    <row r="845" spans="1:15" x14ac:dyDescent="0.25">
      <c r="A845">
        <v>15</v>
      </c>
      <c r="B845">
        <f t="shared" si="39"/>
        <v>15</v>
      </c>
      <c r="F845">
        <v>17.89</v>
      </c>
      <c r="G845">
        <f t="shared" si="40"/>
        <v>17.89</v>
      </c>
      <c r="J845" t="s">
        <v>22</v>
      </c>
      <c r="K845" t="str">
        <f t="shared" si="41"/>
        <v>Not Returned</v>
      </c>
      <c r="N845" t="s">
        <v>34</v>
      </c>
      <c r="O845" t="str">
        <f>IF(N845="",INDEX({"Low","Medium","High"},MATCH(MAX(COUNTIF($N$2:$N$1000,{"Low","Medium","High"})),COUNTIF($N$2:$N$1000,{"Low","Medium","High"}),0)),N845)</f>
        <v>High</v>
      </c>
    </row>
    <row r="846" spans="1:15" x14ac:dyDescent="0.25">
      <c r="A846">
        <v>7</v>
      </c>
      <c r="B846">
        <f t="shared" si="39"/>
        <v>7</v>
      </c>
      <c r="F846">
        <v>91.76</v>
      </c>
      <c r="G846">
        <f t="shared" si="40"/>
        <v>91.76</v>
      </c>
      <c r="J846" t="s">
        <v>22</v>
      </c>
      <c r="K846" t="str">
        <f t="shared" si="41"/>
        <v>Not Returned</v>
      </c>
      <c r="N846" t="s">
        <v>25</v>
      </c>
      <c r="O846" t="str">
        <f>IF(N846="",INDEX({"Low","Medium","High"},MATCH(MAX(COUNTIF($N$2:$N$1000,{"Low","Medium","High"})),COUNTIF($N$2:$N$1000,{"Low","Medium","High"}),0)),N846)</f>
        <v>Low</v>
      </c>
    </row>
    <row r="847" spans="1:15" x14ac:dyDescent="0.25">
      <c r="A847">
        <v>47</v>
      </c>
      <c r="B847">
        <f t="shared" si="39"/>
        <v>47</v>
      </c>
      <c r="F847">
        <v>5.36</v>
      </c>
      <c r="G847">
        <f t="shared" si="40"/>
        <v>5.36</v>
      </c>
      <c r="J847" t="s">
        <v>22</v>
      </c>
      <c r="K847" t="str">
        <f t="shared" si="41"/>
        <v>Not Returned</v>
      </c>
      <c r="N847" t="s">
        <v>40</v>
      </c>
      <c r="O847" t="str">
        <f>IF(N847="",INDEX({"Low","Medium","High"},MATCH(MAX(COUNTIF($N$2:$N$1000,{"Low","Medium","High"})),COUNTIF($N$2:$N$1000,{"Low","Medium","High"}),0)),N847)</f>
        <v>Medium</v>
      </c>
    </row>
    <row r="848" spans="1:15" x14ac:dyDescent="0.25">
      <c r="A848">
        <v>20</v>
      </c>
      <c r="B848">
        <f t="shared" si="39"/>
        <v>20</v>
      </c>
      <c r="F848">
        <v>35.83</v>
      </c>
      <c r="G848">
        <f t="shared" si="40"/>
        <v>35.83</v>
      </c>
      <c r="J848" t="s">
        <v>22</v>
      </c>
      <c r="K848" t="str">
        <f t="shared" si="41"/>
        <v>Not Returned</v>
      </c>
      <c r="N848" t="s">
        <v>34</v>
      </c>
      <c r="O848" t="str">
        <f>IF(N848="",INDEX({"Low","Medium","High"},MATCH(MAX(COUNTIF($N$2:$N$1000,{"Low","Medium","High"})),COUNTIF($N$2:$N$1000,{"Low","Medium","High"}),0)),N848)</f>
        <v>High</v>
      </c>
    </row>
    <row r="849" spans="1:15" x14ac:dyDescent="0.25">
      <c r="A849">
        <v>49</v>
      </c>
      <c r="B849">
        <f t="shared" si="39"/>
        <v>49</v>
      </c>
      <c r="F849">
        <v>22.77</v>
      </c>
      <c r="G849">
        <f t="shared" si="40"/>
        <v>22.77</v>
      </c>
      <c r="J849" t="s">
        <v>22</v>
      </c>
      <c r="K849" t="str">
        <f t="shared" si="41"/>
        <v>Not Returned</v>
      </c>
      <c r="N849" t="s">
        <v>25</v>
      </c>
      <c r="O849" t="str">
        <f>IF(N849="",INDEX({"Low","Medium","High"},MATCH(MAX(COUNTIF($N$2:$N$1000,{"Low","Medium","High"})),COUNTIF($N$2:$N$1000,{"Low","Medium","High"}),0)),N849)</f>
        <v>Low</v>
      </c>
    </row>
    <row r="850" spans="1:15" x14ac:dyDescent="0.25">
      <c r="A850">
        <v>21</v>
      </c>
      <c r="B850">
        <f t="shared" si="39"/>
        <v>21</v>
      </c>
      <c r="F850">
        <v>87.56</v>
      </c>
      <c r="G850">
        <f t="shared" si="40"/>
        <v>87.56</v>
      </c>
      <c r="J850" t="s">
        <v>22</v>
      </c>
      <c r="K850" t="str">
        <f t="shared" si="41"/>
        <v>Not Returned</v>
      </c>
      <c r="N850" t="s">
        <v>34</v>
      </c>
      <c r="O850" t="str">
        <f>IF(N850="",INDEX({"Low","Medium","High"},MATCH(MAX(COUNTIF($N$2:$N$1000,{"Low","Medium","High"})),COUNTIF($N$2:$N$1000,{"Low","Medium","High"}),0)),N850)</f>
        <v>High</v>
      </c>
    </row>
    <row r="851" spans="1:15" x14ac:dyDescent="0.25">
      <c r="A851">
        <v>40</v>
      </c>
      <c r="B851">
        <f t="shared" si="39"/>
        <v>40</v>
      </c>
      <c r="F851">
        <v>82.55</v>
      </c>
      <c r="G851">
        <f t="shared" si="40"/>
        <v>82.55</v>
      </c>
      <c r="J851" t="s">
        <v>22</v>
      </c>
      <c r="K851" t="str">
        <f t="shared" si="41"/>
        <v>Not Returned</v>
      </c>
      <c r="N851" t="s">
        <v>40</v>
      </c>
      <c r="O851" t="str">
        <f>IF(N851="",INDEX({"Low","Medium","High"},MATCH(MAX(COUNTIF($N$2:$N$1000,{"Low","Medium","High"})),COUNTIF($N$2:$N$1000,{"Low","Medium","High"}),0)),N851)</f>
        <v>Medium</v>
      </c>
    </row>
    <row r="852" spans="1:15" x14ac:dyDescent="0.25">
      <c r="A852">
        <v>12</v>
      </c>
      <c r="B852">
        <f t="shared" si="39"/>
        <v>12</v>
      </c>
      <c r="F852">
        <v>94.92</v>
      </c>
      <c r="G852">
        <f t="shared" si="40"/>
        <v>94.92</v>
      </c>
      <c r="J852" t="s">
        <v>22</v>
      </c>
      <c r="K852" t="str">
        <f t="shared" si="41"/>
        <v>Not Returned</v>
      </c>
      <c r="N852" t="s">
        <v>40</v>
      </c>
      <c r="O852" t="str">
        <f>IF(N852="",INDEX({"Low","Medium","High"},MATCH(MAX(COUNTIF($N$2:$N$1000,{"Low","Medium","High"})),COUNTIF($N$2:$N$1000,{"Low","Medium","High"}),0)),N852)</f>
        <v>Medium</v>
      </c>
    </row>
    <row r="853" spans="1:15" x14ac:dyDescent="0.25">
      <c r="A853">
        <v>22</v>
      </c>
      <c r="B853">
        <f t="shared" si="39"/>
        <v>22</v>
      </c>
      <c r="F853">
        <v>4</v>
      </c>
      <c r="G853">
        <f t="shared" si="40"/>
        <v>4</v>
      </c>
      <c r="J853" t="s">
        <v>22</v>
      </c>
      <c r="K853" t="str">
        <f t="shared" si="41"/>
        <v>Not Returned</v>
      </c>
      <c r="N853" t="s">
        <v>25</v>
      </c>
      <c r="O853" t="str">
        <f>IF(N853="",INDEX({"Low","Medium","High"},MATCH(MAX(COUNTIF($N$2:$N$1000,{"Low","Medium","High"})),COUNTIF($N$2:$N$1000,{"Low","Medium","High"}),0)),N853)</f>
        <v>Low</v>
      </c>
    </row>
    <row r="854" spans="1:15" x14ac:dyDescent="0.25">
      <c r="A854">
        <v>9</v>
      </c>
      <c r="B854">
        <f t="shared" si="39"/>
        <v>9</v>
      </c>
      <c r="F854">
        <v>89.87</v>
      </c>
      <c r="G854">
        <f t="shared" si="40"/>
        <v>89.87</v>
      </c>
      <c r="J854" t="s">
        <v>22</v>
      </c>
      <c r="K854" t="str">
        <f t="shared" si="41"/>
        <v>Not Returned</v>
      </c>
      <c r="N854" t="s">
        <v>25</v>
      </c>
      <c r="O854" t="str">
        <f>IF(N854="",INDEX({"Low","Medium","High"},MATCH(MAX(COUNTIF($N$2:$N$1000,{"Low","Medium","High"})),COUNTIF($N$2:$N$1000,{"Low","Medium","High"}),0)),N854)</f>
        <v>Low</v>
      </c>
    </row>
    <row r="855" spans="1:15" x14ac:dyDescent="0.25">
      <c r="A855">
        <v>13</v>
      </c>
      <c r="B855">
        <f t="shared" si="39"/>
        <v>13</v>
      </c>
      <c r="F855">
        <v>28.18</v>
      </c>
      <c r="G855">
        <f t="shared" si="40"/>
        <v>28.18</v>
      </c>
      <c r="J855" t="s">
        <v>22</v>
      </c>
      <c r="K855" t="str">
        <f t="shared" si="41"/>
        <v>Not Returned</v>
      </c>
      <c r="N855" t="s">
        <v>40</v>
      </c>
      <c r="O855" t="str">
        <f>IF(N855="",INDEX({"Low","Medium","High"},MATCH(MAX(COUNTIF($N$2:$N$1000,{"Low","Medium","High"})),COUNTIF($N$2:$N$1000,{"Low","Medium","High"}),0)),N855)</f>
        <v>Medium</v>
      </c>
    </row>
    <row r="856" spans="1:15" x14ac:dyDescent="0.25">
      <c r="A856">
        <v>35</v>
      </c>
      <c r="B856">
        <f t="shared" si="39"/>
        <v>35</v>
      </c>
      <c r="F856">
        <v>84.49</v>
      </c>
      <c r="G856">
        <f t="shared" si="40"/>
        <v>84.49</v>
      </c>
      <c r="J856" t="s">
        <v>22</v>
      </c>
      <c r="K856" t="str">
        <f t="shared" si="41"/>
        <v>Not Returned</v>
      </c>
      <c r="N856" t="s">
        <v>25</v>
      </c>
      <c r="O856" t="str">
        <f>IF(N856="",INDEX({"Low","Medium","High"},MATCH(MAX(COUNTIF($N$2:$N$1000,{"Low","Medium","High"})),COUNTIF($N$2:$N$1000,{"Low","Medium","High"}),0)),N856)</f>
        <v>Low</v>
      </c>
    </row>
    <row r="857" spans="1:15" x14ac:dyDescent="0.25">
      <c r="A857">
        <v>11</v>
      </c>
      <c r="B857">
        <f t="shared" si="39"/>
        <v>11</v>
      </c>
      <c r="F857">
        <v>76.3</v>
      </c>
      <c r="G857">
        <f t="shared" si="40"/>
        <v>76.3</v>
      </c>
      <c r="J857" t="s">
        <v>22</v>
      </c>
      <c r="K857" t="str">
        <f t="shared" si="41"/>
        <v>Not Returned</v>
      </c>
      <c r="N857" t="s">
        <v>25</v>
      </c>
      <c r="O857" t="str">
        <f>IF(N857="",INDEX({"Low","Medium","High"},MATCH(MAX(COUNTIF($N$2:$N$1000,{"Low","Medium","High"})),COUNTIF($N$2:$N$1000,{"Low","Medium","High"}),0)),N857)</f>
        <v>Low</v>
      </c>
    </row>
    <row r="858" spans="1:15" x14ac:dyDescent="0.25">
      <c r="A858">
        <v>14</v>
      </c>
      <c r="B858">
        <f t="shared" si="39"/>
        <v>14</v>
      </c>
      <c r="F858">
        <v>42.14</v>
      </c>
      <c r="G858">
        <f t="shared" si="40"/>
        <v>42.14</v>
      </c>
      <c r="J858" t="s">
        <v>22</v>
      </c>
      <c r="K858" t="str">
        <f t="shared" si="41"/>
        <v>Not Returned</v>
      </c>
      <c r="N858" t="s">
        <v>34</v>
      </c>
      <c r="O858" t="str">
        <f>IF(N858="",INDEX({"Low","Medium","High"},MATCH(MAX(COUNTIF($N$2:$N$1000,{"Low","Medium","High"})),COUNTIF($N$2:$N$1000,{"Low","Medium","High"}),0)),N858)</f>
        <v>High</v>
      </c>
    </row>
    <row r="859" spans="1:15" x14ac:dyDescent="0.25">
      <c r="A859">
        <v>31</v>
      </c>
      <c r="B859">
        <f t="shared" si="39"/>
        <v>31</v>
      </c>
      <c r="F859">
        <v>48.95</v>
      </c>
      <c r="G859">
        <f t="shared" si="40"/>
        <v>48.95</v>
      </c>
      <c r="J859" t="s">
        <v>22</v>
      </c>
      <c r="K859" t="str">
        <f t="shared" si="41"/>
        <v>Not Returned</v>
      </c>
      <c r="N859" t="s">
        <v>40</v>
      </c>
      <c r="O859" t="str">
        <f>IF(N859="",INDEX({"Low","Medium","High"},MATCH(MAX(COUNTIF($N$2:$N$1000,{"Low","Medium","High"})),COUNTIF($N$2:$N$1000,{"Low","Medium","High"}),0)),N859)</f>
        <v>Medium</v>
      </c>
    </row>
    <row r="860" spans="1:15" x14ac:dyDescent="0.25">
      <c r="A860">
        <v>3</v>
      </c>
      <c r="B860">
        <f t="shared" si="39"/>
        <v>3</v>
      </c>
      <c r="F860">
        <v>79.81</v>
      </c>
      <c r="G860">
        <f t="shared" si="40"/>
        <v>79.81</v>
      </c>
      <c r="J860" t="s">
        <v>22</v>
      </c>
      <c r="K860" t="str">
        <f t="shared" si="41"/>
        <v>Not Returned</v>
      </c>
      <c r="N860" t="s">
        <v>25</v>
      </c>
      <c r="O860" t="str">
        <f>IF(N860="",INDEX({"Low","Medium","High"},MATCH(MAX(COUNTIF($N$2:$N$1000,{"Low","Medium","High"})),COUNTIF($N$2:$N$1000,{"Low","Medium","High"}),0)),N860)</f>
        <v>Low</v>
      </c>
    </row>
    <row r="861" spans="1:15" x14ac:dyDescent="0.25">
      <c r="A861">
        <v>43</v>
      </c>
      <c r="B861">
        <f t="shared" si="39"/>
        <v>43</v>
      </c>
      <c r="F861">
        <v>43.43</v>
      </c>
      <c r="G861">
        <f t="shared" si="40"/>
        <v>43.43</v>
      </c>
      <c r="J861" t="s">
        <v>22</v>
      </c>
      <c r="K861" t="str">
        <f t="shared" si="41"/>
        <v>Not Returned</v>
      </c>
      <c r="N861" t="s">
        <v>25</v>
      </c>
      <c r="O861" t="str">
        <f>IF(N861="",INDEX({"Low","Medium","High"},MATCH(MAX(COUNTIF($N$2:$N$1000,{"Low","Medium","High"})),COUNTIF($N$2:$N$1000,{"Low","Medium","High"}),0)),N861)</f>
        <v>Low</v>
      </c>
    </row>
    <row r="862" spans="1:15" x14ac:dyDescent="0.25">
      <c r="A862">
        <v>36</v>
      </c>
      <c r="B862">
        <f t="shared" si="39"/>
        <v>36</v>
      </c>
      <c r="F862">
        <v>51.28</v>
      </c>
      <c r="G862">
        <f t="shared" si="40"/>
        <v>51.28</v>
      </c>
      <c r="J862" t="s">
        <v>22</v>
      </c>
      <c r="K862" t="str">
        <f t="shared" si="41"/>
        <v>Not Returned</v>
      </c>
      <c r="N862" t="s">
        <v>34</v>
      </c>
      <c r="O862" t="str">
        <f>IF(N862="",INDEX({"Low","Medium","High"},MATCH(MAX(COUNTIF($N$2:$N$1000,{"Low","Medium","High"})),COUNTIF($N$2:$N$1000,{"Low","Medium","High"}),0)),N862)</f>
        <v>High</v>
      </c>
    </row>
    <row r="863" spans="1:15" x14ac:dyDescent="0.25">
      <c r="A863">
        <v>23</v>
      </c>
      <c r="B863">
        <f t="shared" si="39"/>
        <v>23</v>
      </c>
      <c r="F863">
        <v>75.760000000000005</v>
      </c>
      <c r="G863">
        <f t="shared" si="40"/>
        <v>75.760000000000005</v>
      </c>
      <c r="J863" t="s">
        <v>22</v>
      </c>
      <c r="K863" t="str">
        <f t="shared" si="41"/>
        <v>Not Returned</v>
      </c>
      <c r="N863" t="s">
        <v>40</v>
      </c>
      <c r="O863" t="str">
        <f>IF(N863="",INDEX({"Low","Medium","High"},MATCH(MAX(COUNTIF($N$2:$N$1000,{"Low","Medium","High"})),COUNTIF($N$2:$N$1000,{"Low","Medium","High"}),0)),N863)</f>
        <v>Medium</v>
      </c>
    </row>
    <row r="864" spans="1:15" x14ac:dyDescent="0.25">
      <c r="A864">
        <v>22</v>
      </c>
      <c r="B864">
        <f t="shared" si="39"/>
        <v>22</v>
      </c>
      <c r="F864">
        <v>53.07</v>
      </c>
      <c r="G864">
        <f t="shared" si="40"/>
        <v>53.07</v>
      </c>
      <c r="J864" t="s">
        <v>22</v>
      </c>
      <c r="K864" t="str">
        <f t="shared" si="41"/>
        <v>Not Returned</v>
      </c>
      <c r="N864" t="s">
        <v>34</v>
      </c>
      <c r="O864" t="str">
        <f>IF(N864="",INDEX({"Low","Medium","High"},MATCH(MAX(COUNTIF($N$2:$N$1000,{"Low","Medium","High"})),COUNTIF($N$2:$N$1000,{"Low","Medium","High"}),0)),N864)</f>
        <v>High</v>
      </c>
    </row>
    <row r="865" spans="1:15" x14ac:dyDescent="0.25">
      <c r="A865">
        <v>15</v>
      </c>
      <c r="B865">
        <f t="shared" si="39"/>
        <v>15</v>
      </c>
      <c r="F865">
        <v>36.21</v>
      </c>
      <c r="G865">
        <f t="shared" si="40"/>
        <v>36.21</v>
      </c>
      <c r="J865" t="s">
        <v>22</v>
      </c>
      <c r="K865" t="str">
        <f t="shared" si="41"/>
        <v>Not Returned</v>
      </c>
      <c r="N865" t="s">
        <v>25</v>
      </c>
      <c r="O865" t="str">
        <f>IF(N865="",INDEX({"Low","Medium","High"},MATCH(MAX(COUNTIF($N$2:$N$1000,{"Low","Medium","High"})),COUNTIF($N$2:$N$1000,{"Low","Medium","High"}),0)),N865)</f>
        <v>Low</v>
      </c>
    </row>
    <row r="866" spans="1:15" x14ac:dyDescent="0.25">
      <c r="A866">
        <v>46</v>
      </c>
      <c r="B866">
        <f t="shared" si="39"/>
        <v>46</v>
      </c>
      <c r="F866">
        <v>66.62</v>
      </c>
      <c r="G866">
        <f t="shared" si="40"/>
        <v>66.62</v>
      </c>
      <c r="J866" t="s">
        <v>22</v>
      </c>
      <c r="K866" t="str">
        <f t="shared" si="41"/>
        <v>Not Returned</v>
      </c>
      <c r="N866" t="s">
        <v>40</v>
      </c>
      <c r="O866" t="str">
        <f>IF(N866="",INDEX({"Low","Medium","High"},MATCH(MAX(COUNTIF($N$2:$N$1000,{"Low","Medium","High"})),COUNTIF($N$2:$N$1000,{"Low","Medium","High"}),0)),N866)</f>
        <v>Medium</v>
      </c>
    </row>
    <row r="867" spans="1:15" x14ac:dyDescent="0.25">
      <c r="A867">
        <v>31</v>
      </c>
      <c r="B867">
        <f t="shared" si="39"/>
        <v>31</v>
      </c>
      <c r="F867">
        <v>64</v>
      </c>
      <c r="G867">
        <f t="shared" si="40"/>
        <v>64</v>
      </c>
      <c r="J867" t="s">
        <v>22</v>
      </c>
      <c r="K867" t="str">
        <f t="shared" si="41"/>
        <v>Not Returned</v>
      </c>
      <c r="N867" t="s">
        <v>34</v>
      </c>
      <c r="O867" t="str">
        <f>IF(N867="",INDEX({"Low","Medium","High"},MATCH(MAX(COUNTIF($N$2:$N$1000,{"Low","Medium","High"})),COUNTIF($N$2:$N$1000,{"Low","Medium","High"}),0)),N867)</f>
        <v>High</v>
      </c>
    </row>
    <row r="868" spans="1:15" x14ac:dyDescent="0.25">
      <c r="A868">
        <v>45</v>
      </c>
      <c r="B868">
        <f t="shared" si="39"/>
        <v>45</v>
      </c>
      <c r="F868">
        <v>56</v>
      </c>
      <c r="G868">
        <f t="shared" si="40"/>
        <v>56</v>
      </c>
      <c r="J868" t="s">
        <v>22</v>
      </c>
      <c r="K868" t="str">
        <f t="shared" si="41"/>
        <v>Not Returned</v>
      </c>
      <c r="N868" t="s">
        <v>40</v>
      </c>
      <c r="O868" t="str">
        <f>IF(N868="",INDEX({"Low","Medium","High"},MATCH(MAX(COUNTIF($N$2:$N$1000,{"Low","Medium","High"})),COUNTIF($N$2:$N$1000,{"Low","Medium","High"}),0)),N868)</f>
        <v>Medium</v>
      </c>
    </row>
    <row r="869" spans="1:15" x14ac:dyDescent="0.25">
      <c r="A869">
        <v>14</v>
      </c>
      <c r="B869">
        <f t="shared" si="39"/>
        <v>14</v>
      </c>
      <c r="F869">
        <v>60.95</v>
      </c>
      <c r="G869">
        <f t="shared" si="40"/>
        <v>60.95</v>
      </c>
      <c r="J869" t="s">
        <v>22</v>
      </c>
      <c r="K869" t="str">
        <f t="shared" si="41"/>
        <v>Not Returned</v>
      </c>
      <c r="N869" t="s">
        <v>25</v>
      </c>
      <c r="O869" t="str">
        <f>IF(N869="",INDEX({"Low","Medium","High"},MATCH(MAX(COUNTIF($N$2:$N$1000,{"Low","Medium","High"})),COUNTIF($N$2:$N$1000,{"Low","Medium","High"}),0)),N869)</f>
        <v>Low</v>
      </c>
    </row>
    <row r="870" spans="1:15" x14ac:dyDescent="0.25">
      <c r="A870">
        <v>30</v>
      </c>
      <c r="B870">
        <f t="shared" si="39"/>
        <v>30</v>
      </c>
      <c r="F870">
        <v>39.97</v>
      </c>
      <c r="G870">
        <f t="shared" si="40"/>
        <v>39.97</v>
      </c>
      <c r="J870" t="s">
        <v>22</v>
      </c>
      <c r="K870" t="str">
        <f t="shared" si="41"/>
        <v>Not Returned</v>
      </c>
      <c r="N870" t="s">
        <v>40</v>
      </c>
      <c r="O870" t="str">
        <f>IF(N870="",INDEX({"Low","Medium","High"},MATCH(MAX(COUNTIF($N$2:$N$1000,{"Low","Medium","High"})),COUNTIF($N$2:$N$1000,{"Low","Medium","High"}),0)),N870)</f>
        <v>Medium</v>
      </c>
    </row>
    <row r="871" spans="1:15" x14ac:dyDescent="0.25">
      <c r="A871">
        <v>48</v>
      </c>
      <c r="B871">
        <f t="shared" si="39"/>
        <v>48</v>
      </c>
      <c r="F871">
        <v>38.47</v>
      </c>
      <c r="G871">
        <f t="shared" si="40"/>
        <v>38.47</v>
      </c>
      <c r="J871" t="s">
        <v>22</v>
      </c>
      <c r="K871" t="str">
        <f t="shared" si="41"/>
        <v>Not Returned</v>
      </c>
      <c r="N871" t="s">
        <v>25</v>
      </c>
      <c r="O871" t="str">
        <f>IF(N871="",INDEX({"Low","Medium","High"},MATCH(MAX(COUNTIF($N$2:$N$1000,{"Low","Medium","High"})),COUNTIF($N$2:$N$1000,{"Low","Medium","High"}),0)),N871)</f>
        <v>Low</v>
      </c>
    </row>
    <row r="872" spans="1:15" x14ac:dyDescent="0.25">
      <c r="A872">
        <v>24</v>
      </c>
      <c r="B872">
        <f t="shared" si="39"/>
        <v>24</v>
      </c>
      <c r="F872">
        <v>85.12</v>
      </c>
      <c r="G872">
        <f t="shared" si="40"/>
        <v>85.12</v>
      </c>
      <c r="J872" t="s">
        <v>111</v>
      </c>
      <c r="K872" t="str">
        <f t="shared" si="41"/>
        <v>Returned</v>
      </c>
      <c r="N872" t="s">
        <v>25</v>
      </c>
      <c r="O872" t="str">
        <f>IF(N872="",INDEX({"Low","Medium","High"},MATCH(MAX(COUNTIF($N$2:$N$1000,{"Low","Medium","High"})),COUNTIF($N$2:$N$1000,{"Low","Medium","High"}),0)),N872)</f>
        <v>Low</v>
      </c>
    </row>
    <row r="873" spans="1:15" x14ac:dyDescent="0.25">
      <c r="A873">
        <v>19</v>
      </c>
      <c r="B873">
        <f t="shared" si="39"/>
        <v>19</v>
      </c>
      <c r="F873">
        <v>38.54</v>
      </c>
      <c r="G873">
        <f t="shared" si="40"/>
        <v>38.54</v>
      </c>
      <c r="J873" t="s">
        <v>22</v>
      </c>
      <c r="K873" t="str">
        <f t="shared" si="41"/>
        <v>Not Returned</v>
      </c>
      <c r="N873" t="s">
        <v>34</v>
      </c>
      <c r="O873" t="str">
        <f>IF(N873="",INDEX({"Low","Medium","High"},MATCH(MAX(COUNTIF($N$2:$N$1000,{"Low","Medium","High"})),COUNTIF($N$2:$N$1000,{"Low","Medium","High"}),0)),N873)</f>
        <v>High</v>
      </c>
    </row>
    <row r="874" spans="1:15" x14ac:dyDescent="0.25">
      <c r="A874">
        <v>7</v>
      </c>
      <c r="B874">
        <f t="shared" si="39"/>
        <v>7</v>
      </c>
      <c r="F874">
        <v>74.83</v>
      </c>
      <c r="G874">
        <f t="shared" si="40"/>
        <v>74.83</v>
      </c>
      <c r="J874" t="s">
        <v>111</v>
      </c>
      <c r="K874" t="str">
        <f t="shared" si="41"/>
        <v>Returned</v>
      </c>
      <c r="N874" t="s">
        <v>25</v>
      </c>
      <c r="O874" t="str">
        <f>IF(N874="",INDEX({"Low","Medium","High"},MATCH(MAX(COUNTIF($N$2:$N$1000,{"Low","Medium","High"})),COUNTIF($N$2:$N$1000,{"Low","Medium","High"}),0)),N874)</f>
        <v>Low</v>
      </c>
    </row>
    <row r="875" spans="1:15" x14ac:dyDescent="0.25">
      <c r="A875">
        <v>45</v>
      </c>
      <c r="B875">
        <f t="shared" si="39"/>
        <v>45</v>
      </c>
      <c r="F875">
        <v>77.680000000000007</v>
      </c>
      <c r="G875">
        <f t="shared" si="40"/>
        <v>77.680000000000007</v>
      </c>
      <c r="J875" t="s">
        <v>22</v>
      </c>
      <c r="K875" t="str">
        <f t="shared" si="41"/>
        <v>Not Returned</v>
      </c>
      <c r="N875" t="s">
        <v>40</v>
      </c>
      <c r="O875" t="str">
        <f>IF(N875="",INDEX({"Low","Medium","High"},MATCH(MAX(COUNTIF($N$2:$N$1000,{"Low","Medium","High"})),COUNTIF($N$2:$N$1000,{"Low","Medium","High"}),0)),N875)</f>
        <v>Medium</v>
      </c>
    </row>
    <row r="876" spans="1:15" x14ac:dyDescent="0.25">
      <c r="A876">
        <v>47</v>
      </c>
      <c r="B876">
        <f t="shared" si="39"/>
        <v>47</v>
      </c>
      <c r="F876">
        <v>78.31</v>
      </c>
      <c r="G876">
        <f t="shared" si="40"/>
        <v>78.31</v>
      </c>
      <c r="J876" t="s">
        <v>22</v>
      </c>
      <c r="K876" t="str">
        <f t="shared" si="41"/>
        <v>Not Returned</v>
      </c>
      <c r="N876" t="s">
        <v>34</v>
      </c>
      <c r="O876" t="str">
        <f>IF(N876="",INDEX({"Low","Medium","High"},MATCH(MAX(COUNTIF($N$2:$N$1000,{"Low","Medium","High"})),COUNTIF($N$2:$N$1000,{"Low","Medium","High"}),0)),N876)</f>
        <v>High</v>
      </c>
    </row>
    <row r="877" spans="1:15" x14ac:dyDescent="0.25">
      <c r="A877">
        <v>18</v>
      </c>
      <c r="B877">
        <f t="shared" si="39"/>
        <v>18</v>
      </c>
      <c r="F877">
        <v>32.86</v>
      </c>
      <c r="G877">
        <f t="shared" si="40"/>
        <v>32.86</v>
      </c>
      <c r="J877" t="s">
        <v>22</v>
      </c>
      <c r="K877" t="str">
        <f t="shared" si="41"/>
        <v>Not Returned</v>
      </c>
      <c r="N877" t="s">
        <v>34</v>
      </c>
      <c r="O877" t="str">
        <f>IF(N877="",INDEX({"Low","Medium","High"},MATCH(MAX(COUNTIF($N$2:$N$1000,{"Low","Medium","High"})),COUNTIF($N$2:$N$1000,{"Low","Medium","High"}),0)),N877)</f>
        <v>High</v>
      </c>
    </row>
    <row r="878" spans="1:15" x14ac:dyDescent="0.25">
      <c r="A878">
        <v>11</v>
      </c>
      <c r="B878">
        <f t="shared" si="39"/>
        <v>11</v>
      </c>
      <c r="F878">
        <v>81.62</v>
      </c>
      <c r="G878">
        <f t="shared" si="40"/>
        <v>81.62</v>
      </c>
      <c r="J878" t="s">
        <v>22</v>
      </c>
      <c r="K878" t="str">
        <f t="shared" si="41"/>
        <v>Not Returned</v>
      </c>
      <c r="N878" t="s">
        <v>34</v>
      </c>
      <c r="O878" t="str">
        <f>IF(N878="",INDEX({"Low","Medium","High"},MATCH(MAX(COUNTIF($N$2:$N$1000,{"Low","Medium","High"})),COUNTIF($N$2:$N$1000,{"Low","Medium","High"}),0)),N878)</f>
        <v>High</v>
      </c>
    </row>
    <row r="879" spans="1:15" x14ac:dyDescent="0.25">
      <c r="A879">
        <v>25</v>
      </c>
      <c r="B879">
        <f t="shared" si="39"/>
        <v>25</v>
      </c>
      <c r="F879">
        <v>58.02</v>
      </c>
      <c r="G879">
        <f t="shared" si="40"/>
        <v>58.02</v>
      </c>
      <c r="J879" t="s">
        <v>111</v>
      </c>
      <c r="K879" t="str">
        <f t="shared" si="41"/>
        <v>Returned</v>
      </c>
      <c r="N879" t="s">
        <v>34</v>
      </c>
      <c r="O879" t="str">
        <f>IF(N879="",INDEX({"Low","Medium","High"},MATCH(MAX(COUNTIF($N$2:$N$1000,{"Low","Medium","High"})),COUNTIF($N$2:$N$1000,{"Low","Medium","High"}),0)),N879)</f>
        <v>High</v>
      </c>
    </row>
    <row r="880" spans="1:15" x14ac:dyDescent="0.25">
      <c r="A880">
        <v>30</v>
      </c>
      <c r="B880">
        <f t="shared" si="39"/>
        <v>30</v>
      </c>
      <c r="F880">
        <v>10.64</v>
      </c>
      <c r="G880">
        <f t="shared" si="40"/>
        <v>10.64</v>
      </c>
      <c r="J880" t="s">
        <v>22</v>
      </c>
      <c r="K880" t="str">
        <f t="shared" si="41"/>
        <v>Not Returned</v>
      </c>
      <c r="N880" t="s">
        <v>40</v>
      </c>
      <c r="O880" t="str">
        <f>IF(N880="",INDEX({"Low","Medium","High"},MATCH(MAX(COUNTIF($N$2:$N$1000,{"Low","Medium","High"})),COUNTIF($N$2:$N$1000,{"Low","Medium","High"}),0)),N880)</f>
        <v>Medium</v>
      </c>
    </row>
    <row r="881" spans="1:15" x14ac:dyDescent="0.25">
      <c r="A881">
        <v>12</v>
      </c>
      <c r="B881">
        <f t="shared" si="39"/>
        <v>12</v>
      </c>
      <c r="F881">
        <v>48.18</v>
      </c>
      <c r="G881">
        <f t="shared" si="40"/>
        <v>48.18</v>
      </c>
      <c r="J881" t="s">
        <v>22</v>
      </c>
      <c r="K881" t="str">
        <f t="shared" si="41"/>
        <v>Not Returned</v>
      </c>
      <c r="N881" t="s">
        <v>34</v>
      </c>
      <c r="O881" t="str">
        <f>IF(N881="",INDEX({"Low","Medium","High"},MATCH(MAX(COUNTIF($N$2:$N$1000,{"Low","Medium","High"})),COUNTIF($N$2:$N$1000,{"Low","Medium","High"}),0)),N881)</f>
        <v>High</v>
      </c>
    </row>
    <row r="882" spans="1:15" x14ac:dyDescent="0.25">
      <c r="A882">
        <v>48</v>
      </c>
      <c r="B882">
        <f t="shared" si="39"/>
        <v>48</v>
      </c>
      <c r="F882">
        <v>90.66</v>
      </c>
      <c r="G882">
        <f t="shared" si="40"/>
        <v>90.66</v>
      </c>
      <c r="J882" t="s">
        <v>22</v>
      </c>
      <c r="K882" t="str">
        <f t="shared" si="41"/>
        <v>Not Returned</v>
      </c>
      <c r="N882" t="s">
        <v>34</v>
      </c>
      <c r="O882" t="str">
        <f>IF(N882="",INDEX({"Low","Medium","High"},MATCH(MAX(COUNTIF($N$2:$N$1000,{"Low","Medium","High"})),COUNTIF($N$2:$N$1000,{"Low","Medium","High"}),0)),N882)</f>
        <v>High</v>
      </c>
    </row>
    <row r="883" spans="1:15" x14ac:dyDescent="0.25">
      <c r="A883">
        <v>21</v>
      </c>
      <c r="B883">
        <f t="shared" si="39"/>
        <v>21</v>
      </c>
      <c r="F883">
        <v>80.16</v>
      </c>
      <c r="G883">
        <f t="shared" si="40"/>
        <v>80.16</v>
      </c>
      <c r="J883" t="s">
        <v>22</v>
      </c>
      <c r="K883" t="str">
        <f t="shared" si="41"/>
        <v>Not Returned</v>
      </c>
      <c r="N883" t="s">
        <v>25</v>
      </c>
      <c r="O883" t="str">
        <f>IF(N883="",INDEX({"Low","Medium","High"},MATCH(MAX(COUNTIF($N$2:$N$1000,{"Low","Medium","High"})),COUNTIF($N$2:$N$1000,{"Low","Medium","High"}),0)),N883)</f>
        <v>Low</v>
      </c>
    </row>
    <row r="884" spans="1:15" x14ac:dyDescent="0.25">
      <c r="A884">
        <v>10</v>
      </c>
      <c r="B884">
        <f t="shared" si="39"/>
        <v>10</v>
      </c>
      <c r="F884">
        <v>29.08</v>
      </c>
      <c r="G884">
        <f t="shared" si="40"/>
        <v>29.08</v>
      </c>
      <c r="J884" t="s">
        <v>22</v>
      </c>
      <c r="K884" t="str">
        <f t="shared" si="41"/>
        <v>Not Returned</v>
      </c>
      <c r="N884" t="s">
        <v>34</v>
      </c>
      <c r="O884" t="str">
        <f>IF(N884="",INDEX({"Low","Medium","High"},MATCH(MAX(COUNTIF($N$2:$N$1000,{"Low","Medium","High"})),COUNTIF($N$2:$N$1000,{"Low","Medium","High"}),0)),N884)</f>
        <v>High</v>
      </c>
    </row>
    <row r="885" spans="1:15" x14ac:dyDescent="0.25">
      <c r="A885">
        <v>34</v>
      </c>
      <c r="B885">
        <f t="shared" si="39"/>
        <v>34</v>
      </c>
      <c r="F885">
        <v>26.28</v>
      </c>
      <c r="G885">
        <f t="shared" si="40"/>
        <v>26.28</v>
      </c>
      <c r="J885" t="s">
        <v>111</v>
      </c>
      <c r="K885" t="str">
        <f t="shared" si="41"/>
        <v>Returned</v>
      </c>
      <c r="N885" t="s">
        <v>25</v>
      </c>
      <c r="O885" t="str">
        <f>IF(N885="",INDEX({"Low","Medium","High"},MATCH(MAX(COUNTIF($N$2:$N$1000,{"Low","Medium","High"})),COUNTIF($N$2:$N$1000,{"Low","Medium","High"}),0)),N885)</f>
        <v>Low</v>
      </c>
    </row>
    <row r="886" spans="1:15" x14ac:dyDescent="0.25">
      <c r="A886">
        <v>25</v>
      </c>
      <c r="B886">
        <f t="shared" si="39"/>
        <v>25</v>
      </c>
      <c r="F886">
        <v>4.49</v>
      </c>
      <c r="G886">
        <f t="shared" si="40"/>
        <v>4.49</v>
      </c>
      <c r="J886" t="s">
        <v>22</v>
      </c>
      <c r="K886" t="str">
        <f t="shared" si="41"/>
        <v>Not Returned</v>
      </c>
      <c r="N886" t="s">
        <v>25</v>
      </c>
      <c r="O886" t="str">
        <f>IF(N886="",INDEX({"Low","Medium","High"},MATCH(MAX(COUNTIF($N$2:$N$1000,{"Low","Medium","High"})),COUNTIF($N$2:$N$1000,{"Low","Medium","High"}),0)),N886)</f>
        <v>Low</v>
      </c>
    </row>
    <row r="887" spans="1:15" x14ac:dyDescent="0.25">
      <c r="A887">
        <v>45</v>
      </c>
      <c r="B887">
        <f t="shared" si="39"/>
        <v>45</v>
      </c>
      <c r="F887">
        <v>88.28</v>
      </c>
      <c r="G887">
        <f t="shared" si="40"/>
        <v>88.28</v>
      </c>
      <c r="J887" t="s">
        <v>22</v>
      </c>
      <c r="K887" t="str">
        <f t="shared" si="41"/>
        <v>Not Returned</v>
      </c>
      <c r="N887" t="s">
        <v>40</v>
      </c>
      <c r="O887" t="str">
        <f>IF(N887="",INDEX({"Low","Medium","High"},MATCH(MAX(COUNTIF($N$2:$N$1000,{"Low","Medium","High"})),COUNTIF($N$2:$N$1000,{"Low","Medium","High"}),0)),N887)</f>
        <v>Medium</v>
      </c>
    </row>
    <row r="888" spans="1:15" x14ac:dyDescent="0.25">
      <c r="A888">
        <v>23</v>
      </c>
      <c r="B888">
        <f t="shared" si="39"/>
        <v>23</v>
      </c>
      <c r="F888">
        <v>71.760000000000005</v>
      </c>
      <c r="G888">
        <f t="shared" si="40"/>
        <v>71.760000000000005</v>
      </c>
      <c r="J888" t="s">
        <v>22</v>
      </c>
      <c r="K888" t="str">
        <f t="shared" si="41"/>
        <v>Not Returned</v>
      </c>
      <c r="N888" t="s">
        <v>34</v>
      </c>
      <c r="O888" t="str">
        <f>IF(N888="",INDEX({"Low","Medium","High"},MATCH(MAX(COUNTIF($N$2:$N$1000,{"Low","Medium","High"})),COUNTIF($N$2:$N$1000,{"Low","Medium","High"}),0)),N888)</f>
        <v>High</v>
      </c>
    </row>
    <row r="889" spans="1:15" x14ac:dyDescent="0.25">
      <c r="A889">
        <v>11</v>
      </c>
      <c r="B889">
        <f t="shared" si="39"/>
        <v>11</v>
      </c>
      <c r="F889">
        <v>73.209999999999994</v>
      </c>
      <c r="G889">
        <f t="shared" si="40"/>
        <v>73.209999999999994</v>
      </c>
      <c r="J889" t="s">
        <v>22</v>
      </c>
      <c r="K889" t="str">
        <f t="shared" si="41"/>
        <v>Not Returned</v>
      </c>
      <c r="N889" t="s">
        <v>34</v>
      </c>
      <c r="O889" t="str">
        <f>IF(N889="",INDEX({"Low","Medium","High"},MATCH(MAX(COUNTIF($N$2:$N$1000,{"Low","Medium","High"})),COUNTIF($N$2:$N$1000,{"Low","Medium","High"}),0)),N889)</f>
        <v>High</v>
      </c>
    </row>
    <row r="890" spans="1:15" x14ac:dyDescent="0.25">
      <c r="A890">
        <v>33</v>
      </c>
      <c r="B890">
        <f t="shared" si="39"/>
        <v>33</v>
      </c>
      <c r="F890">
        <v>25.57</v>
      </c>
      <c r="G890">
        <f t="shared" si="40"/>
        <v>25.57</v>
      </c>
      <c r="J890" t="s">
        <v>22</v>
      </c>
      <c r="K890" t="str">
        <f t="shared" si="41"/>
        <v>Not Returned</v>
      </c>
      <c r="N890" t="s">
        <v>25</v>
      </c>
      <c r="O890" t="str">
        <f>IF(N890="",INDEX({"Low","Medium","High"},MATCH(MAX(COUNTIF($N$2:$N$1000,{"Low","Medium","High"})),COUNTIF($N$2:$N$1000,{"Low","Medium","High"}),0)),N890)</f>
        <v>Low</v>
      </c>
    </row>
    <row r="891" spans="1:15" x14ac:dyDescent="0.25">
      <c r="A891">
        <v>37</v>
      </c>
      <c r="B891">
        <f t="shared" si="39"/>
        <v>37</v>
      </c>
      <c r="F891">
        <v>54.76</v>
      </c>
      <c r="G891">
        <f t="shared" si="40"/>
        <v>54.76</v>
      </c>
      <c r="J891" t="s">
        <v>22</v>
      </c>
      <c r="K891" t="str">
        <f t="shared" si="41"/>
        <v>Not Returned</v>
      </c>
      <c r="N891" t="s">
        <v>40</v>
      </c>
      <c r="O891" t="str">
        <f>IF(N891="",INDEX({"Low","Medium","High"},MATCH(MAX(COUNTIF($N$2:$N$1000,{"Low","Medium","High"})),COUNTIF($N$2:$N$1000,{"Low","Medium","High"}),0)),N891)</f>
        <v>Medium</v>
      </c>
    </row>
    <row r="892" spans="1:15" x14ac:dyDescent="0.25">
      <c r="A892">
        <v>21</v>
      </c>
      <c r="B892">
        <f t="shared" si="39"/>
        <v>21</v>
      </c>
      <c r="F892">
        <v>72.27</v>
      </c>
      <c r="G892">
        <f t="shared" si="40"/>
        <v>72.27</v>
      </c>
      <c r="J892" t="s">
        <v>22</v>
      </c>
      <c r="K892" t="str">
        <f t="shared" si="41"/>
        <v>Not Returned</v>
      </c>
      <c r="N892" t="s">
        <v>34</v>
      </c>
      <c r="O892" t="str">
        <f>IF(N892="",INDEX({"Low","Medium","High"},MATCH(MAX(COUNTIF($N$2:$N$1000,{"Low","Medium","High"})),COUNTIF($N$2:$N$1000,{"Low","Medium","High"}),0)),N892)</f>
        <v>High</v>
      </c>
    </row>
    <row r="893" spans="1:15" x14ac:dyDescent="0.25">
      <c r="A893">
        <v>32</v>
      </c>
      <c r="B893">
        <f t="shared" si="39"/>
        <v>32</v>
      </c>
      <c r="F893">
        <v>42.81</v>
      </c>
      <c r="G893">
        <f t="shared" si="40"/>
        <v>42.81</v>
      </c>
      <c r="J893" t="s">
        <v>22</v>
      </c>
      <c r="K893" t="str">
        <f t="shared" si="41"/>
        <v>Not Returned</v>
      </c>
      <c r="N893" t="s">
        <v>40</v>
      </c>
      <c r="O893" t="str">
        <f>IF(N893="",INDEX({"Low","Medium","High"},MATCH(MAX(COUNTIF($N$2:$N$1000,{"Low","Medium","High"})),COUNTIF($N$2:$N$1000,{"Low","Medium","High"}),0)),N893)</f>
        <v>Medium</v>
      </c>
    </row>
    <row r="894" spans="1:15" x14ac:dyDescent="0.25">
      <c r="A894">
        <v>22</v>
      </c>
      <c r="B894">
        <f t="shared" si="39"/>
        <v>22</v>
      </c>
      <c r="F894">
        <v>11.1</v>
      </c>
      <c r="G894">
        <f t="shared" si="40"/>
        <v>11.1</v>
      </c>
      <c r="J894" t="s">
        <v>22</v>
      </c>
      <c r="K894" t="str">
        <f t="shared" si="41"/>
        <v>Not Returned</v>
      </c>
      <c r="N894" t="s">
        <v>34</v>
      </c>
      <c r="O894" t="str">
        <f>IF(N894="",INDEX({"Low","Medium","High"},MATCH(MAX(COUNTIF($N$2:$N$1000,{"Low","Medium","High"})),COUNTIF($N$2:$N$1000,{"Low","Medium","High"}),0)),N894)</f>
        <v>High</v>
      </c>
    </row>
    <row r="895" spans="1:15" x14ac:dyDescent="0.25">
      <c r="A895">
        <v>17</v>
      </c>
      <c r="B895">
        <f t="shared" si="39"/>
        <v>17</v>
      </c>
      <c r="F895">
        <v>33.99</v>
      </c>
      <c r="G895">
        <f t="shared" si="40"/>
        <v>33.99</v>
      </c>
      <c r="J895" t="s">
        <v>22</v>
      </c>
      <c r="K895" t="str">
        <f t="shared" si="41"/>
        <v>Not Returned</v>
      </c>
      <c r="N895" t="s">
        <v>40</v>
      </c>
      <c r="O895" t="str">
        <f>IF(N895="",INDEX({"Low","Medium","High"},MATCH(MAX(COUNTIF($N$2:$N$1000,{"Low","Medium","High"})),COUNTIF($N$2:$N$1000,{"Low","Medium","High"}),0)),N895)</f>
        <v>Medium</v>
      </c>
    </row>
    <row r="896" spans="1:15" x14ac:dyDescent="0.25">
      <c r="A896">
        <v>44</v>
      </c>
      <c r="B896">
        <f t="shared" si="39"/>
        <v>44</v>
      </c>
      <c r="F896">
        <v>62.05</v>
      </c>
      <c r="G896">
        <f t="shared" si="40"/>
        <v>62.05</v>
      </c>
      <c r="J896" t="s">
        <v>22</v>
      </c>
      <c r="K896" t="str">
        <f t="shared" si="41"/>
        <v>Not Returned</v>
      </c>
      <c r="N896" t="s">
        <v>25</v>
      </c>
      <c r="O896" t="str">
        <f>IF(N896="",INDEX({"Low","Medium","High"},MATCH(MAX(COUNTIF($N$2:$N$1000,{"Low","Medium","High"})),COUNTIF($N$2:$N$1000,{"Low","Medium","High"}),0)),N896)</f>
        <v>Low</v>
      </c>
    </row>
    <row r="897" spans="1:15" x14ac:dyDescent="0.25">
      <c r="A897">
        <v>28</v>
      </c>
      <c r="B897">
        <f t="shared" si="39"/>
        <v>28</v>
      </c>
      <c r="F897">
        <v>98.25</v>
      </c>
      <c r="G897">
        <f t="shared" si="40"/>
        <v>98.25</v>
      </c>
      <c r="J897" t="s">
        <v>22</v>
      </c>
      <c r="K897" t="str">
        <f t="shared" si="41"/>
        <v>Not Returned</v>
      </c>
      <c r="N897" t="s">
        <v>34</v>
      </c>
      <c r="O897" t="str">
        <f>IF(N897="",INDEX({"Low","Medium","High"},MATCH(MAX(COUNTIF($N$2:$N$1000,{"Low","Medium","High"})),COUNTIF($N$2:$N$1000,{"Low","Medium","High"}),0)),N897)</f>
        <v>High</v>
      </c>
    </row>
    <row r="898" spans="1:15" x14ac:dyDescent="0.25">
      <c r="A898">
        <v>43</v>
      </c>
      <c r="B898">
        <f t="shared" ref="B898:B961" si="42">IF(A898="",ROUNDUP(AVERAGE($A$2:$A$1000),0),A898)</f>
        <v>43</v>
      </c>
      <c r="F898">
        <v>80.09</v>
      </c>
      <c r="G898">
        <f t="shared" si="40"/>
        <v>80.09</v>
      </c>
      <c r="J898" t="s">
        <v>22</v>
      </c>
      <c r="K898" t="str">
        <f t="shared" si="41"/>
        <v>Not Returned</v>
      </c>
      <c r="N898" t="s">
        <v>25</v>
      </c>
      <c r="O898" t="str">
        <f>IF(N898="",INDEX({"Low","Medium","High"},MATCH(MAX(COUNTIF($N$2:$N$1000,{"Low","Medium","High"})),COUNTIF($N$2:$N$1000,{"Low","Medium","High"}),0)),N898)</f>
        <v>Low</v>
      </c>
    </row>
    <row r="899" spans="1:15" x14ac:dyDescent="0.25">
      <c r="A899">
        <v>47</v>
      </c>
      <c r="B899">
        <f t="shared" si="42"/>
        <v>47</v>
      </c>
      <c r="F899">
        <v>58.23</v>
      </c>
      <c r="G899">
        <f t="shared" ref="G899:G962" si="43">IF(F899="",ROUNDUP(AVERAGE($F$2:$F$1000),0),F899)</f>
        <v>58.23</v>
      </c>
      <c r="J899" t="s">
        <v>22</v>
      </c>
      <c r="K899" t="str">
        <f t="shared" ref="K899:K962" si="44">IF(J899="","Unknown",J899)</f>
        <v>Not Returned</v>
      </c>
      <c r="N899" t="s">
        <v>25</v>
      </c>
      <c r="O899" t="str">
        <f>IF(N899="",INDEX({"Low","Medium","High"},MATCH(MAX(COUNTIF($N$2:$N$1000,{"Low","Medium","High"})),COUNTIF($N$2:$N$1000,{"Low","Medium","High"}),0)),N899)</f>
        <v>Low</v>
      </c>
    </row>
    <row r="900" spans="1:15" x14ac:dyDescent="0.25">
      <c r="A900">
        <v>44</v>
      </c>
      <c r="B900">
        <f t="shared" si="42"/>
        <v>44</v>
      </c>
      <c r="F900">
        <v>32.200000000000003</v>
      </c>
      <c r="G900">
        <f t="shared" si="43"/>
        <v>32.200000000000003</v>
      </c>
      <c r="J900" t="s">
        <v>22</v>
      </c>
      <c r="K900" t="str">
        <f t="shared" si="44"/>
        <v>Not Returned</v>
      </c>
      <c r="N900" t="s">
        <v>25</v>
      </c>
      <c r="O900" t="str">
        <f>IF(N900="",INDEX({"Low","Medium","High"},MATCH(MAX(COUNTIF($N$2:$N$1000,{"Low","Medium","High"})),COUNTIF($N$2:$N$1000,{"Low","Medium","High"}),0)),N900)</f>
        <v>Low</v>
      </c>
    </row>
    <row r="901" spans="1:15" x14ac:dyDescent="0.25">
      <c r="A901">
        <v>47</v>
      </c>
      <c r="B901">
        <f t="shared" si="42"/>
        <v>47</v>
      </c>
      <c r="F901">
        <v>42.46</v>
      </c>
      <c r="G901">
        <f t="shared" si="43"/>
        <v>42.46</v>
      </c>
      <c r="J901" t="s">
        <v>22</v>
      </c>
      <c r="K901" t="str">
        <f t="shared" si="44"/>
        <v>Not Returned</v>
      </c>
      <c r="N901" t="s">
        <v>34</v>
      </c>
      <c r="O901" t="str">
        <f>IF(N901="",INDEX({"Low","Medium","High"},MATCH(MAX(COUNTIF($N$2:$N$1000,{"Low","Medium","High"})),COUNTIF($N$2:$N$1000,{"Low","Medium","High"}),0)),N901)</f>
        <v>High</v>
      </c>
    </row>
    <row r="902" spans="1:15" x14ac:dyDescent="0.25">
      <c r="A902">
        <v>14</v>
      </c>
      <c r="B902">
        <f t="shared" si="42"/>
        <v>14</v>
      </c>
      <c r="F902">
        <v>28.59</v>
      </c>
      <c r="G902">
        <f t="shared" si="43"/>
        <v>28.59</v>
      </c>
      <c r="J902" t="s">
        <v>22</v>
      </c>
      <c r="K902" t="str">
        <f t="shared" si="44"/>
        <v>Not Returned</v>
      </c>
      <c r="N902" t="s">
        <v>34</v>
      </c>
      <c r="O902" t="str">
        <f>IF(N902="",INDEX({"Low","Medium","High"},MATCH(MAX(COUNTIF($N$2:$N$1000,{"Low","Medium","High"})),COUNTIF($N$2:$N$1000,{"Low","Medium","High"}),0)),N902)</f>
        <v>High</v>
      </c>
    </row>
    <row r="903" spans="1:15" x14ac:dyDescent="0.25">
      <c r="A903">
        <v>27</v>
      </c>
      <c r="B903">
        <f t="shared" si="42"/>
        <v>27</v>
      </c>
      <c r="F903">
        <v>44.06</v>
      </c>
      <c r="G903">
        <f t="shared" si="43"/>
        <v>44.06</v>
      </c>
      <c r="J903" t="s">
        <v>22</v>
      </c>
      <c r="K903" t="str">
        <f t="shared" si="44"/>
        <v>Not Returned</v>
      </c>
      <c r="N903" t="s">
        <v>40</v>
      </c>
      <c r="O903" t="str">
        <f>IF(N903="",INDEX({"Low","Medium","High"},MATCH(MAX(COUNTIF($N$2:$N$1000,{"Low","Medium","High"})),COUNTIF($N$2:$N$1000,{"Low","Medium","High"}),0)),N903)</f>
        <v>Medium</v>
      </c>
    </row>
    <row r="904" spans="1:15" x14ac:dyDescent="0.25">
      <c r="A904">
        <v>7</v>
      </c>
      <c r="B904">
        <f t="shared" si="42"/>
        <v>7</v>
      </c>
      <c r="F904">
        <v>29.72</v>
      </c>
      <c r="G904">
        <f t="shared" si="43"/>
        <v>29.72</v>
      </c>
      <c r="J904" t="s">
        <v>22</v>
      </c>
      <c r="K904" t="str">
        <f t="shared" si="44"/>
        <v>Not Returned</v>
      </c>
      <c r="N904" t="s">
        <v>40</v>
      </c>
      <c r="O904" t="str">
        <f>IF(N904="",INDEX({"Low","Medium","High"},MATCH(MAX(COUNTIF($N$2:$N$1000,{"Low","Medium","High"})),COUNTIF($N$2:$N$1000,{"Low","Medium","High"}),0)),N904)</f>
        <v>Medium</v>
      </c>
    </row>
    <row r="905" spans="1:15" x14ac:dyDescent="0.25">
      <c r="A905">
        <v>31</v>
      </c>
      <c r="B905">
        <f t="shared" si="42"/>
        <v>31</v>
      </c>
      <c r="F905">
        <v>91.14</v>
      </c>
      <c r="G905">
        <f t="shared" si="43"/>
        <v>91.14</v>
      </c>
      <c r="J905" t="s">
        <v>22</v>
      </c>
      <c r="K905" t="str">
        <f t="shared" si="44"/>
        <v>Not Returned</v>
      </c>
      <c r="N905" t="s">
        <v>40</v>
      </c>
      <c r="O905" t="str">
        <f>IF(N905="",INDEX({"Low","Medium","High"},MATCH(MAX(COUNTIF($N$2:$N$1000,{"Low","Medium","High"})),COUNTIF($N$2:$N$1000,{"Low","Medium","High"}),0)),N905)</f>
        <v>Medium</v>
      </c>
    </row>
    <row r="906" spans="1:15" x14ac:dyDescent="0.25">
      <c r="A906">
        <v>12</v>
      </c>
      <c r="B906">
        <f t="shared" si="42"/>
        <v>12</v>
      </c>
      <c r="F906">
        <v>58.14</v>
      </c>
      <c r="G906">
        <f t="shared" si="43"/>
        <v>58.14</v>
      </c>
      <c r="J906" t="s">
        <v>22</v>
      </c>
      <c r="K906" t="str">
        <f t="shared" si="44"/>
        <v>Not Returned</v>
      </c>
      <c r="N906" t="s">
        <v>34</v>
      </c>
      <c r="O906" t="str">
        <f>IF(N906="",INDEX({"Low","Medium","High"},MATCH(MAX(COUNTIF($N$2:$N$1000,{"Low","Medium","High"})),COUNTIF($N$2:$N$1000,{"Low","Medium","High"}),0)),N906)</f>
        <v>High</v>
      </c>
    </row>
    <row r="907" spans="1:15" x14ac:dyDescent="0.25">
      <c r="A907">
        <v>2</v>
      </c>
      <c r="B907">
        <f t="shared" si="42"/>
        <v>2</v>
      </c>
      <c r="F907">
        <v>91.6</v>
      </c>
      <c r="G907">
        <f t="shared" si="43"/>
        <v>91.6</v>
      </c>
      <c r="J907" t="s">
        <v>22</v>
      </c>
      <c r="K907" t="str">
        <f t="shared" si="44"/>
        <v>Not Returned</v>
      </c>
      <c r="N907" t="s">
        <v>25</v>
      </c>
      <c r="O907" t="str">
        <f>IF(N907="",INDEX({"Low","Medium","High"},MATCH(MAX(COUNTIF($N$2:$N$1000,{"Low","Medium","High"})),COUNTIF($N$2:$N$1000,{"Low","Medium","High"}),0)),N907)</f>
        <v>Low</v>
      </c>
    </row>
    <row r="908" spans="1:15" x14ac:dyDescent="0.25">
      <c r="A908">
        <v>47</v>
      </c>
      <c r="B908">
        <f t="shared" si="42"/>
        <v>47</v>
      </c>
      <c r="F908">
        <v>77.73</v>
      </c>
      <c r="G908">
        <f t="shared" si="43"/>
        <v>77.73</v>
      </c>
      <c r="J908" t="s">
        <v>22</v>
      </c>
      <c r="K908" t="str">
        <f t="shared" si="44"/>
        <v>Not Returned</v>
      </c>
      <c r="N908" t="s">
        <v>25</v>
      </c>
      <c r="O908" t="str">
        <f>IF(N908="",INDEX({"Low","Medium","High"},MATCH(MAX(COUNTIF($N$2:$N$1000,{"Low","Medium","High"})),COUNTIF($N$2:$N$1000,{"Low","Medium","High"}),0)),N908)</f>
        <v>Low</v>
      </c>
    </row>
    <row r="909" spans="1:15" x14ac:dyDescent="0.25">
      <c r="A909">
        <v>22</v>
      </c>
      <c r="B909">
        <f t="shared" si="42"/>
        <v>22</v>
      </c>
      <c r="F909">
        <v>78.06</v>
      </c>
      <c r="G909">
        <f t="shared" si="43"/>
        <v>78.06</v>
      </c>
      <c r="J909" t="s">
        <v>22</v>
      </c>
      <c r="K909" t="str">
        <f t="shared" si="44"/>
        <v>Not Returned</v>
      </c>
      <c r="N909" t="s">
        <v>25</v>
      </c>
      <c r="O909" t="str">
        <f>IF(N909="",INDEX({"Low","Medium","High"},MATCH(MAX(COUNTIF($N$2:$N$1000,{"Low","Medium","High"})),COUNTIF($N$2:$N$1000,{"Low","Medium","High"}),0)),N909)</f>
        <v>Low</v>
      </c>
    </row>
    <row r="910" spans="1:15" x14ac:dyDescent="0.25">
      <c r="A910">
        <v>8</v>
      </c>
      <c r="B910">
        <f t="shared" si="42"/>
        <v>8</v>
      </c>
      <c r="F910">
        <v>7.56</v>
      </c>
      <c r="G910">
        <f t="shared" si="43"/>
        <v>7.56</v>
      </c>
      <c r="J910" t="s">
        <v>22</v>
      </c>
      <c r="K910" t="str">
        <f t="shared" si="44"/>
        <v>Not Returned</v>
      </c>
      <c r="N910" t="s">
        <v>40</v>
      </c>
      <c r="O910" t="str">
        <f>IF(N910="",INDEX({"Low","Medium","High"},MATCH(MAX(COUNTIF($N$2:$N$1000,{"Low","Medium","High"})),COUNTIF($N$2:$N$1000,{"Low","Medium","High"}),0)),N910)</f>
        <v>Medium</v>
      </c>
    </row>
    <row r="911" spans="1:15" x14ac:dyDescent="0.25">
      <c r="A911">
        <v>16</v>
      </c>
      <c r="B911">
        <f t="shared" si="42"/>
        <v>16</v>
      </c>
      <c r="F911">
        <v>73.739999999999995</v>
      </c>
      <c r="G911">
        <f t="shared" si="43"/>
        <v>73.739999999999995</v>
      </c>
      <c r="J911" t="s">
        <v>22</v>
      </c>
      <c r="K911" t="str">
        <f t="shared" si="44"/>
        <v>Not Returned</v>
      </c>
      <c r="N911" t="s">
        <v>25</v>
      </c>
      <c r="O911" t="str">
        <f>IF(N911="",INDEX({"Low","Medium","High"},MATCH(MAX(COUNTIF($N$2:$N$1000,{"Low","Medium","High"})),COUNTIF($N$2:$N$1000,{"Low","Medium","High"}),0)),N911)</f>
        <v>Low</v>
      </c>
    </row>
    <row r="912" spans="1:15" x14ac:dyDescent="0.25">
      <c r="A912">
        <v>25</v>
      </c>
      <c r="B912">
        <f t="shared" si="42"/>
        <v>25</v>
      </c>
      <c r="F912">
        <v>40.11</v>
      </c>
      <c r="G912">
        <f t="shared" si="43"/>
        <v>40.11</v>
      </c>
      <c r="J912" t="s">
        <v>22</v>
      </c>
      <c r="K912" t="str">
        <f t="shared" si="44"/>
        <v>Not Returned</v>
      </c>
      <c r="N912" t="s">
        <v>34</v>
      </c>
      <c r="O912" t="str">
        <f>IF(N912="",INDEX({"Low","Medium","High"},MATCH(MAX(COUNTIF($N$2:$N$1000,{"Low","Medium","High"})),COUNTIF($N$2:$N$1000,{"Low","Medium","High"}),0)),N912)</f>
        <v>High</v>
      </c>
    </row>
    <row r="913" spans="1:15" x14ac:dyDescent="0.25">
      <c r="A913">
        <v>3</v>
      </c>
      <c r="B913">
        <f t="shared" si="42"/>
        <v>3</v>
      </c>
      <c r="F913">
        <v>52.96</v>
      </c>
      <c r="G913">
        <f t="shared" si="43"/>
        <v>52.96</v>
      </c>
      <c r="J913" t="s">
        <v>22</v>
      </c>
      <c r="K913" t="str">
        <f t="shared" si="44"/>
        <v>Not Returned</v>
      </c>
      <c r="N913" t="s">
        <v>40</v>
      </c>
      <c r="O913" t="str">
        <f>IF(N913="",INDEX({"Low","Medium","High"},MATCH(MAX(COUNTIF($N$2:$N$1000,{"Low","Medium","High"})),COUNTIF($N$2:$N$1000,{"Low","Medium","High"}),0)),N913)</f>
        <v>Medium</v>
      </c>
    </row>
    <row r="914" spans="1:15" x14ac:dyDescent="0.25">
      <c r="A914">
        <v>19</v>
      </c>
      <c r="B914">
        <f t="shared" si="42"/>
        <v>19</v>
      </c>
      <c r="F914">
        <v>58.34</v>
      </c>
      <c r="G914">
        <f t="shared" si="43"/>
        <v>58.34</v>
      </c>
      <c r="J914" t="s">
        <v>22</v>
      </c>
      <c r="K914" t="str">
        <f t="shared" si="44"/>
        <v>Not Returned</v>
      </c>
      <c r="N914" t="s">
        <v>25</v>
      </c>
      <c r="O914" t="str">
        <f>IF(N914="",INDEX({"Low","Medium","High"},MATCH(MAX(COUNTIF($N$2:$N$1000,{"Low","Medium","High"})),COUNTIF($N$2:$N$1000,{"Low","Medium","High"}),0)),N914)</f>
        <v>Low</v>
      </c>
    </row>
    <row r="915" spans="1:15" x14ac:dyDescent="0.25">
      <c r="A915">
        <v>29</v>
      </c>
      <c r="B915">
        <f t="shared" si="42"/>
        <v>29</v>
      </c>
      <c r="F915">
        <v>32.9</v>
      </c>
      <c r="G915">
        <f t="shared" si="43"/>
        <v>32.9</v>
      </c>
      <c r="J915" t="s">
        <v>22</v>
      </c>
      <c r="K915" t="str">
        <f t="shared" si="44"/>
        <v>Not Returned</v>
      </c>
      <c r="N915" t="s">
        <v>25</v>
      </c>
      <c r="O915" t="str">
        <f>IF(N915="",INDEX({"Low","Medium","High"},MATCH(MAX(COUNTIF($N$2:$N$1000,{"Low","Medium","High"})),COUNTIF($N$2:$N$1000,{"Low","Medium","High"}),0)),N915)</f>
        <v>Low</v>
      </c>
    </row>
    <row r="916" spans="1:15" x14ac:dyDescent="0.25">
      <c r="A916">
        <v>5</v>
      </c>
      <c r="B916">
        <f t="shared" si="42"/>
        <v>5</v>
      </c>
      <c r="F916">
        <v>52.11</v>
      </c>
      <c r="G916">
        <f t="shared" si="43"/>
        <v>52.11</v>
      </c>
      <c r="J916" t="s">
        <v>22</v>
      </c>
      <c r="K916" t="str">
        <f t="shared" si="44"/>
        <v>Not Returned</v>
      </c>
      <c r="N916" t="s">
        <v>25</v>
      </c>
      <c r="O916" t="str">
        <f>IF(N916="",INDEX({"Low","Medium","High"},MATCH(MAX(COUNTIF($N$2:$N$1000,{"Low","Medium","High"})),COUNTIF($N$2:$N$1000,{"Low","Medium","High"}),0)),N916)</f>
        <v>Low</v>
      </c>
    </row>
    <row r="917" spans="1:15" x14ac:dyDescent="0.25">
      <c r="A917">
        <v>20</v>
      </c>
      <c r="B917">
        <f t="shared" si="42"/>
        <v>20</v>
      </c>
      <c r="F917">
        <v>5.51</v>
      </c>
      <c r="G917">
        <f t="shared" si="43"/>
        <v>5.51</v>
      </c>
      <c r="J917" t="s">
        <v>22</v>
      </c>
      <c r="K917" t="str">
        <f t="shared" si="44"/>
        <v>Not Returned</v>
      </c>
      <c r="N917" t="s">
        <v>40</v>
      </c>
      <c r="O917" t="str">
        <f>IF(N917="",INDEX({"Low","Medium","High"},MATCH(MAX(COUNTIF($N$2:$N$1000,{"Low","Medium","High"})),COUNTIF($N$2:$N$1000,{"Low","Medium","High"}),0)),N917)</f>
        <v>Medium</v>
      </c>
    </row>
    <row r="918" spans="1:15" x14ac:dyDescent="0.25">
      <c r="A918">
        <v>33</v>
      </c>
      <c r="B918">
        <f t="shared" si="42"/>
        <v>33</v>
      </c>
      <c r="F918">
        <v>39.04</v>
      </c>
      <c r="G918">
        <f t="shared" si="43"/>
        <v>39.04</v>
      </c>
      <c r="J918" t="s">
        <v>22</v>
      </c>
      <c r="K918" t="str">
        <f t="shared" si="44"/>
        <v>Not Returned</v>
      </c>
      <c r="N918" t="s">
        <v>40</v>
      </c>
      <c r="O918" t="str">
        <f>IF(N918="",INDEX({"Low","Medium","High"},MATCH(MAX(COUNTIF($N$2:$N$1000,{"Low","Medium","High"})),COUNTIF($N$2:$N$1000,{"Low","Medium","High"}),0)),N918)</f>
        <v>Medium</v>
      </c>
    </row>
    <row r="919" spans="1:15" x14ac:dyDescent="0.25">
      <c r="A919">
        <v>1</v>
      </c>
      <c r="B919">
        <f t="shared" si="42"/>
        <v>1</v>
      </c>
      <c r="F919">
        <v>48.17</v>
      </c>
      <c r="G919">
        <f t="shared" si="43"/>
        <v>48.17</v>
      </c>
      <c r="J919" t="s">
        <v>22</v>
      </c>
      <c r="K919" t="str">
        <f t="shared" si="44"/>
        <v>Not Returned</v>
      </c>
      <c r="N919" t="s">
        <v>40</v>
      </c>
      <c r="O919" t="str">
        <f>IF(N919="",INDEX({"Low","Medium","High"},MATCH(MAX(COUNTIF($N$2:$N$1000,{"Low","Medium","High"})),COUNTIF($N$2:$N$1000,{"Low","Medium","High"}),0)),N919)</f>
        <v>Medium</v>
      </c>
    </row>
    <row r="920" spans="1:15" x14ac:dyDescent="0.25">
      <c r="A920">
        <v>32</v>
      </c>
      <c r="B920">
        <f t="shared" si="42"/>
        <v>32</v>
      </c>
      <c r="F920">
        <v>41.14</v>
      </c>
      <c r="G920">
        <f t="shared" si="43"/>
        <v>41.14</v>
      </c>
      <c r="J920" t="s">
        <v>22</v>
      </c>
      <c r="K920" t="str">
        <f t="shared" si="44"/>
        <v>Not Returned</v>
      </c>
      <c r="N920" t="s">
        <v>25</v>
      </c>
      <c r="O920" t="str">
        <f>IF(N920="",INDEX({"Low","Medium","High"},MATCH(MAX(COUNTIF($N$2:$N$1000,{"Low","Medium","High"})),COUNTIF($N$2:$N$1000,{"Low","Medium","High"}),0)),N920)</f>
        <v>Low</v>
      </c>
    </row>
    <row r="921" spans="1:15" x14ac:dyDescent="0.25">
      <c r="A921">
        <v>29</v>
      </c>
      <c r="B921">
        <f t="shared" si="42"/>
        <v>29</v>
      </c>
      <c r="F921">
        <v>48.89</v>
      </c>
      <c r="G921">
        <f t="shared" si="43"/>
        <v>48.89</v>
      </c>
      <c r="J921" t="s">
        <v>22</v>
      </c>
      <c r="K921" t="str">
        <f t="shared" si="44"/>
        <v>Not Returned</v>
      </c>
      <c r="N921" t="s">
        <v>34</v>
      </c>
      <c r="O921" t="str">
        <f>IF(N921="",INDEX({"Low","Medium","High"},MATCH(MAX(COUNTIF($N$2:$N$1000,{"Low","Medium","High"})),COUNTIF($N$2:$N$1000,{"Low","Medium","High"}),0)),N921)</f>
        <v>High</v>
      </c>
    </row>
    <row r="922" spans="1:15" x14ac:dyDescent="0.25">
      <c r="A922">
        <v>38</v>
      </c>
      <c r="B922">
        <f t="shared" si="42"/>
        <v>38</v>
      </c>
      <c r="F922">
        <v>31.25</v>
      </c>
      <c r="G922">
        <f t="shared" si="43"/>
        <v>31.25</v>
      </c>
      <c r="J922" t="s">
        <v>22</v>
      </c>
      <c r="K922" t="str">
        <f t="shared" si="44"/>
        <v>Not Returned</v>
      </c>
      <c r="N922" t="s">
        <v>25</v>
      </c>
      <c r="O922" t="str">
        <f>IF(N922="",INDEX({"Low","Medium","High"},MATCH(MAX(COUNTIF($N$2:$N$1000,{"Low","Medium","High"})),COUNTIF($N$2:$N$1000,{"Low","Medium","High"}),0)),N922)</f>
        <v>Low</v>
      </c>
    </row>
    <row r="923" spans="1:15" x14ac:dyDescent="0.25">
      <c r="A923">
        <v>23</v>
      </c>
      <c r="B923">
        <f t="shared" si="42"/>
        <v>23</v>
      </c>
      <c r="F923">
        <v>91.36</v>
      </c>
      <c r="G923">
        <f t="shared" si="43"/>
        <v>91.36</v>
      </c>
      <c r="J923" t="s">
        <v>22</v>
      </c>
      <c r="K923" t="str">
        <f t="shared" si="44"/>
        <v>Not Returned</v>
      </c>
      <c r="N923" t="s">
        <v>34</v>
      </c>
      <c r="O923" t="str">
        <f>IF(N923="",INDEX({"Low","Medium","High"},MATCH(MAX(COUNTIF($N$2:$N$1000,{"Low","Medium","High"})),COUNTIF($N$2:$N$1000,{"Low","Medium","High"}),0)),N923)</f>
        <v>High</v>
      </c>
    </row>
    <row r="924" spans="1:15" x14ac:dyDescent="0.25">
      <c r="A924">
        <v>10</v>
      </c>
      <c r="B924">
        <f t="shared" si="42"/>
        <v>10</v>
      </c>
      <c r="F924">
        <v>98.02</v>
      </c>
      <c r="G924">
        <f t="shared" si="43"/>
        <v>98.02</v>
      </c>
      <c r="J924" t="s">
        <v>22</v>
      </c>
      <c r="K924" t="str">
        <f t="shared" si="44"/>
        <v>Not Returned</v>
      </c>
      <c r="N924" t="s">
        <v>34</v>
      </c>
      <c r="O924" t="str">
        <f>IF(N924="",INDEX({"Low","Medium","High"},MATCH(MAX(COUNTIF($N$2:$N$1000,{"Low","Medium","High"})),COUNTIF($N$2:$N$1000,{"Low","Medium","High"}),0)),N924)</f>
        <v>High</v>
      </c>
    </row>
    <row r="925" spans="1:15" x14ac:dyDescent="0.25">
      <c r="A925">
        <v>12</v>
      </c>
      <c r="B925">
        <f t="shared" si="42"/>
        <v>12</v>
      </c>
      <c r="F925">
        <v>29.65</v>
      </c>
      <c r="G925">
        <f t="shared" si="43"/>
        <v>29.65</v>
      </c>
      <c r="J925" t="s">
        <v>22</v>
      </c>
      <c r="K925" t="str">
        <f t="shared" si="44"/>
        <v>Not Returned</v>
      </c>
      <c r="N925" t="s">
        <v>25</v>
      </c>
      <c r="O925" t="str">
        <f>IF(N925="",INDEX({"Low","Medium","High"},MATCH(MAX(COUNTIF($N$2:$N$1000,{"Low","Medium","High"})),COUNTIF($N$2:$N$1000,{"Low","Medium","High"}),0)),N925)</f>
        <v>Low</v>
      </c>
    </row>
    <row r="926" spans="1:15" x14ac:dyDescent="0.25">
      <c r="A926">
        <v>35</v>
      </c>
      <c r="B926">
        <f t="shared" si="42"/>
        <v>35</v>
      </c>
      <c r="F926">
        <v>73.55</v>
      </c>
      <c r="G926">
        <f t="shared" si="43"/>
        <v>73.55</v>
      </c>
      <c r="J926" t="s">
        <v>22</v>
      </c>
      <c r="K926" t="str">
        <f t="shared" si="44"/>
        <v>Not Returned</v>
      </c>
      <c r="N926" t="s">
        <v>25</v>
      </c>
      <c r="O926" t="str">
        <f>IF(N926="",INDEX({"Low","Medium","High"},MATCH(MAX(COUNTIF($N$2:$N$1000,{"Low","Medium","High"})),COUNTIF($N$2:$N$1000,{"Low","Medium","High"}),0)),N926)</f>
        <v>Low</v>
      </c>
    </row>
    <row r="927" spans="1:15" x14ac:dyDescent="0.25">
      <c r="A927">
        <v>47</v>
      </c>
      <c r="B927">
        <f t="shared" si="42"/>
        <v>47</v>
      </c>
      <c r="F927">
        <v>90.15</v>
      </c>
      <c r="G927">
        <f t="shared" si="43"/>
        <v>90.15</v>
      </c>
      <c r="J927" t="s">
        <v>22</v>
      </c>
      <c r="K927" t="str">
        <f t="shared" si="44"/>
        <v>Not Returned</v>
      </c>
      <c r="N927" t="s">
        <v>25</v>
      </c>
      <c r="O927" t="str">
        <f>IF(N927="",INDEX({"Low","Medium","High"},MATCH(MAX(COUNTIF($N$2:$N$1000,{"Low","Medium","High"})),COUNTIF($N$2:$N$1000,{"Low","Medium","High"}),0)),N927)</f>
        <v>Low</v>
      </c>
    </row>
    <row r="928" spans="1:15" x14ac:dyDescent="0.25">
      <c r="A928">
        <v>9</v>
      </c>
      <c r="B928">
        <f t="shared" si="42"/>
        <v>9</v>
      </c>
      <c r="F928">
        <v>33.83</v>
      </c>
      <c r="G928">
        <f t="shared" si="43"/>
        <v>33.83</v>
      </c>
      <c r="J928" t="s">
        <v>111</v>
      </c>
      <c r="K928" t="str">
        <f t="shared" si="44"/>
        <v>Returned</v>
      </c>
      <c r="N928" t="s">
        <v>25</v>
      </c>
      <c r="O928" t="str">
        <f>IF(N928="",INDEX({"Low","Medium","High"},MATCH(MAX(COUNTIF($N$2:$N$1000,{"Low","Medium","High"})),COUNTIF($N$2:$N$1000,{"Low","Medium","High"}),0)),N928)</f>
        <v>Low</v>
      </c>
    </row>
    <row r="929" spans="1:15" x14ac:dyDescent="0.25">
      <c r="A929">
        <v>11</v>
      </c>
      <c r="B929">
        <f t="shared" si="42"/>
        <v>11</v>
      </c>
      <c r="F929">
        <v>49.12</v>
      </c>
      <c r="G929">
        <f t="shared" si="43"/>
        <v>49.12</v>
      </c>
      <c r="J929" t="s">
        <v>22</v>
      </c>
      <c r="K929" t="str">
        <f t="shared" si="44"/>
        <v>Not Returned</v>
      </c>
      <c r="N929" t="s">
        <v>34</v>
      </c>
      <c r="O929" t="str">
        <f>IF(N929="",INDEX({"Low","Medium","High"},MATCH(MAX(COUNTIF($N$2:$N$1000,{"Low","Medium","High"})),COUNTIF($N$2:$N$1000,{"Low","Medium","High"}),0)),N929)</f>
        <v>High</v>
      </c>
    </row>
    <row r="930" spans="1:15" x14ac:dyDescent="0.25">
      <c r="A930">
        <v>38</v>
      </c>
      <c r="B930">
        <f t="shared" si="42"/>
        <v>38</v>
      </c>
      <c r="F930">
        <v>82.21</v>
      </c>
      <c r="G930">
        <f t="shared" si="43"/>
        <v>82.21</v>
      </c>
      <c r="J930" t="s">
        <v>111</v>
      </c>
      <c r="K930" t="str">
        <f t="shared" si="44"/>
        <v>Returned</v>
      </c>
      <c r="N930" t="s">
        <v>25</v>
      </c>
      <c r="O930" t="str">
        <f>IF(N930="",INDEX({"Low","Medium","High"},MATCH(MAX(COUNTIF($N$2:$N$1000,{"Low","Medium","High"})),COUNTIF($N$2:$N$1000,{"Low","Medium","High"}),0)),N930)</f>
        <v>Low</v>
      </c>
    </row>
    <row r="931" spans="1:15" x14ac:dyDescent="0.25">
      <c r="A931">
        <v>4</v>
      </c>
      <c r="B931">
        <f t="shared" si="42"/>
        <v>4</v>
      </c>
      <c r="F931">
        <v>84.49</v>
      </c>
      <c r="G931">
        <f t="shared" si="43"/>
        <v>84.49</v>
      </c>
      <c r="J931" t="s">
        <v>111</v>
      </c>
      <c r="K931" t="str">
        <f t="shared" si="44"/>
        <v>Returned</v>
      </c>
      <c r="N931" t="s">
        <v>40</v>
      </c>
      <c r="O931" t="str">
        <f>IF(N931="",INDEX({"Low","Medium","High"},MATCH(MAX(COUNTIF($N$2:$N$1000,{"Low","Medium","High"})),COUNTIF($N$2:$N$1000,{"Low","Medium","High"}),0)),N931)</f>
        <v>Medium</v>
      </c>
    </row>
    <row r="932" spans="1:15" x14ac:dyDescent="0.25">
      <c r="A932">
        <v>19</v>
      </c>
      <c r="B932">
        <f t="shared" si="42"/>
        <v>19</v>
      </c>
      <c r="F932">
        <v>25.01</v>
      </c>
      <c r="G932">
        <f t="shared" si="43"/>
        <v>25.01</v>
      </c>
      <c r="J932" t="s">
        <v>22</v>
      </c>
      <c r="K932" t="str">
        <f t="shared" si="44"/>
        <v>Not Returned</v>
      </c>
      <c r="N932" t="s">
        <v>34</v>
      </c>
      <c r="O932" t="str">
        <f>IF(N932="",INDEX({"Low","Medium","High"},MATCH(MAX(COUNTIF($N$2:$N$1000,{"Low","Medium","High"})),COUNTIF($N$2:$N$1000,{"Low","Medium","High"}),0)),N932)</f>
        <v>High</v>
      </c>
    </row>
    <row r="933" spans="1:15" x14ac:dyDescent="0.25">
      <c r="A933">
        <v>21</v>
      </c>
      <c r="B933">
        <f t="shared" si="42"/>
        <v>21</v>
      </c>
      <c r="F933">
        <v>34.979999999999997</v>
      </c>
      <c r="G933">
        <f t="shared" si="43"/>
        <v>34.979999999999997</v>
      </c>
      <c r="J933" t="s">
        <v>111</v>
      </c>
      <c r="K933" t="str">
        <f t="shared" si="44"/>
        <v>Returned</v>
      </c>
      <c r="N933" t="s">
        <v>25</v>
      </c>
      <c r="O933" t="str">
        <f>IF(N933="",INDEX({"Low","Medium","High"},MATCH(MAX(COUNTIF($N$2:$N$1000,{"Low","Medium","High"})),COUNTIF($N$2:$N$1000,{"Low","Medium","High"}),0)),N933)</f>
        <v>Low</v>
      </c>
    </row>
    <row r="934" spans="1:15" x14ac:dyDescent="0.25">
      <c r="A934">
        <v>6</v>
      </c>
      <c r="B934">
        <f t="shared" si="42"/>
        <v>6</v>
      </c>
      <c r="F934">
        <v>47.46</v>
      </c>
      <c r="G934">
        <f t="shared" si="43"/>
        <v>47.46</v>
      </c>
      <c r="J934" t="s">
        <v>111</v>
      </c>
      <c r="K934" t="str">
        <f t="shared" si="44"/>
        <v>Returned</v>
      </c>
      <c r="N934" t="s">
        <v>40</v>
      </c>
      <c r="O934" t="str">
        <f>IF(N934="",INDEX({"Low","Medium","High"},MATCH(MAX(COUNTIF($N$2:$N$1000,{"Low","Medium","High"})),COUNTIF($N$2:$N$1000,{"Low","Medium","High"}),0)),N934)</f>
        <v>Medium</v>
      </c>
    </row>
    <row r="935" spans="1:15" x14ac:dyDescent="0.25">
      <c r="A935">
        <v>44</v>
      </c>
      <c r="B935">
        <f t="shared" si="42"/>
        <v>44</v>
      </c>
      <c r="F935">
        <v>94.77</v>
      </c>
      <c r="G935">
        <f t="shared" si="43"/>
        <v>94.77</v>
      </c>
      <c r="J935" t="s">
        <v>22</v>
      </c>
      <c r="K935" t="str">
        <f t="shared" si="44"/>
        <v>Not Returned</v>
      </c>
      <c r="N935" t="s">
        <v>34</v>
      </c>
      <c r="O935" t="str">
        <f>IF(N935="",INDEX({"Low","Medium","High"},MATCH(MAX(COUNTIF($N$2:$N$1000,{"Low","Medium","High"})),COUNTIF($N$2:$N$1000,{"Low","Medium","High"}),0)),N935)</f>
        <v>High</v>
      </c>
    </row>
    <row r="936" spans="1:15" x14ac:dyDescent="0.25">
      <c r="A936">
        <v>39</v>
      </c>
      <c r="B936">
        <f t="shared" si="42"/>
        <v>39</v>
      </c>
      <c r="F936">
        <v>40.57</v>
      </c>
      <c r="G936">
        <f t="shared" si="43"/>
        <v>40.57</v>
      </c>
      <c r="J936" t="s">
        <v>22</v>
      </c>
      <c r="K936" t="str">
        <f t="shared" si="44"/>
        <v>Not Returned</v>
      </c>
      <c r="N936" t="s">
        <v>25</v>
      </c>
      <c r="O936" t="str">
        <f>IF(N936="",INDEX({"Low","Medium","High"},MATCH(MAX(COUNTIF($N$2:$N$1000,{"Low","Medium","High"})),COUNTIF($N$2:$N$1000,{"Low","Medium","High"}),0)),N936)</f>
        <v>Low</v>
      </c>
    </row>
    <row r="937" spans="1:15" x14ac:dyDescent="0.25">
      <c r="A937">
        <v>7</v>
      </c>
      <c r="B937">
        <f t="shared" si="42"/>
        <v>7</v>
      </c>
      <c r="F937">
        <v>33.82</v>
      </c>
      <c r="G937">
        <f t="shared" si="43"/>
        <v>33.82</v>
      </c>
      <c r="J937" t="s">
        <v>22</v>
      </c>
      <c r="K937" t="str">
        <f t="shared" si="44"/>
        <v>Not Returned</v>
      </c>
      <c r="N937" t="s">
        <v>34</v>
      </c>
      <c r="O937" t="str">
        <f>IF(N937="",INDEX({"Low","Medium","High"},MATCH(MAX(COUNTIF($N$2:$N$1000,{"Low","Medium","High"})),COUNTIF($N$2:$N$1000,{"Low","Medium","High"}),0)),N937)</f>
        <v>High</v>
      </c>
    </row>
    <row r="938" spans="1:15" x14ac:dyDescent="0.25">
      <c r="A938">
        <v>45</v>
      </c>
      <c r="B938">
        <f t="shared" si="42"/>
        <v>45</v>
      </c>
      <c r="F938">
        <v>2.44</v>
      </c>
      <c r="G938">
        <f t="shared" si="43"/>
        <v>2.44</v>
      </c>
      <c r="J938" t="s">
        <v>22</v>
      </c>
      <c r="K938" t="str">
        <f t="shared" si="44"/>
        <v>Not Returned</v>
      </c>
      <c r="N938" t="s">
        <v>34</v>
      </c>
      <c r="O938" t="str">
        <f>IF(N938="",INDEX({"Low","Medium","High"},MATCH(MAX(COUNTIF($N$2:$N$1000,{"Low","Medium","High"})),COUNTIF($N$2:$N$1000,{"Low","Medium","High"}),0)),N938)</f>
        <v>High</v>
      </c>
    </row>
    <row r="939" spans="1:15" x14ac:dyDescent="0.25">
      <c r="A939">
        <v>36</v>
      </c>
      <c r="B939">
        <f t="shared" si="42"/>
        <v>36</v>
      </c>
      <c r="F939">
        <v>50.62</v>
      </c>
      <c r="G939">
        <f t="shared" si="43"/>
        <v>50.62</v>
      </c>
      <c r="J939" t="s">
        <v>22</v>
      </c>
      <c r="K939" t="str">
        <f t="shared" si="44"/>
        <v>Not Returned</v>
      </c>
      <c r="N939" t="s">
        <v>25</v>
      </c>
      <c r="O939" t="str">
        <f>IF(N939="",INDEX({"Low","Medium","High"},MATCH(MAX(COUNTIF($N$2:$N$1000,{"Low","Medium","High"})),COUNTIF($N$2:$N$1000,{"Low","Medium","High"}),0)),N939)</f>
        <v>Low</v>
      </c>
    </row>
    <row r="940" spans="1:15" x14ac:dyDescent="0.25">
      <c r="A940">
        <v>39</v>
      </c>
      <c r="B940">
        <f t="shared" si="42"/>
        <v>39</v>
      </c>
      <c r="F940">
        <v>89.21</v>
      </c>
      <c r="G940">
        <f t="shared" si="43"/>
        <v>89.21</v>
      </c>
      <c r="J940" t="s">
        <v>22</v>
      </c>
      <c r="K940" t="str">
        <f t="shared" si="44"/>
        <v>Not Returned</v>
      </c>
      <c r="N940" t="s">
        <v>34</v>
      </c>
      <c r="O940" t="str">
        <f>IF(N940="",INDEX({"Low","Medium","High"},MATCH(MAX(COUNTIF($N$2:$N$1000,{"Low","Medium","High"})),COUNTIF($N$2:$N$1000,{"Low","Medium","High"}),0)),N940)</f>
        <v>High</v>
      </c>
    </row>
    <row r="941" spans="1:15" x14ac:dyDescent="0.25">
      <c r="A941">
        <v>15</v>
      </c>
      <c r="B941">
        <f t="shared" si="42"/>
        <v>15</v>
      </c>
      <c r="F941">
        <v>68.260000000000005</v>
      </c>
      <c r="G941">
        <f t="shared" si="43"/>
        <v>68.260000000000005</v>
      </c>
      <c r="J941" t="s">
        <v>111</v>
      </c>
      <c r="K941" t="str">
        <f t="shared" si="44"/>
        <v>Returned</v>
      </c>
      <c r="N941" t="s">
        <v>40</v>
      </c>
      <c r="O941" t="str">
        <f>IF(N941="",INDEX({"Low","Medium","High"},MATCH(MAX(COUNTIF($N$2:$N$1000,{"Low","Medium","High"})),COUNTIF($N$2:$N$1000,{"Low","Medium","High"}),0)),N941)</f>
        <v>Medium</v>
      </c>
    </row>
    <row r="942" spans="1:15" x14ac:dyDescent="0.25">
      <c r="A942">
        <v>9</v>
      </c>
      <c r="B942">
        <f t="shared" si="42"/>
        <v>9</v>
      </c>
      <c r="F942">
        <v>24.45</v>
      </c>
      <c r="G942">
        <f t="shared" si="43"/>
        <v>24.45</v>
      </c>
      <c r="J942" t="s">
        <v>22</v>
      </c>
      <c r="K942" t="str">
        <f t="shared" si="44"/>
        <v>Not Returned</v>
      </c>
      <c r="N942" t="s">
        <v>34</v>
      </c>
      <c r="O942" t="str">
        <f>IF(N942="",INDEX({"Low","Medium","High"},MATCH(MAX(COUNTIF($N$2:$N$1000,{"Low","Medium","High"})),COUNTIF($N$2:$N$1000,{"Low","Medium","High"}),0)),N942)</f>
        <v>High</v>
      </c>
    </row>
    <row r="943" spans="1:15" x14ac:dyDescent="0.25">
      <c r="A943">
        <v>47</v>
      </c>
      <c r="B943">
        <f t="shared" si="42"/>
        <v>47</v>
      </c>
      <c r="F943">
        <v>12.24</v>
      </c>
      <c r="G943">
        <f t="shared" si="43"/>
        <v>12.24</v>
      </c>
      <c r="J943" t="s">
        <v>22</v>
      </c>
      <c r="K943" t="str">
        <f t="shared" si="44"/>
        <v>Not Returned</v>
      </c>
      <c r="N943" t="s">
        <v>34</v>
      </c>
      <c r="O943" t="str">
        <f>IF(N943="",INDEX({"Low","Medium","High"},MATCH(MAX(COUNTIF($N$2:$N$1000,{"Low","Medium","High"})),COUNTIF($N$2:$N$1000,{"Low","Medium","High"}),0)),N943)</f>
        <v>High</v>
      </c>
    </row>
    <row r="944" spans="1:15" x14ac:dyDescent="0.25">
      <c r="A944">
        <v>22</v>
      </c>
      <c r="B944">
        <f t="shared" si="42"/>
        <v>22</v>
      </c>
      <c r="F944">
        <v>37.89</v>
      </c>
      <c r="G944">
        <f t="shared" si="43"/>
        <v>37.89</v>
      </c>
      <c r="J944" t="s">
        <v>22</v>
      </c>
      <c r="K944" t="str">
        <f t="shared" si="44"/>
        <v>Not Returned</v>
      </c>
      <c r="N944" t="s">
        <v>25</v>
      </c>
      <c r="O944" t="str">
        <f>IF(N944="",INDEX({"Low","Medium","High"},MATCH(MAX(COUNTIF($N$2:$N$1000,{"Low","Medium","High"})),COUNTIF($N$2:$N$1000,{"Low","Medium","High"}),0)),N944)</f>
        <v>Low</v>
      </c>
    </row>
    <row r="945" spans="1:15" x14ac:dyDescent="0.25">
      <c r="A945">
        <v>11</v>
      </c>
      <c r="B945">
        <f t="shared" si="42"/>
        <v>11</v>
      </c>
      <c r="F945">
        <v>73.45</v>
      </c>
      <c r="G945">
        <f t="shared" si="43"/>
        <v>73.45</v>
      </c>
      <c r="J945" t="s">
        <v>22</v>
      </c>
      <c r="K945" t="str">
        <f t="shared" si="44"/>
        <v>Not Returned</v>
      </c>
      <c r="N945" t="s">
        <v>40</v>
      </c>
      <c r="O945" t="str">
        <f>IF(N945="",INDEX({"Low","Medium","High"},MATCH(MAX(COUNTIF($N$2:$N$1000,{"Low","Medium","High"})),COUNTIF($N$2:$N$1000,{"Low","Medium","High"}),0)),N945)</f>
        <v>Medium</v>
      </c>
    </row>
    <row r="946" spans="1:15" x14ac:dyDescent="0.25">
      <c r="A946">
        <v>35</v>
      </c>
      <c r="B946">
        <f t="shared" si="42"/>
        <v>35</v>
      </c>
      <c r="F946">
        <v>94.4</v>
      </c>
      <c r="G946">
        <f t="shared" si="43"/>
        <v>94.4</v>
      </c>
      <c r="J946" t="s">
        <v>111</v>
      </c>
      <c r="K946" t="str">
        <f t="shared" si="44"/>
        <v>Returned</v>
      </c>
      <c r="N946" t="s">
        <v>25</v>
      </c>
      <c r="O946" t="str">
        <f>IF(N946="",INDEX({"Low","Medium","High"},MATCH(MAX(COUNTIF($N$2:$N$1000,{"Low","Medium","High"})),COUNTIF($N$2:$N$1000,{"Low","Medium","High"}),0)),N946)</f>
        <v>Low</v>
      </c>
    </row>
    <row r="947" spans="1:15" x14ac:dyDescent="0.25">
      <c r="A947">
        <v>17</v>
      </c>
      <c r="B947">
        <f t="shared" si="42"/>
        <v>17</v>
      </c>
      <c r="F947">
        <v>39.29</v>
      </c>
      <c r="G947">
        <f t="shared" si="43"/>
        <v>39.29</v>
      </c>
      <c r="J947" t="s">
        <v>22</v>
      </c>
      <c r="K947" t="str">
        <f t="shared" si="44"/>
        <v>Not Returned</v>
      </c>
      <c r="N947" t="s">
        <v>25</v>
      </c>
      <c r="O947" t="str">
        <f>IF(N947="",INDEX({"Low","Medium","High"},MATCH(MAX(COUNTIF($N$2:$N$1000,{"Low","Medium","High"})),COUNTIF($N$2:$N$1000,{"Low","Medium","High"}),0)),N947)</f>
        <v>Low</v>
      </c>
    </row>
    <row r="948" spans="1:15" x14ac:dyDescent="0.25">
      <c r="A948">
        <v>9</v>
      </c>
      <c r="B948">
        <f t="shared" si="42"/>
        <v>9</v>
      </c>
      <c r="F948">
        <v>75.69</v>
      </c>
      <c r="G948">
        <f t="shared" si="43"/>
        <v>75.69</v>
      </c>
      <c r="J948" t="s">
        <v>111</v>
      </c>
      <c r="K948" t="str">
        <f t="shared" si="44"/>
        <v>Returned</v>
      </c>
      <c r="N948" t="s">
        <v>40</v>
      </c>
      <c r="O948" t="str">
        <f>IF(N948="",INDEX({"Low","Medium","High"},MATCH(MAX(COUNTIF($N$2:$N$1000,{"Low","Medium","High"})),COUNTIF($N$2:$N$1000,{"Low","Medium","High"}),0)),N948)</f>
        <v>Medium</v>
      </c>
    </row>
    <row r="949" spans="1:15" x14ac:dyDescent="0.25">
      <c r="A949">
        <v>34</v>
      </c>
      <c r="B949">
        <f t="shared" si="42"/>
        <v>34</v>
      </c>
      <c r="F949">
        <v>51.13</v>
      </c>
      <c r="G949">
        <f t="shared" si="43"/>
        <v>51.13</v>
      </c>
      <c r="J949" t="s">
        <v>22</v>
      </c>
      <c r="K949" t="str">
        <f t="shared" si="44"/>
        <v>Not Returned</v>
      </c>
      <c r="N949" t="s">
        <v>25</v>
      </c>
      <c r="O949" t="str">
        <f>IF(N949="",INDEX({"Low","Medium","High"},MATCH(MAX(COUNTIF($N$2:$N$1000,{"Low","Medium","High"})),COUNTIF($N$2:$N$1000,{"Low","Medium","High"}),0)),N949)</f>
        <v>Low</v>
      </c>
    </row>
    <row r="950" spans="1:15" x14ac:dyDescent="0.25">
      <c r="A950">
        <v>46</v>
      </c>
      <c r="B950">
        <f t="shared" si="42"/>
        <v>46</v>
      </c>
      <c r="F950">
        <v>53.87</v>
      </c>
      <c r="G950">
        <f t="shared" si="43"/>
        <v>53.87</v>
      </c>
      <c r="J950" t="s">
        <v>22</v>
      </c>
      <c r="K950" t="str">
        <f t="shared" si="44"/>
        <v>Not Returned</v>
      </c>
      <c r="N950" t="s">
        <v>40</v>
      </c>
      <c r="O950" t="str">
        <f>IF(N950="",INDEX({"Low","Medium","High"},MATCH(MAX(COUNTIF($N$2:$N$1000,{"Low","Medium","High"})),COUNTIF($N$2:$N$1000,{"Low","Medium","High"}),0)),N950)</f>
        <v>Medium</v>
      </c>
    </row>
    <row r="951" spans="1:15" x14ac:dyDescent="0.25">
      <c r="A951">
        <v>40</v>
      </c>
      <c r="B951">
        <f t="shared" si="42"/>
        <v>40</v>
      </c>
      <c r="F951">
        <v>27.85</v>
      </c>
      <c r="G951">
        <f t="shared" si="43"/>
        <v>27.85</v>
      </c>
      <c r="J951" t="s">
        <v>111</v>
      </c>
      <c r="K951" t="str">
        <f t="shared" si="44"/>
        <v>Returned</v>
      </c>
      <c r="N951" t="s">
        <v>25</v>
      </c>
      <c r="O951" t="str">
        <f>IF(N951="",INDEX({"Low","Medium","High"},MATCH(MAX(COUNTIF($N$2:$N$1000,{"Low","Medium","High"})),COUNTIF($N$2:$N$1000,{"Low","Medium","High"}),0)),N951)</f>
        <v>Low</v>
      </c>
    </row>
    <row r="952" spans="1:15" x14ac:dyDescent="0.25">
      <c r="A952">
        <v>30</v>
      </c>
      <c r="B952">
        <f t="shared" si="42"/>
        <v>30</v>
      </c>
      <c r="F952">
        <v>28.41</v>
      </c>
      <c r="G952">
        <f t="shared" si="43"/>
        <v>28.41</v>
      </c>
      <c r="J952" t="s">
        <v>22</v>
      </c>
      <c r="K952" t="str">
        <f t="shared" si="44"/>
        <v>Not Returned</v>
      </c>
      <c r="N952" t="s">
        <v>25</v>
      </c>
      <c r="O952" t="str">
        <f>IF(N952="",INDEX({"Low","Medium","High"},MATCH(MAX(COUNTIF($N$2:$N$1000,{"Low","Medium","High"})),COUNTIF($N$2:$N$1000,{"Low","Medium","High"}),0)),N952)</f>
        <v>Low</v>
      </c>
    </row>
    <row r="953" spans="1:15" x14ac:dyDescent="0.25">
      <c r="A953">
        <v>22</v>
      </c>
      <c r="B953">
        <f t="shared" si="42"/>
        <v>22</v>
      </c>
      <c r="F953">
        <v>58.35</v>
      </c>
      <c r="G953">
        <f t="shared" si="43"/>
        <v>58.35</v>
      </c>
      <c r="J953" t="s">
        <v>22</v>
      </c>
      <c r="K953" t="str">
        <f t="shared" si="44"/>
        <v>Not Returned</v>
      </c>
      <c r="N953" t="s">
        <v>40</v>
      </c>
      <c r="O953" t="str">
        <f>IF(N953="",INDEX({"Low","Medium","High"},MATCH(MAX(COUNTIF($N$2:$N$1000,{"Low","Medium","High"})),COUNTIF($N$2:$N$1000,{"Low","Medium","High"}),0)),N953)</f>
        <v>Medium</v>
      </c>
    </row>
    <row r="954" spans="1:15" x14ac:dyDescent="0.25">
      <c r="A954">
        <v>26</v>
      </c>
      <c r="B954">
        <f t="shared" si="42"/>
        <v>26</v>
      </c>
      <c r="F954">
        <v>40.28</v>
      </c>
      <c r="G954">
        <f t="shared" si="43"/>
        <v>40.28</v>
      </c>
      <c r="J954" t="s">
        <v>22</v>
      </c>
      <c r="K954" t="str">
        <f t="shared" si="44"/>
        <v>Not Returned</v>
      </c>
      <c r="N954" t="s">
        <v>34</v>
      </c>
      <c r="O954" t="str">
        <f>IF(N954="",INDEX({"Low","Medium","High"},MATCH(MAX(COUNTIF($N$2:$N$1000,{"Low","Medium","High"})),COUNTIF($N$2:$N$1000,{"Low","Medium","High"}),0)),N954)</f>
        <v>High</v>
      </c>
    </row>
    <row r="955" spans="1:15" x14ac:dyDescent="0.25">
      <c r="A955">
        <v>30</v>
      </c>
      <c r="B955">
        <f t="shared" si="42"/>
        <v>30</v>
      </c>
      <c r="F955">
        <v>30.92</v>
      </c>
      <c r="G955">
        <f t="shared" si="43"/>
        <v>30.92</v>
      </c>
      <c r="J955" t="s">
        <v>22</v>
      </c>
      <c r="K955" t="str">
        <f t="shared" si="44"/>
        <v>Not Returned</v>
      </c>
      <c r="N955" t="s">
        <v>25</v>
      </c>
      <c r="O955" t="str">
        <f>IF(N955="",INDEX({"Low","Medium","High"},MATCH(MAX(COUNTIF($N$2:$N$1000,{"Low","Medium","High"})),COUNTIF($N$2:$N$1000,{"Low","Medium","High"}),0)),N955)</f>
        <v>Low</v>
      </c>
    </row>
    <row r="956" spans="1:15" x14ac:dyDescent="0.25">
      <c r="A956">
        <v>12</v>
      </c>
      <c r="B956">
        <f t="shared" si="42"/>
        <v>12</v>
      </c>
      <c r="F956">
        <v>68.66</v>
      </c>
      <c r="G956">
        <f t="shared" si="43"/>
        <v>68.66</v>
      </c>
      <c r="J956" t="s">
        <v>22</v>
      </c>
      <c r="K956" t="str">
        <f t="shared" si="44"/>
        <v>Not Returned</v>
      </c>
      <c r="N956" t="s">
        <v>40</v>
      </c>
      <c r="O956" t="str">
        <f>IF(N956="",INDEX({"Low","Medium","High"},MATCH(MAX(COUNTIF($N$2:$N$1000,{"Low","Medium","High"})),COUNTIF($N$2:$N$1000,{"Low","Medium","High"}),0)),N956)</f>
        <v>Medium</v>
      </c>
    </row>
    <row r="957" spans="1:15" x14ac:dyDescent="0.25">
      <c r="A957">
        <v>36</v>
      </c>
      <c r="B957">
        <f t="shared" si="42"/>
        <v>36</v>
      </c>
      <c r="F957">
        <v>8.01</v>
      </c>
      <c r="G957">
        <f t="shared" si="43"/>
        <v>8.01</v>
      </c>
      <c r="J957" t="s">
        <v>22</v>
      </c>
      <c r="K957" t="str">
        <f t="shared" si="44"/>
        <v>Not Returned</v>
      </c>
      <c r="N957" t="s">
        <v>25</v>
      </c>
      <c r="O957" t="str">
        <f>IF(N957="",INDEX({"Low","Medium","High"},MATCH(MAX(COUNTIF($N$2:$N$1000,{"Low","Medium","High"})),COUNTIF($N$2:$N$1000,{"Low","Medium","High"}),0)),N957)</f>
        <v>Low</v>
      </c>
    </row>
    <row r="958" spans="1:15" x14ac:dyDescent="0.25">
      <c r="A958">
        <v>7</v>
      </c>
      <c r="B958">
        <f t="shared" si="42"/>
        <v>7</v>
      </c>
      <c r="F958">
        <v>14.63</v>
      </c>
      <c r="G958">
        <f t="shared" si="43"/>
        <v>14.63</v>
      </c>
      <c r="J958" t="s">
        <v>22</v>
      </c>
      <c r="K958" t="str">
        <f t="shared" si="44"/>
        <v>Not Returned</v>
      </c>
      <c r="N958" t="s">
        <v>40</v>
      </c>
      <c r="O958" t="str">
        <f>IF(N958="",INDEX({"Low","Medium","High"},MATCH(MAX(COUNTIF($N$2:$N$1000,{"Low","Medium","High"})),COUNTIF($N$2:$N$1000,{"Low","Medium","High"}),0)),N958)</f>
        <v>Medium</v>
      </c>
    </row>
    <row r="959" spans="1:15" x14ac:dyDescent="0.25">
      <c r="A959">
        <v>41</v>
      </c>
      <c r="B959">
        <f t="shared" si="42"/>
        <v>41</v>
      </c>
      <c r="F959">
        <v>15.86</v>
      </c>
      <c r="G959">
        <f t="shared" si="43"/>
        <v>15.86</v>
      </c>
      <c r="J959" t="s">
        <v>22</v>
      </c>
      <c r="K959" t="str">
        <f t="shared" si="44"/>
        <v>Not Returned</v>
      </c>
      <c r="N959" t="s">
        <v>40</v>
      </c>
      <c r="O959" t="str">
        <f>IF(N959="",INDEX({"Low","Medium","High"},MATCH(MAX(COUNTIF($N$2:$N$1000,{"Low","Medium","High"})),COUNTIF($N$2:$N$1000,{"Low","Medium","High"}),0)),N959)</f>
        <v>Medium</v>
      </c>
    </row>
    <row r="960" spans="1:15" x14ac:dyDescent="0.25">
      <c r="A960">
        <v>2</v>
      </c>
      <c r="B960">
        <f t="shared" si="42"/>
        <v>2</v>
      </c>
      <c r="F960">
        <v>38.04</v>
      </c>
      <c r="G960">
        <f t="shared" si="43"/>
        <v>38.04</v>
      </c>
      <c r="J960" t="s">
        <v>22</v>
      </c>
      <c r="K960" t="str">
        <f t="shared" si="44"/>
        <v>Not Returned</v>
      </c>
      <c r="N960" t="s">
        <v>25</v>
      </c>
      <c r="O960" t="str">
        <f>IF(N960="",INDEX({"Low","Medium","High"},MATCH(MAX(COUNTIF($N$2:$N$1000,{"Low","Medium","High"})),COUNTIF($N$2:$N$1000,{"Low","Medium","High"}),0)),N960)</f>
        <v>Low</v>
      </c>
    </row>
    <row r="961" spans="1:15" x14ac:dyDescent="0.25">
      <c r="A961">
        <v>21</v>
      </c>
      <c r="B961">
        <f t="shared" si="42"/>
        <v>21</v>
      </c>
      <c r="F961">
        <v>91.56</v>
      </c>
      <c r="G961">
        <f t="shared" si="43"/>
        <v>91.56</v>
      </c>
      <c r="J961" t="s">
        <v>22</v>
      </c>
      <c r="K961" t="str">
        <f t="shared" si="44"/>
        <v>Not Returned</v>
      </c>
      <c r="N961" t="s">
        <v>34</v>
      </c>
      <c r="O961" t="str">
        <f>IF(N961="",INDEX({"Low","Medium","High"},MATCH(MAX(COUNTIF($N$2:$N$1000,{"Low","Medium","High"})),COUNTIF($N$2:$N$1000,{"Low","Medium","High"}),0)),N961)</f>
        <v>High</v>
      </c>
    </row>
    <row r="962" spans="1:15" x14ac:dyDescent="0.25">
      <c r="A962">
        <v>27</v>
      </c>
      <c r="B962">
        <f t="shared" ref="B962:B999" si="45">IF(A962="",ROUNDUP(AVERAGE($A$2:$A$1000),0),A962)</f>
        <v>27</v>
      </c>
      <c r="F962">
        <v>92.38</v>
      </c>
      <c r="G962">
        <f t="shared" si="43"/>
        <v>92.38</v>
      </c>
      <c r="J962" t="s">
        <v>22</v>
      </c>
      <c r="K962" t="str">
        <f t="shared" si="44"/>
        <v>Not Returned</v>
      </c>
      <c r="N962" t="s">
        <v>40</v>
      </c>
      <c r="O962" t="str">
        <f>IF(N962="",INDEX({"Low","Medium","High"},MATCH(MAX(COUNTIF($N$2:$N$1000,{"Low","Medium","High"})),COUNTIF($N$2:$N$1000,{"Low","Medium","High"}),0)),N962)</f>
        <v>Medium</v>
      </c>
    </row>
    <row r="963" spans="1:15" x14ac:dyDescent="0.25">
      <c r="A963">
        <v>1</v>
      </c>
      <c r="B963">
        <f t="shared" si="45"/>
        <v>1</v>
      </c>
      <c r="F963">
        <v>47.9</v>
      </c>
      <c r="G963">
        <f t="shared" ref="G963:G1000" si="46">IF(F963="",ROUNDUP(AVERAGE($F$2:$F$1000),0),F963)</f>
        <v>47.9</v>
      </c>
      <c r="J963" t="s">
        <v>22</v>
      </c>
      <c r="K963" t="str">
        <f t="shared" ref="K963:K1000" si="47">IF(J963="","Unknown",J963)</f>
        <v>Not Returned</v>
      </c>
      <c r="N963" t="s">
        <v>34</v>
      </c>
      <c r="O963" t="str">
        <f>IF(N963="",INDEX({"Low","Medium","High"},MATCH(MAX(COUNTIF($N$2:$N$1000,{"Low","Medium","High"})),COUNTIF($N$2:$N$1000,{"Low","Medium","High"}),0)),N963)</f>
        <v>High</v>
      </c>
    </row>
    <row r="964" spans="1:15" x14ac:dyDescent="0.25">
      <c r="A964">
        <v>14</v>
      </c>
      <c r="B964">
        <f t="shared" si="45"/>
        <v>14</v>
      </c>
      <c r="F964">
        <v>2.78</v>
      </c>
      <c r="G964">
        <f t="shared" si="46"/>
        <v>2.78</v>
      </c>
      <c r="J964" t="s">
        <v>22</v>
      </c>
      <c r="K964" t="str">
        <f t="shared" si="47"/>
        <v>Not Returned</v>
      </c>
      <c r="N964" t="s">
        <v>34</v>
      </c>
      <c r="O964" t="str">
        <f>IF(N964="",INDEX({"Low","Medium","High"},MATCH(MAX(COUNTIF($N$2:$N$1000,{"Low","Medium","High"})),COUNTIF($N$2:$N$1000,{"Low","Medium","High"}),0)),N964)</f>
        <v>High</v>
      </c>
    </row>
    <row r="965" spans="1:15" x14ac:dyDescent="0.25">
      <c r="A965">
        <v>49</v>
      </c>
      <c r="B965">
        <f t="shared" si="45"/>
        <v>49</v>
      </c>
      <c r="F965">
        <v>38.22</v>
      </c>
      <c r="G965">
        <f t="shared" si="46"/>
        <v>38.22</v>
      </c>
      <c r="J965" t="s">
        <v>22</v>
      </c>
      <c r="K965" t="str">
        <f t="shared" si="47"/>
        <v>Not Returned</v>
      </c>
      <c r="N965" t="s">
        <v>25</v>
      </c>
      <c r="O965" t="str">
        <f>IF(N965="",INDEX({"Low","Medium","High"},MATCH(MAX(COUNTIF($N$2:$N$1000,{"Low","Medium","High"})),COUNTIF($N$2:$N$1000,{"Low","Medium","High"}),0)),N965)</f>
        <v>Low</v>
      </c>
    </row>
    <row r="966" spans="1:15" x14ac:dyDescent="0.25">
      <c r="A966">
        <v>2</v>
      </c>
      <c r="B966">
        <f t="shared" si="45"/>
        <v>2</v>
      </c>
      <c r="F966">
        <v>81.39</v>
      </c>
      <c r="G966">
        <f t="shared" si="46"/>
        <v>81.39</v>
      </c>
      <c r="J966" t="s">
        <v>22</v>
      </c>
      <c r="K966" t="str">
        <f t="shared" si="47"/>
        <v>Not Returned</v>
      </c>
      <c r="N966" t="s">
        <v>40</v>
      </c>
      <c r="O966" t="str">
        <f>IF(N966="",INDEX({"Low","Medium","High"},MATCH(MAX(COUNTIF($N$2:$N$1000,{"Low","Medium","High"})),COUNTIF($N$2:$N$1000,{"Low","Medium","High"}),0)),N966)</f>
        <v>Medium</v>
      </c>
    </row>
    <row r="967" spans="1:15" x14ac:dyDescent="0.25">
      <c r="A967">
        <v>23</v>
      </c>
      <c r="B967">
        <f t="shared" si="45"/>
        <v>23</v>
      </c>
      <c r="F967">
        <v>19.670000000000002</v>
      </c>
      <c r="G967">
        <f t="shared" si="46"/>
        <v>19.670000000000002</v>
      </c>
      <c r="J967" t="s">
        <v>22</v>
      </c>
      <c r="K967" t="str">
        <f t="shared" si="47"/>
        <v>Not Returned</v>
      </c>
      <c r="N967" t="s">
        <v>34</v>
      </c>
      <c r="O967" t="str">
        <f>IF(N967="",INDEX({"Low","Medium","High"},MATCH(MAX(COUNTIF($N$2:$N$1000,{"Low","Medium","High"})),COUNTIF($N$2:$N$1000,{"Low","Medium","High"}),0)),N967)</f>
        <v>High</v>
      </c>
    </row>
    <row r="968" spans="1:15" x14ac:dyDescent="0.25">
      <c r="A968">
        <v>26</v>
      </c>
      <c r="B968">
        <f t="shared" si="45"/>
        <v>26</v>
      </c>
      <c r="F968">
        <v>79.849999999999994</v>
      </c>
      <c r="G968">
        <f t="shared" si="46"/>
        <v>79.849999999999994</v>
      </c>
      <c r="J968" t="s">
        <v>22</v>
      </c>
      <c r="K968" t="str">
        <f t="shared" si="47"/>
        <v>Not Returned</v>
      </c>
      <c r="N968" t="s">
        <v>34</v>
      </c>
      <c r="O968" t="str">
        <f>IF(N968="",INDEX({"Low","Medium","High"},MATCH(MAX(COUNTIF($N$2:$N$1000,{"Low","Medium","High"})),COUNTIF($N$2:$N$1000,{"Low","Medium","High"}),0)),N968)</f>
        <v>High</v>
      </c>
    </row>
    <row r="969" spans="1:15" x14ac:dyDescent="0.25">
      <c r="A969">
        <v>25</v>
      </c>
      <c r="B969">
        <f t="shared" si="45"/>
        <v>25</v>
      </c>
      <c r="F969">
        <v>92.61</v>
      </c>
      <c r="G969">
        <f t="shared" si="46"/>
        <v>92.61</v>
      </c>
      <c r="J969" t="s">
        <v>22</v>
      </c>
      <c r="K969" t="str">
        <f t="shared" si="47"/>
        <v>Not Returned</v>
      </c>
      <c r="N969" t="s">
        <v>40</v>
      </c>
      <c r="O969" t="str">
        <f>IF(N969="",INDEX({"Low","Medium","High"},MATCH(MAX(COUNTIF($N$2:$N$1000,{"Low","Medium","High"})),COUNTIF($N$2:$N$1000,{"Low","Medium","High"}),0)),N969)</f>
        <v>Medium</v>
      </c>
    </row>
    <row r="970" spans="1:15" x14ac:dyDescent="0.25">
      <c r="A970">
        <v>15</v>
      </c>
      <c r="B970">
        <f t="shared" si="45"/>
        <v>15</v>
      </c>
      <c r="F970">
        <v>84.36</v>
      </c>
      <c r="G970">
        <f t="shared" si="46"/>
        <v>84.36</v>
      </c>
      <c r="J970" t="s">
        <v>22</v>
      </c>
      <c r="K970" t="str">
        <f t="shared" si="47"/>
        <v>Not Returned</v>
      </c>
      <c r="N970" t="s">
        <v>40</v>
      </c>
      <c r="O970" t="str">
        <f>IF(N970="",INDEX({"Low","Medium","High"},MATCH(MAX(COUNTIF($N$2:$N$1000,{"Low","Medium","High"})),COUNTIF($N$2:$N$1000,{"Low","Medium","High"}),0)),N970)</f>
        <v>Medium</v>
      </c>
    </row>
    <row r="971" spans="1:15" x14ac:dyDescent="0.25">
      <c r="A971">
        <v>29</v>
      </c>
      <c r="B971">
        <f t="shared" si="45"/>
        <v>29</v>
      </c>
      <c r="F971">
        <v>3.93</v>
      </c>
      <c r="G971">
        <f t="shared" si="46"/>
        <v>3.93</v>
      </c>
      <c r="J971" t="s">
        <v>22</v>
      </c>
      <c r="K971" t="str">
        <f t="shared" si="47"/>
        <v>Not Returned</v>
      </c>
      <c r="N971" t="s">
        <v>40</v>
      </c>
      <c r="O971" t="str">
        <f>IF(N971="",INDEX({"Low","Medium","High"},MATCH(MAX(COUNTIF($N$2:$N$1000,{"Low","Medium","High"})),COUNTIF($N$2:$N$1000,{"Low","Medium","High"}),0)),N971)</f>
        <v>Medium</v>
      </c>
    </row>
    <row r="972" spans="1:15" x14ac:dyDescent="0.25">
      <c r="A972">
        <v>28</v>
      </c>
      <c r="B972">
        <f t="shared" si="45"/>
        <v>28</v>
      </c>
      <c r="F972">
        <v>80.510000000000005</v>
      </c>
      <c r="G972">
        <f t="shared" si="46"/>
        <v>80.510000000000005</v>
      </c>
      <c r="J972" t="s">
        <v>22</v>
      </c>
      <c r="K972" t="str">
        <f t="shared" si="47"/>
        <v>Not Returned</v>
      </c>
      <c r="N972" t="s">
        <v>40</v>
      </c>
      <c r="O972" t="str">
        <f>IF(N972="",INDEX({"Low","Medium","High"},MATCH(MAX(COUNTIF($N$2:$N$1000,{"Low","Medium","High"})),COUNTIF($N$2:$N$1000,{"Low","Medium","High"}),0)),N972)</f>
        <v>Medium</v>
      </c>
    </row>
    <row r="973" spans="1:15" x14ac:dyDescent="0.25">
      <c r="A973">
        <v>39</v>
      </c>
      <c r="B973">
        <f t="shared" si="45"/>
        <v>39</v>
      </c>
      <c r="F973">
        <v>77.77</v>
      </c>
      <c r="G973">
        <f t="shared" si="46"/>
        <v>77.77</v>
      </c>
      <c r="J973" t="s">
        <v>22</v>
      </c>
      <c r="K973" t="str">
        <f t="shared" si="47"/>
        <v>Not Returned</v>
      </c>
      <c r="N973" t="s">
        <v>34</v>
      </c>
      <c r="O973" t="str">
        <f>IF(N973="",INDEX({"Low","Medium","High"},MATCH(MAX(COUNTIF($N$2:$N$1000,{"Low","Medium","High"})),COUNTIF($N$2:$N$1000,{"Low","Medium","High"}),0)),N973)</f>
        <v>High</v>
      </c>
    </row>
    <row r="974" spans="1:15" x14ac:dyDescent="0.25">
      <c r="A974">
        <v>48</v>
      </c>
      <c r="B974">
        <f t="shared" si="45"/>
        <v>48</v>
      </c>
      <c r="F974">
        <v>24.25</v>
      </c>
      <c r="G974">
        <f t="shared" si="46"/>
        <v>24.25</v>
      </c>
      <c r="J974" t="s">
        <v>22</v>
      </c>
      <c r="K974" t="str">
        <f t="shared" si="47"/>
        <v>Not Returned</v>
      </c>
      <c r="N974" t="s">
        <v>34</v>
      </c>
      <c r="O974" t="str">
        <f>IF(N974="",INDEX({"Low","Medium","High"},MATCH(MAX(COUNTIF($N$2:$N$1000,{"Low","Medium","High"})),COUNTIF($N$2:$N$1000,{"Low","Medium","High"}),0)),N974)</f>
        <v>High</v>
      </c>
    </row>
    <row r="975" spans="1:15" x14ac:dyDescent="0.25">
      <c r="A975">
        <v>4</v>
      </c>
      <c r="B975">
        <f t="shared" si="45"/>
        <v>4</v>
      </c>
      <c r="F975">
        <v>56.93</v>
      </c>
      <c r="G975">
        <f t="shared" si="46"/>
        <v>56.93</v>
      </c>
      <c r="J975" t="s">
        <v>111</v>
      </c>
      <c r="K975" t="str">
        <f t="shared" si="47"/>
        <v>Returned</v>
      </c>
      <c r="N975" t="s">
        <v>34</v>
      </c>
      <c r="O975" t="str">
        <f>IF(N975="",INDEX({"Low","Medium","High"},MATCH(MAX(COUNTIF($N$2:$N$1000,{"Low","Medium","High"})),COUNTIF($N$2:$N$1000,{"Low","Medium","High"}),0)),N975)</f>
        <v>High</v>
      </c>
    </row>
    <row r="976" spans="1:15" x14ac:dyDescent="0.25">
      <c r="A976">
        <v>30</v>
      </c>
      <c r="B976">
        <f t="shared" si="45"/>
        <v>30</v>
      </c>
      <c r="F976">
        <v>28.9</v>
      </c>
      <c r="G976">
        <f t="shared" si="46"/>
        <v>28.9</v>
      </c>
      <c r="J976" t="s">
        <v>22</v>
      </c>
      <c r="K976" t="str">
        <f t="shared" si="47"/>
        <v>Not Returned</v>
      </c>
      <c r="N976" t="s">
        <v>25</v>
      </c>
      <c r="O976" t="str">
        <f>IF(N976="",INDEX({"Low","Medium","High"},MATCH(MAX(COUNTIF($N$2:$N$1000,{"Low","Medium","High"})),COUNTIF($N$2:$N$1000,{"Low","Medium","High"}),0)),N976)</f>
        <v>Low</v>
      </c>
    </row>
    <row r="977" spans="1:15" x14ac:dyDescent="0.25">
      <c r="A977">
        <v>47</v>
      </c>
      <c r="B977">
        <f t="shared" si="45"/>
        <v>47</v>
      </c>
      <c r="F977">
        <v>36.57</v>
      </c>
      <c r="G977">
        <f t="shared" si="46"/>
        <v>36.57</v>
      </c>
      <c r="J977" t="s">
        <v>22</v>
      </c>
      <c r="K977" t="str">
        <f t="shared" si="47"/>
        <v>Not Returned</v>
      </c>
      <c r="N977" t="s">
        <v>40</v>
      </c>
      <c r="O977" t="str">
        <f>IF(N977="",INDEX({"Low","Medium","High"},MATCH(MAX(COUNTIF($N$2:$N$1000,{"Low","Medium","High"})),COUNTIF($N$2:$N$1000,{"Low","Medium","High"}),0)),N977)</f>
        <v>Medium</v>
      </c>
    </row>
    <row r="978" spans="1:15" x14ac:dyDescent="0.25">
      <c r="A978">
        <v>10</v>
      </c>
      <c r="B978">
        <f t="shared" si="45"/>
        <v>10</v>
      </c>
      <c r="F978">
        <v>2.6</v>
      </c>
      <c r="G978">
        <f t="shared" si="46"/>
        <v>2.6</v>
      </c>
      <c r="J978" t="s">
        <v>22</v>
      </c>
      <c r="K978" t="str">
        <f t="shared" si="47"/>
        <v>Not Returned</v>
      </c>
      <c r="N978" t="s">
        <v>25</v>
      </c>
      <c r="O978" t="str">
        <f>IF(N978="",INDEX({"Low","Medium","High"},MATCH(MAX(COUNTIF($N$2:$N$1000,{"Low","Medium","High"})),COUNTIF($N$2:$N$1000,{"Low","Medium","High"}),0)),N978)</f>
        <v>Low</v>
      </c>
    </row>
    <row r="979" spans="1:15" x14ac:dyDescent="0.25">
      <c r="A979">
        <v>42</v>
      </c>
      <c r="B979">
        <f t="shared" si="45"/>
        <v>42</v>
      </c>
      <c r="F979">
        <v>35.18</v>
      </c>
      <c r="G979">
        <f t="shared" si="46"/>
        <v>35.18</v>
      </c>
      <c r="J979" t="s">
        <v>22</v>
      </c>
      <c r="K979" t="str">
        <f t="shared" si="47"/>
        <v>Not Returned</v>
      </c>
      <c r="N979" t="s">
        <v>25</v>
      </c>
      <c r="O979" t="str">
        <f>IF(N979="",INDEX({"Low","Medium","High"},MATCH(MAX(COUNTIF($N$2:$N$1000,{"Low","Medium","High"})),COUNTIF($N$2:$N$1000,{"Low","Medium","High"}),0)),N979)</f>
        <v>Low</v>
      </c>
    </row>
    <row r="980" spans="1:15" x14ac:dyDescent="0.25">
      <c r="A980">
        <v>10</v>
      </c>
      <c r="B980">
        <f t="shared" si="45"/>
        <v>10</v>
      </c>
      <c r="F980">
        <v>13.85</v>
      </c>
      <c r="G980">
        <f t="shared" si="46"/>
        <v>13.85</v>
      </c>
      <c r="J980" t="s">
        <v>22</v>
      </c>
      <c r="K980" t="str">
        <f t="shared" si="47"/>
        <v>Not Returned</v>
      </c>
      <c r="N980" t="s">
        <v>34</v>
      </c>
      <c r="O980" t="str">
        <f>IF(N980="",INDEX({"Low","Medium","High"},MATCH(MAX(COUNTIF($N$2:$N$1000,{"Low","Medium","High"})),COUNTIF($N$2:$N$1000,{"Low","Medium","High"}),0)),N980)</f>
        <v>High</v>
      </c>
    </row>
    <row r="981" spans="1:15" x14ac:dyDescent="0.25">
      <c r="A981">
        <v>22</v>
      </c>
      <c r="B981">
        <f t="shared" si="45"/>
        <v>22</v>
      </c>
      <c r="F981">
        <v>92.26</v>
      </c>
      <c r="G981">
        <f t="shared" si="46"/>
        <v>92.26</v>
      </c>
      <c r="J981" t="s">
        <v>22</v>
      </c>
      <c r="K981" t="str">
        <f t="shared" si="47"/>
        <v>Not Returned</v>
      </c>
      <c r="N981" t="s">
        <v>40</v>
      </c>
      <c r="O981" t="str">
        <f>IF(N981="",INDEX({"Low","Medium","High"},MATCH(MAX(COUNTIF($N$2:$N$1000,{"Low","Medium","High"})),COUNTIF($N$2:$N$1000,{"Low","Medium","High"}),0)),N981)</f>
        <v>Medium</v>
      </c>
    </row>
    <row r="982" spans="1:15" x14ac:dyDescent="0.25">
      <c r="A982">
        <v>39</v>
      </c>
      <c r="B982">
        <f t="shared" si="45"/>
        <v>39</v>
      </c>
      <c r="F982">
        <v>9.93</v>
      </c>
      <c r="G982">
        <f t="shared" si="46"/>
        <v>9.93</v>
      </c>
      <c r="J982" t="s">
        <v>22</v>
      </c>
      <c r="K982" t="str">
        <f t="shared" si="47"/>
        <v>Not Returned</v>
      </c>
      <c r="N982" t="s">
        <v>25</v>
      </c>
      <c r="O982" t="str">
        <f>IF(N982="",INDEX({"Low","Medium","High"},MATCH(MAX(COUNTIF($N$2:$N$1000,{"Low","Medium","High"})),COUNTIF($N$2:$N$1000,{"Low","Medium","High"}),0)),N982)</f>
        <v>Low</v>
      </c>
    </row>
    <row r="983" spans="1:15" x14ac:dyDescent="0.25">
      <c r="A983">
        <v>43</v>
      </c>
      <c r="B983">
        <f t="shared" si="45"/>
        <v>43</v>
      </c>
      <c r="F983">
        <v>80.650000000000006</v>
      </c>
      <c r="G983">
        <f t="shared" si="46"/>
        <v>80.650000000000006</v>
      </c>
      <c r="J983" t="s">
        <v>22</v>
      </c>
      <c r="K983" t="str">
        <f t="shared" si="47"/>
        <v>Not Returned</v>
      </c>
      <c r="N983" t="s">
        <v>25</v>
      </c>
      <c r="O983" t="str">
        <f>IF(N983="",INDEX({"Low","Medium","High"},MATCH(MAX(COUNTIF($N$2:$N$1000,{"Low","Medium","High"})),COUNTIF($N$2:$N$1000,{"Low","Medium","High"}),0)),N983)</f>
        <v>Low</v>
      </c>
    </row>
    <row r="984" spans="1:15" x14ac:dyDescent="0.25">
      <c r="A984">
        <v>13</v>
      </c>
      <c r="B984">
        <f t="shared" si="45"/>
        <v>13</v>
      </c>
      <c r="F984">
        <v>14.29</v>
      </c>
      <c r="G984">
        <f t="shared" si="46"/>
        <v>14.29</v>
      </c>
      <c r="J984" t="s">
        <v>22</v>
      </c>
      <c r="K984" t="str">
        <f t="shared" si="47"/>
        <v>Not Returned</v>
      </c>
      <c r="N984" t="s">
        <v>34</v>
      </c>
      <c r="O984" t="str">
        <f>IF(N984="",INDEX({"Low","Medium","High"},MATCH(MAX(COUNTIF($N$2:$N$1000,{"Low","Medium","High"})),COUNTIF($N$2:$N$1000,{"Low","Medium","High"}),0)),N984)</f>
        <v>High</v>
      </c>
    </row>
    <row r="985" spans="1:15" x14ac:dyDescent="0.25">
      <c r="A985">
        <v>30</v>
      </c>
      <c r="B985">
        <f t="shared" si="45"/>
        <v>30</v>
      </c>
      <c r="F985">
        <v>69.290000000000006</v>
      </c>
      <c r="G985">
        <f t="shared" si="46"/>
        <v>69.290000000000006</v>
      </c>
      <c r="J985" t="s">
        <v>22</v>
      </c>
      <c r="K985" t="str">
        <f t="shared" si="47"/>
        <v>Not Returned</v>
      </c>
      <c r="N985" t="s">
        <v>40</v>
      </c>
      <c r="O985" t="str">
        <f>IF(N985="",INDEX({"Low","Medium","High"},MATCH(MAX(COUNTIF($N$2:$N$1000,{"Low","Medium","High"})),COUNTIF($N$2:$N$1000,{"Low","Medium","High"}),0)),N985)</f>
        <v>Medium</v>
      </c>
    </row>
    <row r="986" spans="1:15" x14ac:dyDescent="0.25">
      <c r="A986">
        <v>13</v>
      </c>
      <c r="B986">
        <f t="shared" si="45"/>
        <v>13</v>
      </c>
      <c r="F986">
        <v>56.67</v>
      </c>
      <c r="G986">
        <f t="shared" si="46"/>
        <v>56.67</v>
      </c>
      <c r="J986" t="s">
        <v>22</v>
      </c>
      <c r="K986" t="str">
        <f t="shared" si="47"/>
        <v>Not Returned</v>
      </c>
      <c r="N986" t="s">
        <v>25</v>
      </c>
      <c r="O986" t="str">
        <f>IF(N986="",INDEX({"Low","Medium","High"},MATCH(MAX(COUNTIF($N$2:$N$1000,{"Low","Medium","High"})),COUNTIF($N$2:$N$1000,{"Low","Medium","High"}),0)),N986)</f>
        <v>Low</v>
      </c>
    </row>
    <row r="987" spans="1:15" x14ac:dyDescent="0.25">
      <c r="A987">
        <v>42</v>
      </c>
      <c r="B987">
        <f t="shared" si="45"/>
        <v>42</v>
      </c>
      <c r="F987">
        <v>26.16</v>
      </c>
      <c r="G987">
        <f t="shared" si="46"/>
        <v>26.16</v>
      </c>
      <c r="J987" t="s">
        <v>22</v>
      </c>
      <c r="K987" t="str">
        <f t="shared" si="47"/>
        <v>Not Returned</v>
      </c>
      <c r="N987" t="s">
        <v>34</v>
      </c>
      <c r="O987" t="str">
        <f>IF(N987="",INDEX({"Low","Medium","High"},MATCH(MAX(COUNTIF($N$2:$N$1000,{"Low","Medium","High"})),COUNTIF($N$2:$N$1000,{"Low","Medium","High"}),0)),N987)</f>
        <v>High</v>
      </c>
    </row>
    <row r="988" spans="1:15" x14ac:dyDescent="0.25">
      <c r="A988">
        <v>26</v>
      </c>
      <c r="B988">
        <f t="shared" si="45"/>
        <v>26</v>
      </c>
      <c r="F988">
        <v>35.549999999999997</v>
      </c>
      <c r="G988">
        <f t="shared" si="46"/>
        <v>35.549999999999997</v>
      </c>
      <c r="J988" t="s">
        <v>22</v>
      </c>
      <c r="K988" t="str">
        <f t="shared" si="47"/>
        <v>Not Returned</v>
      </c>
      <c r="N988" t="s">
        <v>34</v>
      </c>
      <c r="O988" t="str">
        <f>IF(N988="",INDEX({"Low","Medium","High"},MATCH(MAX(COUNTIF($N$2:$N$1000,{"Low","Medium","High"})),COUNTIF($N$2:$N$1000,{"Low","Medium","High"}),0)),N988)</f>
        <v>High</v>
      </c>
    </row>
    <row r="989" spans="1:15" x14ac:dyDescent="0.25">
      <c r="A989">
        <v>39</v>
      </c>
      <c r="B989">
        <f t="shared" si="45"/>
        <v>39</v>
      </c>
      <c r="F989">
        <v>92.52</v>
      </c>
      <c r="G989">
        <f t="shared" si="46"/>
        <v>92.52</v>
      </c>
      <c r="J989" t="s">
        <v>22</v>
      </c>
      <c r="K989" t="str">
        <f t="shared" si="47"/>
        <v>Not Returned</v>
      </c>
      <c r="N989" t="s">
        <v>40</v>
      </c>
      <c r="O989" t="str">
        <f>IF(N989="",INDEX({"Low","Medium","High"},MATCH(MAX(COUNTIF($N$2:$N$1000,{"Low","Medium","High"})),COUNTIF($N$2:$N$1000,{"Low","Medium","High"}),0)),N989)</f>
        <v>Medium</v>
      </c>
    </row>
    <row r="990" spans="1:15" x14ac:dyDescent="0.25">
      <c r="A990">
        <v>27</v>
      </c>
      <c r="B990">
        <f t="shared" si="45"/>
        <v>27</v>
      </c>
      <c r="F990">
        <v>23.37</v>
      </c>
      <c r="G990">
        <f t="shared" si="46"/>
        <v>23.37</v>
      </c>
      <c r="J990" t="s">
        <v>22</v>
      </c>
      <c r="K990" t="str">
        <f t="shared" si="47"/>
        <v>Not Returned</v>
      </c>
      <c r="N990" t="s">
        <v>40</v>
      </c>
      <c r="O990" t="str">
        <f>IF(N990="",INDEX({"Low","Medium","High"},MATCH(MAX(COUNTIF($N$2:$N$1000,{"Low","Medium","High"})),COUNTIF($N$2:$N$1000,{"Low","Medium","High"}),0)),N990)</f>
        <v>Medium</v>
      </c>
    </row>
    <row r="991" spans="1:15" x14ac:dyDescent="0.25">
      <c r="A991">
        <v>4</v>
      </c>
      <c r="B991">
        <f t="shared" si="45"/>
        <v>4</v>
      </c>
      <c r="F991">
        <v>9.31</v>
      </c>
      <c r="G991">
        <f t="shared" si="46"/>
        <v>9.31</v>
      </c>
      <c r="J991" t="s">
        <v>22</v>
      </c>
      <c r="K991" t="str">
        <f t="shared" si="47"/>
        <v>Not Returned</v>
      </c>
      <c r="N991" t="s">
        <v>25</v>
      </c>
      <c r="O991" t="str">
        <f>IF(N991="",INDEX({"Low","Medium","High"},MATCH(MAX(COUNTIF($N$2:$N$1000,{"Low","Medium","High"})),COUNTIF($N$2:$N$1000,{"Low","Medium","High"}),0)),N991)</f>
        <v>Low</v>
      </c>
    </row>
    <row r="992" spans="1:15" x14ac:dyDescent="0.25">
      <c r="A992">
        <v>48</v>
      </c>
      <c r="B992">
        <f t="shared" si="45"/>
        <v>48</v>
      </c>
      <c r="F992">
        <v>14.55</v>
      </c>
      <c r="G992">
        <f t="shared" si="46"/>
        <v>14.55</v>
      </c>
      <c r="J992" t="s">
        <v>22</v>
      </c>
      <c r="K992" t="str">
        <f t="shared" si="47"/>
        <v>Not Returned</v>
      </c>
      <c r="N992" t="s">
        <v>40</v>
      </c>
      <c r="O992" t="str">
        <f>IF(N992="",INDEX({"Low","Medium","High"},MATCH(MAX(COUNTIF($N$2:$N$1000,{"Low","Medium","High"})),COUNTIF($N$2:$N$1000,{"Low","Medium","High"}),0)),N992)</f>
        <v>Medium</v>
      </c>
    </row>
    <row r="993" spans="1:15" x14ac:dyDescent="0.25">
      <c r="A993">
        <v>12</v>
      </c>
      <c r="B993">
        <f t="shared" si="45"/>
        <v>12</v>
      </c>
      <c r="F993">
        <v>37.81</v>
      </c>
      <c r="G993">
        <f t="shared" si="46"/>
        <v>37.81</v>
      </c>
      <c r="J993" t="s">
        <v>22</v>
      </c>
      <c r="K993" t="str">
        <f t="shared" si="47"/>
        <v>Not Returned</v>
      </c>
      <c r="N993" t="s">
        <v>25</v>
      </c>
      <c r="O993" t="str">
        <f>IF(N993="",INDEX({"Low","Medium","High"},MATCH(MAX(COUNTIF($N$2:$N$1000,{"Low","Medium","High"})),COUNTIF($N$2:$N$1000,{"Low","Medium","High"}),0)),N993)</f>
        <v>Low</v>
      </c>
    </row>
    <row r="994" spans="1:15" x14ac:dyDescent="0.25">
      <c r="A994">
        <v>35</v>
      </c>
      <c r="B994">
        <f t="shared" si="45"/>
        <v>35</v>
      </c>
      <c r="F994">
        <v>34.93</v>
      </c>
      <c r="G994">
        <f t="shared" si="46"/>
        <v>34.93</v>
      </c>
      <c r="J994" t="s">
        <v>22</v>
      </c>
      <c r="K994" t="str">
        <f t="shared" si="47"/>
        <v>Not Returned</v>
      </c>
      <c r="N994" t="s">
        <v>25</v>
      </c>
      <c r="O994" t="str">
        <f>IF(N994="",INDEX({"Low","Medium","High"},MATCH(MAX(COUNTIF($N$2:$N$1000,{"Low","Medium","High"})),COUNTIF($N$2:$N$1000,{"Low","Medium","High"}),0)),N994)</f>
        <v>Low</v>
      </c>
    </row>
    <row r="995" spans="1:15" x14ac:dyDescent="0.25">
      <c r="A995">
        <v>39</v>
      </c>
      <c r="B995">
        <f t="shared" si="45"/>
        <v>39</v>
      </c>
      <c r="F995">
        <v>1.78</v>
      </c>
      <c r="G995">
        <f t="shared" si="46"/>
        <v>1.78</v>
      </c>
      <c r="J995" t="s">
        <v>22</v>
      </c>
      <c r="K995" t="str">
        <f t="shared" si="47"/>
        <v>Not Returned</v>
      </c>
      <c r="N995" t="s">
        <v>34</v>
      </c>
      <c r="O995" t="str">
        <f>IF(N995="",INDEX({"Low","Medium","High"},MATCH(MAX(COUNTIF($N$2:$N$1000,{"Low","Medium","High"})),COUNTIF($N$2:$N$1000,{"Low","Medium","High"}),0)),N995)</f>
        <v>High</v>
      </c>
    </row>
    <row r="996" spans="1:15" x14ac:dyDescent="0.25">
      <c r="A996">
        <v>1</v>
      </c>
      <c r="B996">
        <f t="shared" si="45"/>
        <v>1</v>
      </c>
      <c r="F996">
        <v>73.650000000000006</v>
      </c>
      <c r="G996">
        <f t="shared" si="46"/>
        <v>73.650000000000006</v>
      </c>
      <c r="J996" t="s">
        <v>22</v>
      </c>
      <c r="K996" t="str">
        <f t="shared" si="47"/>
        <v>Not Returned</v>
      </c>
      <c r="N996" t="s">
        <v>40</v>
      </c>
      <c r="O996" t="str">
        <f>IF(N996="",INDEX({"Low","Medium","High"},MATCH(MAX(COUNTIF($N$2:$N$1000,{"Low","Medium","High"})),COUNTIF($N$2:$N$1000,{"Low","Medium","High"}),0)),N996)</f>
        <v>Medium</v>
      </c>
    </row>
    <row r="997" spans="1:15" x14ac:dyDescent="0.25">
      <c r="A997">
        <v>16</v>
      </c>
      <c r="B997">
        <f t="shared" si="45"/>
        <v>16</v>
      </c>
      <c r="F997">
        <v>61.94</v>
      </c>
      <c r="G997">
        <f t="shared" si="46"/>
        <v>61.94</v>
      </c>
      <c r="J997" t="s">
        <v>22</v>
      </c>
      <c r="K997" t="str">
        <f t="shared" si="47"/>
        <v>Not Returned</v>
      </c>
      <c r="N997" t="s">
        <v>34</v>
      </c>
      <c r="O997" t="str">
        <f>IF(N997="",INDEX({"Low","Medium","High"},MATCH(MAX(COUNTIF($N$2:$N$1000,{"Low","Medium","High"})),COUNTIF($N$2:$N$1000,{"Low","Medium","High"}),0)),N997)</f>
        <v>High</v>
      </c>
    </row>
    <row r="998" spans="1:15" x14ac:dyDescent="0.25">
      <c r="A998">
        <v>22</v>
      </c>
      <c r="B998">
        <f t="shared" si="45"/>
        <v>22</v>
      </c>
      <c r="F998">
        <v>94.71</v>
      </c>
      <c r="G998">
        <f t="shared" si="46"/>
        <v>94.71</v>
      </c>
      <c r="J998" t="s">
        <v>22</v>
      </c>
      <c r="K998" t="str">
        <f t="shared" si="47"/>
        <v>Not Returned</v>
      </c>
      <c r="N998" t="s">
        <v>40</v>
      </c>
      <c r="O998" t="str">
        <f>IF(N998="",INDEX({"Low","Medium","High"},MATCH(MAX(COUNTIF($N$2:$N$1000,{"Low","Medium","High"})),COUNTIF($N$2:$N$1000,{"Low","Medium","High"}),0)),N998)</f>
        <v>Medium</v>
      </c>
    </row>
    <row r="999" spans="1:15" x14ac:dyDescent="0.25">
      <c r="A999">
        <v>45</v>
      </c>
      <c r="B999">
        <f t="shared" si="45"/>
        <v>45</v>
      </c>
      <c r="F999">
        <v>4.03</v>
      </c>
      <c r="G999">
        <f t="shared" si="46"/>
        <v>4.03</v>
      </c>
      <c r="J999" t="s">
        <v>22</v>
      </c>
      <c r="K999" t="str">
        <f t="shared" si="47"/>
        <v>Not Returned</v>
      </c>
      <c r="N999" t="s">
        <v>40</v>
      </c>
      <c r="O999" t="str">
        <f>IF(N999="",INDEX({"Low","Medium","High"},MATCH(MAX(COUNTIF($N$2:$N$1000,{"Low","Medium","High"})),COUNTIF($N$2:$N$1000,{"Low","Medium","High"}),0)),N999)</f>
        <v>Medium</v>
      </c>
    </row>
    <row r="1000" spans="1:15" x14ac:dyDescent="0.25">
      <c r="A1000">
        <v>36</v>
      </c>
      <c r="B1000">
        <f>IF(A1000="",ROUNDUP(AVERAGE($A$2:$A$1000),0),A1000)</f>
        <v>36</v>
      </c>
      <c r="F1000">
        <v>43.93</v>
      </c>
      <c r="G1000">
        <f t="shared" si="46"/>
        <v>43.93</v>
      </c>
      <c r="J1000" t="s">
        <v>22</v>
      </c>
      <c r="K1000" t="str">
        <f t="shared" si="47"/>
        <v>Not Returned</v>
      </c>
      <c r="N1000" t="s">
        <v>40</v>
      </c>
      <c r="O1000" t="str">
        <f>IF(N1000="",INDEX({"Low","Medium","High"},MATCH(MAX(COUNTIF($N$2:$N$1000,{"Low","Medium","High"})),COUNTIF($N$2:$N$1000,{"Low","Medium","High"}),0)),N1000)</f>
        <v>Medium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003"/>
  <sheetViews>
    <sheetView workbookViewId="0">
      <selection activeCell="G14" sqref="G14"/>
    </sheetView>
  </sheetViews>
  <sheetFormatPr defaultRowHeight="15" x14ac:dyDescent="0.25"/>
  <cols>
    <col min="3" max="3" width="11" customWidth="1"/>
    <col min="4" max="4" width="17.42578125" customWidth="1"/>
    <col min="9" max="9" width="15.5703125" customWidth="1"/>
    <col min="10" max="10" width="15.28515625" customWidth="1"/>
    <col min="14" max="14" width="18.140625" customWidth="1"/>
    <col min="15" max="15" width="18.5703125" customWidth="1"/>
  </cols>
  <sheetData>
    <row r="1" spans="3:15" x14ac:dyDescent="0.25">
      <c r="C1" s="39" t="s">
        <v>733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</row>
    <row r="2" spans="3:15" ht="15.75" thickBot="1" x14ac:dyDescent="0.3"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</row>
    <row r="4" spans="3:15" x14ac:dyDescent="0.25">
      <c r="C4" t="s">
        <v>10</v>
      </c>
      <c r="D4" t="s">
        <v>730</v>
      </c>
      <c r="I4" t="s">
        <v>14</v>
      </c>
      <c r="J4" t="s">
        <v>731</v>
      </c>
      <c r="N4" t="s">
        <v>8</v>
      </c>
      <c r="O4" t="s">
        <v>732</v>
      </c>
    </row>
    <row r="5" spans="3:15" x14ac:dyDescent="0.25">
      <c r="C5" t="s">
        <v>20</v>
      </c>
      <c r="D5" t="str">
        <f>PROPER(C5)</f>
        <v>Accessories</v>
      </c>
      <c r="I5" t="s">
        <v>24</v>
      </c>
      <c r="J5" t="str">
        <f>PROPER(I5)</f>
        <v>Paris</v>
      </c>
      <c r="N5" t="s">
        <v>19</v>
      </c>
      <c r="O5" t="str">
        <f>IF(N5="paypall","Paypal",N5)</f>
        <v>Bank Transfer</v>
      </c>
    </row>
    <row r="6" spans="3:15" x14ac:dyDescent="0.25">
      <c r="C6" t="s">
        <v>30</v>
      </c>
      <c r="D6" t="str">
        <f t="shared" ref="D6:D69" si="0">PROPER(C6)</f>
        <v>Apparel</v>
      </c>
      <c r="I6" t="s">
        <v>723</v>
      </c>
      <c r="J6" t="str">
        <f t="shared" ref="J6:J69" si="1">PROPER(I6)</f>
        <v>Berlin</v>
      </c>
      <c r="N6" t="s">
        <v>29</v>
      </c>
      <c r="O6" t="str">
        <f t="shared" ref="O6:O69" si="2">IF(N6="paypall","Paypal",N6)</f>
        <v>Credit Card</v>
      </c>
    </row>
    <row r="7" spans="3:15" x14ac:dyDescent="0.25">
      <c r="C7" t="s">
        <v>37</v>
      </c>
      <c r="D7" t="str">
        <f t="shared" si="0"/>
        <v>Stationery</v>
      </c>
      <c r="I7" t="s">
        <v>39</v>
      </c>
      <c r="J7" t="str">
        <f t="shared" si="1"/>
        <v>Amsterdam</v>
      </c>
      <c r="N7" t="s">
        <v>29</v>
      </c>
      <c r="O7" t="str">
        <f t="shared" si="2"/>
        <v>Credit Card</v>
      </c>
    </row>
    <row r="8" spans="3:15" x14ac:dyDescent="0.25">
      <c r="C8" t="s">
        <v>44</v>
      </c>
      <c r="D8" t="str">
        <f t="shared" si="0"/>
        <v>Furniture</v>
      </c>
      <c r="I8" t="s">
        <v>24</v>
      </c>
      <c r="J8" t="str">
        <f t="shared" si="1"/>
        <v>Paris</v>
      </c>
      <c r="N8" t="s">
        <v>29</v>
      </c>
      <c r="O8" t="str">
        <f t="shared" si="2"/>
        <v>Credit Card</v>
      </c>
    </row>
    <row r="9" spans="3:15" x14ac:dyDescent="0.25">
      <c r="C9" t="s">
        <v>44</v>
      </c>
      <c r="D9" t="str">
        <f t="shared" si="0"/>
        <v>Furniture</v>
      </c>
      <c r="I9" t="s">
        <v>24</v>
      </c>
      <c r="J9" t="str">
        <f t="shared" si="1"/>
        <v>Paris</v>
      </c>
      <c r="N9" t="s">
        <v>29</v>
      </c>
      <c r="O9" t="str">
        <f t="shared" si="2"/>
        <v>Credit Card</v>
      </c>
    </row>
    <row r="10" spans="3:15" x14ac:dyDescent="0.25">
      <c r="C10" t="s">
        <v>50</v>
      </c>
      <c r="D10" t="str">
        <f t="shared" si="0"/>
        <v>Electronics</v>
      </c>
      <c r="I10" t="s">
        <v>39</v>
      </c>
      <c r="J10" t="str">
        <f t="shared" si="1"/>
        <v>Amsterdam</v>
      </c>
      <c r="N10" t="s">
        <v>29</v>
      </c>
      <c r="O10" t="str">
        <f t="shared" si="2"/>
        <v>Credit Card</v>
      </c>
    </row>
    <row r="11" spans="3:15" x14ac:dyDescent="0.25">
      <c r="C11" t="s">
        <v>20</v>
      </c>
      <c r="D11" t="str">
        <f t="shared" si="0"/>
        <v>Accessories</v>
      </c>
      <c r="I11" t="s">
        <v>33</v>
      </c>
      <c r="J11" t="str">
        <f t="shared" si="1"/>
        <v>Berlin</v>
      </c>
      <c r="N11" t="s">
        <v>29</v>
      </c>
      <c r="O11" t="str">
        <f t="shared" si="2"/>
        <v>Credit Card</v>
      </c>
    </row>
    <row r="12" spans="3:15" x14ac:dyDescent="0.25">
      <c r="C12" t="s">
        <v>37</v>
      </c>
      <c r="D12" t="str">
        <f t="shared" si="0"/>
        <v>Stationery</v>
      </c>
      <c r="I12" t="s">
        <v>24</v>
      </c>
      <c r="J12" t="str">
        <f t="shared" si="1"/>
        <v>Paris</v>
      </c>
      <c r="N12" t="s">
        <v>19</v>
      </c>
      <c r="O12" t="str">
        <f t="shared" si="2"/>
        <v>Bank Transfer</v>
      </c>
    </row>
    <row r="13" spans="3:15" x14ac:dyDescent="0.25">
      <c r="C13" t="s">
        <v>37</v>
      </c>
      <c r="D13" t="str">
        <f t="shared" si="0"/>
        <v>Stationery</v>
      </c>
      <c r="I13" t="s">
        <v>59</v>
      </c>
      <c r="J13" t="str">
        <f t="shared" si="1"/>
        <v>Rome</v>
      </c>
      <c r="N13" t="s">
        <v>19</v>
      </c>
      <c r="O13" t="str">
        <f t="shared" si="2"/>
        <v>Bank Transfer</v>
      </c>
    </row>
    <row r="14" spans="3:15" x14ac:dyDescent="0.25">
      <c r="C14" t="s">
        <v>50</v>
      </c>
      <c r="D14" t="str">
        <f t="shared" si="0"/>
        <v>Electronics</v>
      </c>
      <c r="I14" t="s">
        <v>33</v>
      </c>
      <c r="J14" t="str">
        <f t="shared" si="1"/>
        <v>Berlin</v>
      </c>
      <c r="N14" t="s">
        <v>61</v>
      </c>
      <c r="O14" t="str">
        <f t="shared" si="2"/>
        <v>Paypal</v>
      </c>
    </row>
    <row r="15" spans="3:15" x14ac:dyDescent="0.25">
      <c r="C15" t="s">
        <v>20</v>
      </c>
      <c r="D15" t="str">
        <f t="shared" si="0"/>
        <v>Accessories</v>
      </c>
      <c r="I15" t="s">
        <v>33</v>
      </c>
      <c r="J15" t="str">
        <f t="shared" si="1"/>
        <v>Berlin</v>
      </c>
      <c r="N15" t="s">
        <v>61</v>
      </c>
      <c r="O15" t="str">
        <f t="shared" si="2"/>
        <v>Paypal</v>
      </c>
    </row>
    <row r="16" spans="3:15" x14ac:dyDescent="0.25">
      <c r="C16" t="s">
        <v>44</v>
      </c>
      <c r="D16" t="str">
        <f t="shared" si="0"/>
        <v>Furniture</v>
      </c>
      <c r="I16" t="s">
        <v>59</v>
      </c>
      <c r="J16" t="str">
        <f t="shared" si="1"/>
        <v>Rome</v>
      </c>
      <c r="N16" t="s">
        <v>61</v>
      </c>
      <c r="O16" t="str">
        <f t="shared" si="2"/>
        <v>Paypal</v>
      </c>
    </row>
    <row r="17" spans="3:15" x14ac:dyDescent="0.25">
      <c r="C17" t="s">
        <v>20</v>
      </c>
      <c r="D17" t="str">
        <f t="shared" si="0"/>
        <v>Accessories</v>
      </c>
      <c r="I17" t="s">
        <v>24</v>
      </c>
      <c r="J17" t="str">
        <f t="shared" si="1"/>
        <v>Paris</v>
      </c>
      <c r="N17" t="s">
        <v>19</v>
      </c>
      <c r="O17" t="str">
        <f t="shared" si="2"/>
        <v>Bank Transfer</v>
      </c>
    </row>
    <row r="18" spans="3:15" x14ac:dyDescent="0.25">
      <c r="C18" t="s">
        <v>30</v>
      </c>
      <c r="D18" t="str">
        <f t="shared" si="0"/>
        <v>Apparel</v>
      </c>
      <c r="I18" s="5" t="s">
        <v>725</v>
      </c>
      <c r="J18" s="4" t="str">
        <f t="shared" si="1"/>
        <v>Paris</v>
      </c>
      <c r="N18" t="s">
        <v>61</v>
      </c>
      <c r="O18" t="str">
        <f t="shared" si="2"/>
        <v>Paypal</v>
      </c>
    </row>
    <row r="19" spans="3:15" x14ac:dyDescent="0.25">
      <c r="C19" t="s">
        <v>20</v>
      </c>
      <c r="D19" t="str">
        <f t="shared" si="0"/>
        <v>Accessories</v>
      </c>
      <c r="I19" t="s">
        <v>24</v>
      </c>
      <c r="J19" t="str">
        <f t="shared" si="1"/>
        <v>Paris</v>
      </c>
      <c r="N19" t="s">
        <v>19</v>
      </c>
      <c r="O19" t="str">
        <f t="shared" si="2"/>
        <v>Bank Transfer</v>
      </c>
    </row>
    <row r="20" spans="3:15" x14ac:dyDescent="0.25">
      <c r="C20" t="s">
        <v>20</v>
      </c>
      <c r="D20" t="str">
        <f t="shared" si="0"/>
        <v>Accessories</v>
      </c>
      <c r="I20" t="s">
        <v>722</v>
      </c>
      <c r="J20" t="str">
        <f t="shared" si="1"/>
        <v>Amsterdam</v>
      </c>
      <c r="N20" t="s">
        <v>61</v>
      </c>
      <c r="O20" t="str">
        <f t="shared" si="2"/>
        <v>Paypal</v>
      </c>
    </row>
    <row r="21" spans="3:15" x14ac:dyDescent="0.25">
      <c r="C21" t="s">
        <v>50</v>
      </c>
      <c r="D21" t="str">
        <f t="shared" si="0"/>
        <v>Electronics</v>
      </c>
      <c r="I21" t="s">
        <v>24</v>
      </c>
      <c r="J21" t="str">
        <f t="shared" si="1"/>
        <v>Paris</v>
      </c>
      <c r="N21" t="s">
        <v>61</v>
      </c>
      <c r="O21" t="str">
        <f t="shared" si="2"/>
        <v>Paypal</v>
      </c>
    </row>
    <row r="22" spans="3:15" x14ac:dyDescent="0.25">
      <c r="C22" t="s">
        <v>44</v>
      </c>
      <c r="D22" t="str">
        <f t="shared" si="0"/>
        <v>Furniture</v>
      </c>
      <c r="I22" t="s">
        <v>723</v>
      </c>
      <c r="J22" t="str">
        <f t="shared" si="1"/>
        <v>Berlin</v>
      </c>
      <c r="N22" t="s">
        <v>61</v>
      </c>
      <c r="O22" t="str">
        <f t="shared" si="2"/>
        <v>Paypal</v>
      </c>
    </row>
    <row r="23" spans="3:15" x14ac:dyDescent="0.25">
      <c r="C23" t="s">
        <v>30</v>
      </c>
      <c r="D23" t="str">
        <f t="shared" si="0"/>
        <v>Apparel</v>
      </c>
      <c r="I23" t="s">
        <v>59</v>
      </c>
      <c r="J23" t="str">
        <f t="shared" si="1"/>
        <v>Rome</v>
      </c>
      <c r="N23" t="s">
        <v>29</v>
      </c>
      <c r="O23" t="str">
        <f t="shared" si="2"/>
        <v>Credit Card</v>
      </c>
    </row>
    <row r="24" spans="3:15" x14ac:dyDescent="0.25">
      <c r="C24" t="s">
        <v>30</v>
      </c>
      <c r="D24" t="str">
        <f t="shared" si="0"/>
        <v>Apparel</v>
      </c>
      <c r="I24" t="s">
        <v>39</v>
      </c>
      <c r="J24" t="str">
        <f t="shared" si="1"/>
        <v>Amsterdam</v>
      </c>
      <c r="N24" t="s">
        <v>29</v>
      </c>
      <c r="O24" t="str">
        <f t="shared" si="2"/>
        <v>Credit Card</v>
      </c>
    </row>
    <row r="25" spans="3:15" x14ac:dyDescent="0.25">
      <c r="C25" t="s">
        <v>20</v>
      </c>
      <c r="D25" t="str">
        <f t="shared" si="0"/>
        <v>Accessories</v>
      </c>
      <c r="I25" t="s">
        <v>722</v>
      </c>
      <c r="J25" t="str">
        <f t="shared" si="1"/>
        <v>Amsterdam</v>
      </c>
      <c r="N25" t="s">
        <v>61</v>
      </c>
      <c r="O25" t="str">
        <f t="shared" si="2"/>
        <v>Paypal</v>
      </c>
    </row>
    <row r="26" spans="3:15" x14ac:dyDescent="0.25">
      <c r="C26" t="s">
        <v>20</v>
      </c>
      <c r="D26" t="str">
        <f t="shared" si="0"/>
        <v>Accessories</v>
      </c>
      <c r="I26" s="5" t="s">
        <v>725</v>
      </c>
      <c r="J26" s="4" t="str">
        <f t="shared" si="1"/>
        <v>Paris</v>
      </c>
      <c r="N26" t="s">
        <v>29</v>
      </c>
      <c r="O26" t="str">
        <f t="shared" si="2"/>
        <v>Credit Card</v>
      </c>
    </row>
    <row r="27" spans="3:15" x14ac:dyDescent="0.25">
      <c r="C27" t="s">
        <v>44</v>
      </c>
      <c r="D27" t="str">
        <f t="shared" si="0"/>
        <v>Furniture</v>
      </c>
      <c r="I27" t="s">
        <v>81</v>
      </c>
      <c r="J27" t="str">
        <f t="shared" si="1"/>
        <v>London</v>
      </c>
      <c r="N27" t="s">
        <v>19</v>
      </c>
      <c r="O27" t="str">
        <f t="shared" si="2"/>
        <v>Bank Transfer</v>
      </c>
    </row>
    <row r="28" spans="3:15" x14ac:dyDescent="0.25">
      <c r="C28" t="s">
        <v>44</v>
      </c>
      <c r="D28" t="str">
        <f t="shared" si="0"/>
        <v>Furniture</v>
      </c>
      <c r="I28" t="s">
        <v>33</v>
      </c>
      <c r="J28" t="str">
        <f t="shared" si="1"/>
        <v>Berlin</v>
      </c>
      <c r="N28" t="s">
        <v>61</v>
      </c>
      <c r="O28" t="str">
        <f t="shared" si="2"/>
        <v>Paypal</v>
      </c>
    </row>
    <row r="29" spans="3:15" x14ac:dyDescent="0.25">
      <c r="C29" t="s">
        <v>44</v>
      </c>
      <c r="D29" t="str">
        <f t="shared" si="0"/>
        <v>Furniture</v>
      </c>
      <c r="I29" t="s">
        <v>33</v>
      </c>
      <c r="J29" t="str">
        <f t="shared" si="1"/>
        <v>Berlin</v>
      </c>
      <c r="N29" t="s">
        <v>61</v>
      </c>
      <c r="O29" t="str">
        <f t="shared" si="2"/>
        <v>Paypal</v>
      </c>
    </row>
    <row r="30" spans="3:15" x14ac:dyDescent="0.25">
      <c r="C30" t="s">
        <v>30</v>
      </c>
      <c r="D30" t="str">
        <f t="shared" si="0"/>
        <v>Apparel</v>
      </c>
      <c r="I30" t="s">
        <v>59</v>
      </c>
      <c r="J30" t="str">
        <f t="shared" si="1"/>
        <v>Rome</v>
      </c>
      <c r="N30" t="s">
        <v>61</v>
      </c>
      <c r="O30" t="str">
        <f t="shared" si="2"/>
        <v>Paypal</v>
      </c>
    </row>
    <row r="31" spans="3:15" x14ac:dyDescent="0.25">
      <c r="C31" t="s">
        <v>20</v>
      </c>
      <c r="D31" t="str">
        <f t="shared" si="0"/>
        <v>Accessories</v>
      </c>
      <c r="I31" t="s">
        <v>81</v>
      </c>
      <c r="J31" t="str">
        <f t="shared" si="1"/>
        <v>London</v>
      </c>
      <c r="N31" t="s">
        <v>61</v>
      </c>
      <c r="O31" t="str">
        <f t="shared" si="2"/>
        <v>Paypal</v>
      </c>
    </row>
    <row r="32" spans="3:15" x14ac:dyDescent="0.25">
      <c r="C32" t="s">
        <v>37</v>
      </c>
      <c r="D32" t="str">
        <f t="shared" si="0"/>
        <v>Stationery</v>
      </c>
      <c r="I32" t="s">
        <v>39</v>
      </c>
      <c r="J32" t="str">
        <f t="shared" si="1"/>
        <v>Amsterdam</v>
      </c>
      <c r="N32" t="s">
        <v>29</v>
      </c>
      <c r="O32" t="str">
        <f t="shared" si="2"/>
        <v>Credit Card</v>
      </c>
    </row>
    <row r="33" spans="3:15" x14ac:dyDescent="0.25">
      <c r="C33" t="s">
        <v>37</v>
      </c>
      <c r="D33" t="str">
        <f t="shared" si="0"/>
        <v>Stationery</v>
      </c>
      <c r="I33" t="s">
        <v>81</v>
      </c>
      <c r="J33" t="str">
        <f t="shared" si="1"/>
        <v>London</v>
      </c>
      <c r="N33" t="s">
        <v>61</v>
      </c>
      <c r="O33" t="str">
        <f t="shared" si="2"/>
        <v>Paypal</v>
      </c>
    </row>
    <row r="34" spans="3:15" x14ac:dyDescent="0.25">
      <c r="C34" t="s">
        <v>30</v>
      </c>
      <c r="D34" t="str">
        <f t="shared" si="0"/>
        <v>Apparel</v>
      </c>
      <c r="I34" t="s">
        <v>81</v>
      </c>
      <c r="J34" t="str">
        <f t="shared" si="1"/>
        <v>London</v>
      </c>
      <c r="N34" t="s">
        <v>61</v>
      </c>
      <c r="O34" t="str">
        <f t="shared" si="2"/>
        <v>Paypal</v>
      </c>
    </row>
    <row r="35" spans="3:15" x14ac:dyDescent="0.25">
      <c r="C35" t="s">
        <v>30</v>
      </c>
      <c r="D35" t="str">
        <f t="shared" si="0"/>
        <v>Apparel</v>
      </c>
      <c r="I35" t="s">
        <v>33</v>
      </c>
      <c r="J35" t="str">
        <f t="shared" si="1"/>
        <v>Berlin</v>
      </c>
      <c r="N35" t="s">
        <v>61</v>
      </c>
      <c r="O35" t="str">
        <f t="shared" si="2"/>
        <v>Paypal</v>
      </c>
    </row>
    <row r="36" spans="3:15" x14ac:dyDescent="0.25">
      <c r="C36" t="s">
        <v>37</v>
      </c>
      <c r="D36" t="str">
        <f t="shared" si="0"/>
        <v>Stationery</v>
      </c>
      <c r="I36" t="s">
        <v>24</v>
      </c>
      <c r="J36" t="str">
        <f t="shared" si="1"/>
        <v>Paris</v>
      </c>
      <c r="N36" t="s">
        <v>29</v>
      </c>
      <c r="O36" t="str">
        <f t="shared" si="2"/>
        <v>Credit Card</v>
      </c>
    </row>
    <row r="37" spans="3:15" x14ac:dyDescent="0.25">
      <c r="C37" t="s">
        <v>50</v>
      </c>
      <c r="D37" t="str">
        <f t="shared" si="0"/>
        <v>Electronics</v>
      </c>
      <c r="I37" t="s">
        <v>33</v>
      </c>
      <c r="J37" t="str">
        <f t="shared" si="1"/>
        <v>Berlin</v>
      </c>
      <c r="N37" t="s">
        <v>29</v>
      </c>
      <c r="O37" t="str">
        <f t="shared" si="2"/>
        <v>Credit Card</v>
      </c>
    </row>
    <row r="38" spans="3:15" x14ac:dyDescent="0.25">
      <c r="C38" t="s">
        <v>30</v>
      </c>
      <c r="D38" t="str">
        <f t="shared" si="0"/>
        <v>Apparel</v>
      </c>
      <c r="I38" t="s">
        <v>24</v>
      </c>
      <c r="J38" t="str">
        <f t="shared" si="1"/>
        <v>Paris</v>
      </c>
      <c r="N38" t="s">
        <v>61</v>
      </c>
      <c r="O38" t="str">
        <f t="shared" si="2"/>
        <v>Paypal</v>
      </c>
    </row>
    <row r="39" spans="3:15" x14ac:dyDescent="0.25">
      <c r="C39" t="s">
        <v>20</v>
      </c>
      <c r="D39" t="str">
        <f t="shared" si="0"/>
        <v>Accessories</v>
      </c>
      <c r="I39" t="s">
        <v>59</v>
      </c>
      <c r="J39" t="str">
        <f t="shared" si="1"/>
        <v>Rome</v>
      </c>
      <c r="N39" t="s">
        <v>19</v>
      </c>
      <c r="O39" t="str">
        <f t="shared" si="2"/>
        <v>Bank Transfer</v>
      </c>
    </row>
    <row r="40" spans="3:15" x14ac:dyDescent="0.25">
      <c r="C40" t="s">
        <v>30</v>
      </c>
      <c r="D40" t="str">
        <f t="shared" si="0"/>
        <v>Apparel</v>
      </c>
      <c r="I40" t="s">
        <v>724</v>
      </c>
      <c r="J40" t="str">
        <f t="shared" si="1"/>
        <v>London</v>
      </c>
      <c r="N40" t="s">
        <v>19</v>
      </c>
      <c r="O40" t="str">
        <f t="shared" si="2"/>
        <v>Bank Transfer</v>
      </c>
    </row>
    <row r="41" spans="3:15" x14ac:dyDescent="0.25">
      <c r="C41" t="s">
        <v>30</v>
      </c>
      <c r="D41" t="str">
        <f t="shared" si="0"/>
        <v>Apparel</v>
      </c>
      <c r="I41" t="s">
        <v>33</v>
      </c>
      <c r="J41" t="str">
        <f t="shared" si="1"/>
        <v>Berlin</v>
      </c>
      <c r="N41" t="s">
        <v>19</v>
      </c>
      <c r="O41" t="str">
        <f t="shared" si="2"/>
        <v>Bank Transfer</v>
      </c>
    </row>
    <row r="42" spans="3:15" x14ac:dyDescent="0.25">
      <c r="C42" t="s">
        <v>37</v>
      </c>
      <c r="D42" t="str">
        <f t="shared" si="0"/>
        <v>Stationery</v>
      </c>
      <c r="I42" t="s">
        <v>33</v>
      </c>
      <c r="J42" t="str">
        <f t="shared" si="1"/>
        <v>Berlin</v>
      </c>
      <c r="N42" t="s">
        <v>29</v>
      </c>
      <c r="O42" t="str">
        <f t="shared" si="2"/>
        <v>Credit Card</v>
      </c>
    </row>
    <row r="43" spans="3:15" x14ac:dyDescent="0.25">
      <c r="C43" t="s">
        <v>44</v>
      </c>
      <c r="D43" t="str">
        <f t="shared" si="0"/>
        <v>Furniture</v>
      </c>
      <c r="I43" t="s">
        <v>39</v>
      </c>
      <c r="J43" t="str">
        <f t="shared" si="1"/>
        <v>Amsterdam</v>
      </c>
      <c r="N43" t="s">
        <v>29</v>
      </c>
      <c r="O43" t="str">
        <f t="shared" si="2"/>
        <v>Credit Card</v>
      </c>
    </row>
    <row r="44" spans="3:15" x14ac:dyDescent="0.25">
      <c r="C44" t="s">
        <v>20</v>
      </c>
      <c r="D44" t="str">
        <f t="shared" si="0"/>
        <v>Accessories</v>
      </c>
      <c r="I44" t="s">
        <v>722</v>
      </c>
      <c r="J44" t="str">
        <f t="shared" si="1"/>
        <v>Amsterdam</v>
      </c>
      <c r="N44" t="s">
        <v>29</v>
      </c>
      <c r="O44" t="str">
        <f t="shared" si="2"/>
        <v>Credit Card</v>
      </c>
    </row>
    <row r="45" spans="3:15" x14ac:dyDescent="0.25">
      <c r="C45" t="s">
        <v>20</v>
      </c>
      <c r="D45" t="str">
        <f t="shared" si="0"/>
        <v>Accessories</v>
      </c>
      <c r="I45" t="s">
        <v>81</v>
      </c>
      <c r="J45" t="str">
        <f t="shared" si="1"/>
        <v>London</v>
      </c>
      <c r="N45" t="s">
        <v>61</v>
      </c>
      <c r="O45" t="str">
        <f t="shared" si="2"/>
        <v>Paypal</v>
      </c>
    </row>
    <row r="46" spans="3:15" x14ac:dyDescent="0.25">
      <c r="C46" t="s">
        <v>50</v>
      </c>
      <c r="D46" t="str">
        <f t="shared" si="0"/>
        <v>Electronics</v>
      </c>
      <c r="I46" t="s">
        <v>39</v>
      </c>
      <c r="J46" t="str">
        <f t="shared" si="1"/>
        <v>Amsterdam</v>
      </c>
      <c r="N46" t="s">
        <v>19</v>
      </c>
      <c r="O46" t="str">
        <f t="shared" si="2"/>
        <v>Bank Transfer</v>
      </c>
    </row>
    <row r="47" spans="3:15" x14ac:dyDescent="0.25">
      <c r="C47" t="s">
        <v>44</v>
      </c>
      <c r="D47" t="str">
        <f t="shared" si="0"/>
        <v>Furniture</v>
      </c>
      <c r="I47" t="s">
        <v>24</v>
      </c>
      <c r="J47" t="str">
        <f t="shared" si="1"/>
        <v>Paris</v>
      </c>
      <c r="N47" t="s">
        <v>19</v>
      </c>
      <c r="O47" t="str">
        <f t="shared" si="2"/>
        <v>Bank Transfer</v>
      </c>
    </row>
    <row r="48" spans="3:15" x14ac:dyDescent="0.25">
      <c r="C48" t="s">
        <v>20</v>
      </c>
      <c r="D48" t="str">
        <f t="shared" si="0"/>
        <v>Accessories</v>
      </c>
      <c r="I48" t="s">
        <v>24</v>
      </c>
      <c r="J48" t="str">
        <f t="shared" si="1"/>
        <v>Paris</v>
      </c>
      <c r="N48" t="s">
        <v>29</v>
      </c>
      <c r="O48" t="str">
        <f t="shared" si="2"/>
        <v>Credit Card</v>
      </c>
    </row>
    <row r="49" spans="3:15" x14ac:dyDescent="0.25">
      <c r="C49" t="s">
        <v>37</v>
      </c>
      <c r="D49" t="str">
        <f t="shared" si="0"/>
        <v>Stationery</v>
      </c>
      <c r="I49" s="5" t="s">
        <v>726</v>
      </c>
      <c r="J49" s="4" t="str">
        <f t="shared" si="1"/>
        <v>Rome</v>
      </c>
      <c r="N49" t="s">
        <v>19</v>
      </c>
      <c r="O49" t="str">
        <f t="shared" si="2"/>
        <v>Bank Transfer</v>
      </c>
    </row>
    <row r="50" spans="3:15" x14ac:dyDescent="0.25">
      <c r="C50" t="s">
        <v>37</v>
      </c>
      <c r="D50" t="str">
        <f t="shared" si="0"/>
        <v>Stationery</v>
      </c>
      <c r="I50" t="s">
        <v>24</v>
      </c>
      <c r="J50" t="str">
        <f t="shared" si="1"/>
        <v>Paris</v>
      </c>
      <c r="N50" t="s">
        <v>61</v>
      </c>
      <c r="O50" t="str">
        <f t="shared" si="2"/>
        <v>Paypal</v>
      </c>
    </row>
    <row r="51" spans="3:15" x14ac:dyDescent="0.25">
      <c r="C51" t="s">
        <v>30</v>
      </c>
      <c r="D51" t="str">
        <f t="shared" si="0"/>
        <v>Apparel</v>
      </c>
      <c r="I51" t="s">
        <v>722</v>
      </c>
      <c r="J51" t="str">
        <f t="shared" si="1"/>
        <v>Amsterdam</v>
      </c>
      <c r="N51" t="s">
        <v>61</v>
      </c>
      <c r="O51" t="str">
        <f t="shared" si="2"/>
        <v>Paypal</v>
      </c>
    </row>
    <row r="52" spans="3:15" x14ac:dyDescent="0.25">
      <c r="C52" t="s">
        <v>30</v>
      </c>
      <c r="D52" t="str">
        <f t="shared" si="0"/>
        <v>Apparel</v>
      </c>
      <c r="I52" t="s">
        <v>33</v>
      </c>
      <c r="J52" t="str">
        <f t="shared" si="1"/>
        <v>Berlin</v>
      </c>
      <c r="N52" t="s">
        <v>19</v>
      </c>
      <c r="O52" t="str">
        <f t="shared" si="2"/>
        <v>Bank Transfer</v>
      </c>
    </row>
    <row r="53" spans="3:15" x14ac:dyDescent="0.25">
      <c r="C53" t="s">
        <v>44</v>
      </c>
      <c r="D53" t="str">
        <f t="shared" si="0"/>
        <v>Furniture</v>
      </c>
      <c r="I53" t="s">
        <v>81</v>
      </c>
      <c r="J53" t="str">
        <f t="shared" si="1"/>
        <v>London</v>
      </c>
      <c r="N53" t="s">
        <v>29</v>
      </c>
      <c r="O53" t="str">
        <f t="shared" si="2"/>
        <v>Credit Card</v>
      </c>
    </row>
    <row r="54" spans="3:15" x14ac:dyDescent="0.25">
      <c r="C54" t="s">
        <v>30</v>
      </c>
      <c r="D54" t="str">
        <f t="shared" si="0"/>
        <v>Apparel</v>
      </c>
      <c r="I54" t="s">
        <v>24</v>
      </c>
      <c r="J54" t="str">
        <f t="shared" si="1"/>
        <v>Paris</v>
      </c>
      <c r="N54" t="s">
        <v>61</v>
      </c>
      <c r="O54" t="str">
        <f t="shared" si="2"/>
        <v>Paypal</v>
      </c>
    </row>
    <row r="55" spans="3:15" x14ac:dyDescent="0.25">
      <c r="C55" t="s">
        <v>44</v>
      </c>
      <c r="D55" t="str">
        <f t="shared" si="0"/>
        <v>Furniture</v>
      </c>
      <c r="I55" t="s">
        <v>81</v>
      </c>
      <c r="J55" t="str">
        <f t="shared" si="1"/>
        <v>London</v>
      </c>
      <c r="N55" t="s">
        <v>29</v>
      </c>
      <c r="O55" t="str">
        <f t="shared" si="2"/>
        <v>Credit Card</v>
      </c>
    </row>
    <row r="56" spans="3:15" x14ac:dyDescent="0.25">
      <c r="C56" t="s">
        <v>44</v>
      </c>
      <c r="D56" t="str">
        <f t="shared" si="0"/>
        <v>Furniture</v>
      </c>
      <c r="I56" s="5" t="s">
        <v>724</v>
      </c>
      <c r="J56" s="4" t="str">
        <f t="shared" si="1"/>
        <v>London</v>
      </c>
      <c r="N56" t="s">
        <v>29</v>
      </c>
      <c r="O56" t="str">
        <f t="shared" si="2"/>
        <v>Credit Card</v>
      </c>
    </row>
    <row r="57" spans="3:15" x14ac:dyDescent="0.25">
      <c r="C57" t="s">
        <v>20</v>
      </c>
      <c r="D57" t="str">
        <f t="shared" si="0"/>
        <v>Accessories</v>
      </c>
      <c r="I57" t="s">
        <v>24</v>
      </c>
      <c r="J57" t="str">
        <f t="shared" si="1"/>
        <v>Paris</v>
      </c>
      <c r="N57" t="s">
        <v>61</v>
      </c>
      <c r="O57" t="str">
        <f t="shared" si="2"/>
        <v>Paypal</v>
      </c>
    </row>
    <row r="58" spans="3:15" x14ac:dyDescent="0.25">
      <c r="C58" t="s">
        <v>20</v>
      </c>
      <c r="D58" t="str">
        <f t="shared" si="0"/>
        <v>Accessories</v>
      </c>
      <c r="I58" t="s">
        <v>33</v>
      </c>
      <c r="J58" t="str">
        <f t="shared" si="1"/>
        <v>Berlin</v>
      </c>
      <c r="N58" t="s">
        <v>19</v>
      </c>
      <c r="O58" t="str">
        <f t="shared" si="2"/>
        <v>Bank Transfer</v>
      </c>
    </row>
    <row r="59" spans="3:15" x14ac:dyDescent="0.25">
      <c r="C59" t="s">
        <v>44</v>
      </c>
      <c r="D59" t="str">
        <f t="shared" si="0"/>
        <v>Furniture</v>
      </c>
      <c r="I59" t="s">
        <v>39</v>
      </c>
      <c r="J59" t="str">
        <f t="shared" si="1"/>
        <v>Amsterdam</v>
      </c>
      <c r="N59" t="s">
        <v>61</v>
      </c>
      <c r="O59" t="str">
        <f t="shared" si="2"/>
        <v>Paypal</v>
      </c>
    </row>
    <row r="60" spans="3:15" x14ac:dyDescent="0.25">
      <c r="C60" t="s">
        <v>20</v>
      </c>
      <c r="D60" t="str">
        <f t="shared" si="0"/>
        <v>Accessories</v>
      </c>
      <c r="I60" t="s">
        <v>59</v>
      </c>
      <c r="J60" t="str">
        <f t="shared" si="1"/>
        <v>Rome</v>
      </c>
      <c r="N60" t="s">
        <v>19</v>
      </c>
      <c r="O60" t="str">
        <f t="shared" si="2"/>
        <v>Bank Transfer</v>
      </c>
    </row>
    <row r="61" spans="3:15" x14ac:dyDescent="0.25">
      <c r="C61" t="s">
        <v>37</v>
      </c>
      <c r="D61" t="str">
        <f t="shared" si="0"/>
        <v>Stationery</v>
      </c>
      <c r="I61" t="s">
        <v>39</v>
      </c>
      <c r="J61" t="str">
        <f t="shared" si="1"/>
        <v>Amsterdam</v>
      </c>
      <c r="N61" t="s">
        <v>29</v>
      </c>
      <c r="O61" t="str">
        <f t="shared" si="2"/>
        <v>Credit Card</v>
      </c>
    </row>
    <row r="62" spans="3:15" x14ac:dyDescent="0.25">
      <c r="C62" t="s">
        <v>44</v>
      </c>
      <c r="D62" t="str">
        <f t="shared" si="0"/>
        <v>Furniture</v>
      </c>
      <c r="I62" t="s">
        <v>24</v>
      </c>
      <c r="J62" t="str">
        <f t="shared" si="1"/>
        <v>Paris</v>
      </c>
      <c r="N62" t="s">
        <v>29</v>
      </c>
      <c r="O62" t="str">
        <f t="shared" si="2"/>
        <v>Credit Card</v>
      </c>
    </row>
    <row r="63" spans="3:15" x14ac:dyDescent="0.25">
      <c r="C63" t="s">
        <v>50</v>
      </c>
      <c r="D63" t="str">
        <f t="shared" si="0"/>
        <v>Electronics</v>
      </c>
      <c r="I63" t="s">
        <v>33</v>
      </c>
      <c r="J63" t="str">
        <f t="shared" si="1"/>
        <v>Berlin</v>
      </c>
      <c r="N63" t="s">
        <v>29</v>
      </c>
      <c r="O63" t="str">
        <f t="shared" si="2"/>
        <v>Credit Card</v>
      </c>
    </row>
    <row r="64" spans="3:15" x14ac:dyDescent="0.25">
      <c r="C64" t="s">
        <v>30</v>
      </c>
      <c r="D64" t="str">
        <f t="shared" si="0"/>
        <v>Apparel</v>
      </c>
      <c r="I64" t="s">
        <v>81</v>
      </c>
      <c r="J64" t="str">
        <f t="shared" si="1"/>
        <v>London</v>
      </c>
      <c r="N64" t="s">
        <v>61</v>
      </c>
      <c r="O64" t="str">
        <f t="shared" si="2"/>
        <v>Paypal</v>
      </c>
    </row>
    <row r="65" spans="3:15" x14ac:dyDescent="0.25">
      <c r="C65" t="s">
        <v>20</v>
      </c>
      <c r="D65" t="str">
        <f t="shared" si="0"/>
        <v>Accessories</v>
      </c>
      <c r="I65" t="s">
        <v>81</v>
      </c>
      <c r="J65" t="str">
        <f t="shared" si="1"/>
        <v>London</v>
      </c>
      <c r="N65" t="s">
        <v>61</v>
      </c>
      <c r="O65" t="str">
        <f t="shared" si="2"/>
        <v>Paypal</v>
      </c>
    </row>
    <row r="66" spans="3:15" x14ac:dyDescent="0.25">
      <c r="C66" t="s">
        <v>37</v>
      </c>
      <c r="D66" t="str">
        <f t="shared" si="0"/>
        <v>Stationery</v>
      </c>
      <c r="I66" t="s">
        <v>59</v>
      </c>
      <c r="J66" t="str">
        <f t="shared" si="1"/>
        <v>Rome</v>
      </c>
      <c r="N66" t="s">
        <v>19</v>
      </c>
      <c r="O66" t="str">
        <f t="shared" si="2"/>
        <v>Bank Transfer</v>
      </c>
    </row>
    <row r="67" spans="3:15" x14ac:dyDescent="0.25">
      <c r="C67" t="s">
        <v>37</v>
      </c>
      <c r="D67" t="str">
        <f t="shared" si="0"/>
        <v>Stationery</v>
      </c>
      <c r="I67" t="s">
        <v>59</v>
      </c>
      <c r="J67" t="str">
        <f t="shared" si="1"/>
        <v>Rome</v>
      </c>
      <c r="N67" t="s">
        <v>61</v>
      </c>
      <c r="O67" t="str">
        <f t="shared" si="2"/>
        <v>Paypal</v>
      </c>
    </row>
    <row r="68" spans="3:15" x14ac:dyDescent="0.25">
      <c r="C68" t="s">
        <v>44</v>
      </c>
      <c r="D68" t="str">
        <f t="shared" si="0"/>
        <v>Furniture</v>
      </c>
      <c r="I68" t="s">
        <v>24</v>
      </c>
      <c r="J68" t="str">
        <f t="shared" si="1"/>
        <v>Paris</v>
      </c>
      <c r="N68" t="s">
        <v>29</v>
      </c>
      <c r="O68" t="str">
        <f t="shared" si="2"/>
        <v>Credit Card</v>
      </c>
    </row>
    <row r="69" spans="3:15" x14ac:dyDescent="0.25">
      <c r="C69" t="s">
        <v>44</v>
      </c>
      <c r="D69" t="str">
        <f t="shared" si="0"/>
        <v>Furniture</v>
      </c>
      <c r="I69" t="s">
        <v>81</v>
      </c>
      <c r="J69" t="str">
        <f t="shared" si="1"/>
        <v>London</v>
      </c>
      <c r="N69" t="s">
        <v>29</v>
      </c>
      <c r="O69" t="str">
        <f t="shared" si="2"/>
        <v>Credit Card</v>
      </c>
    </row>
    <row r="70" spans="3:15" x14ac:dyDescent="0.25">
      <c r="C70" t="s">
        <v>30</v>
      </c>
      <c r="D70" t="str">
        <f t="shared" ref="D70:D133" si="3">PROPER(C70)</f>
        <v>Apparel</v>
      </c>
      <c r="I70" t="s">
        <v>81</v>
      </c>
      <c r="J70" t="str">
        <f t="shared" ref="J70:J133" si="4">PROPER(I70)</f>
        <v>London</v>
      </c>
      <c r="N70" t="s">
        <v>61</v>
      </c>
      <c r="O70" t="str">
        <f t="shared" ref="O70:O133" si="5">IF(N70="paypall","Paypal",N70)</f>
        <v>Paypal</v>
      </c>
    </row>
    <row r="71" spans="3:15" x14ac:dyDescent="0.25">
      <c r="C71" t="s">
        <v>20</v>
      </c>
      <c r="D71" t="str">
        <f t="shared" si="3"/>
        <v>Accessories</v>
      </c>
      <c r="I71" t="s">
        <v>24</v>
      </c>
      <c r="J71" t="str">
        <f t="shared" si="4"/>
        <v>Paris</v>
      </c>
      <c r="N71" t="s">
        <v>61</v>
      </c>
      <c r="O71" t="str">
        <f t="shared" si="5"/>
        <v>Paypal</v>
      </c>
    </row>
    <row r="72" spans="3:15" x14ac:dyDescent="0.25">
      <c r="C72" t="s">
        <v>50</v>
      </c>
      <c r="D72" t="str">
        <f t="shared" si="3"/>
        <v>Electronics</v>
      </c>
      <c r="I72" t="s">
        <v>59</v>
      </c>
      <c r="J72" t="str">
        <f t="shared" si="4"/>
        <v>Rome</v>
      </c>
      <c r="N72" t="s">
        <v>29</v>
      </c>
      <c r="O72" t="str">
        <f t="shared" si="5"/>
        <v>Credit Card</v>
      </c>
    </row>
    <row r="73" spans="3:15" x14ac:dyDescent="0.25">
      <c r="C73" t="s">
        <v>44</v>
      </c>
      <c r="D73" t="str">
        <f t="shared" si="3"/>
        <v>Furniture</v>
      </c>
      <c r="I73" t="s">
        <v>723</v>
      </c>
      <c r="J73" t="str">
        <f t="shared" si="4"/>
        <v>Berlin</v>
      </c>
      <c r="N73" t="s">
        <v>29</v>
      </c>
      <c r="O73" t="str">
        <f t="shared" si="5"/>
        <v>Credit Card</v>
      </c>
    </row>
    <row r="74" spans="3:15" x14ac:dyDescent="0.25">
      <c r="C74" t="s">
        <v>30</v>
      </c>
      <c r="D74" t="str">
        <f t="shared" si="3"/>
        <v>Apparel</v>
      </c>
      <c r="I74" t="s">
        <v>33</v>
      </c>
      <c r="J74" t="str">
        <f t="shared" si="4"/>
        <v>Berlin</v>
      </c>
      <c r="N74" t="s">
        <v>61</v>
      </c>
      <c r="O74" t="str">
        <f t="shared" si="5"/>
        <v>Paypal</v>
      </c>
    </row>
    <row r="75" spans="3:15" x14ac:dyDescent="0.25">
      <c r="C75" t="s">
        <v>20</v>
      </c>
      <c r="D75" t="str">
        <f t="shared" si="3"/>
        <v>Accessories</v>
      </c>
      <c r="I75" t="s">
        <v>726</v>
      </c>
      <c r="J75" t="str">
        <f t="shared" si="4"/>
        <v>Rome</v>
      </c>
      <c r="N75" t="s">
        <v>19</v>
      </c>
      <c r="O75" t="str">
        <f t="shared" si="5"/>
        <v>Bank Transfer</v>
      </c>
    </row>
    <row r="76" spans="3:15" x14ac:dyDescent="0.25">
      <c r="C76" t="s">
        <v>50</v>
      </c>
      <c r="D76" t="str">
        <f t="shared" si="3"/>
        <v>Electronics</v>
      </c>
      <c r="I76" t="s">
        <v>81</v>
      </c>
      <c r="J76" t="str">
        <f t="shared" si="4"/>
        <v>London</v>
      </c>
      <c r="N76" t="s">
        <v>61</v>
      </c>
      <c r="O76" t="str">
        <f t="shared" si="5"/>
        <v>Paypal</v>
      </c>
    </row>
    <row r="77" spans="3:15" x14ac:dyDescent="0.25">
      <c r="C77" t="s">
        <v>20</v>
      </c>
      <c r="D77" t="str">
        <f t="shared" si="3"/>
        <v>Accessories</v>
      </c>
      <c r="I77" t="s">
        <v>24</v>
      </c>
      <c r="J77" t="str">
        <f t="shared" si="4"/>
        <v>Paris</v>
      </c>
      <c r="N77" t="s">
        <v>19</v>
      </c>
      <c r="O77" t="str">
        <f t="shared" si="5"/>
        <v>Bank Transfer</v>
      </c>
    </row>
    <row r="78" spans="3:15" x14ac:dyDescent="0.25">
      <c r="C78" t="s">
        <v>50</v>
      </c>
      <c r="D78" t="str">
        <f t="shared" si="3"/>
        <v>Electronics</v>
      </c>
      <c r="I78" t="s">
        <v>59</v>
      </c>
      <c r="J78" t="str">
        <f t="shared" si="4"/>
        <v>Rome</v>
      </c>
      <c r="N78" t="s">
        <v>61</v>
      </c>
      <c r="O78" t="str">
        <f t="shared" si="5"/>
        <v>Paypal</v>
      </c>
    </row>
    <row r="79" spans="3:15" x14ac:dyDescent="0.25">
      <c r="C79" t="s">
        <v>37</v>
      </c>
      <c r="D79" t="str">
        <f t="shared" si="3"/>
        <v>Stationery</v>
      </c>
      <c r="I79" t="s">
        <v>39</v>
      </c>
      <c r="J79" t="str">
        <f t="shared" si="4"/>
        <v>Amsterdam</v>
      </c>
      <c r="N79" t="s">
        <v>29</v>
      </c>
      <c r="O79" t="str">
        <f t="shared" si="5"/>
        <v>Credit Card</v>
      </c>
    </row>
    <row r="80" spans="3:15" x14ac:dyDescent="0.25">
      <c r="C80" t="s">
        <v>37</v>
      </c>
      <c r="D80" t="str">
        <f t="shared" si="3"/>
        <v>Stationery</v>
      </c>
      <c r="I80" t="s">
        <v>33</v>
      </c>
      <c r="J80" t="str">
        <f t="shared" si="4"/>
        <v>Berlin</v>
      </c>
      <c r="N80" t="s">
        <v>29</v>
      </c>
      <c r="O80" t="str">
        <f t="shared" si="5"/>
        <v>Credit Card</v>
      </c>
    </row>
    <row r="81" spans="3:15" x14ac:dyDescent="0.25">
      <c r="C81" t="s">
        <v>44</v>
      </c>
      <c r="D81" t="str">
        <f t="shared" si="3"/>
        <v>Furniture</v>
      </c>
      <c r="I81" t="s">
        <v>24</v>
      </c>
      <c r="J81" t="str">
        <f t="shared" si="4"/>
        <v>Paris</v>
      </c>
      <c r="N81" t="s">
        <v>19</v>
      </c>
      <c r="O81" t="str">
        <f t="shared" si="5"/>
        <v>Bank Transfer</v>
      </c>
    </row>
    <row r="82" spans="3:15" x14ac:dyDescent="0.25">
      <c r="C82" t="s">
        <v>30</v>
      </c>
      <c r="D82" t="str">
        <f t="shared" si="3"/>
        <v>Apparel</v>
      </c>
      <c r="I82" t="s">
        <v>24</v>
      </c>
      <c r="J82" t="str">
        <f t="shared" si="4"/>
        <v>Paris</v>
      </c>
      <c r="N82" t="s">
        <v>29</v>
      </c>
      <c r="O82" t="str">
        <f t="shared" si="5"/>
        <v>Credit Card</v>
      </c>
    </row>
    <row r="83" spans="3:15" x14ac:dyDescent="0.25">
      <c r="C83" t="s">
        <v>37</v>
      </c>
      <c r="D83" t="str">
        <f t="shared" si="3"/>
        <v>Stationery</v>
      </c>
      <c r="I83" t="s">
        <v>33</v>
      </c>
      <c r="J83" t="str">
        <f t="shared" si="4"/>
        <v>Berlin</v>
      </c>
      <c r="N83" t="s">
        <v>19</v>
      </c>
      <c r="O83" t="str">
        <f t="shared" si="5"/>
        <v>Bank Transfer</v>
      </c>
    </row>
    <row r="84" spans="3:15" x14ac:dyDescent="0.25">
      <c r="C84" t="s">
        <v>30</v>
      </c>
      <c r="D84" t="str">
        <f t="shared" si="3"/>
        <v>Apparel</v>
      </c>
      <c r="I84" t="s">
        <v>81</v>
      </c>
      <c r="J84" t="str">
        <f t="shared" si="4"/>
        <v>London</v>
      </c>
      <c r="N84" t="s">
        <v>29</v>
      </c>
      <c r="O84" t="str">
        <f t="shared" si="5"/>
        <v>Credit Card</v>
      </c>
    </row>
    <row r="85" spans="3:15" x14ac:dyDescent="0.25">
      <c r="C85" t="s">
        <v>37</v>
      </c>
      <c r="D85" t="str">
        <f t="shared" si="3"/>
        <v>Stationery</v>
      </c>
      <c r="I85" t="s">
        <v>81</v>
      </c>
      <c r="J85" t="str">
        <f t="shared" si="4"/>
        <v>London</v>
      </c>
      <c r="N85" t="s">
        <v>61</v>
      </c>
      <c r="O85" t="str">
        <f t="shared" si="5"/>
        <v>Paypal</v>
      </c>
    </row>
    <row r="86" spans="3:15" x14ac:dyDescent="0.25">
      <c r="C86" t="s">
        <v>20</v>
      </c>
      <c r="D86" t="str">
        <f t="shared" si="3"/>
        <v>Accessories</v>
      </c>
      <c r="I86" t="s">
        <v>59</v>
      </c>
      <c r="J86" t="str">
        <f t="shared" si="4"/>
        <v>Rome</v>
      </c>
      <c r="N86" t="s">
        <v>29</v>
      </c>
      <c r="O86" t="str">
        <f t="shared" si="5"/>
        <v>Credit Card</v>
      </c>
    </row>
    <row r="87" spans="3:15" x14ac:dyDescent="0.25">
      <c r="C87" t="s">
        <v>44</v>
      </c>
      <c r="D87" t="str">
        <f t="shared" si="3"/>
        <v>Furniture</v>
      </c>
      <c r="I87" t="s">
        <v>39</v>
      </c>
      <c r="J87" t="str">
        <f t="shared" si="4"/>
        <v>Amsterdam</v>
      </c>
      <c r="N87" t="s">
        <v>61</v>
      </c>
      <c r="O87" t="str">
        <f t="shared" si="5"/>
        <v>Paypal</v>
      </c>
    </row>
    <row r="88" spans="3:15" x14ac:dyDescent="0.25">
      <c r="C88" t="s">
        <v>50</v>
      </c>
      <c r="D88" t="str">
        <f t="shared" si="3"/>
        <v>Electronics</v>
      </c>
      <c r="I88" t="s">
        <v>24</v>
      </c>
      <c r="J88" t="str">
        <f t="shared" si="4"/>
        <v>Paris</v>
      </c>
      <c r="N88" t="s">
        <v>61</v>
      </c>
      <c r="O88" t="str">
        <f t="shared" si="5"/>
        <v>Paypal</v>
      </c>
    </row>
    <row r="89" spans="3:15" x14ac:dyDescent="0.25">
      <c r="C89" t="s">
        <v>44</v>
      </c>
      <c r="D89" t="str">
        <f t="shared" si="3"/>
        <v>Furniture</v>
      </c>
      <c r="I89" t="s">
        <v>24</v>
      </c>
      <c r="J89" t="str">
        <f t="shared" si="4"/>
        <v>Paris</v>
      </c>
      <c r="N89" t="s">
        <v>29</v>
      </c>
      <c r="O89" t="str">
        <f t="shared" si="5"/>
        <v>Credit Card</v>
      </c>
    </row>
    <row r="90" spans="3:15" x14ac:dyDescent="0.25">
      <c r="C90" t="s">
        <v>30</v>
      </c>
      <c r="D90" t="str">
        <f t="shared" si="3"/>
        <v>Apparel</v>
      </c>
      <c r="I90" t="s">
        <v>33</v>
      </c>
      <c r="J90" t="str">
        <f t="shared" si="4"/>
        <v>Berlin</v>
      </c>
      <c r="N90" t="s">
        <v>61</v>
      </c>
      <c r="O90" t="str">
        <f t="shared" si="5"/>
        <v>Paypal</v>
      </c>
    </row>
    <row r="91" spans="3:15" x14ac:dyDescent="0.25">
      <c r="C91" t="s">
        <v>30</v>
      </c>
      <c r="D91" t="str">
        <f t="shared" si="3"/>
        <v>Apparel</v>
      </c>
      <c r="I91" t="s">
        <v>81</v>
      </c>
      <c r="J91" t="str">
        <f t="shared" si="4"/>
        <v>London</v>
      </c>
      <c r="N91" t="s">
        <v>19</v>
      </c>
      <c r="O91" t="str">
        <f t="shared" si="5"/>
        <v>Bank Transfer</v>
      </c>
    </row>
    <row r="92" spans="3:15" x14ac:dyDescent="0.25">
      <c r="C92" t="s">
        <v>20</v>
      </c>
      <c r="D92" t="str">
        <f t="shared" si="3"/>
        <v>Accessories</v>
      </c>
      <c r="I92" t="s">
        <v>722</v>
      </c>
      <c r="J92" t="str">
        <f t="shared" si="4"/>
        <v>Amsterdam</v>
      </c>
      <c r="N92" t="s">
        <v>61</v>
      </c>
      <c r="O92" t="str">
        <f t="shared" si="5"/>
        <v>Paypal</v>
      </c>
    </row>
    <row r="93" spans="3:15" x14ac:dyDescent="0.25">
      <c r="C93" t="s">
        <v>50</v>
      </c>
      <c r="D93" t="str">
        <f t="shared" si="3"/>
        <v>Electronics</v>
      </c>
      <c r="I93" t="s">
        <v>24</v>
      </c>
      <c r="J93" t="str">
        <f t="shared" si="4"/>
        <v>Paris</v>
      </c>
      <c r="N93" t="s">
        <v>19</v>
      </c>
      <c r="O93" t="str">
        <f t="shared" si="5"/>
        <v>Bank Transfer</v>
      </c>
    </row>
    <row r="94" spans="3:15" x14ac:dyDescent="0.25">
      <c r="C94" t="s">
        <v>20</v>
      </c>
      <c r="D94" t="str">
        <f t="shared" si="3"/>
        <v>Accessories</v>
      </c>
      <c r="I94" t="s">
        <v>39</v>
      </c>
      <c r="J94" t="str">
        <f t="shared" si="4"/>
        <v>Amsterdam</v>
      </c>
      <c r="N94" t="s">
        <v>29</v>
      </c>
      <c r="O94" t="str">
        <f t="shared" si="5"/>
        <v>Credit Card</v>
      </c>
    </row>
    <row r="95" spans="3:15" x14ac:dyDescent="0.25">
      <c r="C95" t="s">
        <v>37</v>
      </c>
      <c r="D95" t="str">
        <f t="shared" si="3"/>
        <v>Stationery</v>
      </c>
      <c r="I95" t="s">
        <v>59</v>
      </c>
      <c r="J95" t="str">
        <f t="shared" si="4"/>
        <v>Rome</v>
      </c>
      <c r="N95" t="s">
        <v>61</v>
      </c>
      <c r="O95" t="str">
        <f t="shared" si="5"/>
        <v>Paypal</v>
      </c>
    </row>
    <row r="96" spans="3:15" x14ac:dyDescent="0.25">
      <c r="C96" t="s">
        <v>37</v>
      </c>
      <c r="D96" t="str">
        <f t="shared" si="3"/>
        <v>Stationery</v>
      </c>
      <c r="I96" t="s">
        <v>81</v>
      </c>
      <c r="J96" t="str">
        <f t="shared" si="4"/>
        <v>London</v>
      </c>
      <c r="N96" t="s">
        <v>19</v>
      </c>
      <c r="O96" t="str">
        <f t="shared" si="5"/>
        <v>Bank Transfer</v>
      </c>
    </row>
    <row r="97" spans="3:15" x14ac:dyDescent="0.25">
      <c r="C97" t="s">
        <v>44</v>
      </c>
      <c r="D97" t="str">
        <f t="shared" si="3"/>
        <v>Furniture</v>
      </c>
      <c r="I97" t="s">
        <v>59</v>
      </c>
      <c r="J97" t="str">
        <f t="shared" si="4"/>
        <v>Rome</v>
      </c>
      <c r="N97" t="s">
        <v>19</v>
      </c>
      <c r="O97" t="str">
        <f t="shared" si="5"/>
        <v>Bank Transfer</v>
      </c>
    </row>
    <row r="98" spans="3:15" x14ac:dyDescent="0.25">
      <c r="C98" t="s">
        <v>20</v>
      </c>
      <c r="D98" t="str">
        <f t="shared" si="3"/>
        <v>Accessories</v>
      </c>
      <c r="I98" t="s">
        <v>81</v>
      </c>
      <c r="J98" t="str">
        <f t="shared" si="4"/>
        <v>London</v>
      </c>
      <c r="N98" t="s">
        <v>29</v>
      </c>
      <c r="O98" t="str">
        <f t="shared" si="5"/>
        <v>Credit Card</v>
      </c>
    </row>
    <row r="99" spans="3:15" x14ac:dyDescent="0.25">
      <c r="C99" t="s">
        <v>30</v>
      </c>
      <c r="D99" t="str">
        <f t="shared" si="3"/>
        <v>Apparel</v>
      </c>
      <c r="I99" t="s">
        <v>81</v>
      </c>
      <c r="J99" t="str">
        <f t="shared" si="4"/>
        <v>London</v>
      </c>
      <c r="N99" t="s">
        <v>19</v>
      </c>
      <c r="O99" t="str">
        <f t="shared" si="5"/>
        <v>Bank Transfer</v>
      </c>
    </row>
    <row r="100" spans="3:15" x14ac:dyDescent="0.25">
      <c r="C100" t="s">
        <v>30</v>
      </c>
      <c r="D100" t="str">
        <f t="shared" si="3"/>
        <v>Apparel</v>
      </c>
      <c r="I100" t="s">
        <v>81</v>
      </c>
      <c r="J100" t="str">
        <f t="shared" si="4"/>
        <v>London</v>
      </c>
      <c r="N100" t="s">
        <v>61</v>
      </c>
      <c r="O100" t="str">
        <f t="shared" si="5"/>
        <v>Paypal</v>
      </c>
    </row>
    <row r="101" spans="3:15" x14ac:dyDescent="0.25">
      <c r="C101" t="s">
        <v>37</v>
      </c>
      <c r="D101" t="str">
        <f t="shared" si="3"/>
        <v>Stationery</v>
      </c>
      <c r="I101" s="5" t="s">
        <v>726</v>
      </c>
      <c r="J101" s="4" t="str">
        <f t="shared" si="4"/>
        <v>Rome</v>
      </c>
      <c r="N101" t="s">
        <v>61</v>
      </c>
      <c r="O101" t="str">
        <f t="shared" si="5"/>
        <v>Paypal</v>
      </c>
    </row>
    <row r="102" spans="3:15" x14ac:dyDescent="0.25">
      <c r="C102" t="s">
        <v>50</v>
      </c>
      <c r="D102" t="str">
        <f t="shared" si="3"/>
        <v>Electronics</v>
      </c>
      <c r="I102" t="s">
        <v>24</v>
      </c>
      <c r="J102" t="str">
        <f t="shared" si="4"/>
        <v>Paris</v>
      </c>
      <c r="N102" t="s">
        <v>29</v>
      </c>
      <c r="O102" t="str">
        <f t="shared" si="5"/>
        <v>Credit Card</v>
      </c>
    </row>
    <row r="103" spans="3:15" x14ac:dyDescent="0.25">
      <c r="C103" t="s">
        <v>30</v>
      </c>
      <c r="D103" t="str">
        <f t="shared" si="3"/>
        <v>Apparel</v>
      </c>
      <c r="I103" t="s">
        <v>39</v>
      </c>
      <c r="J103" t="str">
        <f t="shared" si="4"/>
        <v>Amsterdam</v>
      </c>
      <c r="N103" t="s">
        <v>61</v>
      </c>
      <c r="O103" t="str">
        <f t="shared" si="5"/>
        <v>Paypal</v>
      </c>
    </row>
    <row r="104" spans="3:15" x14ac:dyDescent="0.25">
      <c r="C104" t="s">
        <v>20</v>
      </c>
      <c r="D104" t="str">
        <f t="shared" si="3"/>
        <v>Accessories</v>
      </c>
      <c r="I104" t="s">
        <v>59</v>
      </c>
      <c r="J104" t="str">
        <f t="shared" si="4"/>
        <v>Rome</v>
      </c>
      <c r="N104" t="s">
        <v>61</v>
      </c>
      <c r="O104" t="str">
        <f t="shared" si="5"/>
        <v>Paypal</v>
      </c>
    </row>
    <row r="105" spans="3:15" x14ac:dyDescent="0.25">
      <c r="C105" t="s">
        <v>30</v>
      </c>
      <c r="D105" t="str">
        <f t="shared" si="3"/>
        <v>Apparel</v>
      </c>
      <c r="I105" t="s">
        <v>81</v>
      </c>
      <c r="J105" t="str">
        <f t="shared" si="4"/>
        <v>London</v>
      </c>
      <c r="N105" t="s">
        <v>19</v>
      </c>
      <c r="O105" t="str">
        <f t="shared" si="5"/>
        <v>Bank Transfer</v>
      </c>
    </row>
    <row r="106" spans="3:15" x14ac:dyDescent="0.25">
      <c r="C106" t="s">
        <v>20</v>
      </c>
      <c r="D106" t="str">
        <f t="shared" si="3"/>
        <v>Accessories</v>
      </c>
      <c r="I106" t="s">
        <v>81</v>
      </c>
      <c r="J106" t="str">
        <f t="shared" si="4"/>
        <v>London</v>
      </c>
      <c r="N106" t="s">
        <v>29</v>
      </c>
      <c r="O106" t="str">
        <f t="shared" si="5"/>
        <v>Credit Card</v>
      </c>
    </row>
    <row r="107" spans="3:15" x14ac:dyDescent="0.25">
      <c r="C107" t="s">
        <v>50</v>
      </c>
      <c r="D107" t="str">
        <f t="shared" si="3"/>
        <v>Electronics</v>
      </c>
      <c r="I107" t="s">
        <v>722</v>
      </c>
      <c r="J107" t="str">
        <f t="shared" si="4"/>
        <v>Amsterdam</v>
      </c>
      <c r="N107" t="s">
        <v>61</v>
      </c>
      <c r="O107" t="str">
        <f t="shared" si="5"/>
        <v>Paypal</v>
      </c>
    </row>
    <row r="108" spans="3:15" x14ac:dyDescent="0.25">
      <c r="C108" t="s">
        <v>20</v>
      </c>
      <c r="D108" t="str">
        <f t="shared" si="3"/>
        <v>Accessories</v>
      </c>
      <c r="I108" t="s">
        <v>59</v>
      </c>
      <c r="J108" t="str">
        <f t="shared" si="4"/>
        <v>Rome</v>
      </c>
      <c r="N108" t="s">
        <v>61</v>
      </c>
      <c r="O108" t="str">
        <f t="shared" si="5"/>
        <v>Paypal</v>
      </c>
    </row>
    <row r="109" spans="3:15" x14ac:dyDescent="0.25">
      <c r="C109" t="s">
        <v>44</v>
      </c>
      <c r="D109" t="str">
        <f t="shared" si="3"/>
        <v>Furniture</v>
      </c>
      <c r="I109" t="s">
        <v>39</v>
      </c>
      <c r="J109" t="str">
        <f t="shared" si="4"/>
        <v>Amsterdam</v>
      </c>
      <c r="N109" t="s">
        <v>19</v>
      </c>
      <c r="O109" t="str">
        <f t="shared" si="5"/>
        <v>Bank Transfer</v>
      </c>
    </row>
    <row r="110" spans="3:15" x14ac:dyDescent="0.25">
      <c r="C110" t="s">
        <v>44</v>
      </c>
      <c r="D110" t="str">
        <f t="shared" si="3"/>
        <v>Furniture</v>
      </c>
      <c r="I110" t="s">
        <v>24</v>
      </c>
      <c r="J110" t="str">
        <f t="shared" si="4"/>
        <v>Paris</v>
      </c>
      <c r="N110" t="s">
        <v>29</v>
      </c>
      <c r="O110" t="str">
        <f t="shared" si="5"/>
        <v>Credit Card</v>
      </c>
    </row>
    <row r="111" spans="3:15" x14ac:dyDescent="0.25">
      <c r="C111" t="s">
        <v>20</v>
      </c>
      <c r="D111" t="str">
        <f t="shared" si="3"/>
        <v>Accessories</v>
      </c>
      <c r="I111" t="s">
        <v>33</v>
      </c>
      <c r="J111" t="str">
        <f t="shared" si="4"/>
        <v>Berlin</v>
      </c>
      <c r="N111" t="s">
        <v>19</v>
      </c>
      <c r="O111" t="str">
        <f t="shared" si="5"/>
        <v>Bank Transfer</v>
      </c>
    </row>
    <row r="112" spans="3:15" x14ac:dyDescent="0.25">
      <c r="C112" t="s">
        <v>50</v>
      </c>
      <c r="D112" t="str">
        <f t="shared" si="3"/>
        <v>Electronics</v>
      </c>
      <c r="I112" t="s">
        <v>33</v>
      </c>
      <c r="J112" t="str">
        <f t="shared" si="4"/>
        <v>Berlin</v>
      </c>
      <c r="N112" t="s">
        <v>61</v>
      </c>
      <c r="O112" t="str">
        <f t="shared" si="5"/>
        <v>Paypal</v>
      </c>
    </row>
    <row r="113" spans="3:15" x14ac:dyDescent="0.25">
      <c r="C113" t="s">
        <v>50</v>
      </c>
      <c r="D113" t="str">
        <f t="shared" si="3"/>
        <v>Electronics</v>
      </c>
      <c r="I113" t="s">
        <v>33</v>
      </c>
      <c r="J113" t="str">
        <f t="shared" si="4"/>
        <v>Berlin</v>
      </c>
      <c r="N113" t="s">
        <v>19</v>
      </c>
      <c r="O113" t="str">
        <f t="shared" si="5"/>
        <v>Bank Transfer</v>
      </c>
    </row>
    <row r="114" spans="3:15" x14ac:dyDescent="0.25">
      <c r="C114" s="5" t="s">
        <v>729</v>
      </c>
      <c r="D114" s="4" t="str">
        <f t="shared" si="3"/>
        <v>Furniture</v>
      </c>
      <c r="I114" t="s">
        <v>59</v>
      </c>
      <c r="J114" t="str">
        <f t="shared" si="4"/>
        <v>Rome</v>
      </c>
      <c r="N114" t="s">
        <v>29</v>
      </c>
      <c r="O114" t="str">
        <f t="shared" si="5"/>
        <v>Credit Card</v>
      </c>
    </row>
    <row r="115" spans="3:15" x14ac:dyDescent="0.25">
      <c r="C115" t="s">
        <v>20</v>
      </c>
      <c r="D115" t="str">
        <f t="shared" si="3"/>
        <v>Accessories</v>
      </c>
      <c r="I115" t="s">
        <v>59</v>
      </c>
      <c r="J115" t="str">
        <f t="shared" si="4"/>
        <v>Rome</v>
      </c>
      <c r="N115" t="s">
        <v>19</v>
      </c>
      <c r="O115" t="str">
        <f t="shared" si="5"/>
        <v>Bank Transfer</v>
      </c>
    </row>
    <row r="116" spans="3:15" x14ac:dyDescent="0.25">
      <c r="C116" t="s">
        <v>37</v>
      </c>
      <c r="D116" t="str">
        <f t="shared" si="3"/>
        <v>Stationery</v>
      </c>
      <c r="I116" t="s">
        <v>81</v>
      </c>
      <c r="J116" t="str">
        <f t="shared" si="4"/>
        <v>London</v>
      </c>
      <c r="N116" t="s">
        <v>29</v>
      </c>
      <c r="O116" t="str">
        <f t="shared" si="5"/>
        <v>Credit Card</v>
      </c>
    </row>
    <row r="117" spans="3:15" x14ac:dyDescent="0.25">
      <c r="C117" t="s">
        <v>44</v>
      </c>
      <c r="D117" t="str">
        <f t="shared" si="3"/>
        <v>Furniture</v>
      </c>
      <c r="I117" t="s">
        <v>24</v>
      </c>
      <c r="J117" t="str">
        <f t="shared" si="4"/>
        <v>Paris</v>
      </c>
      <c r="N117" t="s">
        <v>61</v>
      </c>
      <c r="O117" t="str">
        <f t="shared" si="5"/>
        <v>Paypal</v>
      </c>
    </row>
    <row r="118" spans="3:15" x14ac:dyDescent="0.25">
      <c r="C118" t="s">
        <v>50</v>
      </c>
      <c r="D118" t="str">
        <f t="shared" si="3"/>
        <v>Electronics</v>
      </c>
      <c r="I118" t="s">
        <v>24</v>
      </c>
      <c r="J118" t="str">
        <f t="shared" si="4"/>
        <v>Paris</v>
      </c>
      <c r="N118" t="s">
        <v>19</v>
      </c>
      <c r="O118" t="str">
        <f t="shared" si="5"/>
        <v>Bank Transfer</v>
      </c>
    </row>
    <row r="119" spans="3:15" x14ac:dyDescent="0.25">
      <c r="C119" t="s">
        <v>50</v>
      </c>
      <c r="D119" t="str">
        <f t="shared" si="3"/>
        <v>Electronics</v>
      </c>
      <c r="I119" t="s">
        <v>24</v>
      </c>
      <c r="J119" t="str">
        <f t="shared" si="4"/>
        <v>Paris</v>
      </c>
      <c r="N119" t="s">
        <v>61</v>
      </c>
      <c r="O119" t="str">
        <f t="shared" si="5"/>
        <v>Paypal</v>
      </c>
    </row>
    <row r="120" spans="3:15" x14ac:dyDescent="0.25">
      <c r="C120" t="s">
        <v>37</v>
      </c>
      <c r="D120" t="str">
        <f t="shared" si="3"/>
        <v>Stationery</v>
      </c>
      <c r="I120" t="s">
        <v>59</v>
      </c>
      <c r="J120" t="str">
        <f t="shared" si="4"/>
        <v>Rome</v>
      </c>
      <c r="N120" t="s">
        <v>29</v>
      </c>
      <c r="O120" t="str">
        <f t="shared" si="5"/>
        <v>Credit Card</v>
      </c>
    </row>
    <row r="121" spans="3:15" x14ac:dyDescent="0.25">
      <c r="C121" t="s">
        <v>30</v>
      </c>
      <c r="D121" t="str">
        <f t="shared" si="3"/>
        <v>Apparel</v>
      </c>
      <c r="I121" t="s">
        <v>24</v>
      </c>
      <c r="J121" t="str">
        <f t="shared" si="4"/>
        <v>Paris</v>
      </c>
      <c r="N121" t="s">
        <v>29</v>
      </c>
      <c r="O121" t="str">
        <f t="shared" si="5"/>
        <v>Credit Card</v>
      </c>
    </row>
    <row r="122" spans="3:15" x14ac:dyDescent="0.25">
      <c r="C122" t="s">
        <v>50</v>
      </c>
      <c r="D122" t="str">
        <f t="shared" si="3"/>
        <v>Electronics</v>
      </c>
      <c r="I122" t="s">
        <v>81</v>
      </c>
      <c r="J122" t="str">
        <f t="shared" si="4"/>
        <v>London</v>
      </c>
      <c r="N122" t="s">
        <v>19</v>
      </c>
      <c r="O122" t="str">
        <f t="shared" si="5"/>
        <v>Bank Transfer</v>
      </c>
    </row>
    <row r="123" spans="3:15" x14ac:dyDescent="0.25">
      <c r="C123" t="s">
        <v>37</v>
      </c>
      <c r="D123" t="str">
        <f t="shared" si="3"/>
        <v>Stationery</v>
      </c>
      <c r="I123" t="s">
        <v>81</v>
      </c>
      <c r="J123" t="str">
        <f t="shared" si="4"/>
        <v>London</v>
      </c>
      <c r="N123" t="s">
        <v>19</v>
      </c>
      <c r="O123" t="str">
        <f t="shared" si="5"/>
        <v>Bank Transfer</v>
      </c>
    </row>
    <row r="124" spans="3:15" x14ac:dyDescent="0.25">
      <c r="C124" t="s">
        <v>20</v>
      </c>
      <c r="D124" t="str">
        <f t="shared" si="3"/>
        <v>Accessories</v>
      </c>
      <c r="I124" t="s">
        <v>24</v>
      </c>
      <c r="J124" t="str">
        <f t="shared" si="4"/>
        <v>Paris</v>
      </c>
      <c r="N124" t="s">
        <v>61</v>
      </c>
      <c r="O124" t="str">
        <f t="shared" si="5"/>
        <v>Paypal</v>
      </c>
    </row>
    <row r="125" spans="3:15" x14ac:dyDescent="0.25">
      <c r="C125" t="s">
        <v>20</v>
      </c>
      <c r="D125" t="str">
        <f t="shared" si="3"/>
        <v>Accessories</v>
      </c>
      <c r="I125" t="s">
        <v>39</v>
      </c>
      <c r="J125" t="str">
        <f t="shared" si="4"/>
        <v>Amsterdam</v>
      </c>
      <c r="N125" t="s">
        <v>19</v>
      </c>
      <c r="O125" t="str">
        <f t="shared" si="5"/>
        <v>Bank Transfer</v>
      </c>
    </row>
    <row r="126" spans="3:15" x14ac:dyDescent="0.25">
      <c r="C126" t="s">
        <v>37</v>
      </c>
      <c r="D126" t="str">
        <f t="shared" si="3"/>
        <v>Stationery</v>
      </c>
      <c r="I126" t="s">
        <v>81</v>
      </c>
      <c r="J126" t="str">
        <f t="shared" si="4"/>
        <v>London</v>
      </c>
      <c r="N126" t="s">
        <v>29</v>
      </c>
      <c r="O126" t="str">
        <f t="shared" si="5"/>
        <v>Credit Card</v>
      </c>
    </row>
    <row r="127" spans="3:15" x14ac:dyDescent="0.25">
      <c r="C127" t="s">
        <v>37</v>
      </c>
      <c r="D127" t="str">
        <f t="shared" si="3"/>
        <v>Stationery</v>
      </c>
      <c r="I127" t="s">
        <v>24</v>
      </c>
      <c r="J127" t="str">
        <f t="shared" si="4"/>
        <v>Paris</v>
      </c>
      <c r="N127" t="s">
        <v>61</v>
      </c>
      <c r="O127" t="str">
        <f t="shared" si="5"/>
        <v>Paypal</v>
      </c>
    </row>
    <row r="128" spans="3:15" x14ac:dyDescent="0.25">
      <c r="C128" t="s">
        <v>20</v>
      </c>
      <c r="D128" t="str">
        <f t="shared" si="3"/>
        <v>Accessories</v>
      </c>
      <c r="I128" t="s">
        <v>81</v>
      </c>
      <c r="J128" t="str">
        <f t="shared" si="4"/>
        <v>London</v>
      </c>
      <c r="N128" t="s">
        <v>19</v>
      </c>
      <c r="O128" t="str">
        <f t="shared" si="5"/>
        <v>Bank Transfer</v>
      </c>
    </row>
    <row r="129" spans="3:15" x14ac:dyDescent="0.25">
      <c r="C129" t="s">
        <v>50</v>
      </c>
      <c r="D129" t="str">
        <f t="shared" si="3"/>
        <v>Electronics</v>
      </c>
      <c r="I129" t="s">
        <v>24</v>
      </c>
      <c r="J129" t="str">
        <f t="shared" si="4"/>
        <v>Paris</v>
      </c>
      <c r="N129" t="s">
        <v>19</v>
      </c>
      <c r="O129" t="str">
        <f t="shared" si="5"/>
        <v>Bank Transfer</v>
      </c>
    </row>
    <row r="130" spans="3:15" x14ac:dyDescent="0.25">
      <c r="C130" t="s">
        <v>50</v>
      </c>
      <c r="D130" t="str">
        <f t="shared" si="3"/>
        <v>Electronics</v>
      </c>
      <c r="I130" t="s">
        <v>81</v>
      </c>
      <c r="J130" t="str">
        <f t="shared" si="4"/>
        <v>London</v>
      </c>
      <c r="N130" t="s">
        <v>19</v>
      </c>
      <c r="O130" t="str">
        <f t="shared" si="5"/>
        <v>Bank Transfer</v>
      </c>
    </row>
    <row r="131" spans="3:15" x14ac:dyDescent="0.25">
      <c r="C131" t="s">
        <v>30</v>
      </c>
      <c r="D131" t="str">
        <f t="shared" si="3"/>
        <v>Apparel</v>
      </c>
      <c r="I131" t="s">
        <v>59</v>
      </c>
      <c r="J131" t="str">
        <f t="shared" si="4"/>
        <v>Rome</v>
      </c>
      <c r="N131" t="s">
        <v>19</v>
      </c>
      <c r="O131" t="str">
        <f t="shared" si="5"/>
        <v>Bank Transfer</v>
      </c>
    </row>
    <row r="132" spans="3:15" x14ac:dyDescent="0.25">
      <c r="C132" t="s">
        <v>37</v>
      </c>
      <c r="D132" t="str">
        <f t="shared" si="3"/>
        <v>Stationery</v>
      </c>
      <c r="I132" t="s">
        <v>24</v>
      </c>
      <c r="J132" t="str">
        <f t="shared" si="4"/>
        <v>Paris</v>
      </c>
      <c r="N132" t="s">
        <v>61</v>
      </c>
      <c r="O132" t="str">
        <f t="shared" si="5"/>
        <v>Paypal</v>
      </c>
    </row>
    <row r="133" spans="3:15" x14ac:dyDescent="0.25">
      <c r="C133" t="s">
        <v>44</v>
      </c>
      <c r="D133" t="str">
        <f t="shared" si="3"/>
        <v>Furniture</v>
      </c>
      <c r="I133" t="s">
        <v>81</v>
      </c>
      <c r="J133" t="str">
        <f t="shared" si="4"/>
        <v>London</v>
      </c>
      <c r="N133" t="s">
        <v>61</v>
      </c>
      <c r="O133" t="str">
        <f t="shared" si="5"/>
        <v>Paypal</v>
      </c>
    </row>
    <row r="134" spans="3:15" x14ac:dyDescent="0.25">
      <c r="C134" t="s">
        <v>37</v>
      </c>
      <c r="D134" t="str">
        <f t="shared" ref="D134:D197" si="6">PROPER(C134)</f>
        <v>Stationery</v>
      </c>
      <c r="I134" t="s">
        <v>59</v>
      </c>
      <c r="J134" t="str">
        <f t="shared" ref="J134:J197" si="7">PROPER(I134)</f>
        <v>Rome</v>
      </c>
      <c r="N134" t="s">
        <v>29</v>
      </c>
      <c r="O134" t="str">
        <f t="shared" ref="O134:O197" si="8">IF(N134="paypall","Paypal",N134)</f>
        <v>Credit Card</v>
      </c>
    </row>
    <row r="135" spans="3:15" x14ac:dyDescent="0.25">
      <c r="C135" t="s">
        <v>37</v>
      </c>
      <c r="D135" t="str">
        <f t="shared" si="6"/>
        <v>Stationery</v>
      </c>
      <c r="I135" t="s">
        <v>24</v>
      </c>
      <c r="J135" t="str">
        <f t="shared" si="7"/>
        <v>Paris</v>
      </c>
      <c r="N135" t="s">
        <v>19</v>
      </c>
      <c r="O135" t="str">
        <f t="shared" si="8"/>
        <v>Bank Transfer</v>
      </c>
    </row>
    <row r="136" spans="3:15" x14ac:dyDescent="0.25">
      <c r="C136" t="s">
        <v>50</v>
      </c>
      <c r="D136" t="str">
        <f t="shared" si="6"/>
        <v>Electronics</v>
      </c>
      <c r="I136" t="s">
        <v>33</v>
      </c>
      <c r="J136" t="str">
        <f t="shared" si="7"/>
        <v>Berlin</v>
      </c>
      <c r="N136" t="s">
        <v>61</v>
      </c>
      <c r="O136" t="str">
        <f t="shared" si="8"/>
        <v>Paypal</v>
      </c>
    </row>
    <row r="137" spans="3:15" x14ac:dyDescent="0.25">
      <c r="C137" t="s">
        <v>50</v>
      </c>
      <c r="D137" t="str">
        <f t="shared" si="6"/>
        <v>Electronics</v>
      </c>
      <c r="I137" t="s">
        <v>33</v>
      </c>
      <c r="J137" t="str">
        <f t="shared" si="7"/>
        <v>Berlin</v>
      </c>
      <c r="N137" t="s">
        <v>61</v>
      </c>
      <c r="O137" t="str">
        <f t="shared" si="8"/>
        <v>Paypal</v>
      </c>
    </row>
    <row r="138" spans="3:15" x14ac:dyDescent="0.25">
      <c r="C138" t="s">
        <v>44</v>
      </c>
      <c r="D138" t="str">
        <f t="shared" si="6"/>
        <v>Furniture</v>
      </c>
      <c r="I138" t="s">
        <v>24</v>
      </c>
      <c r="J138" t="str">
        <f t="shared" si="7"/>
        <v>Paris</v>
      </c>
      <c r="N138" t="s">
        <v>19</v>
      </c>
      <c r="O138" t="str">
        <f t="shared" si="8"/>
        <v>Bank Transfer</v>
      </c>
    </row>
    <row r="139" spans="3:15" x14ac:dyDescent="0.25">
      <c r="C139" t="s">
        <v>37</v>
      </c>
      <c r="D139" t="str">
        <f t="shared" si="6"/>
        <v>Stationery</v>
      </c>
      <c r="I139" t="s">
        <v>81</v>
      </c>
      <c r="J139" t="str">
        <f t="shared" si="7"/>
        <v>London</v>
      </c>
      <c r="N139" t="s">
        <v>19</v>
      </c>
      <c r="O139" t="str">
        <f t="shared" si="8"/>
        <v>Bank Transfer</v>
      </c>
    </row>
    <row r="140" spans="3:15" x14ac:dyDescent="0.25">
      <c r="C140" t="s">
        <v>37</v>
      </c>
      <c r="D140" t="str">
        <f t="shared" si="6"/>
        <v>Stationery</v>
      </c>
      <c r="I140" t="s">
        <v>24</v>
      </c>
      <c r="J140" t="str">
        <f t="shared" si="7"/>
        <v>Paris</v>
      </c>
      <c r="N140" t="s">
        <v>19</v>
      </c>
      <c r="O140" t="str">
        <f t="shared" si="8"/>
        <v>Bank Transfer</v>
      </c>
    </row>
    <row r="141" spans="3:15" x14ac:dyDescent="0.25">
      <c r="C141" t="s">
        <v>30</v>
      </c>
      <c r="D141" t="str">
        <f t="shared" si="6"/>
        <v>Apparel</v>
      </c>
      <c r="I141" t="s">
        <v>24</v>
      </c>
      <c r="J141" t="str">
        <f t="shared" si="7"/>
        <v>Paris</v>
      </c>
      <c r="N141" t="s">
        <v>19</v>
      </c>
      <c r="O141" t="str">
        <f t="shared" si="8"/>
        <v>Bank Transfer</v>
      </c>
    </row>
    <row r="142" spans="3:15" x14ac:dyDescent="0.25">
      <c r="C142" t="s">
        <v>20</v>
      </c>
      <c r="D142" t="str">
        <f t="shared" si="6"/>
        <v>Accessories</v>
      </c>
      <c r="I142" t="s">
        <v>39</v>
      </c>
      <c r="J142" t="str">
        <f t="shared" si="7"/>
        <v>Amsterdam</v>
      </c>
      <c r="N142" t="s">
        <v>19</v>
      </c>
      <c r="O142" t="str">
        <f t="shared" si="8"/>
        <v>Bank Transfer</v>
      </c>
    </row>
    <row r="143" spans="3:15" x14ac:dyDescent="0.25">
      <c r="C143" t="s">
        <v>20</v>
      </c>
      <c r="D143" t="str">
        <f t="shared" si="6"/>
        <v>Accessories</v>
      </c>
      <c r="I143" t="s">
        <v>24</v>
      </c>
      <c r="J143" t="str">
        <f t="shared" si="7"/>
        <v>Paris</v>
      </c>
      <c r="N143" t="s">
        <v>29</v>
      </c>
      <c r="O143" t="str">
        <f t="shared" si="8"/>
        <v>Credit Card</v>
      </c>
    </row>
    <row r="144" spans="3:15" x14ac:dyDescent="0.25">
      <c r="C144" t="s">
        <v>37</v>
      </c>
      <c r="D144" t="str">
        <f t="shared" si="6"/>
        <v>Stationery</v>
      </c>
      <c r="I144" t="s">
        <v>24</v>
      </c>
      <c r="J144" t="str">
        <f t="shared" si="7"/>
        <v>Paris</v>
      </c>
      <c r="N144" t="s">
        <v>19</v>
      </c>
      <c r="O144" t="str">
        <f t="shared" si="8"/>
        <v>Bank Transfer</v>
      </c>
    </row>
    <row r="145" spans="3:15" x14ac:dyDescent="0.25">
      <c r="C145" t="s">
        <v>30</v>
      </c>
      <c r="D145" t="str">
        <f t="shared" si="6"/>
        <v>Apparel</v>
      </c>
      <c r="I145" t="s">
        <v>59</v>
      </c>
      <c r="J145" t="str">
        <f t="shared" si="7"/>
        <v>Rome</v>
      </c>
      <c r="N145" t="s">
        <v>61</v>
      </c>
      <c r="O145" t="str">
        <f t="shared" si="8"/>
        <v>Paypal</v>
      </c>
    </row>
    <row r="146" spans="3:15" x14ac:dyDescent="0.25">
      <c r="C146" t="s">
        <v>44</v>
      </c>
      <c r="D146" t="str">
        <f t="shared" si="6"/>
        <v>Furniture</v>
      </c>
      <c r="I146" t="s">
        <v>81</v>
      </c>
      <c r="J146" t="str">
        <f t="shared" si="7"/>
        <v>London</v>
      </c>
      <c r="N146" t="s">
        <v>19</v>
      </c>
      <c r="O146" t="str">
        <f t="shared" si="8"/>
        <v>Bank Transfer</v>
      </c>
    </row>
    <row r="147" spans="3:15" x14ac:dyDescent="0.25">
      <c r="C147" t="s">
        <v>20</v>
      </c>
      <c r="D147" t="str">
        <f t="shared" si="6"/>
        <v>Accessories</v>
      </c>
      <c r="I147" t="s">
        <v>24</v>
      </c>
      <c r="J147" t="str">
        <f t="shared" si="7"/>
        <v>Paris</v>
      </c>
      <c r="N147" t="s">
        <v>61</v>
      </c>
      <c r="O147" t="str">
        <f t="shared" si="8"/>
        <v>Paypal</v>
      </c>
    </row>
    <row r="148" spans="3:15" x14ac:dyDescent="0.25">
      <c r="C148" t="s">
        <v>30</v>
      </c>
      <c r="D148" t="str">
        <f t="shared" si="6"/>
        <v>Apparel</v>
      </c>
      <c r="I148" t="s">
        <v>722</v>
      </c>
      <c r="J148" t="str">
        <f t="shared" si="7"/>
        <v>Amsterdam</v>
      </c>
      <c r="N148" t="s">
        <v>61</v>
      </c>
      <c r="O148" t="str">
        <f t="shared" si="8"/>
        <v>Paypal</v>
      </c>
    </row>
    <row r="149" spans="3:15" x14ac:dyDescent="0.25">
      <c r="C149" t="s">
        <v>50</v>
      </c>
      <c r="D149" t="str">
        <f t="shared" si="6"/>
        <v>Electronics</v>
      </c>
      <c r="I149" t="s">
        <v>24</v>
      </c>
      <c r="J149" t="str">
        <f t="shared" si="7"/>
        <v>Paris</v>
      </c>
      <c r="N149" t="s">
        <v>61</v>
      </c>
      <c r="O149" t="str">
        <f t="shared" si="8"/>
        <v>Paypal</v>
      </c>
    </row>
    <row r="150" spans="3:15" x14ac:dyDescent="0.25">
      <c r="C150" t="s">
        <v>37</v>
      </c>
      <c r="D150" t="str">
        <f t="shared" si="6"/>
        <v>Stationery</v>
      </c>
      <c r="I150" t="s">
        <v>81</v>
      </c>
      <c r="J150" t="str">
        <f t="shared" si="7"/>
        <v>London</v>
      </c>
      <c r="N150" t="s">
        <v>19</v>
      </c>
      <c r="O150" t="str">
        <f t="shared" si="8"/>
        <v>Bank Transfer</v>
      </c>
    </row>
    <row r="151" spans="3:15" x14ac:dyDescent="0.25">
      <c r="C151" t="s">
        <v>50</v>
      </c>
      <c r="D151" t="str">
        <f t="shared" si="6"/>
        <v>Electronics</v>
      </c>
      <c r="I151" t="s">
        <v>59</v>
      </c>
      <c r="J151" t="str">
        <f t="shared" si="7"/>
        <v>Rome</v>
      </c>
      <c r="N151" t="s">
        <v>61</v>
      </c>
      <c r="O151" t="str">
        <f t="shared" si="8"/>
        <v>Paypal</v>
      </c>
    </row>
    <row r="152" spans="3:15" x14ac:dyDescent="0.25">
      <c r="C152" t="s">
        <v>30</v>
      </c>
      <c r="D152" t="str">
        <f t="shared" si="6"/>
        <v>Apparel</v>
      </c>
      <c r="I152" t="s">
        <v>24</v>
      </c>
      <c r="J152" t="str">
        <f t="shared" si="7"/>
        <v>Paris</v>
      </c>
      <c r="N152" t="s">
        <v>29</v>
      </c>
      <c r="O152" t="str">
        <f t="shared" si="8"/>
        <v>Credit Card</v>
      </c>
    </row>
    <row r="153" spans="3:15" x14ac:dyDescent="0.25">
      <c r="C153" t="s">
        <v>50</v>
      </c>
      <c r="D153" t="str">
        <f t="shared" si="6"/>
        <v>Electronics</v>
      </c>
      <c r="I153" t="s">
        <v>81</v>
      </c>
      <c r="J153" t="str">
        <f t="shared" si="7"/>
        <v>London</v>
      </c>
      <c r="N153" t="s">
        <v>61</v>
      </c>
      <c r="O153" t="str">
        <f t="shared" si="8"/>
        <v>Paypal</v>
      </c>
    </row>
    <row r="154" spans="3:15" x14ac:dyDescent="0.25">
      <c r="C154" t="s">
        <v>50</v>
      </c>
      <c r="D154" t="str">
        <f t="shared" si="6"/>
        <v>Electronics</v>
      </c>
      <c r="I154" t="s">
        <v>24</v>
      </c>
      <c r="J154" t="str">
        <f t="shared" si="7"/>
        <v>Paris</v>
      </c>
      <c r="N154" t="s">
        <v>19</v>
      </c>
      <c r="O154" t="str">
        <f t="shared" si="8"/>
        <v>Bank Transfer</v>
      </c>
    </row>
    <row r="155" spans="3:15" x14ac:dyDescent="0.25">
      <c r="C155" t="s">
        <v>44</v>
      </c>
      <c r="D155" t="str">
        <f t="shared" si="6"/>
        <v>Furniture</v>
      </c>
      <c r="I155" t="s">
        <v>59</v>
      </c>
      <c r="J155" t="str">
        <f t="shared" si="7"/>
        <v>Rome</v>
      </c>
      <c r="N155" t="s">
        <v>61</v>
      </c>
      <c r="O155" t="str">
        <f t="shared" si="8"/>
        <v>Paypal</v>
      </c>
    </row>
    <row r="156" spans="3:15" x14ac:dyDescent="0.25">
      <c r="C156" t="s">
        <v>20</v>
      </c>
      <c r="D156" t="str">
        <f t="shared" si="6"/>
        <v>Accessories</v>
      </c>
      <c r="I156" t="s">
        <v>81</v>
      </c>
      <c r="J156" t="str">
        <f t="shared" si="7"/>
        <v>London</v>
      </c>
      <c r="N156" t="s">
        <v>61</v>
      </c>
      <c r="O156" t="str">
        <f t="shared" si="8"/>
        <v>Paypal</v>
      </c>
    </row>
    <row r="157" spans="3:15" x14ac:dyDescent="0.25">
      <c r="C157" t="s">
        <v>50</v>
      </c>
      <c r="D157" t="str">
        <f t="shared" si="6"/>
        <v>Electronics</v>
      </c>
      <c r="I157" t="s">
        <v>39</v>
      </c>
      <c r="J157" t="str">
        <f t="shared" si="7"/>
        <v>Amsterdam</v>
      </c>
      <c r="N157" t="s">
        <v>61</v>
      </c>
      <c r="O157" t="str">
        <f t="shared" si="8"/>
        <v>Paypal</v>
      </c>
    </row>
    <row r="158" spans="3:15" x14ac:dyDescent="0.25">
      <c r="C158" t="s">
        <v>44</v>
      </c>
      <c r="D158" t="str">
        <f t="shared" si="6"/>
        <v>Furniture</v>
      </c>
      <c r="I158" t="s">
        <v>39</v>
      </c>
      <c r="J158" t="str">
        <f t="shared" si="7"/>
        <v>Amsterdam</v>
      </c>
      <c r="N158" t="s">
        <v>19</v>
      </c>
      <c r="O158" t="str">
        <f t="shared" si="8"/>
        <v>Bank Transfer</v>
      </c>
    </row>
    <row r="159" spans="3:15" x14ac:dyDescent="0.25">
      <c r="C159" t="s">
        <v>20</v>
      </c>
      <c r="D159" t="str">
        <f t="shared" si="6"/>
        <v>Accessories</v>
      </c>
      <c r="I159" t="s">
        <v>39</v>
      </c>
      <c r="J159" t="str">
        <f t="shared" si="7"/>
        <v>Amsterdam</v>
      </c>
      <c r="N159" t="s">
        <v>29</v>
      </c>
      <c r="O159" t="str">
        <f t="shared" si="8"/>
        <v>Credit Card</v>
      </c>
    </row>
    <row r="160" spans="3:15" x14ac:dyDescent="0.25">
      <c r="C160" t="s">
        <v>44</v>
      </c>
      <c r="D160" t="str">
        <f t="shared" si="6"/>
        <v>Furniture</v>
      </c>
      <c r="I160" t="s">
        <v>81</v>
      </c>
      <c r="J160" t="str">
        <f t="shared" si="7"/>
        <v>London</v>
      </c>
      <c r="N160" t="s">
        <v>29</v>
      </c>
      <c r="O160" t="str">
        <f t="shared" si="8"/>
        <v>Credit Card</v>
      </c>
    </row>
    <row r="161" spans="3:15" x14ac:dyDescent="0.25">
      <c r="C161" t="s">
        <v>44</v>
      </c>
      <c r="D161" t="str">
        <f t="shared" si="6"/>
        <v>Furniture</v>
      </c>
      <c r="I161" t="s">
        <v>39</v>
      </c>
      <c r="J161" t="str">
        <f t="shared" si="7"/>
        <v>Amsterdam</v>
      </c>
      <c r="N161" t="s">
        <v>61</v>
      </c>
      <c r="O161" t="str">
        <f t="shared" si="8"/>
        <v>Paypal</v>
      </c>
    </row>
    <row r="162" spans="3:15" x14ac:dyDescent="0.25">
      <c r="C162" t="s">
        <v>44</v>
      </c>
      <c r="D162" t="str">
        <f t="shared" si="6"/>
        <v>Furniture</v>
      </c>
      <c r="I162" t="s">
        <v>59</v>
      </c>
      <c r="J162" t="str">
        <f t="shared" si="7"/>
        <v>Rome</v>
      </c>
      <c r="N162" t="s">
        <v>61</v>
      </c>
      <c r="O162" t="str">
        <f t="shared" si="8"/>
        <v>Paypal</v>
      </c>
    </row>
    <row r="163" spans="3:15" x14ac:dyDescent="0.25">
      <c r="C163" t="s">
        <v>50</v>
      </c>
      <c r="D163" t="str">
        <f t="shared" si="6"/>
        <v>Electronics</v>
      </c>
      <c r="I163" t="s">
        <v>24</v>
      </c>
      <c r="J163" t="str">
        <f t="shared" si="7"/>
        <v>Paris</v>
      </c>
      <c r="N163" t="s">
        <v>19</v>
      </c>
      <c r="O163" t="str">
        <f t="shared" si="8"/>
        <v>Bank Transfer</v>
      </c>
    </row>
    <row r="164" spans="3:15" x14ac:dyDescent="0.25">
      <c r="C164" t="s">
        <v>44</v>
      </c>
      <c r="D164" t="str">
        <f t="shared" si="6"/>
        <v>Furniture</v>
      </c>
      <c r="I164" t="s">
        <v>81</v>
      </c>
      <c r="J164" t="str">
        <f t="shared" si="7"/>
        <v>London</v>
      </c>
      <c r="N164" t="s">
        <v>19</v>
      </c>
      <c r="O164" t="str">
        <f t="shared" si="8"/>
        <v>Bank Transfer</v>
      </c>
    </row>
    <row r="165" spans="3:15" x14ac:dyDescent="0.25">
      <c r="C165" t="s">
        <v>37</v>
      </c>
      <c r="D165" t="str">
        <f t="shared" si="6"/>
        <v>Stationery</v>
      </c>
      <c r="I165" t="s">
        <v>59</v>
      </c>
      <c r="J165" t="str">
        <f t="shared" si="7"/>
        <v>Rome</v>
      </c>
      <c r="N165" t="s">
        <v>61</v>
      </c>
      <c r="O165" t="str">
        <f t="shared" si="8"/>
        <v>Paypal</v>
      </c>
    </row>
    <row r="166" spans="3:15" x14ac:dyDescent="0.25">
      <c r="C166" t="s">
        <v>44</v>
      </c>
      <c r="D166" t="str">
        <f t="shared" si="6"/>
        <v>Furniture</v>
      </c>
      <c r="I166" t="s">
        <v>59</v>
      </c>
      <c r="J166" t="str">
        <f t="shared" si="7"/>
        <v>Rome</v>
      </c>
      <c r="N166" t="s">
        <v>19</v>
      </c>
      <c r="O166" t="str">
        <f t="shared" si="8"/>
        <v>Bank Transfer</v>
      </c>
    </row>
    <row r="167" spans="3:15" x14ac:dyDescent="0.25">
      <c r="C167" t="s">
        <v>44</v>
      </c>
      <c r="D167" t="str">
        <f t="shared" si="6"/>
        <v>Furniture</v>
      </c>
      <c r="I167" t="s">
        <v>81</v>
      </c>
      <c r="J167" t="str">
        <f t="shared" si="7"/>
        <v>London</v>
      </c>
      <c r="N167" t="s">
        <v>29</v>
      </c>
      <c r="O167" t="str">
        <f t="shared" si="8"/>
        <v>Credit Card</v>
      </c>
    </row>
    <row r="168" spans="3:15" x14ac:dyDescent="0.25">
      <c r="C168" t="s">
        <v>44</v>
      </c>
      <c r="D168" t="str">
        <f t="shared" si="6"/>
        <v>Furniture</v>
      </c>
      <c r="I168" t="s">
        <v>59</v>
      </c>
      <c r="J168" t="str">
        <f t="shared" si="7"/>
        <v>Rome</v>
      </c>
      <c r="N168" t="s">
        <v>19</v>
      </c>
      <c r="O168" t="str">
        <f t="shared" si="8"/>
        <v>Bank Transfer</v>
      </c>
    </row>
    <row r="169" spans="3:15" x14ac:dyDescent="0.25">
      <c r="C169" t="s">
        <v>37</v>
      </c>
      <c r="D169" t="str">
        <f t="shared" si="6"/>
        <v>Stationery</v>
      </c>
      <c r="I169" t="s">
        <v>722</v>
      </c>
      <c r="J169" t="str">
        <f t="shared" si="7"/>
        <v>Amsterdam</v>
      </c>
      <c r="N169" t="s">
        <v>19</v>
      </c>
      <c r="O169" t="str">
        <f t="shared" si="8"/>
        <v>Bank Transfer</v>
      </c>
    </row>
    <row r="170" spans="3:15" x14ac:dyDescent="0.25">
      <c r="C170" t="s">
        <v>50</v>
      </c>
      <c r="D170" t="str">
        <f t="shared" si="6"/>
        <v>Electronics</v>
      </c>
      <c r="I170" t="s">
        <v>24</v>
      </c>
      <c r="J170" t="str">
        <f t="shared" si="7"/>
        <v>Paris</v>
      </c>
      <c r="N170" t="s">
        <v>19</v>
      </c>
      <c r="O170" t="str">
        <f t="shared" si="8"/>
        <v>Bank Transfer</v>
      </c>
    </row>
    <row r="171" spans="3:15" x14ac:dyDescent="0.25">
      <c r="C171" t="s">
        <v>37</v>
      </c>
      <c r="D171" t="str">
        <f t="shared" si="6"/>
        <v>Stationery</v>
      </c>
      <c r="I171" t="s">
        <v>81</v>
      </c>
      <c r="J171" t="str">
        <f t="shared" si="7"/>
        <v>London</v>
      </c>
      <c r="N171" t="s">
        <v>29</v>
      </c>
      <c r="O171" t="str">
        <f t="shared" si="8"/>
        <v>Credit Card</v>
      </c>
    </row>
    <row r="172" spans="3:15" x14ac:dyDescent="0.25">
      <c r="C172" t="s">
        <v>44</v>
      </c>
      <c r="D172" t="str">
        <f t="shared" si="6"/>
        <v>Furniture</v>
      </c>
      <c r="I172" t="s">
        <v>81</v>
      </c>
      <c r="J172" t="str">
        <f t="shared" si="7"/>
        <v>London</v>
      </c>
      <c r="N172" t="s">
        <v>29</v>
      </c>
      <c r="O172" t="str">
        <f t="shared" si="8"/>
        <v>Credit Card</v>
      </c>
    </row>
    <row r="173" spans="3:15" x14ac:dyDescent="0.25">
      <c r="C173" t="s">
        <v>50</v>
      </c>
      <c r="D173" t="str">
        <f t="shared" si="6"/>
        <v>Electronics</v>
      </c>
      <c r="I173" t="s">
        <v>39</v>
      </c>
      <c r="J173" t="str">
        <f t="shared" si="7"/>
        <v>Amsterdam</v>
      </c>
      <c r="N173" t="s">
        <v>29</v>
      </c>
      <c r="O173" t="str">
        <f t="shared" si="8"/>
        <v>Credit Card</v>
      </c>
    </row>
    <row r="174" spans="3:15" x14ac:dyDescent="0.25">
      <c r="C174" t="s">
        <v>20</v>
      </c>
      <c r="D174" t="str">
        <f t="shared" si="6"/>
        <v>Accessories</v>
      </c>
      <c r="I174" t="s">
        <v>59</v>
      </c>
      <c r="J174" t="str">
        <f t="shared" si="7"/>
        <v>Rome</v>
      </c>
      <c r="N174" t="s">
        <v>61</v>
      </c>
      <c r="O174" t="str">
        <f t="shared" si="8"/>
        <v>Paypal</v>
      </c>
    </row>
    <row r="175" spans="3:15" x14ac:dyDescent="0.25">
      <c r="C175" t="s">
        <v>30</v>
      </c>
      <c r="D175" t="str">
        <f t="shared" si="6"/>
        <v>Apparel</v>
      </c>
      <c r="I175" t="s">
        <v>39</v>
      </c>
      <c r="J175" t="str">
        <f t="shared" si="7"/>
        <v>Amsterdam</v>
      </c>
      <c r="N175" t="s">
        <v>29</v>
      </c>
      <c r="O175" t="str">
        <f t="shared" si="8"/>
        <v>Credit Card</v>
      </c>
    </row>
    <row r="176" spans="3:15" x14ac:dyDescent="0.25">
      <c r="C176" t="s">
        <v>37</v>
      </c>
      <c r="D176" t="str">
        <f t="shared" si="6"/>
        <v>Stationery</v>
      </c>
      <c r="I176" t="s">
        <v>59</v>
      </c>
      <c r="J176" t="str">
        <f t="shared" si="7"/>
        <v>Rome</v>
      </c>
      <c r="N176" t="s">
        <v>61</v>
      </c>
      <c r="O176" t="str">
        <f t="shared" si="8"/>
        <v>Paypal</v>
      </c>
    </row>
    <row r="177" spans="3:15" x14ac:dyDescent="0.25">
      <c r="C177" t="s">
        <v>44</v>
      </c>
      <c r="D177" t="str">
        <f t="shared" si="6"/>
        <v>Furniture</v>
      </c>
      <c r="I177" t="s">
        <v>81</v>
      </c>
      <c r="J177" t="str">
        <f t="shared" si="7"/>
        <v>London</v>
      </c>
      <c r="N177" t="s">
        <v>61</v>
      </c>
      <c r="O177" t="str">
        <f t="shared" si="8"/>
        <v>Paypal</v>
      </c>
    </row>
    <row r="178" spans="3:15" x14ac:dyDescent="0.25">
      <c r="C178" t="s">
        <v>37</v>
      </c>
      <c r="D178" t="str">
        <f t="shared" si="6"/>
        <v>Stationery</v>
      </c>
      <c r="I178" t="s">
        <v>24</v>
      </c>
      <c r="J178" t="str">
        <f t="shared" si="7"/>
        <v>Paris</v>
      </c>
      <c r="N178" t="s">
        <v>19</v>
      </c>
      <c r="O178" t="str">
        <f t="shared" si="8"/>
        <v>Bank Transfer</v>
      </c>
    </row>
    <row r="179" spans="3:15" x14ac:dyDescent="0.25">
      <c r="C179" t="s">
        <v>20</v>
      </c>
      <c r="D179" t="str">
        <f t="shared" si="6"/>
        <v>Accessories</v>
      </c>
      <c r="I179" t="s">
        <v>81</v>
      </c>
      <c r="J179" t="str">
        <f t="shared" si="7"/>
        <v>London</v>
      </c>
      <c r="N179" t="s">
        <v>19</v>
      </c>
      <c r="O179" t="str">
        <f t="shared" si="8"/>
        <v>Bank Transfer</v>
      </c>
    </row>
    <row r="180" spans="3:15" x14ac:dyDescent="0.25">
      <c r="C180" t="s">
        <v>50</v>
      </c>
      <c r="D180" t="str">
        <f t="shared" si="6"/>
        <v>Electronics</v>
      </c>
      <c r="I180" t="s">
        <v>24</v>
      </c>
      <c r="J180" t="str">
        <f t="shared" si="7"/>
        <v>Paris</v>
      </c>
      <c r="N180" t="s">
        <v>29</v>
      </c>
      <c r="O180" t="str">
        <f t="shared" si="8"/>
        <v>Credit Card</v>
      </c>
    </row>
    <row r="181" spans="3:15" x14ac:dyDescent="0.25">
      <c r="C181" t="s">
        <v>44</v>
      </c>
      <c r="D181" t="str">
        <f t="shared" si="6"/>
        <v>Furniture</v>
      </c>
      <c r="I181" t="s">
        <v>39</v>
      </c>
      <c r="J181" t="str">
        <f t="shared" si="7"/>
        <v>Amsterdam</v>
      </c>
      <c r="N181" t="s">
        <v>19</v>
      </c>
      <c r="O181" t="str">
        <f t="shared" si="8"/>
        <v>Bank Transfer</v>
      </c>
    </row>
    <row r="182" spans="3:15" x14ac:dyDescent="0.25">
      <c r="C182" t="s">
        <v>30</v>
      </c>
      <c r="D182" t="str">
        <f t="shared" si="6"/>
        <v>Apparel</v>
      </c>
      <c r="I182" t="s">
        <v>33</v>
      </c>
      <c r="J182" t="str">
        <f t="shared" si="7"/>
        <v>Berlin</v>
      </c>
      <c r="N182" t="s">
        <v>61</v>
      </c>
      <c r="O182" t="str">
        <f t="shared" si="8"/>
        <v>Paypal</v>
      </c>
    </row>
    <row r="183" spans="3:15" x14ac:dyDescent="0.25">
      <c r="C183" t="s">
        <v>37</v>
      </c>
      <c r="D183" t="str">
        <f t="shared" si="6"/>
        <v>Stationery</v>
      </c>
      <c r="I183" t="s">
        <v>39</v>
      </c>
      <c r="J183" t="str">
        <f t="shared" si="7"/>
        <v>Amsterdam</v>
      </c>
      <c r="N183" t="s">
        <v>61</v>
      </c>
      <c r="O183" t="str">
        <f t="shared" si="8"/>
        <v>Paypal</v>
      </c>
    </row>
    <row r="184" spans="3:15" x14ac:dyDescent="0.25">
      <c r="C184" t="s">
        <v>20</v>
      </c>
      <c r="D184" t="str">
        <f t="shared" si="6"/>
        <v>Accessories</v>
      </c>
      <c r="I184" t="s">
        <v>39</v>
      </c>
      <c r="J184" t="str">
        <f t="shared" si="7"/>
        <v>Amsterdam</v>
      </c>
      <c r="N184" t="s">
        <v>29</v>
      </c>
      <c r="O184" t="str">
        <f t="shared" si="8"/>
        <v>Credit Card</v>
      </c>
    </row>
    <row r="185" spans="3:15" x14ac:dyDescent="0.25">
      <c r="C185" t="s">
        <v>50</v>
      </c>
      <c r="D185" t="str">
        <f t="shared" si="6"/>
        <v>Electronics</v>
      </c>
      <c r="I185" t="s">
        <v>81</v>
      </c>
      <c r="J185" t="str">
        <f t="shared" si="7"/>
        <v>London</v>
      </c>
      <c r="N185" t="s">
        <v>19</v>
      </c>
      <c r="O185" t="str">
        <f t="shared" si="8"/>
        <v>Bank Transfer</v>
      </c>
    </row>
    <row r="186" spans="3:15" x14ac:dyDescent="0.25">
      <c r="C186" t="s">
        <v>37</v>
      </c>
      <c r="D186" t="str">
        <f t="shared" si="6"/>
        <v>Stationery</v>
      </c>
      <c r="I186" t="s">
        <v>81</v>
      </c>
      <c r="J186" t="str">
        <f t="shared" si="7"/>
        <v>London</v>
      </c>
      <c r="N186" t="s">
        <v>19</v>
      </c>
      <c r="O186" t="str">
        <f t="shared" si="8"/>
        <v>Bank Transfer</v>
      </c>
    </row>
    <row r="187" spans="3:15" x14ac:dyDescent="0.25">
      <c r="C187" t="s">
        <v>50</v>
      </c>
      <c r="D187" t="str">
        <f t="shared" si="6"/>
        <v>Electronics</v>
      </c>
      <c r="I187" t="s">
        <v>81</v>
      </c>
      <c r="J187" t="str">
        <f t="shared" si="7"/>
        <v>London</v>
      </c>
      <c r="N187" t="s">
        <v>61</v>
      </c>
      <c r="O187" t="str">
        <f t="shared" si="8"/>
        <v>Paypal</v>
      </c>
    </row>
    <row r="188" spans="3:15" x14ac:dyDescent="0.25">
      <c r="C188" t="s">
        <v>44</v>
      </c>
      <c r="D188" t="str">
        <f t="shared" si="6"/>
        <v>Furniture</v>
      </c>
      <c r="I188" s="5" t="s">
        <v>726</v>
      </c>
      <c r="J188" s="4" t="str">
        <f t="shared" si="7"/>
        <v>Rome</v>
      </c>
      <c r="N188" t="s">
        <v>29</v>
      </c>
      <c r="O188" t="str">
        <f t="shared" si="8"/>
        <v>Credit Card</v>
      </c>
    </row>
    <row r="189" spans="3:15" x14ac:dyDescent="0.25">
      <c r="C189" t="s">
        <v>20</v>
      </c>
      <c r="D189" t="str">
        <f t="shared" si="6"/>
        <v>Accessories</v>
      </c>
      <c r="I189" t="s">
        <v>33</v>
      </c>
      <c r="J189" t="str">
        <f t="shared" si="7"/>
        <v>Berlin</v>
      </c>
      <c r="N189" t="s">
        <v>61</v>
      </c>
      <c r="O189" t="str">
        <f t="shared" si="8"/>
        <v>Paypal</v>
      </c>
    </row>
    <row r="190" spans="3:15" x14ac:dyDescent="0.25">
      <c r="C190" t="s">
        <v>50</v>
      </c>
      <c r="D190" t="str">
        <f t="shared" si="6"/>
        <v>Electronics</v>
      </c>
      <c r="I190" t="s">
        <v>39</v>
      </c>
      <c r="J190" t="str">
        <f t="shared" si="7"/>
        <v>Amsterdam</v>
      </c>
      <c r="N190" t="s">
        <v>19</v>
      </c>
      <c r="O190" t="str">
        <f t="shared" si="8"/>
        <v>Bank Transfer</v>
      </c>
    </row>
    <row r="191" spans="3:15" x14ac:dyDescent="0.25">
      <c r="C191" t="s">
        <v>30</v>
      </c>
      <c r="D191" t="str">
        <f t="shared" si="6"/>
        <v>Apparel</v>
      </c>
      <c r="I191" t="s">
        <v>59</v>
      </c>
      <c r="J191" t="str">
        <f t="shared" si="7"/>
        <v>Rome</v>
      </c>
      <c r="N191" t="s">
        <v>29</v>
      </c>
      <c r="O191" t="str">
        <f t="shared" si="8"/>
        <v>Credit Card</v>
      </c>
    </row>
    <row r="192" spans="3:15" x14ac:dyDescent="0.25">
      <c r="C192" t="s">
        <v>30</v>
      </c>
      <c r="D192" t="str">
        <f t="shared" si="6"/>
        <v>Apparel</v>
      </c>
      <c r="I192" t="s">
        <v>722</v>
      </c>
      <c r="J192" t="str">
        <f t="shared" si="7"/>
        <v>Amsterdam</v>
      </c>
      <c r="N192" t="s">
        <v>29</v>
      </c>
      <c r="O192" t="str">
        <f t="shared" si="8"/>
        <v>Credit Card</v>
      </c>
    </row>
    <row r="193" spans="3:15" x14ac:dyDescent="0.25">
      <c r="C193" t="s">
        <v>37</v>
      </c>
      <c r="D193" t="str">
        <f t="shared" si="6"/>
        <v>Stationery</v>
      </c>
      <c r="I193" t="s">
        <v>81</v>
      </c>
      <c r="J193" t="str">
        <f t="shared" si="7"/>
        <v>London</v>
      </c>
      <c r="N193" t="s">
        <v>29</v>
      </c>
      <c r="O193" t="str">
        <f t="shared" si="8"/>
        <v>Credit Card</v>
      </c>
    </row>
    <row r="194" spans="3:15" x14ac:dyDescent="0.25">
      <c r="C194" t="s">
        <v>50</v>
      </c>
      <c r="D194" t="str">
        <f t="shared" si="6"/>
        <v>Electronics</v>
      </c>
      <c r="I194" t="s">
        <v>59</v>
      </c>
      <c r="J194" t="str">
        <f t="shared" si="7"/>
        <v>Rome</v>
      </c>
      <c r="N194" t="s">
        <v>29</v>
      </c>
      <c r="O194" t="str">
        <f t="shared" si="8"/>
        <v>Credit Card</v>
      </c>
    </row>
    <row r="195" spans="3:15" x14ac:dyDescent="0.25">
      <c r="C195" t="s">
        <v>44</v>
      </c>
      <c r="D195" t="str">
        <f t="shared" si="6"/>
        <v>Furniture</v>
      </c>
      <c r="I195" t="s">
        <v>24</v>
      </c>
      <c r="J195" t="str">
        <f t="shared" si="7"/>
        <v>Paris</v>
      </c>
      <c r="N195" t="s">
        <v>29</v>
      </c>
      <c r="O195" t="str">
        <f t="shared" si="8"/>
        <v>Credit Card</v>
      </c>
    </row>
    <row r="196" spans="3:15" x14ac:dyDescent="0.25">
      <c r="C196" t="s">
        <v>30</v>
      </c>
      <c r="D196" t="str">
        <f t="shared" si="6"/>
        <v>Apparel</v>
      </c>
      <c r="I196" t="s">
        <v>81</v>
      </c>
      <c r="J196" t="str">
        <f t="shared" si="7"/>
        <v>London</v>
      </c>
      <c r="N196" t="s">
        <v>29</v>
      </c>
      <c r="O196" t="str">
        <f t="shared" si="8"/>
        <v>Credit Card</v>
      </c>
    </row>
    <row r="197" spans="3:15" x14ac:dyDescent="0.25">
      <c r="C197" t="s">
        <v>50</v>
      </c>
      <c r="D197" t="str">
        <f t="shared" si="6"/>
        <v>Electronics</v>
      </c>
      <c r="I197" t="s">
        <v>24</v>
      </c>
      <c r="J197" t="str">
        <f t="shared" si="7"/>
        <v>Paris</v>
      </c>
      <c r="N197" t="s">
        <v>61</v>
      </c>
      <c r="O197" t="str">
        <f t="shared" si="8"/>
        <v>Paypal</v>
      </c>
    </row>
    <row r="198" spans="3:15" x14ac:dyDescent="0.25">
      <c r="C198" t="s">
        <v>20</v>
      </c>
      <c r="D198" t="str">
        <f t="shared" ref="D198:D261" si="9">PROPER(C198)</f>
        <v>Accessories</v>
      </c>
      <c r="I198" t="s">
        <v>24</v>
      </c>
      <c r="J198" t="str">
        <f t="shared" ref="J198:J261" si="10">PROPER(I198)</f>
        <v>Paris</v>
      </c>
      <c r="N198" t="s">
        <v>61</v>
      </c>
      <c r="O198" t="str">
        <f t="shared" ref="O198:O261" si="11">IF(N198="paypall","Paypal",N198)</f>
        <v>Paypal</v>
      </c>
    </row>
    <row r="199" spans="3:15" x14ac:dyDescent="0.25">
      <c r="C199" t="s">
        <v>20</v>
      </c>
      <c r="D199" t="str">
        <f t="shared" si="9"/>
        <v>Accessories</v>
      </c>
      <c r="I199" t="s">
        <v>81</v>
      </c>
      <c r="J199" t="str">
        <f t="shared" si="10"/>
        <v>London</v>
      </c>
      <c r="N199" t="s">
        <v>61</v>
      </c>
      <c r="O199" t="str">
        <f t="shared" si="11"/>
        <v>Paypal</v>
      </c>
    </row>
    <row r="200" spans="3:15" x14ac:dyDescent="0.25">
      <c r="C200" t="s">
        <v>30</v>
      </c>
      <c r="D200" t="str">
        <f t="shared" si="9"/>
        <v>Apparel</v>
      </c>
      <c r="I200" t="s">
        <v>81</v>
      </c>
      <c r="J200" t="str">
        <f t="shared" si="10"/>
        <v>London</v>
      </c>
      <c r="N200" t="s">
        <v>61</v>
      </c>
      <c r="O200" t="str">
        <f t="shared" si="11"/>
        <v>Paypal</v>
      </c>
    </row>
    <row r="201" spans="3:15" x14ac:dyDescent="0.25">
      <c r="C201" t="s">
        <v>37</v>
      </c>
      <c r="D201" t="str">
        <f t="shared" si="9"/>
        <v>Stationery</v>
      </c>
      <c r="I201" t="s">
        <v>24</v>
      </c>
      <c r="J201" t="str">
        <f t="shared" si="10"/>
        <v>Paris</v>
      </c>
      <c r="N201" t="s">
        <v>61</v>
      </c>
      <c r="O201" t="str">
        <f t="shared" si="11"/>
        <v>Paypal</v>
      </c>
    </row>
    <row r="202" spans="3:15" x14ac:dyDescent="0.25">
      <c r="C202" t="s">
        <v>44</v>
      </c>
      <c r="D202" t="str">
        <f t="shared" si="9"/>
        <v>Furniture</v>
      </c>
      <c r="I202" t="s">
        <v>24</v>
      </c>
      <c r="J202" t="str">
        <f t="shared" si="10"/>
        <v>Paris</v>
      </c>
      <c r="N202" t="s">
        <v>61</v>
      </c>
      <c r="O202" t="str">
        <f t="shared" si="11"/>
        <v>Paypal</v>
      </c>
    </row>
    <row r="203" spans="3:15" x14ac:dyDescent="0.25">
      <c r="C203" t="s">
        <v>20</v>
      </c>
      <c r="D203" t="str">
        <f t="shared" si="9"/>
        <v>Accessories</v>
      </c>
      <c r="I203" t="s">
        <v>39</v>
      </c>
      <c r="J203" t="str">
        <f t="shared" si="10"/>
        <v>Amsterdam</v>
      </c>
      <c r="N203" t="s">
        <v>61</v>
      </c>
      <c r="O203" t="str">
        <f t="shared" si="11"/>
        <v>Paypal</v>
      </c>
    </row>
    <row r="204" spans="3:15" x14ac:dyDescent="0.25">
      <c r="C204" t="s">
        <v>37</v>
      </c>
      <c r="D204" t="str">
        <f t="shared" si="9"/>
        <v>Stationery</v>
      </c>
      <c r="I204" t="s">
        <v>39</v>
      </c>
      <c r="J204" t="str">
        <f t="shared" si="10"/>
        <v>Amsterdam</v>
      </c>
      <c r="N204" t="s">
        <v>61</v>
      </c>
      <c r="O204" t="str">
        <f t="shared" si="11"/>
        <v>Paypal</v>
      </c>
    </row>
    <row r="205" spans="3:15" x14ac:dyDescent="0.25">
      <c r="C205" t="s">
        <v>20</v>
      </c>
      <c r="D205" t="str">
        <f t="shared" si="9"/>
        <v>Accessories</v>
      </c>
      <c r="I205" t="s">
        <v>81</v>
      </c>
      <c r="J205" t="str">
        <f t="shared" si="10"/>
        <v>London</v>
      </c>
      <c r="N205" t="s">
        <v>29</v>
      </c>
      <c r="O205" t="str">
        <f t="shared" si="11"/>
        <v>Credit Card</v>
      </c>
    </row>
    <row r="206" spans="3:15" x14ac:dyDescent="0.25">
      <c r="C206" t="s">
        <v>44</v>
      </c>
      <c r="D206" t="str">
        <f t="shared" si="9"/>
        <v>Furniture</v>
      </c>
      <c r="I206" t="s">
        <v>24</v>
      </c>
      <c r="J206" t="str">
        <f t="shared" si="10"/>
        <v>Paris</v>
      </c>
      <c r="N206" t="s">
        <v>61</v>
      </c>
      <c r="O206" t="str">
        <f t="shared" si="11"/>
        <v>Paypal</v>
      </c>
    </row>
    <row r="207" spans="3:15" x14ac:dyDescent="0.25">
      <c r="C207" t="s">
        <v>44</v>
      </c>
      <c r="D207" t="str">
        <f t="shared" si="9"/>
        <v>Furniture</v>
      </c>
      <c r="I207" t="s">
        <v>59</v>
      </c>
      <c r="J207" t="str">
        <f t="shared" si="10"/>
        <v>Rome</v>
      </c>
      <c r="N207" t="s">
        <v>61</v>
      </c>
      <c r="O207" t="str">
        <f t="shared" si="11"/>
        <v>Paypal</v>
      </c>
    </row>
    <row r="208" spans="3:15" x14ac:dyDescent="0.25">
      <c r="C208" t="s">
        <v>44</v>
      </c>
      <c r="D208" t="str">
        <f t="shared" si="9"/>
        <v>Furniture</v>
      </c>
      <c r="I208" t="s">
        <v>24</v>
      </c>
      <c r="J208" t="str">
        <f t="shared" si="10"/>
        <v>Paris</v>
      </c>
      <c r="N208" t="s">
        <v>19</v>
      </c>
      <c r="O208" t="str">
        <f t="shared" si="11"/>
        <v>Bank Transfer</v>
      </c>
    </row>
    <row r="209" spans="3:15" x14ac:dyDescent="0.25">
      <c r="C209" t="s">
        <v>44</v>
      </c>
      <c r="D209" t="str">
        <f t="shared" si="9"/>
        <v>Furniture</v>
      </c>
      <c r="I209" t="s">
        <v>39</v>
      </c>
      <c r="J209" t="str">
        <f t="shared" si="10"/>
        <v>Amsterdam</v>
      </c>
      <c r="N209" t="s">
        <v>61</v>
      </c>
      <c r="O209" t="str">
        <f t="shared" si="11"/>
        <v>Paypal</v>
      </c>
    </row>
    <row r="210" spans="3:15" x14ac:dyDescent="0.25">
      <c r="C210" t="s">
        <v>37</v>
      </c>
      <c r="D210" t="str">
        <f t="shared" si="9"/>
        <v>Stationery</v>
      </c>
      <c r="I210" t="s">
        <v>33</v>
      </c>
      <c r="J210" t="str">
        <f t="shared" si="10"/>
        <v>Berlin</v>
      </c>
      <c r="N210" t="s">
        <v>29</v>
      </c>
      <c r="O210" t="str">
        <f t="shared" si="11"/>
        <v>Credit Card</v>
      </c>
    </row>
    <row r="211" spans="3:15" x14ac:dyDescent="0.25">
      <c r="C211" t="s">
        <v>44</v>
      </c>
      <c r="D211" t="str">
        <f t="shared" si="9"/>
        <v>Furniture</v>
      </c>
      <c r="I211" t="s">
        <v>33</v>
      </c>
      <c r="J211" t="str">
        <f t="shared" si="10"/>
        <v>Berlin</v>
      </c>
      <c r="N211" t="s">
        <v>19</v>
      </c>
      <c r="O211" t="str">
        <f t="shared" si="11"/>
        <v>Bank Transfer</v>
      </c>
    </row>
    <row r="212" spans="3:15" x14ac:dyDescent="0.25">
      <c r="C212" t="s">
        <v>44</v>
      </c>
      <c r="D212" t="str">
        <f t="shared" si="9"/>
        <v>Furniture</v>
      </c>
      <c r="I212" t="s">
        <v>59</v>
      </c>
      <c r="J212" t="str">
        <f t="shared" si="10"/>
        <v>Rome</v>
      </c>
      <c r="N212" t="s">
        <v>29</v>
      </c>
      <c r="O212" t="str">
        <f t="shared" si="11"/>
        <v>Credit Card</v>
      </c>
    </row>
    <row r="213" spans="3:15" x14ac:dyDescent="0.25">
      <c r="C213" t="s">
        <v>37</v>
      </c>
      <c r="D213" t="str">
        <f t="shared" si="9"/>
        <v>Stationery</v>
      </c>
      <c r="I213" t="s">
        <v>33</v>
      </c>
      <c r="J213" t="str">
        <f t="shared" si="10"/>
        <v>Berlin</v>
      </c>
      <c r="N213" t="s">
        <v>19</v>
      </c>
      <c r="O213" t="str">
        <f t="shared" si="11"/>
        <v>Bank Transfer</v>
      </c>
    </row>
    <row r="214" spans="3:15" x14ac:dyDescent="0.25">
      <c r="C214" t="s">
        <v>30</v>
      </c>
      <c r="D214" t="str">
        <f t="shared" si="9"/>
        <v>Apparel</v>
      </c>
      <c r="I214" t="s">
        <v>81</v>
      </c>
      <c r="J214" t="str">
        <f t="shared" si="10"/>
        <v>London</v>
      </c>
      <c r="N214" t="s">
        <v>19</v>
      </c>
      <c r="O214" t="str">
        <f t="shared" si="11"/>
        <v>Bank Transfer</v>
      </c>
    </row>
    <row r="215" spans="3:15" x14ac:dyDescent="0.25">
      <c r="C215" t="s">
        <v>30</v>
      </c>
      <c r="D215" t="str">
        <f t="shared" si="9"/>
        <v>Apparel</v>
      </c>
      <c r="I215" t="s">
        <v>81</v>
      </c>
      <c r="J215" t="str">
        <f t="shared" si="10"/>
        <v>London</v>
      </c>
      <c r="N215" t="s">
        <v>19</v>
      </c>
      <c r="O215" t="str">
        <f t="shared" si="11"/>
        <v>Bank Transfer</v>
      </c>
    </row>
    <row r="216" spans="3:15" x14ac:dyDescent="0.25">
      <c r="C216" t="s">
        <v>20</v>
      </c>
      <c r="D216" t="str">
        <f t="shared" si="9"/>
        <v>Accessories</v>
      </c>
      <c r="I216" t="s">
        <v>33</v>
      </c>
      <c r="J216" t="str">
        <f t="shared" si="10"/>
        <v>Berlin</v>
      </c>
      <c r="N216" t="s">
        <v>61</v>
      </c>
      <c r="O216" t="str">
        <f t="shared" si="11"/>
        <v>Paypal</v>
      </c>
    </row>
    <row r="217" spans="3:15" x14ac:dyDescent="0.25">
      <c r="C217" t="s">
        <v>37</v>
      </c>
      <c r="D217" t="str">
        <f t="shared" si="9"/>
        <v>Stationery</v>
      </c>
      <c r="I217" t="s">
        <v>59</v>
      </c>
      <c r="J217" t="str">
        <f t="shared" si="10"/>
        <v>Rome</v>
      </c>
      <c r="N217" t="s">
        <v>61</v>
      </c>
      <c r="O217" t="str">
        <f t="shared" si="11"/>
        <v>Paypal</v>
      </c>
    </row>
    <row r="218" spans="3:15" x14ac:dyDescent="0.25">
      <c r="C218" t="s">
        <v>50</v>
      </c>
      <c r="D218" t="str">
        <f t="shared" si="9"/>
        <v>Electronics</v>
      </c>
      <c r="I218" t="s">
        <v>81</v>
      </c>
      <c r="J218" t="str">
        <f t="shared" si="10"/>
        <v>London</v>
      </c>
      <c r="N218" t="s">
        <v>61</v>
      </c>
      <c r="O218" t="str">
        <f t="shared" si="11"/>
        <v>Paypal</v>
      </c>
    </row>
    <row r="219" spans="3:15" x14ac:dyDescent="0.25">
      <c r="C219" t="s">
        <v>30</v>
      </c>
      <c r="D219" t="str">
        <f t="shared" si="9"/>
        <v>Apparel</v>
      </c>
      <c r="I219" t="s">
        <v>24</v>
      </c>
      <c r="J219" t="str">
        <f t="shared" si="10"/>
        <v>Paris</v>
      </c>
      <c r="N219" t="s">
        <v>29</v>
      </c>
      <c r="O219" t="str">
        <f t="shared" si="11"/>
        <v>Credit Card</v>
      </c>
    </row>
    <row r="220" spans="3:15" x14ac:dyDescent="0.25">
      <c r="C220" t="s">
        <v>30</v>
      </c>
      <c r="D220" t="str">
        <f t="shared" si="9"/>
        <v>Apparel</v>
      </c>
      <c r="I220" t="s">
        <v>39</v>
      </c>
      <c r="J220" t="str">
        <f t="shared" si="10"/>
        <v>Amsterdam</v>
      </c>
      <c r="N220" t="s">
        <v>29</v>
      </c>
      <c r="O220" t="str">
        <f t="shared" si="11"/>
        <v>Credit Card</v>
      </c>
    </row>
    <row r="221" spans="3:15" x14ac:dyDescent="0.25">
      <c r="C221" t="s">
        <v>20</v>
      </c>
      <c r="D221" t="str">
        <f t="shared" si="9"/>
        <v>Accessories</v>
      </c>
      <c r="I221" t="s">
        <v>81</v>
      </c>
      <c r="J221" t="str">
        <f t="shared" si="10"/>
        <v>London</v>
      </c>
      <c r="N221" t="s">
        <v>29</v>
      </c>
      <c r="O221" t="str">
        <f t="shared" si="11"/>
        <v>Credit Card</v>
      </c>
    </row>
    <row r="222" spans="3:15" x14ac:dyDescent="0.25">
      <c r="C222" t="s">
        <v>44</v>
      </c>
      <c r="D222" t="str">
        <f t="shared" si="9"/>
        <v>Furniture</v>
      </c>
      <c r="I222" t="s">
        <v>81</v>
      </c>
      <c r="J222" t="str">
        <f t="shared" si="10"/>
        <v>London</v>
      </c>
      <c r="N222" t="s">
        <v>29</v>
      </c>
      <c r="O222" t="str">
        <f t="shared" si="11"/>
        <v>Credit Card</v>
      </c>
    </row>
    <row r="223" spans="3:15" x14ac:dyDescent="0.25">
      <c r="C223" t="s">
        <v>50</v>
      </c>
      <c r="D223" t="str">
        <f t="shared" si="9"/>
        <v>Electronics</v>
      </c>
      <c r="I223" t="s">
        <v>24</v>
      </c>
      <c r="J223" t="str">
        <f t="shared" si="10"/>
        <v>Paris</v>
      </c>
      <c r="N223" t="s">
        <v>19</v>
      </c>
      <c r="O223" t="str">
        <f t="shared" si="11"/>
        <v>Bank Transfer</v>
      </c>
    </row>
    <row r="224" spans="3:15" x14ac:dyDescent="0.25">
      <c r="C224" t="s">
        <v>20</v>
      </c>
      <c r="D224" t="str">
        <f t="shared" si="9"/>
        <v>Accessories</v>
      </c>
      <c r="I224" t="s">
        <v>33</v>
      </c>
      <c r="J224" t="str">
        <f t="shared" si="10"/>
        <v>Berlin</v>
      </c>
      <c r="N224" t="s">
        <v>29</v>
      </c>
      <c r="O224" t="str">
        <f t="shared" si="11"/>
        <v>Credit Card</v>
      </c>
    </row>
    <row r="225" spans="3:15" x14ac:dyDescent="0.25">
      <c r="C225" t="s">
        <v>37</v>
      </c>
      <c r="D225" t="str">
        <f t="shared" si="9"/>
        <v>Stationery</v>
      </c>
      <c r="I225" t="s">
        <v>81</v>
      </c>
      <c r="J225" t="str">
        <f t="shared" si="10"/>
        <v>London</v>
      </c>
      <c r="N225" t="s">
        <v>61</v>
      </c>
      <c r="O225" t="str">
        <f t="shared" si="11"/>
        <v>Paypal</v>
      </c>
    </row>
    <row r="226" spans="3:15" x14ac:dyDescent="0.25">
      <c r="C226" t="s">
        <v>20</v>
      </c>
      <c r="D226" t="str">
        <f t="shared" si="9"/>
        <v>Accessories</v>
      </c>
      <c r="I226" t="s">
        <v>59</v>
      </c>
      <c r="J226" t="str">
        <f t="shared" si="10"/>
        <v>Rome</v>
      </c>
      <c r="N226" t="s">
        <v>29</v>
      </c>
      <c r="O226" t="str">
        <f t="shared" si="11"/>
        <v>Credit Card</v>
      </c>
    </row>
    <row r="227" spans="3:15" x14ac:dyDescent="0.25">
      <c r="C227" t="s">
        <v>50</v>
      </c>
      <c r="D227" t="str">
        <f t="shared" si="9"/>
        <v>Electronics</v>
      </c>
      <c r="I227" t="s">
        <v>33</v>
      </c>
      <c r="J227" t="str">
        <f t="shared" si="10"/>
        <v>Berlin</v>
      </c>
      <c r="N227" t="s">
        <v>61</v>
      </c>
      <c r="O227" t="str">
        <f t="shared" si="11"/>
        <v>Paypal</v>
      </c>
    </row>
    <row r="228" spans="3:15" x14ac:dyDescent="0.25">
      <c r="C228" t="s">
        <v>20</v>
      </c>
      <c r="D228" t="str">
        <f t="shared" si="9"/>
        <v>Accessories</v>
      </c>
      <c r="I228" t="s">
        <v>59</v>
      </c>
      <c r="J228" t="str">
        <f t="shared" si="10"/>
        <v>Rome</v>
      </c>
      <c r="N228" t="s">
        <v>19</v>
      </c>
      <c r="O228" t="str">
        <f t="shared" si="11"/>
        <v>Bank Transfer</v>
      </c>
    </row>
    <row r="229" spans="3:15" x14ac:dyDescent="0.25">
      <c r="C229" t="s">
        <v>30</v>
      </c>
      <c r="D229" t="str">
        <f t="shared" si="9"/>
        <v>Apparel</v>
      </c>
      <c r="I229" t="s">
        <v>81</v>
      </c>
      <c r="J229" t="str">
        <f t="shared" si="10"/>
        <v>London</v>
      </c>
      <c r="N229" t="s">
        <v>29</v>
      </c>
      <c r="O229" t="str">
        <f t="shared" si="11"/>
        <v>Credit Card</v>
      </c>
    </row>
    <row r="230" spans="3:15" x14ac:dyDescent="0.25">
      <c r="C230" t="s">
        <v>30</v>
      </c>
      <c r="D230" t="str">
        <f t="shared" si="9"/>
        <v>Apparel</v>
      </c>
      <c r="I230" t="s">
        <v>39</v>
      </c>
      <c r="J230" t="str">
        <f t="shared" si="10"/>
        <v>Amsterdam</v>
      </c>
      <c r="N230" t="s">
        <v>29</v>
      </c>
      <c r="O230" t="str">
        <f t="shared" si="11"/>
        <v>Credit Card</v>
      </c>
    </row>
    <row r="231" spans="3:15" x14ac:dyDescent="0.25">
      <c r="C231" t="s">
        <v>30</v>
      </c>
      <c r="D231" t="str">
        <f t="shared" si="9"/>
        <v>Apparel</v>
      </c>
      <c r="I231" t="s">
        <v>24</v>
      </c>
      <c r="J231" t="str">
        <f t="shared" si="10"/>
        <v>Paris</v>
      </c>
      <c r="N231" t="s">
        <v>29</v>
      </c>
      <c r="O231" t="str">
        <f t="shared" si="11"/>
        <v>Credit Card</v>
      </c>
    </row>
    <row r="232" spans="3:15" x14ac:dyDescent="0.25">
      <c r="C232" t="s">
        <v>50</v>
      </c>
      <c r="D232" t="str">
        <f t="shared" si="9"/>
        <v>Electronics</v>
      </c>
      <c r="I232" t="s">
        <v>81</v>
      </c>
      <c r="J232" t="str">
        <f t="shared" si="10"/>
        <v>London</v>
      </c>
      <c r="N232" t="s">
        <v>29</v>
      </c>
      <c r="O232" t="str">
        <f t="shared" si="11"/>
        <v>Credit Card</v>
      </c>
    </row>
    <row r="233" spans="3:15" x14ac:dyDescent="0.25">
      <c r="C233" t="s">
        <v>20</v>
      </c>
      <c r="D233" t="str">
        <f t="shared" si="9"/>
        <v>Accessories</v>
      </c>
      <c r="I233" t="s">
        <v>81</v>
      </c>
      <c r="J233" t="str">
        <f t="shared" si="10"/>
        <v>London</v>
      </c>
      <c r="N233" t="s">
        <v>19</v>
      </c>
      <c r="O233" t="str">
        <f t="shared" si="11"/>
        <v>Bank Transfer</v>
      </c>
    </row>
    <row r="234" spans="3:15" x14ac:dyDescent="0.25">
      <c r="C234" t="s">
        <v>30</v>
      </c>
      <c r="D234" t="str">
        <f t="shared" si="9"/>
        <v>Apparel</v>
      </c>
      <c r="I234" t="s">
        <v>39</v>
      </c>
      <c r="J234" t="str">
        <f t="shared" si="10"/>
        <v>Amsterdam</v>
      </c>
      <c r="N234" t="s">
        <v>61</v>
      </c>
      <c r="O234" t="str">
        <f t="shared" si="11"/>
        <v>Paypal</v>
      </c>
    </row>
    <row r="235" spans="3:15" x14ac:dyDescent="0.25">
      <c r="C235" t="s">
        <v>20</v>
      </c>
      <c r="D235" t="str">
        <f t="shared" si="9"/>
        <v>Accessories</v>
      </c>
      <c r="I235" t="s">
        <v>33</v>
      </c>
      <c r="J235" t="str">
        <f t="shared" si="10"/>
        <v>Berlin</v>
      </c>
      <c r="N235" t="s">
        <v>61</v>
      </c>
      <c r="O235" t="str">
        <f t="shared" si="11"/>
        <v>Paypal</v>
      </c>
    </row>
    <row r="236" spans="3:15" x14ac:dyDescent="0.25">
      <c r="C236" t="s">
        <v>37</v>
      </c>
      <c r="D236" t="str">
        <f t="shared" si="9"/>
        <v>Stationery</v>
      </c>
      <c r="I236" t="s">
        <v>81</v>
      </c>
      <c r="J236" t="str">
        <f t="shared" si="10"/>
        <v>London</v>
      </c>
      <c r="N236" t="s">
        <v>19</v>
      </c>
      <c r="O236" t="str">
        <f t="shared" si="11"/>
        <v>Bank Transfer</v>
      </c>
    </row>
    <row r="237" spans="3:15" x14ac:dyDescent="0.25">
      <c r="C237" t="s">
        <v>37</v>
      </c>
      <c r="D237" t="str">
        <f t="shared" si="9"/>
        <v>Stationery</v>
      </c>
      <c r="I237" t="s">
        <v>59</v>
      </c>
      <c r="J237" t="str">
        <f t="shared" si="10"/>
        <v>Rome</v>
      </c>
      <c r="N237" t="s">
        <v>19</v>
      </c>
      <c r="O237" t="str">
        <f t="shared" si="11"/>
        <v>Bank Transfer</v>
      </c>
    </row>
    <row r="238" spans="3:15" x14ac:dyDescent="0.25">
      <c r="C238" t="s">
        <v>50</v>
      </c>
      <c r="D238" t="str">
        <f t="shared" si="9"/>
        <v>Electronics</v>
      </c>
      <c r="I238" t="s">
        <v>81</v>
      </c>
      <c r="J238" t="str">
        <f t="shared" si="10"/>
        <v>London</v>
      </c>
      <c r="N238" t="s">
        <v>29</v>
      </c>
      <c r="O238" t="str">
        <f t="shared" si="11"/>
        <v>Credit Card</v>
      </c>
    </row>
    <row r="239" spans="3:15" x14ac:dyDescent="0.25">
      <c r="C239" t="s">
        <v>50</v>
      </c>
      <c r="D239" t="str">
        <f t="shared" si="9"/>
        <v>Electronics</v>
      </c>
      <c r="I239" t="s">
        <v>33</v>
      </c>
      <c r="J239" t="str">
        <f t="shared" si="10"/>
        <v>Berlin</v>
      </c>
      <c r="N239" t="s">
        <v>61</v>
      </c>
      <c r="O239" t="str">
        <f t="shared" si="11"/>
        <v>Paypal</v>
      </c>
    </row>
    <row r="240" spans="3:15" x14ac:dyDescent="0.25">
      <c r="C240" t="s">
        <v>20</v>
      </c>
      <c r="D240" t="str">
        <f t="shared" si="9"/>
        <v>Accessories</v>
      </c>
      <c r="I240" t="s">
        <v>81</v>
      </c>
      <c r="J240" t="str">
        <f t="shared" si="10"/>
        <v>London</v>
      </c>
      <c r="N240" t="s">
        <v>61</v>
      </c>
      <c r="O240" t="str">
        <f t="shared" si="11"/>
        <v>Paypal</v>
      </c>
    </row>
    <row r="241" spans="3:15" x14ac:dyDescent="0.25">
      <c r="C241" t="s">
        <v>37</v>
      </c>
      <c r="D241" t="str">
        <f t="shared" si="9"/>
        <v>Stationery</v>
      </c>
      <c r="I241" t="s">
        <v>39</v>
      </c>
      <c r="J241" t="str">
        <f t="shared" si="10"/>
        <v>Amsterdam</v>
      </c>
      <c r="N241" t="s">
        <v>61</v>
      </c>
      <c r="O241" t="str">
        <f t="shared" si="11"/>
        <v>Paypal</v>
      </c>
    </row>
    <row r="242" spans="3:15" x14ac:dyDescent="0.25">
      <c r="C242" t="s">
        <v>30</v>
      </c>
      <c r="D242" t="str">
        <f t="shared" si="9"/>
        <v>Apparel</v>
      </c>
      <c r="I242" t="s">
        <v>81</v>
      </c>
      <c r="J242" t="str">
        <f t="shared" si="10"/>
        <v>London</v>
      </c>
      <c r="N242" t="s">
        <v>19</v>
      </c>
      <c r="O242" t="str">
        <f t="shared" si="11"/>
        <v>Bank Transfer</v>
      </c>
    </row>
    <row r="243" spans="3:15" x14ac:dyDescent="0.25">
      <c r="C243" t="s">
        <v>37</v>
      </c>
      <c r="D243" t="str">
        <f t="shared" si="9"/>
        <v>Stationery</v>
      </c>
      <c r="I243" t="s">
        <v>33</v>
      </c>
      <c r="J243" t="str">
        <f t="shared" si="10"/>
        <v>Berlin</v>
      </c>
      <c r="N243" t="s">
        <v>19</v>
      </c>
      <c r="O243" t="str">
        <f t="shared" si="11"/>
        <v>Bank Transfer</v>
      </c>
    </row>
    <row r="244" spans="3:15" x14ac:dyDescent="0.25">
      <c r="C244" t="s">
        <v>20</v>
      </c>
      <c r="D244" t="str">
        <f t="shared" si="9"/>
        <v>Accessories</v>
      </c>
      <c r="I244" t="s">
        <v>24</v>
      </c>
      <c r="J244" t="str">
        <f t="shared" si="10"/>
        <v>Paris</v>
      </c>
      <c r="N244" t="s">
        <v>19</v>
      </c>
      <c r="O244" t="str">
        <f t="shared" si="11"/>
        <v>Bank Transfer</v>
      </c>
    </row>
    <row r="245" spans="3:15" x14ac:dyDescent="0.25">
      <c r="C245" t="s">
        <v>30</v>
      </c>
      <c r="D245" t="str">
        <f t="shared" si="9"/>
        <v>Apparel</v>
      </c>
      <c r="I245" t="s">
        <v>39</v>
      </c>
      <c r="J245" t="str">
        <f t="shared" si="10"/>
        <v>Amsterdam</v>
      </c>
      <c r="N245" t="s">
        <v>29</v>
      </c>
      <c r="O245" t="str">
        <f t="shared" si="11"/>
        <v>Credit Card</v>
      </c>
    </row>
    <row r="246" spans="3:15" x14ac:dyDescent="0.25">
      <c r="C246" t="s">
        <v>50</v>
      </c>
      <c r="D246" t="str">
        <f t="shared" si="9"/>
        <v>Electronics</v>
      </c>
      <c r="I246" t="s">
        <v>39</v>
      </c>
      <c r="J246" t="str">
        <f t="shared" si="10"/>
        <v>Amsterdam</v>
      </c>
      <c r="N246" t="s">
        <v>61</v>
      </c>
      <c r="O246" t="str">
        <f t="shared" si="11"/>
        <v>Paypal</v>
      </c>
    </row>
    <row r="247" spans="3:15" x14ac:dyDescent="0.25">
      <c r="C247" t="s">
        <v>30</v>
      </c>
      <c r="D247" t="str">
        <f t="shared" si="9"/>
        <v>Apparel</v>
      </c>
      <c r="I247" t="s">
        <v>24</v>
      </c>
      <c r="J247" t="str">
        <f t="shared" si="10"/>
        <v>Paris</v>
      </c>
      <c r="N247" t="s">
        <v>61</v>
      </c>
      <c r="O247" t="str">
        <f t="shared" si="11"/>
        <v>Paypal</v>
      </c>
    </row>
    <row r="248" spans="3:15" x14ac:dyDescent="0.25">
      <c r="C248" t="s">
        <v>44</v>
      </c>
      <c r="D248" t="str">
        <f t="shared" si="9"/>
        <v>Furniture</v>
      </c>
      <c r="I248" t="s">
        <v>33</v>
      </c>
      <c r="J248" t="str">
        <f t="shared" si="10"/>
        <v>Berlin</v>
      </c>
      <c r="N248" t="s">
        <v>29</v>
      </c>
      <c r="O248" t="str">
        <f t="shared" si="11"/>
        <v>Credit Card</v>
      </c>
    </row>
    <row r="249" spans="3:15" x14ac:dyDescent="0.25">
      <c r="C249" t="s">
        <v>37</v>
      </c>
      <c r="D249" t="str">
        <f t="shared" si="9"/>
        <v>Stationery</v>
      </c>
      <c r="I249" s="5" t="s">
        <v>726</v>
      </c>
      <c r="J249" s="4" t="str">
        <f t="shared" si="10"/>
        <v>Rome</v>
      </c>
      <c r="N249" t="s">
        <v>19</v>
      </c>
      <c r="O249" t="str">
        <f t="shared" si="11"/>
        <v>Bank Transfer</v>
      </c>
    </row>
    <row r="250" spans="3:15" x14ac:dyDescent="0.25">
      <c r="C250" t="s">
        <v>20</v>
      </c>
      <c r="D250" t="str">
        <f t="shared" si="9"/>
        <v>Accessories</v>
      </c>
      <c r="I250" t="s">
        <v>59</v>
      </c>
      <c r="J250" t="str">
        <f t="shared" si="10"/>
        <v>Rome</v>
      </c>
      <c r="N250" t="s">
        <v>19</v>
      </c>
      <c r="O250" t="str">
        <f t="shared" si="11"/>
        <v>Bank Transfer</v>
      </c>
    </row>
    <row r="251" spans="3:15" x14ac:dyDescent="0.25">
      <c r="C251" t="s">
        <v>50</v>
      </c>
      <c r="D251" t="str">
        <f t="shared" si="9"/>
        <v>Electronics</v>
      </c>
      <c r="I251" t="s">
        <v>81</v>
      </c>
      <c r="J251" t="str">
        <f t="shared" si="10"/>
        <v>London</v>
      </c>
      <c r="N251" t="s">
        <v>19</v>
      </c>
      <c r="O251" t="str">
        <f t="shared" si="11"/>
        <v>Bank Transfer</v>
      </c>
    </row>
    <row r="252" spans="3:15" x14ac:dyDescent="0.25">
      <c r="C252" s="5" t="s">
        <v>727</v>
      </c>
      <c r="D252" s="4" t="str">
        <f t="shared" si="9"/>
        <v>Accessories</v>
      </c>
      <c r="I252" t="s">
        <v>59</v>
      </c>
      <c r="J252" t="str">
        <f t="shared" si="10"/>
        <v>Rome</v>
      </c>
      <c r="N252" t="s">
        <v>29</v>
      </c>
      <c r="O252" t="str">
        <f t="shared" si="11"/>
        <v>Credit Card</v>
      </c>
    </row>
    <row r="253" spans="3:15" x14ac:dyDescent="0.25">
      <c r="C253" t="s">
        <v>20</v>
      </c>
      <c r="D253" t="str">
        <f t="shared" si="9"/>
        <v>Accessories</v>
      </c>
      <c r="I253" t="s">
        <v>24</v>
      </c>
      <c r="J253" t="str">
        <f t="shared" si="10"/>
        <v>Paris</v>
      </c>
      <c r="N253" t="s">
        <v>19</v>
      </c>
      <c r="O253" t="str">
        <f t="shared" si="11"/>
        <v>Bank Transfer</v>
      </c>
    </row>
    <row r="254" spans="3:15" x14ac:dyDescent="0.25">
      <c r="C254" t="s">
        <v>30</v>
      </c>
      <c r="D254" t="str">
        <f t="shared" si="9"/>
        <v>Apparel</v>
      </c>
      <c r="I254" t="s">
        <v>24</v>
      </c>
      <c r="J254" t="str">
        <f t="shared" si="10"/>
        <v>Paris</v>
      </c>
      <c r="N254" t="s">
        <v>29</v>
      </c>
      <c r="O254" t="str">
        <f t="shared" si="11"/>
        <v>Credit Card</v>
      </c>
    </row>
    <row r="255" spans="3:15" x14ac:dyDescent="0.25">
      <c r="C255" t="s">
        <v>50</v>
      </c>
      <c r="D255" t="str">
        <f t="shared" si="9"/>
        <v>Electronics</v>
      </c>
      <c r="I255" t="s">
        <v>59</v>
      </c>
      <c r="J255" t="str">
        <f t="shared" si="10"/>
        <v>Rome</v>
      </c>
      <c r="N255" t="s">
        <v>19</v>
      </c>
      <c r="O255" t="str">
        <f t="shared" si="11"/>
        <v>Bank Transfer</v>
      </c>
    </row>
    <row r="256" spans="3:15" x14ac:dyDescent="0.25">
      <c r="C256" t="s">
        <v>44</v>
      </c>
      <c r="D256" t="str">
        <f t="shared" si="9"/>
        <v>Furniture</v>
      </c>
      <c r="I256" t="s">
        <v>24</v>
      </c>
      <c r="J256" t="str">
        <f t="shared" si="10"/>
        <v>Paris</v>
      </c>
      <c r="N256" t="s">
        <v>19</v>
      </c>
      <c r="O256" t="str">
        <f t="shared" si="11"/>
        <v>Bank Transfer</v>
      </c>
    </row>
    <row r="257" spans="3:15" x14ac:dyDescent="0.25">
      <c r="C257" t="s">
        <v>44</v>
      </c>
      <c r="D257" t="str">
        <f t="shared" si="9"/>
        <v>Furniture</v>
      </c>
      <c r="I257" t="s">
        <v>59</v>
      </c>
      <c r="J257" t="str">
        <f t="shared" si="10"/>
        <v>Rome</v>
      </c>
      <c r="N257" t="s">
        <v>61</v>
      </c>
      <c r="O257" t="str">
        <f t="shared" si="11"/>
        <v>Paypal</v>
      </c>
    </row>
    <row r="258" spans="3:15" x14ac:dyDescent="0.25">
      <c r="C258" t="s">
        <v>44</v>
      </c>
      <c r="D258" t="str">
        <f t="shared" si="9"/>
        <v>Furniture</v>
      </c>
      <c r="I258" t="s">
        <v>39</v>
      </c>
      <c r="J258" t="str">
        <f t="shared" si="10"/>
        <v>Amsterdam</v>
      </c>
      <c r="N258" t="s">
        <v>19</v>
      </c>
      <c r="O258" t="str">
        <f t="shared" si="11"/>
        <v>Bank Transfer</v>
      </c>
    </row>
    <row r="259" spans="3:15" x14ac:dyDescent="0.25">
      <c r="C259" t="s">
        <v>20</v>
      </c>
      <c r="D259" t="str">
        <f t="shared" si="9"/>
        <v>Accessories</v>
      </c>
      <c r="I259" t="s">
        <v>24</v>
      </c>
      <c r="J259" t="str">
        <f t="shared" si="10"/>
        <v>Paris</v>
      </c>
      <c r="N259" t="s">
        <v>19</v>
      </c>
      <c r="O259" t="str">
        <f t="shared" si="11"/>
        <v>Bank Transfer</v>
      </c>
    </row>
    <row r="260" spans="3:15" x14ac:dyDescent="0.25">
      <c r="C260" t="s">
        <v>44</v>
      </c>
      <c r="D260" t="str">
        <f t="shared" si="9"/>
        <v>Furniture</v>
      </c>
      <c r="I260" t="s">
        <v>24</v>
      </c>
      <c r="J260" t="str">
        <f t="shared" si="10"/>
        <v>Paris</v>
      </c>
      <c r="N260" t="s">
        <v>29</v>
      </c>
      <c r="O260" t="str">
        <f t="shared" si="11"/>
        <v>Credit Card</v>
      </c>
    </row>
    <row r="261" spans="3:15" x14ac:dyDescent="0.25">
      <c r="C261" t="s">
        <v>50</v>
      </c>
      <c r="D261" t="str">
        <f t="shared" si="9"/>
        <v>Electronics</v>
      </c>
      <c r="I261" t="s">
        <v>24</v>
      </c>
      <c r="J261" t="str">
        <f t="shared" si="10"/>
        <v>Paris</v>
      </c>
      <c r="N261" t="s">
        <v>19</v>
      </c>
      <c r="O261" t="str">
        <f t="shared" si="11"/>
        <v>Bank Transfer</v>
      </c>
    </row>
    <row r="262" spans="3:15" x14ac:dyDescent="0.25">
      <c r="C262" t="s">
        <v>20</v>
      </c>
      <c r="D262" t="str">
        <f t="shared" ref="D262:D325" si="12">PROPER(C262)</f>
        <v>Accessories</v>
      </c>
      <c r="I262" t="s">
        <v>81</v>
      </c>
      <c r="J262" t="str">
        <f t="shared" ref="J262:J325" si="13">PROPER(I262)</f>
        <v>London</v>
      </c>
      <c r="N262" t="s">
        <v>61</v>
      </c>
      <c r="O262" t="str">
        <f t="shared" ref="O262:O325" si="14">IF(N262="paypall","Paypal",N262)</f>
        <v>Paypal</v>
      </c>
    </row>
    <row r="263" spans="3:15" x14ac:dyDescent="0.25">
      <c r="C263" t="s">
        <v>44</v>
      </c>
      <c r="D263" t="str">
        <f t="shared" si="12"/>
        <v>Furniture</v>
      </c>
      <c r="I263" t="s">
        <v>39</v>
      </c>
      <c r="J263" t="str">
        <f t="shared" si="13"/>
        <v>Amsterdam</v>
      </c>
      <c r="N263" t="s">
        <v>61</v>
      </c>
      <c r="O263" t="str">
        <f t="shared" si="14"/>
        <v>Paypal</v>
      </c>
    </row>
    <row r="264" spans="3:15" x14ac:dyDescent="0.25">
      <c r="C264" t="s">
        <v>20</v>
      </c>
      <c r="D264" t="str">
        <f t="shared" si="12"/>
        <v>Accessories</v>
      </c>
      <c r="I264" t="s">
        <v>39</v>
      </c>
      <c r="J264" t="str">
        <f t="shared" si="13"/>
        <v>Amsterdam</v>
      </c>
      <c r="N264" t="s">
        <v>19</v>
      </c>
      <c r="O264" t="str">
        <f t="shared" si="14"/>
        <v>Bank Transfer</v>
      </c>
    </row>
    <row r="265" spans="3:15" x14ac:dyDescent="0.25">
      <c r="C265" t="s">
        <v>30</v>
      </c>
      <c r="D265" t="str">
        <f t="shared" si="12"/>
        <v>Apparel</v>
      </c>
      <c r="I265" t="s">
        <v>81</v>
      </c>
      <c r="J265" t="str">
        <f t="shared" si="13"/>
        <v>London</v>
      </c>
      <c r="N265" t="s">
        <v>29</v>
      </c>
      <c r="O265" t="str">
        <f t="shared" si="14"/>
        <v>Credit Card</v>
      </c>
    </row>
    <row r="266" spans="3:15" x14ac:dyDescent="0.25">
      <c r="C266" t="s">
        <v>37</v>
      </c>
      <c r="D266" t="str">
        <f t="shared" si="12"/>
        <v>Stationery</v>
      </c>
      <c r="I266" t="s">
        <v>722</v>
      </c>
      <c r="J266" t="str">
        <f t="shared" si="13"/>
        <v>Amsterdam</v>
      </c>
      <c r="N266" t="s">
        <v>19</v>
      </c>
      <c r="O266" t="str">
        <f t="shared" si="14"/>
        <v>Bank Transfer</v>
      </c>
    </row>
    <row r="267" spans="3:15" x14ac:dyDescent="0.25">
      <c r="C267" t="s">
        <v>44</v>
      </c>
      <c r="D267" t="str">
        <f t="shared" si="12"/>
        <v>Furniture</v>
      </c>
      <c r="I267" t="s">
        <v>39</v>
      </c>
      <c r="J267" t="str">
        <f t="shared" si="13"/>
        <v>Amsterdam</v>
      </c>
      <c r="N267" t="s">
        <v>61</v>
      </c>
      <c r="O267" t="str">
        <f t="shared" si="14"/>
        <v>Paypal</v>
      </c>
    </row>
    <row r="268" spans="3:15" x14ac:dyDescent="0.25">
      <c r="C268" t="s">
        <v>44</v>
      </c>
      <c r="D268" t="str">
        <f t="shared" si="12"/>
        <v>Furniture</v>
      </c>
      <c r="I268" t="s">
        <v>24</v>
      </c>
      <c r="J268" t="str">
        <f t="shared" si="13"/>
        <v>Paris</v>
      </c>
      <c r="N268" t="s">
        <v>29</v>
      </c>
      <c r="O268" t="str">
        <f t="shared" si="14"/>
        <v>Credit Card</v>
      </c>
    </row>
    <row r="269" spans="3:15" x14ac:dyDescent="0.25">
      <c r="C269" t="s">
        <v>37</v>
      </c>
      <c r="D269" t="str">
        <f t="shared" si="12"/>
        <v>Stationery</v>
      </c>
      <c r="I269" t="s">
        <v>81</v>
      </c>
      <c r="J269" t="str">
        <f t="shared" si="13"/>
        <v>London</v>
      </c>
      <c r="N269" t="s">
        <v>61</v>
      </c>
      <c r="O269" t="str">
        <f t="shared" si="14"/>
        <v>Paypal</v>
      </c>
    </row>
    <row r="270" spans="3:15" x14ac:dyDescent="0.25">
      <c r="C270" t="s">
        <v>30</v>
      </c>
      <c r="D270" t="str">
        <f t="shared" si="12"/>
        <v>Apparel</v>
      </c>
      <c r="I270" t="s">
        <v>59</v>
      </c>
      <c r="J270" t="str">
        <f t="shared" si="13"/>
        <v>Rome</v>
      </c>
      <c r="N270" t="s">
        <v>19</v>
      </c>
      <c r="O270" t="str">
        <f t="shared" si="14"/>
        <v>Bank Transfer</v>
      </c>
    </row>
    <row r="271" spans="3:15" x14ac:dyDescent="0.25">
      <c r="C271" t="s">
        <v>37</v>
      </c>
      <c r="D271" t="str">
        <f t="shared" si="12"/>
        <v>Stationery</v>
      </c>
      <c r="I271" t="s">
        <v>33</v>
      </c>
      <c r="J271" t="str">
        <f t="shared" si="13"/>
        <v>Berlin</v>
      </c>
      <c r="N271" t="s">
        <v>61</v>
      </c>
      <c r="O271" t="str">
        <f t="shared" si="14"/>
        <v>Paypal</v>
      </c>
    </row>
    <row r="272" spans="3:15" x14ac:dyDescent="0.25">
      <c r="C272" t="s">
        <v>37</v>
      </c>
      <c r="D272" t="str">
        <f t="shared" si="12"/>
        <v>Stationery</v>
      </c>
      <c r="I272" t="s">
        <v>39</v>
      </c>
      <c r="J272" t="str">
        <f t="shared" si="13"/>
        <v>Amsterdam</v>
      </c>
      <c r="N272" t="s">
        <v>19</v>
      </c>
      <c r="O272" t="str">
        <f t="shared" si="14"/>
        <v>Bank Transfer</v>
      </c>
    </row>
    <row r="273" spans="3:15" x14ac:dyDescent="0.25">
      <c r="C273" t="s">
        <v>37</v>
      </c>
      <c r="D273" t="str">
        <f t="shared" si="12"/>
        <v>Stationery</v>
      </c>
      <c r="I273" t="s">
        <v>39</v>
      </c>
      <c r="J273" t="str">
        <f t="shared" si="13"/>
        <v>Amsterdam</v>
      </c>
      <c r="N273" t="s">
        <v>19</v>
      </c>
      <c r="O273" t="str">
        <f t="shared" si="14"/>
        <v>Bank Transfer</v>
      </c>
    </row>
    <row r="274" spans="3:15" x14ac:dyDescent="0.25">
      <c r="C274" t="s">
        <v>50</v>
      </c>
      <c r="D274" t="str">
        <f t="shared" si="12"/>
        <v>Electronics</v>
      </c>
      <c r="I274" t="s">
        <v>81</v>
      </c>
      <c r="J274" t="str">
        <f t="shared" si="13"/>
        <v>London</v>
      </c>
      <c r="N274" t="s">
        <v>61</v>
      </c>
      <c r="O274" t="str">
        <f t="shared" si="14"/>
        <v>Paypal</v>
      </c>
    </row>
    <row r="275" spans="3:15" x14ac:dyDescent="0.25">
      <c r="C275" t="s">
        <v>20</v>
      </c>
      <c r="D275" t="str">
        <f t="shared" si="12"/>
        <v>Accessories</v>
      </c>
      <c r="I275" t="s">
        <v>39</v>
      </c>
      <c r="J275" t="str">
        <f t="shared" si="13"/>
        <v>Amsterdam</v>
      </c>
      <c r="N275" t="s">
        <v>19</v>
      </c>
      <c r="O275" t="str">
        <f t="shared" si="14"/>
        <v>Bank Transfer</v>
      </c>
    </row>
    <row r="276" spans="3:15" x14ac:dyDescent="0.25">
      <c r="C276" t="s">
        <v>50</v>
      </c>
      <c r="D276" t="str">
        <f t="shared" si="12"/>
        <v>Electronics</v>
      </c>
      <c r="I276" t="s">
        <v>33</v>
      </c>
      <c r="J276" t="str">
        <f t="shared" si="13"/>
        <v>Berlin</v>
      </c>
      <c r="N276" t="s">
        <v>61</v>
      </c>
      <c r="O276" t="str">
        <f t="shared" si="14"/>
        <v>Paypal</v>
      </c>
    </row>
    <row r="277" spans="3:15" x14ac:dyDescent="0.25">
      <c r="C277" t="s">
        <v>50</v>
      </c>
      <c r="D277" t="str">
        <f t="shared" si="12"/>
        <v>Electronics</v>
      </c>
      <c r="I277" t="s">
        <v>33</v>
      </c>
      <c r="J277" t="str">
        <f t="shared" si="13"/>
        <v>Berlin</v>
      </c>
      <c r="N277" t="s">
        <v>19</v>
      </c>
      <c r="O277" t="str">
        <f t="shared" si="14"/>
        <v>Bank Transfer</v>
      </c>
    </row>
    <row r="278" spans="3:15" x14ac:dyDescent="0.25">
      <c r="C278" t="s">
        <v>30</v>
      </c>
      <c r="D278" t="str">
        <f t="shared" si="12"/>
        <v>Apparel</v>
      </c>
      <c r="I278" t="s">
        <v>39</v>
      </c>
      <c r="J278" t="str">
        <f t="shared" si="13"/>
        <v>Amsterdam</v>
      </c>
      <c r="N278" t="s">
        <v>19</v>
      </c>
      <c r="O278" t="str">
        <f t="shared" si="14"/>
        <v>Bank Transfer</v>
      </c>
    </row>
    <row r="279" spans="3:15" x14ac:dyDescent="0.25">
      <c r="C279" t="s">
        <v>44</v>
      </c>
      <c r="D279" t="str">
        <f t="shared" si="12"/>
        <v>Furniture</v>
      </c>
      <c r="I279" t="s">
        <v>33</v>
      </c>
      <c r="J279" t="str">
        <f t="shared" si="13"/>
        <v>Berlin</v>
      </c>
      <c r="N279" t="s">
        <v>19</v>
      </c>
      <c r="O279" t="str">
        <f t="shared" si="14"/>
        <v>Bank Transfer</v>
      </c>
    </row>
    <row r="280" spans="3:15" x14ac:dyDescent="0.25">
      <c r="C280" t="s">
        <v>20</v>
      </c>
      <c r="D280" t="str">
        <f t="shared" si="12"/>
        <v>Accessories</v>
      </c>
      <c r="I280" t="s">
        <v>39</v>
      </c>
      <c r="J280" t="str">
        <f t="shared" si="13"/>
        <v>Amsterdam</v>
      </c>
      <c r="N280" t="s">
        <v>61</v>
      </c>
      <c r="O280" t="str">
        <f t="shared" si="14"/>
        <v>Paypal</v>
      </c>
    </row>
    <row r="281" spans="3:15" x14ac:dyDescent="0.25">
      <c r="C281" t="s">
        <v>20</v>
      </c>
      <c r="D281" t="str">
        <f t="shared" si="12"/>
        <v>Accessories</v>
      </c>
      <c r="I281" t="s">
        <v>39</v>
      </c>
      <c r="J281" t="str">
        <f t="shared" si="13"/>
        <v>Amsterdam</v>
      </c>
      <c r="N281" t="s">
        <v>29</v>
      </c>
      <c r="O281" t="str">
        <f t="shared" si="14"/>
        <v>Credit Card</v>
      </c>
    </row>
    <row r="282" spans="3:15" x14ac:dyDescent="0.25">
      <c r="C282" t="s">
        <v>37</v>
      </c>
      <c r="D282" t="str">
        <f t="shared" si="12"/>
        <v>Stationery</v>
      </c>
      <c r="I282" t="s">
        <v>81</v>
      </c>
      <c r="J282" t="str">
        <f t="shared" si="13"/>
        <v>London</v>
      </c>
      <c r="N282" t="s">
        <v>19</v>
      </c>
      <c r="O282" t="str">
        <f t="shared" si="14"/>
        <v>Bank Transfer</v>
      </c>
    </row>
    <row r="283" spans="3:15" x14ac:dyDescent="0.25">
      <c r="C283" t="s">
        <v>30</v>
      </c>
      <c r="D283" t="str">
        <f t="shared" si="12"/>
        <v>Apparel</v>
      </c>
      <c r="I283" t="s">
        <v>24</v>
      </c>
      <c r="J283" t="str">
        <f t="shared" si="13"/>
        <v>Paris</v>
      </c>
      <c r="N283" t="s">
        <v>61</v>
      </c>
      <c r="O283" t="str">
        <f t="shared" si="14"/>
        <v>Paypal</v>
      </c>
    </row>
    <row r="284" spans="3:15" x14ac:dyDescent="0.25">
      <c r="C284" t="s">
        <v>44</v>
      </c>
      <c r="D284" t="str">
        <f t="shared" si="12"/>
        <v>Furniture</v>
      </c>
      <c r="I284" t="s">
        <v>33</v>
      </c>
      <c r="J284" t="str">
        <f t="shared" si="13"/>
        <v>Berlin</v>
      </c>
      <c r="N284" t="s">
        <v>19</v>
      </c>
      <c r="O284" t="str">
        <f t="shared" si="14"/>
        <v>Bank Transfer</v>
      </c>
    </row>
    <row r="285" spans="3:15" x14ac:dyDescent="0.25">
      <c r="C285" t="s">
        <v>50</v>
      </c>
      <c r="D285" t="str">
        <f t="shared" si="12"/>
        <v>Electronics</v>
      </c>
      <c r="I285" t="s">
        <v>81</v>
      </c>
      <c r="J285" t="str">
        <f t="shared" si="13"/>
        <v>London</v>
      </c>
      <c r="N285" t="s">
        <v>19</v>
      </c>
      <c r="O285" t="str">
        <f t="shared" si="14"/>
        <v>Bank Transfer</v>
      </c>
    </row>
    <row r="286" spans="3:15" x14ac:dyDescent="0.25">
      <c r="C286" t="s">
        <v>50</v>
      </c>
      <c r="D286" t="str">
        <f t="shared" si="12"/>
        <v>Electronics</v>
      </c>
      <c r="I286" t="s">
        <v>24</v>
      </c>
      <c r="J286" t="str">
        <f t="shared" si="13"/>
        <v>Paris</v>
      </c>
      <c r="N286" t="s">
        <v>29</v>
      </c>
      <c r="O286" t="str">
        <f t="shared" si="14"/>
        <v>Credit Card</v>
      </c>
    </row>
    <row r="287" spans="3:15" x14ac:dyDescent="0.25">
      <c r="C287" t="s">
        <v>37</v>
      </c>
      <c r="D287" t="str">
        <f t="shared" si="12"/>
        <v>Stationery</v>
      </c>
      <c r="I287" t="s">
        <v>33</v>
      </c>
      <c r="J287" t="str">
        <f t="shared" si="13"/>
        <v>Berlin</v>
      </c>
      <c r="N287" t="s">
        <v>61</v>
      </c>
      <c r="O287" t="str">
        <f t="shared" si="14"/>
        <v>Paypal</v>
      </c>
    </row>
    <row r="288" spans="3:15" x14ac:dyDescent="0.25">
      <c r="C288" t="s">
        <v>20</v>
      </c>
      <c r="D288" t="str">
        <f t="shared" si="12"/>
        <v>Accessories</v>
      </c>
      <c r="I288" t="s">
        <v>81</v>
      </c>
      <c r="J288" t="str">
        <f t="shared" si="13"/>
        <v>London</v>
      </c>
      <c r="N288" t="s">
        <v>29</v>
      </c>
      <c r="O288" t="str">
        <f t="shared" si="14"/>
        <v>Credit Card</v>
      </c>
    </row>
    <row r="289" spans="3:15" x14ac:dyDescent="0.25">
      <c r="C289" t="s">
        <v>30</v>
      </c>
      <c r="D289" t="str">
        <f t="shared" si="12"/>
        <v>Apparel</v>
      </c>
      <c r="I289" t="s">
        <v>81</v>
      </c>
      <c r="J289" t="str">
        <f t="shared" si="13"/>
        <v>London</v>
      </c>
      <c r="N289" t="s">
        <v>29</v>
      </c>
      <c r="O289" t="str">
        <f t="shared" si="14"/>
        <v>Credit Card</v>
      </c>
    </row>
    <row r="290" spans="3:15" x14ac:dyDescent="0.25">
      <c r="C290" t="s">
        <v>30</v>
      </c>
      <c r="D290" t="str">
        <f t="shared" si="12"/>
        <v>Apparel</v>
      </c>
      <c r="I290" t="s">
        <v>24</v>
      </c>
      <c r="J290" t="str">
        <f t="shared" si="13"/>
        <v>Paris</v>
      </c>
      <c r="N290" t="s">
        <v>19</v>
      </c>
      <c r="O290" t="str">
        <f t="shared" si="14"/>
        <v>Bank Transfer</v>
      </c>
    </row>
    <row r="291" spans="3:15" x14ac:dyDescent="0.25">
      <c r="C291" t="s">
        <v>37</v>
      </c>
      <c r="D291" t="str">
        <f t="shared" si="12"/>
        <v>Stationery</v>
      </c>
      <c r="I291" t="s">
        <v>81</v>
      </c>
      <c r="J291" t="str">
        <f t="shared" si="13"/>
        <v>London</v>
      </c>
      <c r="N291" t="s">
        <v>61</v>
      </c>
      <c r="O291" t="str">
        <f t="shared" si="14"/>
        <v>Paypal</v>
      </c>
    </row>
    <row r="292" spans="3:15" x14ac:dyDescent="0.25">
      <c r="C292" t="s">
        <v>44</v>
      </c>
      <c r="D292" t="str">
        <f t="shared" si="12"/>
        <v>Furniture</v>
      </c>
      <c r="I292" t="s">
        <v>39</v>
      </c>
      <c r="J292" t="str">
        <f t="shared" si="13"/>
        <v>Amsterdam</v>
      </c>
      <c r="N292" t="s">
        <v>29</v>
      </c>
      <c r="O292" t="str">
        <f t="shared" si="14"/>
        <v>Credit Card</v>
      </c>
    </row>
    <row r="293" spans="3:15" x14ac:dyDescent="0.25">
      <c r="C293" t="s">
        <v>37</v>
      </c>
      <c r="D293" t="str">
        <f t="shared" si="12"/>
        <v>Stationery</v>
      </c>
      <c r="I293" t="s">
        <v>39</v>
      </c>
      <c r="J293" t="str">
        <f t="shared" si="13"/>
        <v>Amsterdam</v>
      </c>
      <c r="N293" t="s">
        <v>19</v>
      </c>
      <c r="O293" t="str">
        <f t="shared" si="14"/>
        <v>Bank Transfer</v>
      </c>
    </row>
    <row r="294" spans="3:15" x14ac:dyDescent="0.25">
      <c r="C294" t="s">
        <v>50</v>
      </c>
      <c r="D294" t="str">
        <f t="shared" si="12"/>
        <v>Electronics</v>
      </c>
      <c r="I294" t="s">
        <v>39</v>
      </c>
      <c r="J294" t="str">
        <f t="shared" si="13"/>
        <v>Amsterdam</v>
      </c>
      <c r="N294" t="s">
        <v>61</v>
      </c>
      <c r="O294" t="str">
        <f t="shared" si="14"/>
        <v>Paypal</v>
      </c>
    </row>
    <row r="295" spans="3:15" x14ac:dyDescent="0.25">
      <c r="C295" t="s">
        <v>50</v>
      </c>
      <c r="D295" t="str">
        <f t="shared" si="12"/>
        <v>Electronics</v>
      </c>
      <c r="I295" t="s">
        <v>59</v>
      </c>
      <c r="J295" t="str">
        <f t="shared" si="13"/>
        <v>Rome</v>
      </c>
      <c r="N295" t="s">
        <v>61</v>
      </c>
      <c r="O295" t="str">
        <f t="shared" si="14"/>
        <v>Paypal</v>
      </c>
    </row>
    <row r="296" spans="3:15" x14ac:dyDescent="0.25">
      <c r="C296" t="s">
        <v>50</v>
      </c>
      <c r="D296" t="str">
        <f t="shared" si="12"/>
        <v>Electronics</v>
      </c>
      <c r="I296" t="s">
        <v>39</v>
      </c>
      <c r="J296" t="str">
        <f t="shared" si="13"/>
        <v>Amsterdam</v>
      </c>
      <c r="N296" t="s">
        <v>19</v>
      </c>
      <c r="O296" t="str">
        <f t="shared" si="14"/>
        <v>Bank Transfer</v>
      </c>
    </row>
    <row r="297" spans="3:15" x14ac:dyDescent="0.25">
      <c r="C297" s="5" t="s">
        <v>729</v>
      </c>
      <c r="D297" s="4" t="str">
        <f t="shared" si="12"/>
        <v>Furniture</v>
      </c>
      <c r="I297" t="s">
        <v>59</v>
      </c>
      <c r="J297" t="str">
        <f t="shared" si="13"/>
        <v>Rome</v>
      </c>
      <c r="N297" t="s">
        <v>19</v>
      </c>
      <c r="O297" t="str">
        <f t="shared" si="14"/>
        <v>Bank Transfer</v>
      </c>
    </row>
    <row r="298" spans="3:15" x14ac:dyDescent="0.25">
      <c r="C298" t="s">
        <v>20</v>
      </c>
      <c r="D298" t="str">
        <f t="shared" si="12"/>
        <v>Accessories</v>
      </c>
      <c r="I298" t="s">
        <v>59</v>
      </c>
      <c r="J298" t="str">
        <f t="shared" si="13"/>
        <v>Rome</v>
      </c>
      <c r="N298" t="s">
        <v>61</v>
      </c>
      <c r="O298" t="str">
        <f t="shared" si="14"/>
        <v>Paypal</v>
      </c>
    </row>
    <row r="299" spans="3:15" x14ac:dyDescent="0.25">
      <c r="C299" t="s">
        <v>20</v>
      </c>
      <c r="D299" t="str">
        <f t="shared" si="12"/>
        <v>Accessories</v>
      </c>
      <c r="I299" t="s">
        <v>33</v>
      </c>
      <c r="J299" t="str">
        <f t="shared" si="13"/>
        <v>Berlin</v>
      </c>
      <c r="N299" t="s">
        <v>61</v>
      </c>
      <c r="O299" t="str">
        <f t="shared" si="14"/>
        <v>Paypal</v>
      </c>
    </row>
    <row r="300" spans="3:15" x14ac:dyDescent="0.25">
      <c r="C300" t="s">
        <v>37</v>
      </c>
      <c r="D300" t="str">
        <f t="shared" si="12"/>
        <v>Stationery</v>
      </c>
      <c r="I300" t="s">
        <v>81</v>
      </c>
      <c r="J300" t="str">
        <f t="shared" si="13"/>
        <v>London</v>
      </c>
      <c r="N300" t="s">
        <v>61</v>
      </c>
      <c r="O300" t="str">
        <f t="shared" si="14"/>
        <v>Paypal</v>
      </c>
    </row>
    <row r="301" spans="3:15" x14ac:dyDescent="0.25">
      <c r="C301" t="s">
        <v>44</v>
      </c>
      <c r="D301" t="str">
        <f t="shared" si="12"/>
        <v>Furniture</v>
      </c>
      <c r="I301" t="s">
        <v>24</v>
      </c>
      <c r="J301" t="str">
        <f t="shared" si="13"/>
        <v>Paris</v>
      </c>
      <c r="N301" t="s">
        <v>61</v>
      </c>
      <c r="O301" t="str">
        <f t="shared" si="14"/>
        <v>Paypal</v>
      </c>
    </row>
    <row r="302" spans="3:15" x14ac:dyDescent="0.25">
      <c r="C302" t="s">
        <v>20</v>
      </c>
      <c r="D302" t="str">
        <f t="shared" si="12"/>
        <v>Accessories</v>
      </c>
      <c r="I302" t="s">
        <v>81</v>
      </c>
      <c r="J302" t="str">
        <f t="shared" si="13"/>
        <v>London</v>
      </c>
      <c r="N302" t="s">
        <v>29</v>
      </c>
      <c r="O302" t="str">
        <f t="shared" si="14"/>
        <v>Credit Card</v>
      </c>
    </row>
    <row r="303" spans="3:15" x14ac:dyDescent="0.25">
      <c r="C303" t="s">
        <v>44</v>
      </c>
      <c r="D303" t="str">
        <f t="shared" si="12"/>
        <v>Furniture</v>
      </c>
      <c r="I303" t="s">
        <v>39</v>
      </c>
      <c r="J303" t="str">
        <f t="shared" si="13"/>
        <v>Amsterdam</v>
      </c>
      <c r="N303" t="s">
        <v>61</v>
      </c>
      <c r="O303" t="str">
        <f t="shared" si="14"/>
        <v>Paypal</v>
      </c>
    </row>
    <row r="304" spans="3:15" x14ac:dyDescent="0.25">
      <c r="C304" t="s">
        <v>37</v>
      </c>
      <c r="D304" t="str">
        <f t="shared" si="12"/>
        <v>Stationery</v>
      </c>
      <c r="I304" t="s">
        <v>33</v>
      </c>
      <c r="J304" t="str">
        <f t="shared" si="13"/>
        <v>Berlin</v>
      </c>
      <c r="N304" t="s">
        <v>29</v>
      </c>
      <c r="O304" t="str">
        <f t="shared" si="14"/>
        <v>Credit Card</v>
      </c>
    </row>
    <row r="305" spans="3:15" x14ac:dyDescent="0.25">
      <c r="C305" t="s">
        <v>20</v>
      </c>
      <c r="D305" t="str">
        <f t="shared" si="12"/>
        <v>Accessories</v>
      </c>
      <c r="I305" t="s">
        <v>24</v>
      </c>
      <c r="J305" t="str">
        <f t="shared" si="13"/>
        <v>Paris</v>
      </c>
      <c r="N305" t="s">
        <v>19</v>
      </c>
      <c r="O305" t="str">
        <f t="shared" si="14"/>
        <v>Bank Transfer</v>
      </c>
    </row>
    <row r="306" spans="3:15" x14ac:dyDescent="0.25">
      <c r="C306" t="s">
        <v>44</v>
      </c>
      <c r="D306" t="str">
        <f t="shared" si="12"/>
        <v>Furniture</v>
      </c>
      <c r="I306" t="s">
        <v>24</v>
      </c>
      <c r="J306" t="str">
        <f t="shared" si="13"/>
        <v>Paris</v>
      </c>
      <c r="N306" t="s">
        <v>61</v>
      </c>
      <c r="O306" t="str">
        <f t="shared" si="14"/>
        <v>Paypal</v>
      </c>
    </row>
    <row r="307" spans="3:15" x14ac:dyDescent="0.25">
      <c r="C307" t="s">
        <v>50</v>
      </c>
      <c r="D307" t="str">
        <f t="shared" si="12"/>
        <v>Electronics</v>
      </c>
      <c r="I307" t="s">
        <v>39</v>
      </c>
      <c r="J307" t="str">
        <f t="shared" si="13"/>
        <v>Amsterdam</v>
      </c>
      <c r="N307" t="s">
        <v>61</v>
      </c>
      <c r="O307" t="str">
        <f t="shared" si="14"/>
        <v>Paypal</v>
      </c>
    </row>
    <row r="308" spans="3:15" x14ac:dyDescent="0.25">
      <c r="C308" t="s">
        <v>50</v>
      </c>
      <c r="D308" t="str">
        <f t="shared" si="12"/>
        <v>Electronics</v>
      </c>
      <c r="I308" t="s">
        <v>33</v>
      </c>
      <c r="J308" t="str">
        <f t="shared" si="13"/>
        <v>Berlin</v>
      </c>
      <c r="N308" t="s">
        <v>61</v>
      </c>
      <c r="O308" t="str">
        <f t="shared" si="14"/>
        <v>Paypal</v>
      </c>
    </row>
    <row r="309" spans="3:15" x14ac:dyDescent="0.25">
      <c r="C309" t="s">
        <v>20</v>
      </c>
      <c r="D309" t="str">
        <f t="shared" si="12"/>
        <v>Accessories</v>
      </c>
      <c r="I309" t="s">
        <v>59</v>
      </c>
      <c r="J309" t="str">
        <f t="shared" si="13"/>
        <v>Rome</v>
      </c>
      <c r="N309" t="s">
        <v>29</v>
      </c>
      <c r="O309" t="str">
        <f t="shared" si="14"/>
        <v>Credit Card</v>
      </c>
    </row>
    <row r="310" spans="3:15" x14ac:dyDescent="0.25">
      <c r="C310" t="s">
        <v>50</v>
      </c>
      <c r="D310" t="str">
        <f t="shared" si="12"/>
        <v>Electronics</v>
      </c>
      <c r="I310" t="s">
        <v>81</v>
      </c>
      <c r="J310" t="str">
        <f t="shared" si="13"/>
        <v>London</v>
      </c>
      <c r="N310" t="s">
        <v>19</v>
      </c>
      <c r="O310" t="str">
        <f t="shared" si="14"/>
        <v>Bank Transfer</v>
      </c>
    </row>
    <row r="311" spans="3:15" x14ac:dyDescent="0.25">
      <c r="C311" t="s">
        <v>30</v>
      </c>
      <c r="D311" t="str">
        <f t="shared" si="12"/>
        <v>Apparel</v>
      </c>
      <c r="I311" t="s">
        <v>33</v>
      </c>
      <c r="J311" t="str">
        <f t="shared" si="13"/>
        <v>Berlin</v>
      </c>
      <c r="N311" t="s">
        <v>29</v>
      </c>
      <c r="O311" t="str">
        <f t="shared" si="14"/>
        <v>Credit Card</v>
      </c>
    </row>
    <row r="312" spans="3:15" x14ac:dyDescent="0.25">
      <c r="C312" t="s">
        <v>44</v>
      </c>
      <c r="D312" t="str">
        <f t="shared" si="12"/>
        <v>Furniture</v>
      </c>
      <c r="I312" t="s">
        <v>24</v>
      </c>
      <c r="J312" t="str">
        <f t="shared" si="13"/>
        <v>Paris</v>
      </c>
      <c r="N312" t="s">
        <v>29</v>
      </c>
      <c r="O312" t="str">
        <f t="shared" si="14"/>
        <v>Credit Card</v>
      </c>
    </row>
    <row r="313" spans="3:15" x14ac:dyDescent="0.25">
      <c r="C313" t="s">
        <v>30</v>
      </c>
      <c r="D313" t="str">
        <f t="shared" si="12"/>
        <v>Apparel</v>
      </c>
      <c r="I313" t="s">
        <v>24</v>
      </c>
      <c r="J313" t="str">
        <f t="shared" si="13"/>
        <v>Paris</v>
      </c>
      <c r="N313" t="s">
        <v>61</v>
      </c>
      <c r="O313" t="str">
        <f t="shared" si="14"/>
        <v>Paypal</v>
      </c>
    </row>
    <row r="314" spans="3:15" x14ac:dyDescent="0.25">
      <c r="C314" t="s">
        <v>44</v>
      </c>
      <c r="D314" t="str">
        <f t="shared" si="12"/>
        <v>Furniture</v>
      </c>
      <c r="I314" t="s">
        <v>81</v>
      </c>
      <c r="J314" t="str">
        <f t="shared" si="13"/>
        <v>London</v>
      </c>
      <c r="N314" t="s">
        <v>29</v>
      </c>
      <c r="O314" t="str">
        <f t="shared" si="14"/>
        <v>Credit Card</v>
      </c>
    </row>
    <row r="315" spans="3:15" x14ac:dyDescent="0.25">
      <c r="C315" t="s">
        <v>50</v>
      </c>
      <c r="D315" t="str">
        <f t="shared" si="12"/>
        <v>Electronics</v>
      </c>
      <c r="I315" t="s">
        <v>39</v>
      </c>
      <c r="J315" t="str">
        <f t="shared" si="13"/>
        <v>Amsterdam</v>
      </c>
      <c r="N315" t="s">
        <v>61</v>
      </c>
      <c r="O315" t="str">
        <f t="shared" si="14"/>
        <v>Paypal</v>
      </c>
    </row>
    <row r="316" spans="3:15" x14ac:dyDescent="0.25">
      <c r="C316" t="s">
        <v>20</v>
      </c>
      <c r="D316" t="str">
        <f t="shared" si="12"/>
        <v>Accessories</v>
      </c>
      <c r="I316" t="s">
        <v>81</v>
      </c>
      <c r="J316" t="str">
        <f t="shared" si="13"/>
        <v>London</v>
      </c>
      <c r="N316" t="s">
        <v>61</v>
      </c>
      <c r="O316" t="str">
        <f t="shared" si="14"/>
        <v>Paypal</v>
      </c>
    </row>
    <row r="317" spans="3:15" x14ac:dyDescent="0.25">
      <c r="C317" t="s">
        <v>44</v>
      </c>
      <c r="D317" t="str">
        <f t="shared" si="12"/>
        <v>Furniture</v>
      </c>
      <c r="I317" t="s">
        <v>59</v>
      </c>
      <c r="J317" t="str">
        <f t="shared" si="13"/>
        <v>Rome</v>
      </c>
      <c r="N317" t="s">
        <v>61</v>
      </c>
      <c r="O317" t="str">
        <f t="shared" si="14"/>
        <v>Paypal</v>
      </c>
    </row>
    <row r="318" spans="3:15" x14ac:dyDescent="0.25">
      <c r="C318" t="s">
        <v>20</v>
      </c>
      <c r="D318" t="str">
        <f t="shared" si="12"/>
        <v>Accessories</v>
      </c>
      <c r="I318" t="s">
        <v>24</v>
      </c>
      <c r="J318" t="str">
        <f t="shared" si="13"/>
        <v>Paris</v>
      </c>
      <c r="N318" t="s">
        <v>19</v>
      </c>
      <c r="O318" t="str">
        <f t="shared" si="14"/>
        <v>Bank Transfer</v>
      </c>
    </row>
    <row r="319" spans="3:15" x14ac:dyDescent="0.25">
      <c r="C319" t="s">
        <v>30</v>
      </c>
      <c r="D319" t="str">
        <f t="shared" si="12"/>
        <v>Apparel</v>
      </c>
      <c r="I319" t="s">
        <v>59</v>
      </c>
      <c r="J319" t="str">
        <f t="shared" si="13"/>
        <v>Rome</v>
      </c>
      <c r="N319" t="s">
        <v>19</v>
      </c>
      <c r="O319" t="str">
        <f t="shared" si="14"/>
        <v>Bank Transfer</v>
      </c>
    </row>
    <row r="320" spans="3:15" x14ac:dyDescent="0.25">
      <c r="C320" t="s">
        <v>20</v>
      </c>
      <c r="D320" t="str">
        <f t="shared" si="12"/>
        <v>Accessories</v>
      </c>
      <c r="I320" t="s">
        <v>59</v>
      </c>
      <c r="J320" t="str">
        <f t="shared" si="13"/>
        <v>Rome</v>
      </c>
      <c r="N320" t="s">
        <v>29</v>
      </c>
      <c r="O320" t="str">
        <f t="shared" si="14"/>
        <v>Credit Card</v>
      </c>
    </row>
    <row r="321" spans="3:15" x14ac:dyDescent="0.25">
      <c r="C321" t="s">
        <v>37</v>
      </c>
      <c r="D321" t="str">
        <f t="shared" si="12"/>
        <v>Stationery</v>
      </c>
      <c r="I321" t="s">
        <v>59</v>
      </c>
      <c r="J321" t="str">
        <f t="shared" si="13"/>
        <v>Rome</v>
      </c>
      <c r="N321" t="s">
        <v>61</v>
      </c>
      <c r="O321" t="str">
        <f t="shared" si="14"/>
        <v>Paypal</v>
      </c>
    </row>
    <row r="322" spans="3:15" x14ac:dyDescent="0.25">
      <c r="C322" t="s">
        <v>50</v>
      </c>
      <c r="D322" t="str">
        <f t="shared" si="12"/>
        <v>Electronics</v>
      </c>
      <c r="I322" t="s">
        <v>59</v>
      </c>
      <c r="J322" t="str">
        <f t="shared" si="13"/>
        <v>Rome</v>
      </c>
      <c r="N322" t="s">
        <v>19</v>
      </c>
      <c r="O322" t="str">
        <f t="shared" si="14"/>
        <v>Bank Transfer</v>
      </c>
    </row>
    <row r="323" spans="3:15" x14ac:dyDescent="0.25">
      <c r="C323" t="s">
        <v>50</v>
      </c>
      <c r="D323" t="str">
        <f t="shared" si="12"/>
        <v>Electronics</v>
      </c>
      <c r="I323" t="s">
        <v>39</v>
      </c>
      <c r="J323" t="str">
        <f t="shared" si="13"/>
        <v>Amsterdam</v>
      </c>
      <c r="N323" t="s">
        <v>61</v>
      </c>
      <c r="O323" t="str">
        <f t="shared" si="14"/>
        <v>Paypal</v>
      </c>
    </row>
    <row r="324" spans="3:15" x14ac:dyDescent="0.25">
      <c r="C324" t="s">
        <v>37</v>
      </c>
      <c r="D324" t="str">
        <f t="shared" si="12"/>
        <v>Stationery</v>
      </c>
      <c r="I324" t="s">
        <v>24</v>
      </c>
      <c r="J324" t="str">
        <f t="shared" si="13"/>
        <v>Paris</v>
      </c>
      <c r="N324" t="s">
        <v>19</v>
      </c>
      <c r="O324" t="str">
        <f t="shared" si="14"/>
        <v>Bank Transfer</v>
      </c>
    </row>
    <row r="325" spans="3:15" x14ac:dyDescent="0.25">
      <c r="C325" t="s">
        <v>44</v>
      </c>
      <c r="D325" t="str">
        <f t="shared" si="12"/>
        <v>Furniture</v>
      </c>
      <c r="I325" t="s">
        <v>24</v>
      </c>
      <c r="J325" t="str">
        <f t="shared" si="13"/>
        <v>Paris</v>
      </c>
      <c r="N325" t="s">
        <v>19</v>
      </c>
      <c r="O325" t="str">
        <f t="shared" si="14"/>
        <v>Bank Transfer</v>
      </c>
    </row>
    <row r="326" spans="3:15" x14ac:dyDescent="0.25">
      <c r="C326" t="s">
        <v>44</v>
      </c>
      <c r="D326" t="str">
        <f t="shared" ref="D326:D389" si="15">PROPER(C326)</f>
        <v>Furniture</v>
      </c>
      <c r="I326" t="s">
        <v>24</v>
      </c>
      <c r="J326" t="str">
        <f t="shared" ref="J326:J389" si="16">PROPER(I326)</f>
        <v>Paris</v>
      </c>
      <c r="N326" t="s">
        <v>19</v>
      </c>
      <c r="O326" t="str">
        <f t="shared" ref="O326:O389" si="17">IF(N326="paypall","Paypal",N326)</f>
        <v>Bank Transfer</v>
      </c>
    </row>
    <row r="327" spans="3:15" x14ac:dyDescent="0.25">
      <c r="C327" t="s">
        <v>44</v>
      </c>
      <c r="D327" t="str">
        <f t="shared" si="15"/>
        <v>Furniture</v>
      </c>
      <c r="I327" t="s">
        <v>81</v>
      </c>
      <c r="J327" t="str">
        <f t="shared" si="16"/>
        <v>London</v>
      </c>
      <c r="N327" t="s">
        <v>19</v>
      </c>
      <c r="O327" t="str">
        <f t="shared" si="17"/>
        <v>Bank Transfer</v>
      </c>
    </row>
    <row r="328" spans="3:15" x14ac:dyDescent="0.25">
      <c r="C328" t="s">
        <v>30</v>
      </c>
      <c r="D328" t="str">
        <f t="shared" si="15"/>
        <v>Apparel</v>
      </c>
      <c r="I328" t="s">
        <v>33</v>
      </c>
      <c r="J328" t="str">
        <f t="shared" si="16"/>
        <v>Berlin</v>
      </c>
      <c r="N328" t="s">
        <v>19</v>
      </c>
      <c r="O328" t="str">
        <f t="shared" si="17"/>
        <v>Bank Transfer</v>
      </c>
    </row>
    <row r="329" spans="3:15" x14ac:dyDescent="0.25">
      <c r="C329" t="s">
        <v>44</v>
      </c>
      <c r="D329" t="str">
        <f t="shared" si="15"/>
        <v>Furniture</v>
      </c>
      <c r="I329" t="s">
        <v>81</v>
      </c>
      <c r="J329" t="str">
        <f t="shared" si="16"/>
        <v>London</v>
      </c>
      <c r="N329" t="s">
        <v>19</v>
      </c>
      <c r="O329" t="str">
        <f t="shared" si="17"/>
        <v>Bank Transfer</v>
      </c>
    </row>
    <row r="330" spans="3:15" x14ac:dyDescent="0.25">
      <c r="C330" t="s">
        <v>20</v>
      </c>
      <c r="D330" t="str">
        <f t="shared" si="15"/>
        <v>Accessories</v>
      </c>
      <c r="I330" t="s">
        <v>24</v>
      </c>
      <c r="J330" t="str">
        <f t="shared" si="16"/>
        <v>Paris</v>
      </c>
      <c r="N330" t="s">
        <v>29</v>
      </c>
      <c r="O330" t="str">
        <f t="shared" si="17"/>
        <v>Credit Card</v>
      </c>
    </row>
    <row r="331" spans="3:15" x14ac:dyDescent="0.25">
      <c r="C331" t="s">
        <v>50</v>
      </c>
      <c r="D331" t="str">
        <f t="shared" si="15"/>
        <v>Electronics</v>
      </c>
      <c r="I331" t="s">
        <v>81</v>
      </c>
      <c r="J331" t="str">
        <f t="shared" si="16"/>
        <v>London</v>
      </c>
      <c r="N331" t="s">
        <v>61</v>
      </c>
      <c r="O331" t="str">
        <f t="shared" si="17"/>
        <v>Paypal</v>
      </c>
    </row>
    <row r="332" spans="3:15" x14ac:dyDescent="0.25">
      <c r="C332" t="s">
        <v>44</v>
      </c>
      <c r="D332" t="str">
        <f t="shared" si="15"/>
        <v>Furniture</v>
      </c>
      <c r="I332" t="s">
        <v>24</v>
      </c>
      <c r="J332" t="str">
        <f t="shared" si="16"/>
        <v>Paris</v>
      </c>
      <c r="N332" t="s">
        <v>19</v>
      </c>
      <c r="O332" t="str">
        <f t="shared" si="17"/>
        <v>Bank Transfer</v>
      </c>
    </row>
    <row r="333" spans="3:15" x14ac:dyDescent="0.25">
      <c r="C333" t="s">
        <v>37</v>
      </c>
      <c r="D333" t="str">
        <f t="shared" si="15"/>
        <v>Stationery</v>
      </c>
      <c r="I333" t="s">
        <v>33</v>
      </c>
      <c r="J333" t="str">
        <f t="shared" si="16"/>
        <v>Berlin</v>
      </c>
      <c r="N333" t="s">
        <v>29</v>
      </c>
      <c r="O333" t="str">
        <f t="shared" si="17"/>
        <v>Credit Card</v>
      </c>
    </row>
    <row r="334" spans="3:15" x14ac:dyDescent="0.25">
      <c r="C334" t="s">
        <v>50</v>
      </c>
      <c r="D334" t="str">
        <f t="shared" si="15"/>
        <v>Electronics</v>
      </c>
      <c r="I334" t="s">
        <v>24</v>
      </c>
      <c r="J334" t="str">
        <f t="shared" si="16"/>
        <v>Paris</v>
      </c>
      <c r="N334" t="s">
        <v>61</v>
      </c>
      <c r="O334" t="str">
        <f t="shared" si="17"/>
        <v>Paypal</v>
      </c>
    </row>
    <row r="335" spans="3:15" x14ac:dyDescent="0.25">
      <c r="C335" t="s">
        <v>20</v>
      </c>
      <c r="D335" t="str">
        <f t="shared" si="15"/>
        <v>Accessories</v>
      </c>
      <c r="I335" t="s">
        <v>59</v>
      </c>
      <c r="J335" t="str">
        <f t="shared" si="16"/>
        <v>Rome</v>
      </c>
      <c r="N335" t="s">
        <v>61</v>
      </c>
      <c r="O335" t="str">
        <f t="shared" si="17"/>
        <v>Paypal</v>
      </c>
    </row>
    <row r="336" spans="3:15" x14ac:dyDescent="0.25">
      <c r="C336" t="s">
        <v>30</v>
      </c>
      <c r="D336" t="str">
        <f t="shared" si="15"/>
        <v>Apparel</v>
      </c>
      <c r="I336" t="s">
        <v>59</v>
      </c>
      <c r="J336" t="str">
        <f t="shared" si="16"/>
        <v>Rome</v>
      </c>
      <c r="N336" t="s">
        <v>19</v>
      </c>
      <c r="O336" t="str">
        <f t="shared" si="17"/>
        <v>Bank Transfer</v>
      </c>
    </row>
    <row r="337" spans="3:15" x14ac:dyDescent="0.25">
      <c r="C337" t="s">
        <v>50</v>
      </c>
      <c r="D337" t="str">
        <f t="shared" si="15"/>
        <v>Electronics</v>
      </c>
      <c r="I337" t="s">
        <v>39</v>
      </c>
      <c r="J337" t="str">
        <f t="shared" si="16"/>
        <v>Amsterdam</v>
      </c>
      <c r="N337" t="s">
        <v>19</v>
      </c>
      <c r="O337" t="str">
        <f t="shared" si="17"/>
        <v>Bank Transfer</v>
      </c>
    </row>
    <row r="338" spans="3:15" x14ac:dyDescent="0.25">
      <c r="C338" t="s">
        <v>44</v>
      </c>
      <c r="D338" t="str">
        <f t="shared" si="15"/>
        <v>Furniture</v>
      </c>
      <c r="I338" t="s">
        <v>59</v>
      </c>
      <c r="J338" t="str">
        <f t="shared" si="16"/>
        <v>Rome</v>
      </c>
      <c r="N338" t="s">
        <v>61</v>
      </c>
      <c r="O338" t="str">
        <f t="shared" si="17"/>
        <v>Paypal</v>
      </c>
    </row>
    <row r="339" spans="3:15" x14ac:dyDescent="0.25">
      <c r="C339" t="s">
        <v>20</v>
      </c>
      <c r="D339" t="str">
        <f t="shared" si="15"/>
        <v>Accessories</v>
      </c>
      <c r="I339" t="s">
        <v>24</v>
      </c>
      <c r="J339" t="str">
        <f t="shared" si="16"/>
        <v>Paris</v>
      </c>
      <c r="N339" t="s">
        <v>19</v>
      </c>
      <c r="O339" t="str">
        <f t="shared" si="17"/>
        <v>Bank Transfer</v>
      </c>
    </row>
    <row r="340" spans="3:15" x14ac:dyDescent="0.25">
      <c r="C340" t="s">
        <v>30</v>
      </c>
      <c r="D340" t="str">
        <f t="shared" si="15"/>
        <v>Apparel</v>
      </c>
      <c r="I340" t="s">
        <v>39</v>
      </c>
      <c r="J340" t="str">
        <f t="shared" si="16"/>
        <v>Amsterdam</v>
      </c>
      <c r="N340" t="s">
        <v>19</v>
      </c>
      <c r="O340" t="str">
        <f t="shared" si="17"/>
        <v>Bank Transfer</v>
      </c>
    </row>
    <row r="341" spans="3:15" x14ac:dyDescent="0.25">
      <c r="C341" t="s">
        <v>50</v>
      </c>
      <c r="D341" t="str">
        <f t="shared" si="15"/>
        <v>Electronics</v>
      </c>
      <c r="I341" t="s">
        <v>39</v>
      </c>
      <c r="J341" t="str">
        <f t="shared" si="16"/>
        <v>Amsterdam</v>
      </c>
      <c r="N341" t="s">
        <v>29</v>
      </c>
      <c r="O341" t="str">
        <f t="shared" si="17"/>
        <v>Credit Card</v>
      </c>
    </row>
    <row r="342" spans="3:15" x14ac:dyDescent="0.25">
      <c r="C342" t="s">
        <v>44</v>
      </c>
      <c r="D342" t="str">
        <f t="shared" si="15"/>
        <v>Furniture</v>
      </c>
      <c r="I342" t="s">
        <v>39</v>
      </c>
      <c r="J342" t="str">
        <f t="shared" si="16"/>
        <v>Amsterdam</v>
      </c>
      <c r="N342" t="s">
        <v>19</v>
      </c>
      <c r="O342" t="str">
        <f t="shared" si="17"/>
        <v>Bank Transfer</v>
      </c>
    </row>
    <row r="343" spans="3:15" x14ac:dyDescent="0.25">
      <c r="C343" t="s">
        <v>37</v>
      </c>
      <c r="D343" t="str">
        <f t="shared" si="15"/>
        <v>Stationery</v>
      </c>
      <c r="I343" t="s">
        <v>33</v>
      </c>
      <c r="J343" t="str">
        <f t="shared" si="16"/>
        <v>Berlin</v>
      </c>
      <c r="N343" t="s">
        <v>19</v>
      </c>
      <c r="O343" t="str">
        <f t="shared" si="17"/>
        <v>Bank Transfer</v>
      </c>
    </row>
    <row r="344" spans="3:15" x14ac:dyDescent="0.25">
      <c r="C344" t="s">
        <v>44</v>
      </c>
      <c r="D344" t="str">
        <f t="shared" si="15"/>
        <v>Furniture</v>
      </c>
      <c r="I344" t="s">
        <v>33</v>
      </c>
      <c r="J344" t="str">
        <f t="shared" si="16"/>
        <v>Berlin</v>
      </c>
      <c r="N344" t="s">
        <v>61</v>
      </c>
      <c r="O344" t="str">
        <f t="shared" si="17"/>
        <v>Paypal</v>
      </c>
    </row>
    <row r="345" spans="3:15" x14ac:dyDescent="0.25">
      <c r="C345" t="s">
        <v>37</v>
      </c>
      <c r="D345" t="str">
        <f t="shared" si="15"/>
        <v>Stationery</v>
      </c>
      <c r="I345" t="s">
        <v>33</v>
      </c>
      <c r="J345" t="str">
        <f t="shared" si="16"/>
        <v>Berlin</v>
      </c>
      <c r="N345" t="s">
        <v>19</v>
      </c>
      <c r="O345" t="str">
        <f t="shared" si="17"/>
        <v>Bank Transfer</v>
      </c>
    </row>
    <row r="346" spans="3:15" x14ac:dyDescent="0.25">
      <c r="C346" t="s">
        <v>44</v>
      </c>
      <c r="D346" t="str">
        <f t="shared" si="15"/>
        <v>Furniture</v>
      </c>
      <c r="I346" t="s">
        <v>39</v>
      </c>
      <c r="J346" t="str">
        <f t="shared" si="16"/>
        <v>Amsterdam</v>
      </c>
      <c r="N346" t="s">
        <v>29</v>
      </c>
      <c r="O346" t="str">
        <f t="shared" si="17"/>
        <v>Credit Card</v>
      </c>
    </row>
    <row r="347" spans="3:15" x14ac:dyDescent="0.25">
      <c r="C347" t="s">
        <v>44</v>
      </c>
      <c r="D347" t="str">
        <f t="shared" si="15"/>
        <v>Furniture</v>
      </c>
      <c r="I347" t="s">
        <v>59</v>
      </c>
      <c r="J347" t="str">
        <f t="shared" si="16"/>
        <v>Rome</v>
      </c>
      <c r="N347" t="s">
        <v>29</v>
      </c>
      <c r="O347" t="str">
        <f t="shared" si="17"/>
        <v>Credit Card</v>
      </c>
    </row>
    <row r="348" spans="3:15" x14ac:dyDescent="0.25">
      <c r="C348" t="s">
        <v>44</v>
      </c>
      <c r="D348" t="str">
        <f t="shared" si="15"/>
        <v>Furniture</v>
      </c>
      <c r="I348" t="s">
        <v>59</v>
      </c>
      <c r="J348" t="str">
        <f t="shared" si="16"/>
        <v>Rome</v>
      </c>
      <c r="N348" t="s">
        <v>29</v>
      </c>
      <c r="O348" t="str">
        <f t="shared" si="17"/>
        <v>Credit Card</v>
      </c>
    </row>
    <row r="349" spans="3:15" x14ac:dyDescent="0.25">
      <c r="C349" t="s">
        <v>30</v>
      </c>
      <c r="D349" t="str">
        <f t="shared" si="15"/>
        <v>Apparel</v>
      </c>
      <c r="I349" t="s">
        <v>24</v>
      </c>
      <c r="J349" t="str">
        <f t="shared" si="16"/>
        <v>Paris</v>
      </c>
      <c r="N349" t="s">
        <v>19</v>
      </c>
      <c r="O349" t="str">
        <f t="shared" si="17"/>
        <v>Bank Transfer</v>
      </c>
    </row>
    <row r="350" spans="3:15" x14ac:dyDescent="0.25">
      <c r="C350" t="s">
        <v>30</v>
      </c>
      <c r="D350" t="str">
        <f t="shared" si="15"/>
        <v>Apparel</v>
      </c>
      <c r="I350" t="s">
        <v>33</v>
      </c>
      <c r="J350" t="str">
        <f t="shared" si="16"/>
        <v>Berlin</v>
      </c>
      <c r="N350" t="s">
        <v>61</v>
      </c>
      <c r="O350" t="str">
        <f t="shared" si="17"/>
        <v>Paypal</v>
      </c>
    </row>
    <row r="351" spans="3:15" x14ac:dyDescent="0.25">
      <c r="C351" t="s">
        <v>30</v>
      </c>
      <c r="D351" t="str">
        <f t="shared" si="15"/>
        <v>Apparel</v>
      </c>
      <c r="I351" t="s">
        <v>33</v>
      </c>
      <c r="J351" t="str">
        <f t="shared" si="16"/>
        <v>Berlin</v>
      </c>
      <c r="N351" t="s">
        <v>29</v>
      </c>
      <c r="O351" t="str">
        <f t="shared" si="17"/>
        <v>Credit Card</v>
      </c>
    </row>
    <row r="352" spans="3:15" x14ac:dyDescent="0.25">
      <c r="C352" s="5" t="s">
        <v>728</v>
      </c>
      <c r="D352" s="4" t="str">
        <f t="shared" si="15"/>
        <v>Apparel</v>
      </c>
      <c r="I352" t="s">
        <v>59</v>
      </c>
      <c r="J352" t="str">
        <f t="shared" si="16"/>
        <v>Rome</v>
      </c>
      <c r="N352" t="s">
        <v>29</v>
      </c>
      <c r="O352" t="str">
        <f t="shared" si="17"/>
        <v>Credit Card</v>
      </c>
    </row>
    <row r="353" spans="3:15" x14ac:dyDescent="0.25">
      <c r="C353" t="s">
        <v>20</v>
      </c>
      <c r="D353" t="str">
        <f t="shared" si="15"/>
        <v>Accessories</v>
      </c>
      <c r="I353" t="s">
        <v>24</v>
      </c>
      <c r="J353" t="str">
        <f t="shared" si="16"/>
        <v>Paris</v>
      </c>
      <c r="N353" t="s">
        <v>29</v>
      </c>
      <c r="O353" t="str">
        <f t="shared" si="17"/>
        <v>Credit Card</v>
      </c>
    </row>
    <row r="354" spans="3:15" x14ac:dyDescent="0.25">
      <c r="C354" t="s">
        <v>37</v>
      </c>
      <c r="D354" t="str">
        <f t="shared" si="15"/>
        <v>Stationery</v>
      </c>
      <c r="I354" t="s">
        <v>33</v>
      </c>
      <c r="J354" t="str">
        <f t="shared" si="16"/>
        <v>Berlin</v>
      </c>
      <c r="N354" t="s">
        <v>61</v>
      </c>
      <c r="O354" t="str">
        <f t="shared" si="17"/>
        <v>Paypal</v>
      </c>
    </row>
    <row r="355" spans="3:15" x14ac:dyDescent="0.25">
      <c r="C355" t="s">
        <v>30</v>
      </c>
      <c r="D355" t="str">
        <f t="shared" si="15"/>
        <v>Apparel</v>
      </c>
      <c r="I355" t="s">
        <v>33</v>
      </c>
      <c r="J355" t="str">
        <f t="shared" si="16"/>
        <v>Berlin</v>
      </c>
      <c r="N355" t="s">
        <v>61</v>
      </c>
      <c r="O355" t="str">
        <f t="shared" si="17"/>
        <v>Paypal</v>
      </c>
    </row>
    <row r="356" spans="3:15" x14ac:dyDescent="0.25">
      <c r="C356" t="s">
        <v>50</v>
      </c>
      <c r="D356" t="str">
        <f t="shared" si="15"/>
        <v>Electronics</v>
      </c>
      <c r="I356" t="s">
        <v>81</v>
      </c>
      <c r="J356" t="str">
        <f t="shared" si="16"/>
        <v>London</v>
      </c>
      <c r="N356" t="s">
        <v>29</v>
      </c>
      <c r="O356" t="str">
        <f t="shared" si="17"/>
        <v>Credit Card</v>
      </c>
    </row>
    <row r="357" spans="3:15" x14ac:dyDescent="0.25">
      <c r="C357" t="s">
        <v>37</v>
      </c>
      <c r="D357" t="str">
        <f t="shared" si="15"/>
        <v>Stationery</v>
      </c>
      <c r="I357" t="s">
        <v>59</v>
      </c>
      <c r="J357" t="str">
        <f t="shared" si="16"/>
        <v>Rome</v>
      </c>
      <c r="N357" t="s">
        <v>61</v>
      </c>
      <c r="O357" t="str">
        <f t="shared" si="17"/>
        <v>Paypal</v>
      </c>
    </row>
    <row r="358" spans="3:15" x14ac:dyDescent="0.25">
      <c r="C358" t="s">
        <v>50</v>
      </c>
      <c r="D358" t="str">
        <f t="shared" si="15"/>
        <v>Electronics</v>
      </c>
      <c r="I358" t="s">
        <v>81</v>
      </c>
      <c r="J358" t="str">
        <f t="shared" si="16"/>
        <v>London</v>
      </c>
      <c r="N358" t="s">
        <v>29</v>
      </c>
      <c r="O358" t="str">
        <f t="shared" si="17"/>
        <v>Credit Card</v>
      </c>
    </row>
    <row r="359" spans="3:15" x14ac:dyDescent="0.25">
      <c r="C359" t="s">
        <v>44</v>
      </c>
      <c r="D359" t="str">
        <f t="shared" si="15"/>
        <v>Furniture</v>
      </c>
      <c r="I359" t="s">
        <v>39</v>
      </c>
      <c r="J359" t="str">
        <f t="shared" si="16"/>
        <v>Amsterdam</v>
      </c>
      <c r="N359" t="s">
        <v>29</v>
      </c>
      <c r="O359" t="str">
        <f t="shared" si="17"/>
        <v>Credit Card</v>
      </c>
    </row>
    <row r="360" spans="3:15" x14ac:dyDescent="0.25">
      <c r="C360" t="s">
        <v>50</v>
      </c>
      <c r="D360" t="str">
        <f t="shared" si="15"/>
        <v>Electronics</v>
      </c>
      <c r="I360" t="s">
        <v>24</v>
      </c>
      <c r="J360" t="str">
        <f t="shared" si="16"/>
        <v>Paris</v>
      </c>
      <c r="N360" t="s">
        <v>29</v>
      </c>
      <c r="O360" t="str">
        <f t="shared" si="17"/>
        <v>Credit Card</v>
      </c>
    </row>
    <row r="361" spans="3:15" x14ac:dyDescent="0.25">
      <c r="C361" t="s">
        <v>20</v>
      </c>
      <c r="D361" t="str">
        <f t="shared" si="15"/>
        <v>Accessories</v>
      </c>
      <c r="I361" t="s">
        <v>24</v>
      </c>
      <c r="J361" t="str">
        <f t="shared" si="16"/>
        <v>Paris</v>
      </c>
      <c r="N361" t="s">
        <v>29</v>
      </c>
      <c r="O361" t="str">
        <f t="shared" si="17"/>
        <v>Credit Card</v>
      </c>
    </row>
    <row r="362" spans="3:15" x14ac:dyDescent="0.25">
      <c r="C362" t="s">
        <v>37</v>
      </c>
      <c r="D362" t="str">
        <f t="shared" si="15"/>
        <v>Stationery</v>
      </c>
      <c r="I362" t="s">
        <v>24</v>
      </c>
      <c r="J362" t="str">
        <f t="shared" si="16"/>
        <v>Paris</v>
      </c>
      <c r="N362" t="s">
        <v>61</v>
      </c>
      <c r="O362" t="str">
        <f t="shared" si="17"/>
        <v>Paypal</v>
      </c>
    </row>
    <row r="363" spans="3:15" x14ac:dyDescent="0.25">
      <c r="C363" t="s">
        <v>20</v>
      </c>
      <c r="D363" t="str">
        <f t="shared" si="15"/>
        <v>Accessories</v>
      </c>
      <c r="I363" t="s">
        <v>33</v>
      </c>
      <c r="J363" t="str">
        <f t="shared" si="16"/>
        <v>Berlin</v>
      </c>
      <c r="N363" t="s">
        <v>19</v>
      </c>
      <c r="O363" t="str">
        <f t="shared" si="17"/>
        <v>Bank Transfer</v>
      </c>
    </row>
    <row r="364" spans="3:15" x14ac:dyDescent="0.25">
      <c r="C364" t="s">
        <v>44</v>
      </c>
      <c r="D364" t="str">
        <f t="shared" si="15"/>
        <v>Furniture</v>
      </c>
      <c r="I364" t="s">
        <v>39</v>
      </c>
      <c r="J364" t="str">
        <f t="shared" si="16"/>
        <v>Amsterdam</v>
      </c>
      <c r="N364" t="s">
        <v>19</v>
      </c>
      <c r="O364" t="str">
        <f t="shared" si="17"/>
        <v>Bank Transfer</v>
      </c>
    </row>
    <row r="365" spans="3:15" x14ac:dyDescent="0.25">
      <c r="C365" t="s">
        <v>30</v>
      </c>
      <c r="D365" t="str">
        <f t="shared" si="15"/>
        <v>Apparel</v>
      </c>
      <c r="I365" t="s">
        <v>33</v>
      </c>
      <c r="J365" t="str">
        <f t="shared" si="16"/>
        <v>Berlin</v>
      </c>
      <c r="N365" t="s">
        <v>19</v>
      </c>
      <c r="O365" t="str">
        <f t="shared" si="17"/>
        <v>Bank Transfer</v>
      </c>
    </row>
    <row r="366" spans="3:15" x14ac:dyDescent="0.25">
      <c r="C366" t="s">
        <v>44</v>
      </c>
      <c r="D366" t="str">
        <f t="shared" si="15"/>
        <v>Furniture</v>
      </c>
      <c r="I366" t="s">
        <v>39</v>
      </c>
      <c r="J366" t="str">
        <f t="shared" si="16"/>
        <v>Amsterdam</v>
      </c>
      <c r="N366" t="s">
        <v>29</v>
      </c>
      <c r="O366" t="str">
        <f t="shared" si="17"/>
        <v>Credit Card</v>
      </c>
    </row>
    <row r="367" spans="3:15" x14ac:dyDescent="0.25">
      <c r="C367" t="s">
        <v>44</v>
      </c>
      <c r="D367" t="str">
        <f t="shared" si="15"/>
        <v>Furniture</v>
      </c>
      <c r="I367" t="s">
        <v>59</v>
      </c>
      <c r="J367" t="str">
        <f t="shared" si="16"/>
        <v>Rome</v>
      </c>
      <c r="N367" t="s">
        <v>19</v>
      </c>
      <c r="O367" t="str">
        <f t="shared" si="17"/>
        <v>Bank Transfer</v>
      </c>
    </row>
    <row r="368" spans="3:15" x14ac:dyDescent="0.25">
      <c r="C368" t="s">
        <v>30</v>
      </c>
      <c r="D368" t="str">
        <f t="shared" si="15"/>
        <v>Apparel</v>
      </c>
      <c r="I368" t="s">
        <v>39</v>
      </c>
      <c r="J368" t="str">
        <f t="shared" si="16"/>
        <v>Amsterdam</v>
      </c>
      <c r="N368" t="s">
        <v>19</v>
      </c>
      <c r="O368" t="str">
        <f t="shared" si="17"/>
        <v>Bank Transfer</v>
      </c>
    </row>
    <row r="369" spans="3:15" x14ac:dyDescent="0.25">
      <c r="C369" t="s">
        <v>37</v>
      </c>
      <c r="D369" t="str">
        <f t="shared" si="15"/>
        <v>Stationery</v>
      </c>
      <c r="I369" t="s">
        <v>59</v>
      </c>
      <c r="J369" t="str">
        <f t="shared" si="16"/>
        <v>Rome</v>
      </c>
      <c r="N369" t="s">
        <v>61</v>
      </c>
      <c r="O369" t="str">
        <f t="shared" si="17"/>
        <v>Paypal</v>
      </c>
    </row>
    <row r="370" spans="3:15" x14ac:dyDescent="0.25">
      <c r="C370" t="s">
        <v>30</v>
      </c>
      <c r="D370" t="str">
        <f t="shared" si="15"/>
        <v>Apparel</v>
      </c>
      <c r="I370" t="s">
        <v>81</v>
      </c>
      <c r="J370" t="str">
        <f t="shared" si="16"/>
        <v>London</v>
      </c>
      <c r="N370" t="s">
        <v>19</v>
      </c>
      <c r="O370" t="str">
        <f t="shared" si="17"/>
        <v>Bank Transfer</v>
      </c>
    </row>
    <row r="371" spans="3:15" x14ac:dyDescent="0.25">
      <c r="C371" t="s">
        <v>50</v>
      </c>
      <c r="D371" t="str">
        <f t="shared" si="15"/>
        <v>Electronics</v>
      </c>
      <c r="I371" t="s">
        <v>33</v>
      </c>
      <c r="J371" t="str">
        <f t="shared" si="16"/>
        <v>Berlin</v>
      </c>
      <c r="N371" t="s">
        <v>19</v>
      </c>
      <c r="O371" t="str">
        <f t="shared" si="17"/>
        <v>Bank Transfer</v>
      </c>
    </row>
    <row r="372" spans="3:15" x14ac:dyDescent="0.25">
      <c r="C372" t="s">
        <v>37</v>
      </c>
      <c r="D372" t="str">
        <f t="shared" si="15"/>
        <v>Stationery</v>
      </c>
      <c r="I372" t="s">
        <v>59</v>
      </c>
      <c r="J372" t="str">
        <f t="shared" si="16"/>
        <v>Rome</v>
      </c>
      <c r="N372" t="s">
        <v>61</v>
      </c>
      <c r="O372" t="str">
        <f t="shared" si="17"/>
        <v>Paypal</v>
      </c>
    </row>
    <row r="373" spans="3:15" x14ac:dyDescent="0.25">
      <c r="C373" t="s">
        <v>37</v>
      </c>
      <c r="D373" t="str">
        <f t="shared" si="15"/>
        <v>Stationery</v>
      </c>
      <c r="I373" t="s">
        <v>39</v>
      </c>
      <c r="J373" t="str">
        <f t="shared" si="16"/>
        <v>Amsterdam</v>
      </c>
      <c r="N373" t="s">
        <v>29</v>
      </c>
      <c r="O373" t="str">
        <f t="shared" si="17"/>
        <v>Credit Card</v>
      </c>
    </row>
    <row r="374" spans="3:15" x14ac:dyDescent="0.25">
      <c r="C374" t="s">
        <v>30</v>
      </c>
      <c r="D374" t="str">
        <f t="shared" si="15"/>
        <v>Apparel</v>
      </c>
      <c r="I374" t="s">
        <v>33</v>
      </c>
      <c r="J374" t="str">
        <f t="shared" si="16"/>
        <v>Berlin</v>
      </c>
      <c r="N374" t="s">
        <v>19</v>
      </c>
      <c r="O374" t="str">
        <f t="shared" si="17"/>
        <v>Bank Transfer</v>
      </c>
    </row>
    <row r="375" spans="3:15" x14ac:dyDescent="0.25">
      <c r="C375" t="s">
        <v>30</v>
      </c>
      <c r="D375" t="str">
        <f t="shared" si="15"/>
        <v>Apparel</v>
      </c>
      <c r="I375" t="s">
        <v>24</v>
      </c>
      <c r="J375" t="str">
        <f t="shared" si="16"/>
        <v>Paris</v>
      </c>
      <c r="N375" t="s">
        <v>19</v>
      </c>
      <c r="O375" t="str">
        <f t="shared" si="17"/>
        <v>Bank Transfer</v>
      </c>
    </row>
    <row r="376" spans="3:15" x14ac:dyDescent="0.25">
      <c r="C376" t="s">
        <v>37</v>
      </c>
      <c r="D376" t="str">
        <f t="shared" si="15"/>
        <v>Stationery</v>
      </c>
      <c r="I376" t="s">
        <v>33</v>
      </c>
      <c r="J376" t="str">
        <f t="shared" si="16"/>
        <v>Berlin</v>
      </c>
      <c r="N376" t="s">
        <v>19</v>
      </c>
      <c r="O376" t="str">
        <f t="shared" si="17"/>
        <v>Bank Transfer</v>
      </c>
    </row>
    <row r="377" spans="3:15" x14ac:dyDescent="0.25">
      <c r="C377" t="s">
        <v>30</v>
      </c>
      <c r="D377" t="str">
        <f t="shared" si="15"/>
        <v>Apparel</v>
      </c>
      <c r="I377" t="s">
        <v>33</v>
      </c>
      <c r="J377" t="str">
        <f t="shared" si="16"/>
        <v>Berlin</v>
      </c>
      <c r="N377" t="s">
        <v>61</v>
      </c>
      <c r="O377" t="str">
        <f t="shared" si="17"/>
        <v>Paypal</v>
      </c>
    </row>
    <row r="378" spans="3:15" x14ac:dyDescent="0.25">
      <c r="C378" t="s">
        <v>37</v>
      </c>
      <c r="D378" t="str">
        <f t="shared" si="15"/>
        <v>Stationery</v>
      </c>
      <c r="I378" t="s">
        <v>33</v>
      </c>
      <c r="J378" t="str">
        <f t="shared" si="16"/>
        <v>Berlin</v>
      </c>
      <c r="N378" t="s">
        <v>19</v>
      </c>
      <c r="O378" t="str">
        <f t="shared" si="17"/>
        <v>Bank Transfer</v>
      </c>
    </row>
    <row r="379" spans="3:15" x14ac:dyDescent="0.25">
      <c r="C379" t="s">
        <v>44</v>
      </c>
      <c r="D379" t="str">
        <f t="shared" si="15"/>
        <v>Furniture</v>
      </c>
      <c r="I379" t="s">
        <v>81</v>
      </c>
      <c r="J379" t="str">
        <f t="shared" si="16"/>
        <v>London</v>
      </c>
      <c r="N379" t="s">
        <v>29</v>
      </c>
      <c r="O379" t="str">
        <f t="shared" si="17"/>
        <v>Credit Card</v>
      </c>
    </row>
    <row r="380" spans="3:15" x14ac:dyDescent="0.25">
      <c r="C380" t="s">
        <v>30</v>
      </c>
      <c r="D380" t="str">
        <f t="shared" si="15"/>
        <v>Apparel</v>
      </c>
      <c r="I380" t="s">
        <v>81</v>
      </c>
      <c r="J380" t="str">
        <f t="shared" si="16"/>
        <v>London</v>
      </c>
      <c r="N380" t="s">
        <v>19</v>
      </c>
      <c r="O380" t="str">
        <f t="shared" si="17"/>
        <v>Bank Transfer</v>
      </c>
    </row>
    <row r="381" spans="3:15" x14ac:dyDescent="0.25">
      <c r="C381" t="s">
        <v>50</v>
      </c>
      <c r="D381" t="str">
        <f t="shared" si="15"/>
        <v>Electronics</v>
      </c>
      <c r="I381" t="s">
        <v>24</v>
      </c>
      <c r="J381" t="str">
        <f t="shared" si="16"/>
        <v>Paris</v>
      </c>
      <c r="N381" t="s">
        <v>19</v>
      </c>
      <c r="O381" t="str">
        <f t="shared" si="17"/>
        <v>Bank Transfer</v>
      </c>
    </row>
    <row r="382" spans="3:15" x14ac:dyDescent="0.25">
      <c r="C382" t="s">
        <v>50</v>
      </c>
      <c r="D382" t="str">
        <f t="shared" si="15"/>
        <v>Electronics</v>
      </c>
      <c r="I382" t="s">
        <v>59</v>
      </c>
      <c r="J382" t="str">
        <f t="shared" si="16"/>
        <v>Rome</v>
      </c>
      <c r="N382" t="s">
        <v>19</v>
      </c>
      <c r="O382" t="str">
        <f t="shared" si="17"/>
        <v>Bank Transfer</v>
      </c>
    </row>
    <row r="383" spans="3:15" x14ac:dyDescent="0.25">
      <c r="C383" t="s">
        <v>37</v>
      </c>
      <c r="D383" t="str">
        <f t="shared" si="15"/>
        <v>Stationery</v>
      </c>
      <c r="I383" t="s">
        <v>59</v>
      </c>
      <c r="J383" t="str">
        <f t="shared" si="16"/>
        <v>Rome</v>
      </c>
      <c r="N383" t="s">
        <v>19</v>
      </c>
      <c r="O383" t="str">
        <f t="shared" si="17"/>
        <v>Bank Transfer</v>
      </c>
    </row>
    <row r="384" spans="3:15" x14ac:dyDescent="0.25">
      <c r="C384" t="s">
        <v>20</v>
      </c>
      <c r="D384" t="str">
        <f t="shared" si="15"/>
        <v>Accessories</v>
      </c>
      <c r="I384" t="s">
        <v>39</v>
      </c>
      <c r="J384" t="str">
        <f t="shared" si="16"/>
        <v>Amsterdam</v>
      </c>
      <c r="N384" t="s">
        <v>19</v>
      </c>
      <c r="O384" t="str">
        <f t="shared" si="17"/>
        <v>Bank Transfer</v>
      </c>
    </row>
    <row r="385" spans="3:15" x14ac:dyDescent="0.25">
      <c r="C385" t="s">
        <v>50</v>
      </c>
      <c r="D385" t="str">
        <f t="shared" si="15"/>
        <v>Electronics</v>
      </c>
      <c r="I385" t="s">
        <v>81</v>
      </c>
      <c r="J385" t="str">
        <f t="shared" si="16"/>
        <v>London</v>
      </c>
      <c r="N385" t="s">
        <v>61</v>
      </c>
      <c r="O385" t="str">
        <f t="shared" si="17"/>
        <v>Paypal</v>
      </c>
    </row>
    <row r="386" spans="3:15" x14ac:dyDescent="0.25">
      <c r="C386" t="s">
        <v>30</v>
      </c>
      <c r="D386" t="str">
        <f t="shared" si="15"/>
        <v>Apparel</v>
      </c>
      <c r="I386" t="s">
        <v>59</v>
      </c>
      <c r="J386" t="str">
        <f t="shared" si="16"/>
        <v>Rome</v>
      </c>
      <c r="N386" t="s">
        <v>29</v>
      </c>
      <c r="O386" t="str">
        <f t="shared" si="17"/>
        <v>Credit Card</v>
      </c>
    </row>
    <row r="387" spans="3:15" x14ac:dyDescent="0.25">
      <c r="C387" t="s">
        <v>30</v>
      </c>
      <c r="D387" t="str">
        <f t="shared" si="15"/>
        <v>Apparel</v>
      </c>
      <c r="I387" t="s">
        <v>81</v>
      </c>
      <c r="J387" t="str">
        <f t="shared" si="16"/>
        <v>London</v>
      </c>
      <c r="N387" t="s">
        <v>19</v>
      </c>
      <c r="O387" t="str">
        <f t="shared" si="17"/>
        <v>Bank Transfer</v>
      </c>
    </row>
    <row r="388" spans="3:15" x14ac:dyDescent="0.25">
      <c r="C388" t="s">
        <v>30</v>
      </c>
      <c r="D388" t="str">
        <f t="shared" si="15"/>
        <v>Apparel</v>
      </c>
      <c r="I388" t="s">
        <v>39</v>
      </c>
      <c r="J388" t="str">
        <f t="shared" si="16"/>
        <v>Amsterdam</v>
      </c>
      <c r="N388" t="s">
        <v>61</v>
      </c>
      <c r="O388" t="str">
        <f t="shared" si="17"/>
        <v>Paypal</v>
      </c>
    </row>
    <row r="389" spans="3:15" x14ac:dyDescent="0.25">
      <c r="C389" t="s">
        <v>37</v>
      </c>
      <c r="D389" t="str">
        <f t="shared" si="15"/>
        <v>Stationery</v>
      </c>
      <c r="I389" t="s">
        <v>39</v>
      </c>
      <c r="J389" t="str">
        <f t="shared" si="16"/>
        <v>Amsterdam</v>
      </c>
      <c r="N389" t="s">
        <v>19</v>
      </c>
      <c r="O389" t="str">
        <f t="shared" si="17"/>
        <v>Bank Transfer</v>
      </c>
    </row>
    <row r="390" spans="3:15" x14ac:dyDescent="0.25">
      <c r="C390" t="s">
        <v>50</v>
      </c>
      <c r="D390" t="str">
        <f t="shared" ref="D390:D453" si="18">PROPER(C390)</f>
        <v>Electronics</v>
      </c>
      <c r="I390" t="s">
        <v>39</v>
      </c>
      <c r="J390" t="str">
        <f t="shared" ref="J390:J453" si="19">PROPER(I390)</f>
        <v>Amsterdam</v>
      </c>
      <c r="N390" t="s">
        <v>61</v>
      </c>
      <c r="O390" t="str">
        <f t="shared" ref="O390:O453" si="20">IF(N390="paypall","Paypal",N390)</f>
        <v>Paypal</v>
      </c>
    </row>
    <row r="391" spans="3:15" x14ac:dyDescent="0.25">
      <c r="C391" t="s">
        <v>50</v>
      </c>
      <c r="D391" t="str">
        <f t="shared" si="18"/>
        <v>Electronics</v>
      </c>
      <c r="I391" t="s">
        <v>81</v>
      </c>
      <c r="J391" t="str">
        <f t="shared" si="19"/>
        <v>London</v>
      </c>
      <c r="N391" t="s">
        <v>29</v>
      </c>
      <c r="O391" t="str">
        <f t="shared" si="20"/>
        <v>Credit Card</v>
      </c>
    </row>
    <row r="392" spans="3:15" x14ac:dyDescent="0.25">
      <c r="C392" t="s">
        <v>50</v>
      </c>
      <c r="D392" t="str">
        <f t="shared" si="18"/>
        <v>Electronics</v>
      </c>
      <c r="I392" t="s">
        <v>39</v>
      </c>
      <c r="J392" t="str">
        <f t="shared" si="19"/>
        <v>Amsterdam</v>
      </c>
      <c r="N392" t="s">
        <v>19</v>
      </c>
      <c r="O392" t="str">
        <f t="shared" si="20"/>
        <v>Bank Transfer</v>
      </c>
    </row>
    <row r="393" spans="3:15" x14ac:dyDescent="0.25">
      <c r="C393" t="s">
        <v>44</v>
      </c>
      <c r="D393" t="str">
        <f t="shared" si="18"/>
        <v>Furniture</v>
      </c>
      <c r="I393" t="s">
        <v>33</v>
      </c>
      <c r="J393" t="str">
        <f t="shared" si="19"/>
        <v>Berlin</v>
      </c>
      <c r="N393" t="s">
        <v>19</v>
      </c>
      <c r="O393" t="str">
        <f t="shared" si="20"/>
        <v>Bank Transfer</v>
      </c>
    </row>
    <row r="394" spans="3:15" x14ac:dyDescent="0.25">
      <c r="C394" t="s">
        <v>37</v>
      </c>
      <c r="D394" t="str">
        <f t="shared" si="18"/>
        <v>Stationery</v>
      </c>
      <c r="I394" t="s">
        <v>59</v>
      </c>
      <c r="J394" t="str">
        <f t="shared" si="19"/>
        <v>Rome</v>
      </c>
      <c r="N394" t="s">
        <v>61</v>
      </c>
      <c r="O394" t="str">
        <f t="shared" si="20"/>
        <v>Paypal</v>
      </c>
    </row>
    <row r="395" spans="3:15" x14ac:dyDescent="0.25">
      <c r="C395" t="s">
        <v>44</v>
      </c>
      <c r="D395" t="str">
        <f t="shared" si="18"/>
        <v>Furniture</v>
      </c>
      <c r="I395" t="s">
        <v>24</v>
      </c>
      <c r="J395" t="str">
        <f t="shared" si="19"/>
        <v>Paris</v>
      </c>
      <c r="N395" t="s">
        <v>19</v>
      </c>
      <c r="O395" t="str">
        <f t="shared" si="20"/>
        <v>Bank Transfer</v>
      </c>
    </row>
    <row r="396" spans="3:15" x14ac:dyDescent="0.25">
      <c r="C396" t="s">
        <v>20</v>
      </c>
      <c r="D396" t="str">
        <f t="shared" si="18"/>
        <v>Accessories</v>
      </c>
      <c r="I396" t="s">
        <v>33</v>
      </c>
      <c r="J396" t="str">
        <f t="shared" si="19"/>
        <v>Berlin</v>
      </c>
      <c r="N396" t="s">
        <v>19</v>
      </c>
      <c r="O396" t="str">
        <f t="shared" si="20"/>
        <v>Bank Transfer</v>
      </c>
    </row>
    <row r="397" spans="3:15" x14ac:dyDescent="0.25">
      <c r="C397" t="s">
        <v>50</v>
      </c>
      <c r="D397" t="str">
        <f t="shared" si="18"/>
        <v>Electronics</v>
      </c>
      <c r="I397" t="s">
        <v>24</v>
      </c>
      <c r="J397" t="str">
        <f t="shared" si="19"/>
        <v>Paris</v>
      </c>
      <c r="N397" t="s">
        <v>19</v>
      </c>
      <c r="O397" t="str">
        <f t="shared" si="20"/>
        <v>Bank Transfer</v>
      </c>
    </row>
    <row r="398" spans="3:15" x14ac:dyDescent="0.25">
      <c r="C398" t="s">
        <v>50</v>
      </c>
      <c r="D398" t="str">
        <f t="shared" si="18"/>
        <v>Electronics</v>
      </c>
      <c r="I398" t="s">
        <v>59</v>
      </c>
      <c r="J398" t="str">
        <f t="shared" si="19"/>
        <v>Rome</v>
      </c>
      <c r="N398" t="s">
        <v>19</v>
      </c>
      <c r="O398" t="str">
        <f t="shared" si="20"/>
        <v>Bank Transfer</v>
      </c>
    </row>
    <row r="399" spans="3:15" x14ac:dyDescent="0.25">
      <c r="C399" t="s">
        <v>20</v>
      </c>
      <c r="D399" t="str">
        <f t="shared" si="18"/>
        <v>Accessories</v>
      </c>
      <c r="I399" t="s">
        <v>24</v>
      </c>
      <c r="J399" t="str">
        <f t="shared" si="19"/>
        <v>Paris</v>
      </c>
      <c r="N399" t="s">
        <v>19</v>
      </c>
      <c r="O399" t="str">
        <f t="shared" si="20"/>
        <v>Bank Transfer</v>
      </c>
    </row>
    <row r="400" spans="3:15" x14ac:dyDescent="0.25">
      <c r="C400" t="s">
        <v>20</v>
      </c>
      <c r="D400" t="str">
        <f t="shared" si="18"/>
        <v>Accessories</v>
      </c>
      <c r="I400" t="s">
        <v>59</v>
      </c>
      <c r="J400" t="str">
        <f t="shared" si="19"/>
        <v>Rome</v>
      </c>
      <c r="N400" t="s">
        <v>19</v>
      </c>
      <c r="O400" t="str">
        <f t="shared" si="20"/>
        <v>Bank Transfer</v>
      </c>
    </row>
    <row r="401" spans="3:15" x14ac:dyDescent="0.25">
      <c r="C401" t="s">
        <v>20</v>
      </c>
      <c r="D401" t="str">
        <f t="shared" si="18"/>
        <v>Accessories</v>
      </c>
      <c r="I401" t="s">
        <v>33</v>
      </c>
      <c r="J401" t="str">
        <f t="shared" si="19"/>
        <v>Berlin</v>
      </c>
      <c r="N401" t="s">
        <v>29</v>
      </c>
      <c r="O401" t="str">
        <f t="shared" si="20"/>
        <v>Credit Card</v>
      </c>
    </row>
    <row r="402" spans="3:15" x14ac:dyDescent="0.25">
      <c r="C402" t="s">
        <v>20</v>
      </c>
      <c r="D402" t="str">
        <f t="shared" si="18"/>
        <v>Accessories</v>
      </c>
      <c r="I402" t="s">
        <v>81</v>
      </c>
      <c r="J402" t="str">
        <f t="shared" si="19"/>
        <v>London</v>
      </c>
      <c r="N402" t="s">
        <v>19</v>
      </c>
      <c r="O402" t="str">
        <f t="shared" si="20"/>
        <v>Bank Transfer</v>
      </c>
    </row>
    <row r="403" spans="3:15" x14ac:dyDescent="0.25">
      <c r="C403" t="s">
        <v>44</v>
      </c>
      <c r="D403" t="str">
        <f t="shared" si="18"/>
        <v>Furniture</v>
      </c>
      <c r="I403" t="s">
        <v>59</v>
      </c>
      <c r="J403" t="str">
        <f t="shared" si="19"/>
        <v>Rome</v>
      </c>
      <c r="N403" t="s">
        <v>19</v>
      </c>
      <c r="O403" t="str">
        <f t="shared" si="20"/>
        <v>Bank Transfer</v>
      </c>
    </row>
    <row r="404" spans="3:15" x14ac:dyDescent="0.25">
      <c r="C404" t="s">
        <v>50</v>
      </c>
      <c r="D404" t="str">
        <f t="shared" si="18"/>
        <v>Electronics</v>
      </c>
      <c r="I404" t="s">
        <v>24</v>
      </c>
      <c r="J404" t="str">
        <f t="shared" si="19"/>
        <v>Paris</v>
      </c>
      <c r="N404" t="s">
        <v>19</v>
      </c>
      <c r="O404" t="str">
        <f t="shared" si="20"/>
        <v>Bank Transfer</v>
      </c>
    </row>
    <row r="405" spans="3:15" x14ac:dyDescent="0.25">
      <c r="C405" t="s">
        <v>50</v>
      </c>
      <c r="D405" t="str">
        <f t="shared" si="18"/>
        <v>Electronics</v>
      </c>
      <c r="I405" t="s">
        <v>33</v>
      </c>
      <c r="J405" t="str">
        <f t="shared" si="19"/>
        <v>Berlin</v>
      </c>
      <c r="N405" t="s">
        <v>19</v>
      </c>
      <c r="O405" t="str">
        <f t="shared" si="20"/>
        <v>Bank Transfer</v>
      </c>
    </row>
    <row r="406" spans="3:15" x14ac:dyDescent="0.25">
      <c r="C406" t="s">
        <v>44</v>
      </c>
      <c r="D406" t="str">
        <f t="shared" si="18"/>
        <v>Furniture</v>
      </c>
      <c r="I406" t="s">
        <v>59</v>
      </c>
      <c r="J406" t="str">
        <f t="shared" si="19"/>
        <v>Rome</v>
      </c>
      <c r="N406" t="s">
        <v>29</v>
      </c>
      <c r="O406" t="str">
        <f t="shared" si="20"/>
        <v>Credit Card</v>
      </c>
    </row>
    <row r="407" spans="3:15" x14ac:dyDescent="0.25">
      <c r="C407" t="s">
        <v>20</v>
      </c>
      <c r="D407" t="str">
        <f t="shared" si="18"/>
        <v>Accessories</v>
      </c>
      <c r="I407" t="s">
        <v>33</v>
      </c>
      <c r="J407" t="str">
        <f t="shared" si="19"/>
        <v>Berlin</v>
      </c>
      <c r="N407" t="s">
        <v>61</v>
      </c>
      <c r="O407" t="str">
        <f t="shared" si="20"/>
        <v>Paypal</v>
      </c>
    </row>
    <row r="408" spans="3:15" x14ac:dyDescent="0.25">
      <c r="C408" t="s">
        <v>50</v>
      </c>
      <c r="D408" t="str">
        <f t="shared" si="18"/>
        <v>Electronics</v>
      </c>
      <c r="I408" t="s">
        <v>39</v>
      </c>
      <c r="J408" t="str">
        <f t="shared" si="19"/>
        <v>Amsterdam</v>
      </c>
      <c r="N408" t="s">
        <v>61</v>
      </c>
      <c r="O408" t="str">
        <f t="shared" si="20"/>
        <v>Paypal</v>
      </c>
    </row>
    <row r="409" spans="3:15" x14ac:dyDescent="0.25">
      <c r="C409" t="s">
        <v>44</v>
      </c>
      <c r="D409" t="str">
        <f t="shared" si="18"/>
        <v>Furniture</v>
      </c>
      <c r="I409" t="s">
        <v>59</v>
      </c>
      <c r="J409" t="str">
        <f t="shared" si="19"/>
        <v>Rome</v>
      </c>
      <c r="N409" t="s">
        <v>19</v>
      </c>
      <c r="O409" t="str">
        <f t="shared" si="20"/>
        <v>Bank Transfer</v>
      </c>
    </row>
    <row r="410" spans="3:15" x14ac:dyDescent="0.25">
      <c r="C410" t="s">
        <v>30</v>
      </c>
      <c r="D410" t="str">
        <f t="shared" si="18"/>
        <v>Apparel</v>
      </c>
      <c r="I410" t="s">
        <v>59</v>
      </c>
      <c r="J410" t="str">
        <f t="shared" si="19"/>
        <v>Rome</v>
      </c>
      <c r="N410" t="s">
        <v>61</v>
      </c>
      <c r="O410" t="str">
        <f t="shared" si="20"/>
        <v>Paypal</v>
      </c>
    </row>
    <row r="411" spans="3:15" x14ac:dyDescent="0.25">
      <c r="C411" t="s">
        <v>30</v>
      </c>
      <c r="D411" t="str">
        <f t="shared" si="18"/>
        <v>Apparel</v>
      </c>
      <c r="I411" t="s">
        <v>24</v>
      </c>
      <c r="J411" t="str">
        <f t="shared" si="19"/>
        <v>Paris</v>
      </c>
      <c r="N411" t="s">
        <v>19</v>
      </c>
      <c r="O411" t="str">
        <f t="shared" si="20"/>
        <v>Bank Transfer</v>
      </c>
    </row>
    <row r="412" spans="3:15" x14ac:dyDescent="0.25">
      <c r="C412" t="s">
        <v>37</v>
      </c>
      <c r="D412" t="str">
        <f t="shared" si="18"/>
        <v>Stationery</v>
      </c>
      <c r="I412" t="s">
        <v>81</v>
      </c>
      <c r="J412" t="str">
        <f t="shared" si="19"/>
        <v>London</v>
      </c>
      <c r="N412" t="s">
        <v>29</v>
      </c>
      <c r="O412" t="str">
        <f t="shared" si="20"/>
        <v>Credit Card</v>
      </c>
    </row>
    <row r="413" spans="3:15" x14ac:dyDescent="0.25">
      <c r="C413" t="s">
        <v>20</v>
      </c>
      <c r="D413" t="str">
        <f t="shared" si="18"/>
        <v>Accessories</v>
      </c>
      <c r="I413" t="s">
        <v>39</v>
      </c>
      <c r="J413" t="str">
        <f t="shared" si="19"/>
        <v>Amsterdam</v>
      </c>
      <c r="N413" t="s">
        <v>29</v>
      </c>
      <c r="O413" t="str">
        <f t="shared" si="20"/>
        <v>Credit Card</v>
      </c>
    </row>
    <row r="414" spans="3:15" x14ac:dyDescent="0.25">
      <c r="C414" t="s">
        <v>44</v>
      </c>
      <c r="D414" t="str">
        <f t="shared" si="18"/>
        <v>Furniture</v>
      </c>
      <c r="I414" t="s">
        <v>39</v>
      </c>
      <c r="J414" t="str">
        <f t="shared" si="19"/>
        <v>Amsterdam</v>
      </c>
      <c r="N414" t="s">
        <v>19</v>
      </c>
      <c r="O414" t="str">
        <f t="shared" si="20"/>
        <v>Bank Transfer</v>
      </c>
    </row>
    <row r="415" spans="3:15" x14ac:dyDescent="0.25">
      <c r="C415" t="s">
        <v>30</v>
      </c>
      <c r="D415" t="str">
        <f t="shared" si="18"/>
        <v>Apparel</v>
      </c>
      <c r="I415" t="s">
        <v>59</v>
      </c>
      <c r="J415" t="str">
        <f t="shared" si="19"/>
        <v>Rome</v>
      </c>
      <c r="N415" t="s">
        <v>61</v>
      </c>
      <c r="O415" t="str">
        <f t="shared" si="20"/>
        <v>Paypal</v>
      </c>
    </row>
    <row r="416" spans="3:15" x14ac:dyDescent="0.25">
      <c r="C416" t="s">
        <v>20</v>
      </c>
      <c r="D416" t="str">
        <f t="shared" si="18"/>
        <v>Accessories</v>
      </c>
      <c r="I416" t="s">
        <v>33</v>
      </c>
      <c r="J416" t="str">
        <f t="shared" si="19"/>
        <v>Berlin</v>
      </c>
      <c r="N416" t="s">
        <v>29</v>
      </c>
      <c r="O416" t="str">
        <f t="shared" si="20"/>
        <v>Credit Card</v>
      </c>
    </row>
    <row r="417" spans="3:15" x14ac:dyDescent="0.25">
      <c r="C417" t="s">
        <v>37</v>
      </c>
      <c r="D417" t="str">
        <f t="shared" si="18"/>
        <v>Stationery</v>
      </c>
      <c r="I417" t="s">
        <v>81</v>
      </c>
      <c r="J417" t="str">
        <f t="shared" si="19"/>
        <v>London</v>
      </c>
      <c r="N417" t="s">
        <v>19</v>
      </c>
      <c r="O417" t="str">
        <f t="shared" si="20"/>
        <v>Bank Transfer</v>
      </c>
    </row>
    <row r="418" spans="3:15" x14ac:dyDescent="0.25">
      <c r="C418" t="s">
        <v>44</v>
      </c>
      <c r="D418" t="str">
        <f t="shared" si="18"/>
        <v>Furniture</v>
      </c>
      <c r="I418" t="s">
        <v>81</v>
      </c>
      <c r="J418" t="str">
        <f t="shared" si="19"/>
        <v>London</v>
      </c>
      <c r="N418" t="s">
        <v>29</v>
      </c>
      <c r="O418" t="str">
        <f t="shared" si="20"/>
        <v>Credit Card</v>
      </c>
    </row>
    <row r="419" spans="3:15" x14ac:dyDescent="0.25">
      <c r="C419" t="s">
        <v>37</v>
      </c>
      <c r="D419" t="str">
        <f t="shared" si="18"/>
        <v>Stationery</v>
      </c>
      <c r="I419" t="s">
        <v>24</v>
      </c>
      <c r="J419" t="str">
        <f t="shared" si="19"/>
        <v>Paris</v>
      </c>
      <c r="N419" t="s">
        <v>61</v>
      </c>
      <c r="O419" t="str">
        <f t="shared" si="20"/>
        <v>Paypal</v>
      </c>
    </row>
    <row r="420" spans="3:15" x14ac:dyDescent="0.25">
      <c r="C420" t="s">
        <v>44</v>
      </c>
      <c r="D420" t="str">
        <f t="shared" si="18"/>
        <v>Furniture</v>
      </c>
      <c r="I420" t="s">
        <v>33</v>
      </c>
      <c r="J420" t="str">
        <f t="shared" si="19"/>
        <v>Berlin</v>
      </c>
      <c r="N420" t="s">
        <v>29</v>
      </c>
      <c r="O420" t="str">
        <f t="shared" si="20"/>
        <v>Credit Card</v>
      </c>
    </row>
    <row r="421" spans="3:15" x14ac:dyDescent="0.25">
      <c r="C421" t="s">
        <v>44</v>
      </c>
      <c r="D421" t="str">
        <f t="shared" si="18"/>
        <v>Furniture</v>
      </c>
      <c r="I421" t="s">
        <v>39</v>
      </c>
      <c r="J421" t="str">
        <f t="shared" si="19"/>
        <v>Amsterdam</v>
      </c>
      <c r="N421" t="s">
        <v>61</v>
      </c>
      <c r="O421" t="str">
        <f t="shared" si="20"/>
        <v>Paypal</v>
      </c>
    </row>
    <row r="422" spans="3:15" x14ac:dyDescent="0.25">
      <c r="C422" t="s">
        <v>30</v>
      </c>
      <c r="D422" t="str">
        <f t="shared" si="18"/>
        <v>Apparel</v>
      </c>
      <c r="I422" t="s">
        <v>24</v>
      </c>
      <c r="J422" t="str">
        <f t="shared" si="19"/>
        <v>Paris</v>
      </c>
      <c r="N422" t="s">
        <v>61</v>
      </c>
      <c r="O422" t="str">
        <f t="shared" si="20"/>
        <v>Paypal</v>
      </c>
    </row>
    <row r="423" spans="3:15" x14ac:dyDescent="0.25">
      <c r="C423" t="s">
        <v>50</v>
      </c>
      <c r="D423" t="str">
        <f t="shared" si="18"/>
        <v>Electronics</v>
      </c>
      <c r="I423" t="s">
        <v>33</v>
      </c>
      <c r="J423" t="str">
        <f t="shared" si="19"/>
        <v>Berlin</v>
      </c>
      <c r="N423" t="s">
        <v>61</v>
      </c>
      <c r="O423" t="str">
        <f t="shared" si="20"/>
        <v>Paypal</v>
      </c>
    </row>
    <row r="424" spans="3:15" x14ac:dyDescent="0.25">
      <c r="C424" t="s">
        <v>44</v>
      </c>
      <c r="D424" t="str">
        <f t="shared" si="18"/>
        <v>Furniture</v>
      </c>
      <c r="I424" t="s">
        <v>33</v>
      </c>
      <c r="J424" t="str">
        <f t="shared" si="19"/>
        <v>Berlin</v>
      </c>
      <c r="N424" t="s">
        <v>19</v>
      </c>
      <c r="O424" t="str">
        <f t="shared" si="20"/>
        <v>Bank Transfer</v>
      </c>
    </row>
    <row r="425" spans="3:15" x14ac:dyDescent="0.25">
      <c r="C425" t="s">
        <v>37</v>
      </c>
      <c r="D425" t="str">
        <f t="shared" si="18"/>
        <v>Stationery</v>
      </c>
      <c r="I425" t="s">
        <v>59</v>
      </c>
      <c r="J425" t="str">
        <f t="shared" si="19"/>
        <v>Rome</v>
      </c>
      <c r="N425" t="s">
        <v>29</v>
      </c>
      <c r="O425" t="str">
        <f t="shared" si="20"/>
        <v>Credit Card</v>
      </c>
    </row>
    <row r="426" spans="3:15" x14ac:dyDescent="0.25">
      <c r="C426" t="s">
        <v>37</v>
      </c>
      <c r="D426" t="str">
        <f t="shared" si="18"/>
        <v>Stationery</v>
      </c>
      <c r="I426" t="s">
        <v>81</v>
      </c>
      <c r="J426" t="str">
        <f t="shared" si="19"/>
        <v>London</v>
      </c>
      <c r="N426" t="s">
        <v>19</v>
      </c>
      <c r="O426" t="str">
        <f t="shared" si="20"/>
        <v>Bank Transfer</v>
      </c>
    </row>
    <row r="427" spans="3:15" x14ac:dyDescent="0.25">
      <c r="C427" t="s">
        <v>37</v>
      </c>
      <c r="D427" t="str">
        <f t="shared" si="18"/>
        <v>Stationery</v>
      </c>
      <c r="I427" t="s">
        <v>59</v>
      </c>
      <c r="J427" t="str">
        <f t="shared" si="19"/>
        <v>Rome</v>
      </c>
      <c r="N427" t="s">
        <v>29</v>
      </c>
      <c r="O427" t="str">
        <f t="shared" si="20"/>
        <v>Credit Card</v>
      </c>
    </row>
    <row r="428" spans="3:15" x14ac:dyDescent="0.25">
      <c r="C428" t="s">
        <v>30</v>
      </c>
      <c r="D428" t="str">
        <f t="shared" si="18"/>
        <v>Apparel</v>
      </c>
      <c r="I428" t="s">
        <v>24</v>
      </c>
      <c r="J428" t="str">
        <f t="shared" si="19"/>
        <v>Paris</v>
      </c>
      <c r="N428" t="s">
        <v>29</v>
      </c>
      <c r="O428" t="str">
        <f t="shared" si="20"/>
        <v>Credit Card</v>
      </c>
    </row>
    <row r="429" spans="3:15" x14ac:dyDescent="0.25">
      <c r="C429" t="s">
        <v>50</v>
      </c>
      <c r="D429" t="str">
        <f t="shared" si="18"/>
        <v>Electronics</v>
      </c>
      <c r="I429" t="s">
        <v>39</v>
      </c>
      <c r="J429" t="str">
        <f t="shared" si="19"/>
        <v>Amsterdam</v>
      </c>
      <c r="N429" t="s">
        <v>19</v>
      </c>
      <c r="O429" t="str">
        <f t="shared" si="20"/>
        <v>Bank Transfer</v>
      </c>
    </row>
    <row r="430" spans="3:15" x14ac:dyDescent="0.25">
      <c r="C430" t="s">
        <v>37</v>
      </c>
      <c r="D430" t="str">
        <f t="shared" si="18"/>
        <v>Stationery</v>
      </c>
      <c r="I430" t="s">
        <v>33</v>
      </c>
      <c r="J430" t="str">
        <f t="shared" si="19"/>
        <v>Berlin</v>
      </c>
      <c r="N430" t="s">
        <v>29</v>
      </c>
      <c r="O430" t="str">
        <f t="shared" si="20"/>
        <v>Credit Card</v>
      </c>
    </row>
    <row r="431" spans="3:15" x14ac:dyDescent="0.25">
      <c r="C431" t="s">
        <v>44</v>
      </c>
      <c r="D431" t="str">
        <f t="shared" si="18"/>
        <v>Furniture</v>
      </c>
      <c r="I431" t="s">
        <v>81</v>
      </c>
      <c r="J431" t="str">
        <f t="shared" si="19"/>
        <v>London</v>
      </c>
      <c r="N431" t="s">
        <v>29</v>
      </c>
      <c r="O431" t="str">
        <f t="shared" si="20"/>
        <v>Credit Card</v>
      </c>
    </row>
    <row r="432" spans="3:15" x14ac:dyDescent="0.25">
      <c r="C432" t="s">
        <v>50</v>
      </c>
      <c r="D432" t="str">
        <f t="shared" si="18"/>
        <v>Electronics</v>
      </c>
      <c r="I432" t="s">
        <v>33</v>
      </c>
      <c r="J432" t="str">
        <f t="shared" si="19"/>
        <v>Berlin</v>
      </c>
      <c r="N432" t="s">
        <v>29</v>
      </c>
      <c r="O432" t="str">
        <f t="shared" si="20"/>
        <v>Credit Card</v>
      </c>
    </row>
    <row r="433" spans="3:15" x14ac:dyDescent="0.25">
      <c r="C433" t="s">
        <v>20</v>
      </c>
      <c r="D433" t="str">
        <f t="shared" si="18"/>
        <v>Accessories</v>
      </c>
      <c r="I433" t="s">
        <v>33</v>
      </c>
      <c r="J433" t="str">
        <f t="shared" si="19"/>
        <v>Berlin</v>
      </c>
      <c r="N433" t="s">
        <v>29</v>
      </c>
      <c r="O433" t="str">
        <f t="shared" si="20"/>
        <v>Credit Card</v>
      </c>
    </row>
    <row r="434" spans="3:15" x14ac:dyDescent="0.25">
      <c r="C434" t="s">
        <v>50</v>
      </c>
      <c r="D434" t="str">
        <f t="shared" si="18"/>
        <v>Electronics</v>
      </c>
      <c r="I434" t="s">
        <v>24</v>
      </c>
      <c r="J434" t="str">
        <f t="shared" si="19"/>
        <v>Paris</v>
      </c>
      <c r="N434" t="s">
        <v>29</v>
      </c>
      <c r="O434" t="str">
        <f t="shared" si="20"/>
        <v>Credit Card</v>
      </c>
    </row>
    <row r="435" spans="3:15" x14ac:dyDescent="0.25">
      <c r="C435" t="s">
        <v>50</v>
      </c>
      <c r="D435" t="str">
        <f t="shared" si="18"/>
        <v>Electronics</v>
      </c>
      <c r="I435" t="s">
        <v>24</v>
      </c>
      <c r="J435" t="str">
        <f t="shared" si="19"/>
        <v>Paris</v>
      </c>
      <c r="N435" t="s">
        <v>19</v>
      </c>
      <c r="O435" t="str">
        <f t="shared" si="20"/>
        <v>Bank Transfer</v>
      </c>
    </row>
    <row r="436" spans="3:15" x14ac:dyDescent="0.25">
      <c r="C436" t="s">
        <v>37</v>
      </c>
      <c r="D436" t="str">
        <f t="shared" si="18"/>
        <v>Stationery</v>
      </c>
      <c r="I436" t="s">
        <v>81</v>
      </c>
      <c r="J436" t="str">
        <f t="shared" si="19"/>
        <v>London</v>
      </c>
      <c r="N436" t="s">
        <v>19</v>
      </c>
      <c r="O436" t="str">
        <f t="shared" si="20"/>
        <v>Bank Transfer</v>
      </c>
    </row>
    <row r="437" spans="3:15" x14ac:dyDescent="0.25">
      <c r="C437" t="s">
        <v>37</v>
      </c>
      <c r="D437" t="str">
        <f t="shared" si="18"/>
        <v>Stationery</v>
      </c>
      <c r="I437" t="s">
        <v>59</v>
      </c>
      <c r="J437" t="str">
        <f t="shared" si="19"/>
        <v>Rome</v>
      </c>
      <c r="N437" t="s">
        <v>61</v>
      </c>
      <c r="O437" t="str">
        <f t="shared" si="20"/>
        <v>Paypal</v>
      </c>
    </row>
    <row r="438" spans="3:15" x14ac:dyDescent="0.25">
      <c r="C438" t="s">
        <v>30</v>
      </c>
      <c r="D438" t="str">
        <f t="shared" si="18"/>
        <v>Apparel</v>
      </c>
      <c r="I438" t="s">
        <v>33</v>
      </c>
      <c r="J438" t="str">
        <f t="shared" si="19"/>
        <v>Berlin</v>
      </c>
      <c r="N438" t="s">
        <v>29</v>
      </c>
      <c r="O438" t="str">
        <f t="shared" si="20"/>
        <v>Credit Card</v>
      </c>
    </row>
    <row r="439" spans="3:15" x14ac:dyDescent="0.25">
      <c r="C439" t="s">
        <v>50</v>
      </c>
      <c r="D439" t="str">
        <f t="shared" si="18"/>
        <v>Electronics</v>
      </c>
      <c r="I439" t="s">
        <v>33</v>
      </c>
      <c r="J439" t="str">
        <f t="shared" si="19"/>
        <v>Berlin</v>
      </c>
      <c r="N439" t="s">
        <v>61</v>
      </c>
      <c r="O439" t="str">
        <f t="shared" si="20"/>
        <v>Paypal</v>
      </c>
    </row>
    <row r="440" spans="3:15" x14ac:dyDescent="0.25">
      <c r="C440" t="s">
        <v>37</v>
      </c>
      <c r="D440" t="str">
        <f t="shared" si="18"/>
        <v>Stationery</v>
      </c>
      <c r="I440" t="s">
        <v>81</v>
      </c>
      <c r="J440" t="str">
        <f t="shared" si="19"/>
        <v>London</v>
      </c>
      <c r="N440" t="s">
        <v>61</v>
      </c>
      <c r="O440" t="str">
        <f t="shared" si="20"/>
        <v>Paypal</v>
      </c>
    </row>
    <row r="441" spans="3:15" x14ac:dyDescent="0.25">
      <c r="C441" t="s">
        <v>50</v>
      </c>
      <c r="D441" t="str">
        <f t="shared" si="18"/>
        <v>Electronics</v>
      </c>
      <c r="I441" t="s">
        <v>24</v>
      </c>
      <c r="J441" t="str">
        <f t="shared" si="19"/>
        <v>Paris</v>
      </c>
      <c r="N441" t="s">
        <v>19</v>
      </c>
      <c r="O441" t="str">
        <f t="shared" si="20"/>
        <v>Bank Transfer</v>
      </c>
    </row>
    <row r="442" spans="3:15" x14ac:dyDescent="0.25">
      <c r="C442" t="s">
        <v>37</v>
      </c>
      <c r="D442" t="str">
        <f t="shared" si="18"/>
        <v>Stationery</v>
      </c>
      <c r="I442" t="s">
        <v>59</v>
      </c>
      <c r="J442" t="str">
        <f t="shared" si="19"/>
        <v>Rome</v>
      </c>
      <c r="N442" t="s">
        <v>61</v>
      </c>
      <c r="O442" t="str">
        <f t="shared" si="20"/>
        <v>Paypal</v>
      </c>
    </row>
    <row r="443" spans="3:15" x14ac:dyDescent="0.25">
      <c r="C443" t="s">
        <v>20</v>
      </c>
      <c r="D443" t="str">
        <f t="shared" si="18"/>
        <v>Accessories</v>
      </c>
      <c r="I443" t="s">
        <v>24</v>
      </c>
      <c r="J443" t="str">
        <f t="shared" si="19"/>
        <v>Paris</v>
      </c>
      <c r="N443" t="s">
        <v>29</v>
      </c>
      <c r="O443" t="str">
        <f t="shared" si="20"/>
        <v>Credit Card</v>
      </c>
    </row>
    <row r="444" spans="3:15" x14ac:dyDescent="0.25">
      <c r="C444" t="s">
        <v>44</v>
      </c>
      <c r="D444" t="str">
        <f t="shared" si="18"/>
        <v>Furniture</v>
      </c>
      <c r="I444" t="s">
        <v>33</v>
      </c>
      <c r="J444" t="str">
        <f t="shared" si="19"/>
        <v>Berlin</v>
      </c>
      <c r="N444" t="s">
        <v>61</v>
      </c>
      <c r="O444" t="str">
        <f t="shared" si="20"/>
        <v>Paypal</v>
      </c>
    </row>
    <row r="445" spans="3:15" x14ac:dyDescent="0.25">
      <c r="C445" t="s">
        <v>50</v>
      </c>
      <c r="D445" t="str">
        <f t="shared" si="18"/>
        <v>Electronics</v>
      </c>
      <c r="I445" t="s">
        <v>39</v>
      </c>
      <c r="J445" t="str">
        <f t="shared" si="19"/>
        <v>Amsterdam</v>
      </c>
      <c r="N445" t="s">
        <v>29</v>
      </c>
      <c r="O445" t="str">
        <f t="shared" si="20"/>
        <v>Credit Card</v>
      </c>
    </row>
    <row r="446" spans="3:15" x14ac:dyDescent="0.25">
      <c r="C446" t="s">
        <v>30</v>
      </c>
      <c r="D446" t="str">
        <f t="shared" si="18"/>
        <v>Apparel</v>
      </c>
      <c r="I446" t="s">
        <v>81</v>
      </c>
      <c r="J446" t="str">
        <f t="shared" si="19"/>
        <v>London</v>
      </c>
      <c r="N446" t="s">
        <v>19</v>
      </c>
      <c r="O446" t="str">
        <f t="shared" si="20"/>
        <v>Bank Transfer</v>
      </c>
    </row>
    <row r="447" spans="3:15" x14ac:dyDescent="0.25">
      <c r="C447" t="s">
        <v>44</v>
      </c>
      <c r="D447" t="str">
        <f t="shared" si="18"/>
        <v>Furniture</v>
      </c>
      <c r="I447" t="s">
        <v>59</v>
      </c>
      <c r="J447" t="str">
        <f t="shared" si="19"/>
        <v>Rome</v>
      </c>
      <c r="N447" t="s">
        <v>61</v>
      </c>
      <c r="O447" t="str">
        <f t="shared" si="20"/>
        <v>Paypal</v>
      </c>
    </row>
    <row r="448" spans="3:15" x14ac:dyDescent="0.25">
      <c r="C448" s="5" t="s">
        <v>729</v>
      </c>
      <c r="D448" s="4" t="str">
        <f t="shared" si="18"/>
        <v>Furniture</v>
      </c>
      <c r="I448" t="s">
        <v>59</v>
      </c>
      <c r="J448" t="str">
        <f t="shared" si="19"/>
        <v>Rome</v>
      </c>
      <c r="N448" t="s">
        <v>29</v>
      </c>
      <c r="O448" t="str">
        <f t="shared" si="20"/>
        <v>Credit Card</v>
      </c>
    </row>
    <row r="449" spans="3:15" x14ac:dyDescent="0.25">
      <c r="C449" t="s">
        <v>50</v>
      </c>
      <c r="D449" t="str">
        <f t="shared" si="18"/>
        <v>Electronics</v>
      </c>
      <c r="I449" t="s">
        <v>81</v>
      </c>
      <c r="J449" t="str">
        <f t="shared" si="19"/>
        <v>London</v>
      </c>
      <c r="N449" t="s">
        <v>61</v>
      </c>
      <c r="O449" t="str">
        <f t="shared" si="20"/>
        <v>Paypal</v>
      </c>
    </row>
    <row r="450" spans="3:15" x14ac:dyDescent="0.25">
      <c r="C450" t="s">
        <v>37</v>
      </c>
      <c r="D450" t="str">
        <f t="shared" si="18"/>
        <v>Stationery</v>
      </c>
      <c r="I450" t="s">
        <v>59</v>
      </c>
      <c r="J450" t="str">
        <f t="shared" si="19"/>
        <v>Rome</v>
      </c>
      <c r="N450" t="s">
        <v>29</v>
      </c>
      <c r="O450" t="str">
        <f t="shared" si="20"/>
        <v>Credit Card</v>
      </c>
    </row>
    <row r="451" spans="3:15" x14ac:dyDescent="0.25">
      <c r="C451" t="s">
        <v>30</v>
      </c>
      <c r="D451" t="str">
        <f t="shared" si="18"/>
        <v>Apparel</v>
      </c>
      <c r="I451" t="s">
        <v>59</v>
      </c>
      <c r="J451" t="str">
        <f t="shared" si="19"/>
        <v>Rome</v>
      </c>
      <c r="N451" t="s">
        <v>29</v>
      </c>
      <c r="O451" t="str">
        <f t="shared" si="20"/>
        <v>Credit Card</v>
      </c>
    </row>
    <row r="452" spans="3:15" x14ac:dyDescent="0.25">
      <c r="C452" t="s">
        <v>30</v>
      </c>
      <c r="D452" t="str">
        <f t="shared" si="18"/>
        <v>Apparel</v>
      </c>
      <c r="I452" t="s">
        <v>24</v>
      </c>
      <c r="J452" t="str">
        <f t="shared" si="19"/>
        <v>Paris</v>
      </c>
      <c r="N452" t="s">
        <v>19</v>
      </c>
      <c r="O452" t="str">
        <f t="shared" si="20"/>
        <v>Bank Transfer</v>
      </c>
    </row>
    <row r="453" spans="3:15" x14ac:dyDescent="0.25">
      <c r="C453" t="s">
        <v>30</v>
      </c>
      <c r="D453" t="str">
        <f t="shared" si="18"/>
        <v>Apparel</v>
      </c>
      <c r="I453" t="s">
        <v>24</v>
      </c>
      <c r="J453" t="str">
        <f t="shared" si="19"/>
        <v>Paris</v>
      </c>
      <c r="N453" t="s">
        <v>61</v>
      </c>
      <c r="O453" t="str">
        <f t="shared" si="20"/>
        <v>Paypal</v>
      </c>
    </row>
    <row r="454" spans="3:15" x14ac:dyDescent="0.25">
      <c r="C454" t="s">
        <v>44</v>
      </c>
      <c r="D454" t="str">
        <f t="shared" ref="D454:D517" si="21">PROPER(C454)</f>
        <v>Furniture</v>
      </c>
      <c r="I454" t="s">
        <v>33</v>
      </c>
      <c r="J454" t="str">
        <f t="shared" ref="J454:J517" si="22">PROPER(I454)</f>
        <v>Berlin</v>
      </c>
      <c r="N454" t="s">
        <v>19</v>
      </c>
      <c r="O454" t="str">
        <f t="shared" ref="O454:O517" si="23">IF(N454="paypall","Paypal",N454)</f>
        <v>Bank Transfer</v>
      </c>
    </row>
    <row r="455" spans="3:15" x14ac:dyDescent="0.25">
      <c r="C455" t="s">
        <v>37</v>
      </c>
      <c r="D455" t="str">
        <f t="shared" si="21"/>
        <v>Stationery</v>
      </c>
      <c r="I455" t="s">
        <v>39</v>
      </c>
      <c r="J455" t="str">
        <f t="shared" si="22"/>
        <v>Amsterdam</v>
      </c>
      <c r="N455" t="s">
        <v>29</v>
      </c>
      <c r="O455" t="str">
        <f t="shared" si="23"/>
        <v>Credit Card</v>
      </c>
    </row>
    <row r="456" spans="3:15" x14ac:dyDescent="0.25">
      <c r="C456" t="s">
        <v>20</v>
      </c>
      <c r="D456" t="str">
        <f t="shared" si="21"/>
        <v>Accessories</v>
      </c>
      <c r="I456" t="s">
        <v>24</v>
      </c>
      <c r="J456" t="str">
        <f t="shared" si="22"/>
        <v>Paris</v>
      </c>
      <c r="N456" t="s">
        <v>61</v>
      </c>
      <c r="O456" t="str">
        <f t="shared" si="23"/>
        <v>Paypal</v>
      </c>
    </row>
    <row r="457" spans="3:15" x14ac:dyDescent="0.25">
      <c r="C457" t="s">
        <v>37</v>
      </c>
      <c r="D457" t="str">
        <f t="shared" si="21"/>
        <v>Stationery</v>
      </c>
      <c r="I457" t="s">
        <v>33</v>
      </c>
      <c r="J457" t="str">
        <f t="shared" si="22"/>
        <v>Berlin</v>
      </c>
      <c r="N457" t="s">
        <v>61</v>
      </c>
      <c r="O457" t="str">
        <f t="shared" si="23"/>
        <v>Paypal</v>
      </c>
    </row>
    <row r="458" spans="3:15" x14ac:dyDescent="0.25">
      <c r="C458" t="s">
        <v>44</v>
      </c>
      <c r="D458" t="str">
        <f t="shared" si="21"/>
        <v>Furniture</v>
      </c>
      <c r="I458" t="s">
        <v>24</v>
      </c>
      <c r="J458" t="str">
        <f t="shared" si="22"/>
        <v>Paris</v>
      </c>
      <c r="N458" t="s">
        <v>19</v>
      </c>
      <c r="O458" t="str">
        <f t="shared" si="23"/>
        <v>Bank Transfer</v>
      </c>
    </row>
    <row r="459" spans="3:15" x14ac:dyDescent="0.25">
      <c r="C459" t="s">
        <v>44</v>
      </c>
      <c r="D459" t="str">
        <f t="shared" si="21"/>
        <v>Furniture</v>
      </c>
      <c r="I459" t="s">
        <v>81</v>
      </c>
      <c r="J459" t="str">
        <f t="shared" si="22"/>
        <v>London</v>
      </c>
      <c r="N459" t="s">
        <v>19</v>
      </c>
      <c r="O459" t="str">
        <f t="shared" si="23"/>
        <v>Bank Transfer</v>
      </c>
    </row>
    <row r="460" spans="3:15" x14ac:dyDescent="0.25">
      <c r="C460" t="s">
        <v>37</v>
      </c>
      <c r="D460" t="str">
        <f t="shared" si="21"/>
        <v>Stationery</v>
      </c>
      <c r="I460" t="s">
        <v>59</v>
      </c>
      <c r="J460" t="str">
        <f t="shared" si="22"/>
        <v>Rome</v>
      </c>
      <c r="N460" t="s">
        <v>61</v>
      </c>
      <c r="O460" t="str">
        <f t="shared" si="23"/>
        <v>Paypal</v>
      </c>
    </row>
    <row r="461" spans="3:15" x14ac:dyDescent="0.25">
      <c r="C461" t="s">
        <v>37</v>
      </c>
      <c r="D461" t="str">
        <f t="shared" si="21"/>
        <v>Stationery</v>
      </c>
      <c r="I461" t="s">
        <v>39</v>
      </c>
      <c r="J461" t="str">
        <f t="shared" si="22"/>
        <v>Amsterdam</v>
      </c>
      <c r="N461" t="s">
        <v>19</v>
      </c>
      <c r="O461" t="str">
        <f t="shared" si="23"/>
        <v>Bank Transfer</v>
      </c>
    </row>
    <row r="462" spans="3:15" x14ac:dyDescent="0.25">
      <c r="C462" t="s">
        <v>37</v>
      </c>
      <c r="D462" t="str">
        <f t="shared" si="21"/>
        <v>Stationery</v>
      </c>
      <c r="I462" t="s">
        <v>59</v>
      </c>
      <c r="J462" t="str">
        <f t="shared" si="22"/>
        <v>Rome</v>
      </c>
      <c r="N462" t="s">
        <v>61</v>
      </c>
      <c r="O462" t="str">
        <f t="shared" si="23"/>
        <v>Paypal</v>
      </c>
    </row>
    <row r="463" spans="3:15" x14ac:dyDescent="0.25">
      <c r="C463" t="s">
        <v>37</v>
      </c>
      <c r="D463" t="str">
        <f t="shared" si="21"/>
        <v>Stationery</v>
      </c>
      <c r="I463" t="s">
        <v>59</v>
      </c>
      <c r="J463" t="str">
        <f t="shared" si="22"/>
        <v>Rome</v>
      </c>
      <c r="N463" t="s">
        <v>19</v>
      </c>
      <c r="O463" t="str">
        <f t="shared" si="23"/>
        <v>Bank Transfer</v>
      </c>
    </row>
    <row r="464" spans="3:15" x14ac:dyDescent="0.25">
      <c r="C464" t="s">
        <v>44</v>
      </c>
      <c r="D464" t="str">
        <f t="shared" si="21"/>
        <v>Furniture</v>
      </c>
      <c r="I464" t="s">
        <v>33</v>
      </c>
      <c r="J464" t="str">
        <f t="shared" si="22"/>
        <v>Berlin</v>
      </c>
      <c r="N464" t="s">
        <v>19</v>
      </c>
      <c r="O464" t="str">
        <f t="shared" si="23"/>
        <v>Bank Transfer</v>
      </c>
    </row>
    <row r="465" spans="3:15" x14ac:dyDescent="0.25">
      <c r="C465" t="s">
        <v>37</v>
      </c>
      <c r="D465" t="str">
        <f t="shared" si="21"/>
        <v>Stationery</v>
      </c>
      <c r="I465" t="s">
        <v>33</v>
      </c>
      <c r="J465" t="str">
        <f t="shared" si="22"/>
        <v>Berlin</v>
      </c>
      <c r="N465" t="s">
        <v>61</v>
      </c>
      <c r="O465" t="str">
        <f t="shared" si="23"/>
        <v>Paypal</v>
      </c>
    </row>
    <row r="466" spans="3:15" x14ac:dyDescent="0.25">
      <c r="C466" t="s">
        <v>44</v>
      </c>
      <c r="D466" t="str">
        <f t="shared" si="21"/>
        <v>Furniture</v>
      </c>
      <c r="I466" t="s">
        <v>33</v>
      </c>
      <c r="J466" t="str">
        <f t="shared" si="22"/>
        <v>Berlin</v>
      </c>
      <c r="N466" t="s">
        <v>19</v>
      </c>
      <c r="O466" t="str">
        <f t="shared" si="23"/>
        <v>Bank Transfer</v>
      </c>
    </row>
    <row r="467" spans="3:15" x14ac:dyDescent="0.25">
      <c r="C467" t="s">
        <v>37</v>
      </c>
      <c r="D467" t="str">
        <f t="shared" si="21"/>
        <v>Stationery</v>
      </c>
      <c r="I467" t="s">
        <v>39</v>
      </c>
      <c r="J467" t="str">
        <f t="shared" si="22"/>
        <v>Amsterdam</v>
      </c>
      <c r="N467" t="s">
        <v>19</v>
      </c>
      <c r="O467" t="str">
        <f t="shared" si="23"/>
        <v>Bank Transfer</v>
      </c>
    </row>
    <row r="468" spans="3:15" x14ac:dyDescent="0.25">
      <c r="C468" t="s">
        <v>44</v>
      </c>
      <c r="D468" t="str">
        <f t="shared" si="21"/>
        <v>Furniture</v>
      </c>
      <c r="I468" t="s">
        <v>24</v>
      </c>
      <c r="J468" t="str">
        <f t="shared" si="22"/>
        <v>Paris</v>
      </c>
      <c r="N468" t="s">
        <v>61</v>
      </c>
      <c r="O468" t="str">
        <f t="shared" si="23"/>
        <v>Paypal</v>
      </c>
    </row>
    <row r="469" spans="3:15" x14ac:dyDescent="0.25">
      <c r="C469" t="s">
        <v>20</v>
      </c>
      <c r="D469" t="str">
        <f t="shared" si="21"/>
        <v>Accessories</v>
      </c>
      <c r="I469" t="s">
        <v>39</v>
      </c>
      <c r="J469" t="str">
        <f t="shared" si="22"/>
        <v>Amsterdam</v>
      </c>
      <c r="N469" t="s">
        <v>19</v>
      </c>
      <c r="O469" t="str">
        <f t="shared" si="23"/>
        <v>Bank Transfer</v>
      </c>
    </row>
    <row r="470" spans="3:15" x14ac:dyDescent="0.25">
      <c r="C470" t="s">
        <v>20</v>
      </c>
      <c r="D470" t="str">
        <f t="shared" si="21"/>
        <v>Accessories</v>
      </c>
      <c r="I470" t="s">
        <v>33</v>
      </c>
      <c r="J470" t="str">
        <f t="shared" si="22"/>
        <v>Berlin</v>
      </c>
      <c r="N470" t="s">
        <v>19</v>
      </c>
      <c r="O470" t="str">
        <f t="shared" si="23"/>
        <v>Bank Transfer</v>
      </c>
    </row>
    <row r="471" spans="3:15" x14ac:dyDescent="0.25">
      <c r="C471" t="s">
        <v>44</v>
      </c>
      <c r="D471" t="str">
        <f t="shared" si="21"/>
        <v>Furniture</v>
      </c>
      <c r="I471" t="s">
        <v>81</v>
      </c>
      <c r="J471" t="str">
        <f t="shared" si="22"/>
        <v>London</v>
      </c>
      <c r="N471" t="s">
        <v>61</v>
      </c>
      <c r="O471" t="str">
        <f t="shared" si="23"/>
        <v>Paypal</v>
      </c>
    </row>
    <row r="472" spans="3:15" x14ac:dyDescent="0.25">
      <c r="C472" t="s">
        <v>50</v>
      </c>
      <c r="D472" t="str">
        <f t="shared" si="21"/>
        <v>Electronics</v>
      </c>
      <c r="I472" t="s">
        <v>33</v>
      </c>
      <c r="J472" t="str">
        <f t="shared" si="22"/>
        <v>Berlin</v>
      </c>
      <c r="N472" t="s">
        <v>61</v>
      </c>
      <c r="O472" t="str">
        <f t="shared" si="23"/>
        <v>Paypal</v>
      </c>
    </row>
    <row r="473" spans="3:15" x14ac:dyDescent="0.25">
      <c r="C473" t="s">
        <v>44</v>
      </c>
      <c r="D473" t="str">
        <f t="shared" si="21"/>
        <v>Furniture</v>
      </c>
      <c r="I473" t="s">
        <v>59</v>
      </c>
      <c r="J473" t="str">
        <f t="shared" si="22"/>
        <v>Rome</v>
      </c>
      <c r="N473" t="s">
        <v>61</v>
      </c>
      <c r="O473" t="str">
        <f t="shared" si="23"/>
        <v>Paypal</v>
      </c>
    </row>
    <row r="474" spans="3:15" x14ac:dyDescent="0.25">
      <c r="C474" t="s">
        <v>37</v>
      </c>
      <c r="D474" t="str">
        <f t="shared" si="21"/>
        <v>Stationery</v>
      </c>
      <c r="I474" t="s">
        <v>24</v>
      </c>
      <c r="J474" t="str">
        <f t="shared" si="22"/>
        <v>Paris</v>
      </c>
      <c r="N474" t="s">
        <v>19</v>
      </c>
      <c r="O474" t="str">
        <f t="shared" si="23"/>
        <v>Bank Transfer</v>
      </c>
    </row>
    <row r="475" spans="3:15" x14ac:dyDescent="0.25">
      <c r="C475" t="s">
        <v>50</v>
      </c>
      <c r="D475" t="str">
        <f t="shared" si="21"/>
        <v>Electronics</v>
      </c>
      <c r="I475" t="s">
        <v>59</v>
      </c>
      <c r="J475" t="str">
        <f t="shared" si="22"/>
        <v>Rome</v>
      </c>
      <c r="N475" t="s">
        <v>29</v>
      </c>
      <c r="O475" t="str">
        <f t="shared" si="23"/>
        <v>Credit Card</v>
      </c>
    </row>
    <row r="476" spans="3:15" x14ac:dyDescent="0.25">
      <c r="C476" t="s">
        <v>30</v>
      </c>
      <c r="D476" t="str">
        <f t="shared" si="21"/>
        <v>Apparel</v>
      </c>
      <c r="I476" t="s">
        <v>39</v>
      </c>
      <c r="J476" t="str">
        <f t="shared" si="22"/>
        <v>Amsterdam</v>
      </c>
      <c r="N476" t="s">
        <v>29</v>
      </c>
      <c r="O476" t="str">
        <f t="shared" si="23"/>
        <v>Credit Card</v>
      </c>
    </row>
    <row r="477" spans="3:15" x14ac:dyDescent="0.25">
      <c r="C477" t="s">
        <v>37</v>
      </c>
      <c r="D477" t="str">
        <f t="shared" si="21"/>
        <v>Stationery</v>
      </c>
      <c r="I477" t="s">
        <v>24</v>
      </c>
      <c r="J477" t="str">
        <f t="shared" si="22"/>
        <v>Paris</v>
      </c>
      <c r="N477" t="s">
        <v>61</v>
      </c>
      <c r="O477" t="str">
        <f t="shared" si="23"/>
        <v>Paypal</v>
      </c>
    </row>
    <row r="478" spans="3:15" x14ac:dyDescent="0.25">
      <c r="C478" t="s">
        <v>30</v>
      </c>
      <c r="D478" t="str">
        <f t="shared" si="21"/>
        <v>Apparel</v>
      </c>
      <c r="I478" t="s">
        <v>59</v>
      </c>
      <c r="J478" t="str">
        <f t="shared" si="22"/>
        <v>Rome</v>
      </c>
      <c r="N478" t="s">
        <v>19</v>
      </c>
      <c r="O478" t="str">
        <f t="shared" si="23"/>
        <v>Bank Transfer</v>
      </c>
    </row>
    <row r="479" spans="3:15" x14ac:dyDescent="0.25">
      <c r="C479" t="s">
        <v>37</v>
      </c>
      <c r="D479" t="str">
        <f t="shared" si="21"/>
        <v>Stationery</v>
      </c>
      <c r="I479" t="s">
        <v>24</v>
      </c>
      <c r="J479" t="str">
        <f t="shared" si="22"/>
        <v>Paris</v>
      </c>
      <c r="N479" t="s">
        <v>19</v>
      </c>
      <c r="O479" t="str">
        <f t="shared" si="23"/>
        <v>Bank Transfer</v>
      </c>
    </row>
    <row r="480" spans="3:15" x14ac:dyDescent="0.25">
      <c r="C480" t="s">
        <v>50</v>
      </c>
      <c r="D480" t="str">
        <f t="shared" si="21"/>
        <v>Electronics</v>
      </c>
      <c r="I480" t="s">
        <v>24</v>
      </c>
      <c r="J480" t="str">
        <f t="shared" si="22"/>
        <v>Paris</v>
      </c>
      <c r="N480" t="s">
        <v>61</v>
      </c>
      <c r="O480" t="str">
        <f t="shared" si="23"/>
        <v>Paypal</v>
      </c>
    </row>
    <row r="481" spans="3:15" x14ac:dyDescent="0.25">
      <c r="C481" t="s">
        <v>20</v>
      </c>
      <c r="D481" t="str">
        <f t="shared" si="21"/>
        <v>Accessories</v>
      </c>
      <c r="I481" t="s">
        <v>24</v>
      </c>
      <c r="J481" t="str">
        <f t="shared" si="22"/>
        <v>Paris</v>
      </c>
      <c r="N481" t="s">
        <v>19</v>
      </c>
      <c r="O481" t="str">
        <f t="shared" si="23"/>
        <v>Bank Transfer</v>
      </c>
    </row>
    <row r="482" spans="3:15" x14ac:dyDescent="0.25">
      <c r="C482" t="s">
        <v>50</v>
      </c>
      <c r="D482" t="str">
        <f t="shared" si="21"/>
        <v>Electronics</v>
      </c>
      <c r="I482" t="s">
        <v>81</v>
      </c>
      <c r="J482" t="str">
        <f t="shared" si="22"/>
        <v>London</v>
      </c>
      <c r="N482" t="s">
        <v>61</v>
      </c>
      <c r="O482" t="str">
        <f t="shared" si="23"/>
        <v>Paypal</v>
      </c>
    </row>
    <row r="483" spans="3:15" x14ac:dyDescent="0.25">
      <c r="C483" t="s">
        <v>50</v>
      </c>
      <c r="D483" t="str">
        <f t="shared" si="21"/>
        <v>Electronics</v>
      </c>
      <c r="I483" t="s">
        <v>24</v>
      </c>
      <c r="J483" t="str">
        <f t="shared" si="22"/>
        <v>Paris</v>
      </c>
      <c r="N483" t="s">
        <v>29</v>
      </c>
      <c r="O483" t="str">
        <f t="shared" si="23"/>
        <v>Credit Card</v>
      </c>
    </row>
    <row r="484" spans="3:15" x14ac:dyDescent="0.25">
      <c r="C484" t="s">
        <v>20</v>
      </c>
      <c r="D484" t="str">
        <f t="shared" si="21"/>
        <v>Accessories</v>
      </c>
      <c r="I484" t="s">
        <v>81</v>
      </c>
      <c r="J484" t="str">
        <f t="shared" si="22"/>
        <v>London</v>
      </c>
      <c r="N484" t="s">
        <v>29</v>
      </c>
      <c r="O484" t="str">
        <f t="shared" si="23"/>
        <v>Credit Card</v>
      </c>
    </row>
    <row r="485" spans="3:15" x14ac:dyDescent="0.25">
      <c r="C485" t="s">
        <v>37</v>
      </c>
      <c r="D485" t="str">
        <f t="shared" si="21"/>
        <v>Stationery</v>
      </c>
      <c r="I485" t="s">
        <v>59</v>
      </c>
      <c r="J485" t="str">
        <f t="shared" si="22"/>
        <v>Rome</v>
      </c>
      <c r="N485" t="s">
        <v>29</v>
      </c>
      <c r="O485" t="str">
        <f t="shared" si="23"/>
        <v>Credit Card</v>
      </c>
    </row>
    <row r="486" spans="3:15" x14ac:dyDescent="0.25">
      <c r="C486" t="s">
        <v>44</v>
      </c>
      <c r="D486" t="str">
        <f t="shared" si="21"/>
        <v>Furniture</v>
      </c>
      <c r="I486" t="s">
        <v>81</v>
      </c>
      <c r="J486" t="str">
        <f t="shared" si="22"/>
        <v>London</v>
      </c>
      <c r="N486" t="s">
        <v>19</v>
      </c>
      <c r="O486" t="str">
        <f t="shared" si="23"/>
        <v>Bank Transfer</v>
      </c>
    </row>
    <row r="487" spans="3:15" x14ac:dyDescent="0.25">
      <c r="C487" t="s">
        <v>20</v>
      </c>
      <c r="D487" t="str">
        <f t="shared" si="21"/>
        <v>Accessories</v>
      </c>
      <c r="I487" t="s">
        <v>24</v>
      </c>
      <c r="J487" t="str">
        <f t="shared" si="22"/>
        <v>Paris</v>
      </c>
      <c r="N487" t="s">
        <v>19</v>
      </c>
      <c r="O487" t="str">
        <f t="shared" si="23"/>
        <v>Bank Transfer</v>
      </c>
    </row>
    <row r="488" spans="3:15" x14ac:dyDescent="0.25">
      <c r="C488" t="s">
        <v>20</v>
      </c>
      <c r="D488" t="str">
        <f t="shared" si="21"/>
        <v>Accessories</v>
      </c>
      <c r="I488" t="s">
        <v>59</v>
      </c>
      <c r="J488" t="str">
        <f t="shared" si="22"/>
        <v>Rome</v>
      </c>
      <c r="N488" t="s">
        <v>19</v>
      </c>
      <c r="O488" t="str">
        <f t="shared" si="23"/>
        <v>Bank Transfer</v>
      </c>
    </row>
    <row r="489" spans="3:15" x14ac:dyDescent="0.25">
      <c r="C489" t="s">
        <v>20</v>
      </c>
      <c r="D489" t="str">
        <f t="shared" si="21"/>
        <v>Accessories</v>
      </c>
      <c r="I489" t="s">
        <v>81</v>
      </c>
      <c r="J489" t="str">
        <f t="shared" si="22"/>
        <v>London</v>
      </c>
      <c r="N489" t="s">
        <v>29</v>
      </c>
      <c r="O489" t="str">
        <f t="shared" si="23"/>
        <v>Credit Card</v>
      </c>
    </row>
    <row r="490" spans="3:15" x14ac:dyDescent="0.25">
      <c r="C490" t="s">
        <v>50</v>
      </c>
      <c r="D490" t="str">
        <f t="shared" si="21"/>
        <v>Electronics</v>
      </c>
      <c r="I490" t="s">
        <v>39</v>
      </c>
      <c r="J490" t="str">
        <f t="shared" si="22"/>
        <v>Amsterdam</v>
      </c>
      <c r="N490" t="s">
        <v>61</v>
      </c>
      <c r="O490" t="str">
        <f t="shared" si="23"/>
        <v>Paypal</v>
      </c>
    </row>
    <row r="491" spans="3:15" x14ac:dyDescent="0.25">
      <c r="C491" t="s">
        <v>50</v>
      </c>
      <c r="D491" t="str">
        <f t="shared" si="21"/>
        <v>Electronics</v>
      </c>
      <c r="I491" t="s">
        <v>24</v>
      </c>
      <c r="J491" t="str">
        <f t="shared" si="22"/>
        <v>Paris</v>
      </c>
      <c r="N491" t="s">
        <v>29</v>
      </c>
      <c r="O491" t="str">
        <f t="shared" si="23"/>
        <v>Credit Card</v>
      </c>
    </row>
    <row r="492" spans="3:15" x14ac:dyDescent="0.25">
      <c r="C492" t="s">
        <v>30</v>
      </c>
      <c r="D492" t="str">
        <f t="shared" si="21"/>
        <v>Apparel</v>
      </c>
      <c r="I492" t="s">
        <v>39</v>
      </c>
      <c r="J492" t="str">
        <f t="shared" si="22"/>
        <v>Amsterdam</v>
      </c>
      <c r="N492" t="s">
        <v>29</v>
      </c>
      <c r="O492" t="str">
        <f t="shared" si="23"/>
        <v>Credit Card</v>
      </c>
    </row>
    <row r="493" spans="3:15" x14ac:dyDescent="0.25">
      <c r="C493" t="s">
        <v>30</v>
      </c>
      <c r="D493" t="str">
        <f t="shared" si="21"/>
        <v>Apparel</v>
      </c>
      <c r="I493" t="s">
        <v>24</v>
      </c>
      <c r="J493" t="str">
        <f t="shared" si="22"/>
        <v>Paris</v>
      </c>
      <c r="N493" t="s">
        <v>61</v>
      </c>
      <c r="O493" t="str">
        <f t="shared" si="23"/>
        <v>Paypal</v>
      </c>
    </row>
    <row r="494" spans="3:15" x14ac:dyDescent="0.25">
      <c r="C494" t="s">
        <v>37</v>
      </c>
      <c r="D494" t="str">
        <f t="shared" si="21"/>
        <v>Stationery</v>
      </c>
      <c r="I494" t="s">
        <v>81</v>
      </c>
      <c r="J494" t="str">
        <f t="shared" si="22"/>
        <v>London</v>
      </c>
      <c r="N494" t="s">
        <v>61</v>
      </c>
      <c r="O494" t="str">
        <f t="shared" si="23"/>
        <v>Paypal</v>
      </c>
    </row>
    <row r="495" spans="3:15" x14ac:dyDescent="0.25">
      <c r="C495" t="s">
        <v>44</v>
      </c>
      <c r="D495" t="str">
        <f t="shared" si="21"/>
        <v>Furniture</v>
      </c>
      <c r="I495" t="s">
        <v>59</v>
      </c>
      <c r="J495" t="str">
        <f t="shared" si="22"/>
        <v>Rome</v>
      </c>
      <c r="N495" t="s">
        <v>61</v>
      </c>
      <c r="O495" t="str">
        <f t="shared" si="23"/>
        <v>Paypal</v>
      </c>
    </row>
    <row r="496" spans="3:15" x14ac:dyDescent="0.25">
      <c r="C496" t="s">
        <v>50</v>
      </c>
      <c r="D496" t="str">
        <f t="shared" si="21"/>
        <v>Electronics</v>
      </c>
      <c r="I496" t="s">
        <v>59</v>
      </c>
      <c r="J496" t="str">
        <f t="shared" si="22"/>
        <v>Rome</v>
      </c>
      <c r="N496" t="s">
        <v>61</v>
      </c>
      <c r="O496" t="str">
        <f t="shared" si="23"/>
        <v>Paypal</v>
      </c>
    </row>
    <row r="497" spans="3:15" x14ac:dyDescent="0.25">
      <c r="C497" t="s">
        <v>37</v>
      </c>
      <c r="D497" t="str">
        <f t="shared" si="21"/>
        <v>Stationery</v>
      </c>
      <c r="I497" t="s">
        <v>24</v>
      </c>
      <c r="J497" t="str">
        <f t="shared" si="22"/>
        <v>Paris</v>
      </c>
      <c r="N497" t="s">
        <v>61</v>
      </c>
      <c r="O497" t="str">
        <f t="shared" si="23"/>
        <v>Paypal</v>
      </c>
    </row>
    <row r="498" spans="3:15" x14ac:dyDescent="0.25">
      <c r="C498" t="s">
        <v>30</v>
      </c>
      <c r="D498" t="str">
        <f t="shared" si="21"/>
        <v>Apparel</v>
      </c>
      <c r="I498" t="s">
        <v>59</v>
      </c>
      <c r="J498" t="str">
        <f t="shared" si="22"/>
        <v>Rome</v>
      </c>
      <c r="N498" t="s">
        <v>29</v>
      </c>
      <c r="O498" t="str">
        <f t="shared" si="23"/>
        <v>Credit Card</v>
      </c>
    </row>
    <row r="499" spans="3:15" x14ac:dyDescent="0.25">
      <c r="C499" t="s">
        <v>30</v>
      </c>
      <c r="D499" t="str">
        <f t="shared" si="21"/>
        <v>Apparel</v>
      </c>
      <c r="I499" t="s">
        <v>33</v>
      </c>
      <c r="J499" t="str">
        <f t="shared" si="22"/>
        <v>Berlin</v>
      </c>
      <c r="N499" t="s">
        <v>29</v>
      </c>
      <c r="O499" t="str">
        <f t="shared" si="23"/>
        <v>Credit Card</v>
      </c>
    </row>
    <row r="500" spans="3:15" x14ac:dyDescent="0.25">
      <c r="C500" t="s">
        <v>44</v>
      </c>
      <c r="D500" t="str">
        <f t="shared" si="21"/>
        <v>Furniture</v>
      </c>
      <c r="I500" t="s">
        <v>33</v>
      </c>
      <c r="J500" t="str">
        <f t="shared" si="22"/>
        <v>Berlin</v>
      </c>
      <c r="N500" t="s">
        <v>19</v>
      </c>
      <c r="O500" t="str">
        <f t="shared" si="23"/>
        <v>Bank Transfer</v>
      </c>
    </row>
    <row r="501" spans="3:15" x14ac:dyDescent="0.25">
      <c r="C501" t="s">
        <v>50</v>
      </c>
      <c r="D501" t="str">
        <f t="shared" si="21"/>
        <v>Electronics</v>
      </c>
      <c r="I501" t="s">
        <v>59</v>
      </c>
      <c r="J501" t="str">
        <f t="shared" si="22"/>
        <v>Rome</v>
      </c>
      <c r="N501" t="s">
        <v>61</v>
      </c>
      <c r="O501" t="str">
        <f t="shared" si="23"/>
        <v>Paypal</v>
      </c>
    </row>
    <row r="502" spans="3:15" x14ac:dyDescent="0.25">
      <c r="C502" t="s">
        <v>44</v>
      </c>
      <c r="D502" t="str">
        <f t="shared" si="21"/>
        <v>Furniture</v>
      </c>
      <c r="I502" t="s">
        <v>33</v>
      </c>
      <c r="J502" t="str">
        <f t="shared" si="22"/>
        <v>Berlin</v>
      </c>
      <c r="N502" t="s">
        <v>61</v>
      </c>
      <c r="O502" t="str">
        <f t="shared" si="23"/>
        <v>Paypal</v>
      </c>
    </row>
    <row r="503" spans="3:15" x14ac:dyDescent="0.25">
      <c r="C503" t="s">
        <v>50</v>
      </c>
      <c r="D503" t="str">
        <f t="shared" si="21"/>
        <v>Electronics</v>
      </c>
      <c r="I503" t="s">
        <v>59</v>
      </c>
      <c r="J503" t="str">
        <f t="shared" si="22"/>
        <v>Rome</v>
      </c>
      <c r="N503" t="s">
        <v>19</v>
      </c>
      <c r="O503" t="str">
        <f t="shared" si="23"/>
        <v>Bank Transfer</v>
      </c>
    </row>
    <row r="504" spans="3:15" x14ac:dyDescent="0.25">
      <c r="C504" t="s">
        <v>20</v>
      </c>
      <c r="D504" t="str">
        <f t="shared" si="21"/>
        <v>Accessories</v>
      </c>
      <c r="I504" t="s">
        <v>59</v>
      </c>
      <c r="J504" t="str">
        <f t="shared" si="22"/>
        <v>Rome</v>
      </c>
      <c r="N504" t="s">
        <v>19</v>
      </c>
      <c r="O504" t="str">
        <f t="shared" si="23"/>
        <v>Bank Transfer</v>
      </c>
    </row>
    <row r="505" spans="3:15" x14ac:dyDescent="0.25">
      <c r="C505" t="s">
        <v>30</v>
      </c>
      <c r="D505" t="str">
        <f t="shared" si="21"/>
        <v>Apparel</v>
      </c>
      <c r="I505" t="s">
        <v>24</v>
      </c>
      <c r="J505" t="str">
        <f t="shared" si="22"/>
        <v>Paris</v>
      </c>
      <c r="N505" t="s">
        <v>29</v>
      </c>
      <c r="O505" t="str">
        <f t="shared" si="23"/>
        <v>Credit Card</v>
      </c>
    </row>
    <row r="506" spans="3:15" x14ac:dyDescent="0.25">
      <c r="C506" t="s">
        <v>50</v>
      </c>
      <c r="D506" t="str">
        <f t="shared" si="21"/>
        <v>Electronics</v>
      </c>
      <c r="I506" t="s">
        <v>33</v>
      </c>
      <c r="J506" t="str">
        <f t="shared" si="22"/>
        <v>Berlin</v>
      </c>
      <c r="N506" t="s">
        <v>61</v>
      </c>
      <c r="O506" t="str">
        <f t="shared" si="23"/>
        <v>Paypal</v>
      </c>
    </row>
    <row r="507" spans="3:15" x14ac:dyDescent="0.25">
      <c r="C507" t="s">
        <v>44</v>
      </c>
      <c r="D507" t="str">
        <f t="shared" si="21"/>
        <v>Furniture</v>
      </c>
      <c r="I507" t="s">
        <v>24</v>
      </c>
      <c r="J507" t="str">
        <f t="shared" si="22"/>
        <v>Paris</v>
      </c>
      <c r="N507" t="s">
        <v>29</v>
      </c>
      <c r="O507" t="str">
        <f t="shared" si="23"/>
        <v>Credit Card</v>
      </c>
    </row>
    <row r="508" spans="3:15" x14ac:dyDescent="0.25">
      <c r="C508" t="s">
        <v>44</v>
      </c>
      <c r="D508" t="str">
        <f t="shared" si="21"/>
        <v>Furniture</v>
      </c>
      <c r="I508" t="s">
        <v>59</v>
      </c>
      <c r="J508" t="str">
        <f t="shared" si="22"/>
        <v>Rome</v>
      </c>
      <c r="N508" t="s">
        <v>29</v>
      </c>
      <c r="O508" t="str">
        <f t="shared" si="23"/>
        <v>Credit Card</v>
      </c>
    </row>
    <row r="509" spans="3:15" x14ac:dyDescent="0.25">
      <c r="C509" t="s">
        <v>44</v>
      </c>
      <c r="D509" t="str">
        <f t="shared" si="21"/>
        <v>Furniture</v>
      </c>
      <c r="I509" t="s">
        <v>33</v>
      </c>
      <c r="J509" t="str">
        <f t="shared" si="22"/>
        <v>Berlin</v>
      </c>
      <c r="N509" t="s">
        <v>19</v>
      </c>
      <c r="O509" t="str">
        <f t="shared" si="23"/>
        <v>Bank Transfer</v>
      </c>
    </row>
    <row r="510" spans="3:15" x14ac:dyDescent="0.25">
      <c r="C510" t="s">
        <v>30</v>
      </c>
      <c r="D510" t="str">
        <f t="shared" si="21"/>
        <v>Apparel</v>
      </c>
      <c r="I510" t="s">
        <v>33</v>
      </c>
      <c r="J510" t="str">
        <f t="shared" si="22"/>
        <v>Berlin</v>
      </c>
      <c r="N510" t="s">
        <v>19</v>
      </c>
      <c r="O510" t="str">
        <f t="shared" si="23"/>
        <v>Bank Transfer</v>
      </c>
    </row>
    <row r="511" spans="3:15" x14ac:dyDescent="0.25">
      <c r="C511" t="s">
        <v>20</v>
      </c>
      <c r="D511" t="str">
        <f t="shared" si="21"/>
        <v>Accessories</v>
      </c>
      <c r="I511" t="s">
        <v>39</v>
      </c>
      <c r="J511" t="str">
        <f t="shared" si="22"/>
        <v>Amsterdam</v>
      </c>
      <c r="N511" t="s">
        <v>19</v>
      </c>
      <c r="O511" t="str">
        <f t="shared" si="23"/>
        <v>Bank Transfer</v>
      </c>
    </row>
    <row r="512" spans="3:15" x14ac:dyDescent="0.25">
      <c r="C512" t="s">
        <v>30</v>
      </c>
      <c r="D512" t="str">
        <f t="shared" si="21"/>
        <v>Apparel</v>
      </c>
      <c r="I512" t="s">
        <v>39</v>
      </c>
      <c r="J512" t="str">
        <f t="shared" si="22"/>
        <v>Amsterdam</v>
      </c>
      <c r="N512" t="s">
        <v>61</v>
      </c>
      <c r="O512" t="str">
        <f t="shared" si="23"/>
        <v>Paypal</v>
      </c>
    </row>
    <row r="513" spans="3:15" x14ac:dyDescent="0.25">
      <c r="C513" t="s">
        <v>37</v>
      </c>
      <c r="D513" t="str">
        <f t="shared" si="21"/>
        <v>Stationery</v>
      </c>
      <c r="I513" t="s">
        <v>39</v>
      </c>
      <c r="J513" t="str">
        <f t="shared" si="22"/>
        <v>Amsterdam</v>
      </c>
      <c r="N513" t="s">
        <v>61</v>
      </c>
      <c r="O513" t="str">
        <f t="shared" si="23"/>
        <v>Paypal</v>
      </c>
    </row>
    <row r="514" spans="3:15" x14ac:dyDescent="0.25">
      <c r="C514" t="s">
        <v>37</v>
      </c>
      <c r="D514" t="str">
        <f t="shared" si="21"/>
        <v>Stationery</v>
      </c>
      <c r="I514" t="s">
        <v>24</v>
      </c>
      <c r="J514" t="str">
        <f t="shared" si="22"/>
        <v>Paris</v>
      </c>
      <c r="N514" t="s">
        <v>29</v>
      </c>
      <c r="O514" t="str">
        <f t="shared" si="23"/>
        <v>Credit Card</v>
      </c>
    </row>
    <row r="515" spans="3:15" x14ac:dyDescent="0.25">
      <c r="C515" t="s">
        <v>50</v>
      </c>
      <c r="D515" t="str">
        <f t="shared" si="21"/>
        <v>Electronics</v>
      </c>
      <c r="I515" t="s">
        <v>33</v>
      </c>
      <c r="J515" t="str">
        <f t="shared" si="22"/>
        <v>Berlin</v>
      </c>
      <c r="N515" t="s">
        <v>29</v>
      </c>
      <c r="O515" t="str">
        <f t="shared" si="23"/>
        <v>Credit Card</v>
      </c>
    </row>
    <row r="516" spans="3:15" x14ac:dyDescent="0.25">
      <c r="C516" t="s">
        <v>37</v>
      </c>
      <c r="D516" t="str">
        <f t="shared" si="21"/>
        <v>Stationery</v>
      </c>
      <c r="I516" t="s">
        <v>81</v>
      </c>
      <c r="J516" t="str">
        <f t="shared" si="22"/>
        <v>London</v>
      </c>
      <c r="N516" t="s">
        <v>61</v>
      </c>
      <c r="O516" t="str">
        <f t="shared" si="23"/>
        <v>Paypal</v>
      </c>
    </row>
    <row r="517" spans="3:15" x14ac:dyDescent="0.25">
      <c r="C517" t="s">
        <v>30</v>
      </c>
      <c r="D517" t="str">
        <f t="shared" si="21"/>
        <v>Apparel</v>
      </c>
      <c r="I517" t="s">
        <v>39</v>
      </c>
      <c r="J517" t="str">
        <f t="shared" si="22"/>
        <v>Amsterdam</v>
      </c>
      <c r="N517" t="s">
        <v>19</v>
      </c>
      <c r="O517" t="str">
        <f t="shared" si="23"/>
        <v>Bank Transfer</v>
      </c>
    </row>
    <row r="518" spans="3:15" x14ac:dyDescent="0.25">
      <c r="C518" t="s">
        <v>44</v>
      </c>
      <c r="D518" t="str">
        <f t="shared" ref="D518:D581" si="24">PROPER(C518)</f>
        <v>Furniture</v>
      </c>
      <c r="I518" t="s">
        <v>59</v>
      </c>
      <c r="J518" t="str">
        <f t="shared" ref="J518:J581" si="25">PROPER(I518)</f>
        <v>Rome</v>
      </c>
      <c r="N518" t="s">
        <v>61</v>
      </c>
      <c r="O518" t="str">
        <f t="shared" ref="O518:O581" si="26">IF(N518="paypall","Paypal",N518)</f>
        <v>Paypal</v>
      </c>
    </row>
    <row r="519" spans="3:15" x14ac:dyDescent="0.25">
      <c r="C519" t="s">
        <v>20</v>
      </c>
      <c r="D519" t="str">
        <f t="shared" si="24"/>
        <v>Accessories</v>
      </c>
      <c r="I519" t="s">
        <v>81</v>
      </c>
      <c r="J519" t="str">
        <f t="shared" si="25"/>
        <v>London</v>
      </c>
      <c r="N519" t="s">
        <v>29</v>
      </c>
      <c r="O519" t="str">
        <f t="shared" si="26"/>
        <v>Credit Card</v>
      </c>
    </row>
    <row r="520" spans="3:15" x14ac:dyDescent="0.25">
      <c r="C520" t="s">
        <v>30</v>
      </c>
      <c r="D520" t="str">
        <f t="shared" si="24"/>
        <v>Apparel</v>
      </c>
      <c r="I520" t="s">
        <v>33</v>
      </c>
      <c r="J520" t="str">
        <f t="shared" si="25"/>
        <v>Berlin</v>
      </c>
      <c r="N520" t="s">
        <v>61</v>
      </c>
      <c r="O520" t="str">
        <f t="shared" si="26"/>
        <v>Paypal</v>
      </c>
    </row>
    <row r="521" spans="3:15" x14ac:dyDescent="0.25">
      <c r="C521" t="s">
        <v>44</v>
      </c>
      <c r="D521" t="str">
        <f t="shared" si="24"/>
        <v>Furniture</v>
      </c>
      <c r="I521" t="s">
        <v>33</v>
      </c>
      <c r="J521" t="str">
        <f t="shared" si="25"/>
        <v>Berlin</v>
      </c>
      <c r="N521" t="s">
        <v>61</v>
      </c>
      <c r="O521" t="str">
        <f t="shared" si="26"/>
        <v>Paypal</v>
      </c>
    </row>
    <row r="522" spans="3:15" x14ac:dyDescent="0.25">
      <c r="C522" t="s">
        <v>50</v>
      </c>
      <c r="D522" t="str">
        <f t="shared" si="24"/>
        <v>Electronics</v>
      </c>
      <c r="I522" t="s">
        <v>33</v>
      </c>
      <c r="J522" t="str">
        <f t="shared" si="25"/>
        <v>Berlin</v>
      </c>
      <c r="N522" t="s">
        <v>61</v>
      </c>
      <c r="O522" t="str">
        <f t="shared" si="26"/>
        <v>Paypal</v>
      </c>
    </row>
    <row r="523" spans="3:15" x14ac:dyDescent="0.25">
      <c r="C523" t="s">
        <v>50</v>
      </c>
      <c r="D523" t="str">
        <f t="shared" si="24"/>
        <v>Electronics</v>
      </c>
      <c r="I523" t="s">
        <v>59</v>
      </c>
      <c r="J523" t="str">
        <f t="shared" si="25"/>
        <v>Rome</v>
      </c>
      <c r="N523" t="s">
        <v>61</v>
      </c>
      <c r="O523" t="str">
        <f t="shared" si="26"/>
        <v>Paypal</v>
      </c>
    </row>
    <row r="524" spans="3:15" x14ac:dyDescent="0.25">
      <c r="C524" t="s">
        <v>30</v>
      </c>
      <c r="D524" t="str">
        <f t="shared" si="24"/>
        <v>Apparel</v>
      </c>
      <c r="I524" t="s">
        <v>81</v>
      </c>
      <c r="J524" t="str">
        <f t="shared" si="25"/>
        <v>London</v>
      </c>
      <c r="N524" t="s">
        <v>29</v>
      </c>
      <c r="O524" t="str">
        <f t="shared" si="26"/>
        <v>Credit Card</v>
      </c>
    </row>
    <row r="525" spans="3:15" x14ac:dyDescent="0.25">
      <c r="C525" t="s">
        <v>50</v>
      </c>
      <c r="D525" t="str">
        <f t="shared" si="24"/>
        <v>Electronics</v>
      </c>
      <c r="I525" t="s">
        <v>39</v>
      </c>
      <c r="J525" t="str">
        <f t="shared" si="25"/>
        <v>Amsterdam</v>
      </c>
      <c r="N525" t="s">
        <v>19</v>
      </c>
      <c r="O525" t="str">
        <f t="shared" si="26"/>
        <v>Bank Transfer</v>
      </c>
    </row>
    <row r="526" spans="3:15" x14ac:dyDescent="0.25">
      <c r="C526" t="s">
        <v>30</v>
      </c>
      <c r="D526" t="str">
        <f t="shared" si="24"/>
        <v>Apparel</v>
      </c>
      <c r="I526" t="s">
        <v>59</v>
      </c>
      <c r="J526" t="str">
        <f t="shared" si="25"/>
        <v>Rome</v>
      </c>
      <c r="N526" t="s">
        <v>61</v>
      </c>
      <c r="O526" t="str">
        <f t="shared" si="26"/>
        <v>Paypal</v>
      </c>
    </row>
    <row r="527" spans="3:15" x14ac:dyDescent="0.25">
      <c r="C527" t="s">
        <v>44</v>
      </c>
      <c r="D527" t="str">
        <f t="shared" si="24"/>
        <v>Furniture</v>
      </c>
      <c r="I527" t="s">
        <v>81</v>
      </c>
      <c r="J527" t="str">
        <f t="shared" si="25"/>
        <v>London</v>
      </c>
      <c r="N527" t="s">
        <v>29</v>
      </c>
      <c r="O527" t="str">
        <f t="shared" si="26"/>
        <v>Credit Card</v>
      </c>
    </row>
    <row r="528" spans="3:15" x14ac:dyDescent="0.25">
      <c r="C528" t="s">
        <v>50</v>
      </c>
      <c r="D528" t="str">
        <f t="shared" si="24"/>
        <v>Electronics</v>
      </c>
      <c r="I528" t="s">
        <v>81</v>
      </c>
      <c r="J528" t="str">
        <f t="shared" si="25"/>
        <v>London</v>
      </c>
      <c r="N528" t="s">
        <v>29</v>
      </c>
      <c r="O528" t="str">
        <f t="shared" si="26"/>
        <v>Credit Card</v>
      </c>
    </row>
    <row r="529" spans="3:15" x14ac:dyDescent="0.25">
      <c r="C529" t="s">
        <v>44</v>
      </c>
      <c r="D529" t="str">
        <f t="shared" si="24"/>
        <v>Furniture</v>
      </c>
      <c r="I529" t="s">
        <v>24</v>
      </c>
      <c r="J529" t="str">
        <f t="shared" si="25"/>
        <v>Paris</v>
      </c>
      <c r="N529" t="s">
        <v>19</v>
      </c>
      <c r="O529" t="str">
        <f t="shared" si="26"/>
        <v>Bank Transfer</v>
      </c>
    </row>
    <row r="530" spans="3:15" x14ac:dyDescent="0.25">
      <c r="C530" t="s">
        <v>37</v>
      </c>
      <c r="D530" t="str">
        <f t="shared" si="24"/>
        <v>Stationery</v>
      </c>
      <c r="I530" t="s">
        <v>24</v>
      </c>
      <c r="J530" t="str">
        <f t="shared" si="25"/>
        <v>Paris</v>
      </c>
      <c r="N530" t="s">
        <v>19</v>
      </c>
      <c r="O530" t="str">
        <f t="shared" si="26"/>
        <v>Bank Transfer</v>
      </c>
    </row>
    <row r="531" spans="3:15" x14ac:dyDescent="0.25">
      <c r="C531" t="s">
        <v>50</v>
      </c>
      <c r="D531" t="str">
        <f t="shared" si="24"/>
        <v>Electronics</v>
      </c>
      <c r="I531" t="s">
        <v>24</v>
      </c>
      <c r="J531" t="str">
        <f t="shared" si="25"/>
        <v>Paris</v>
      </c>
      <c r="N531" t="s">
        <v>19</v>
      </c>
      <c r="O531" t="str">
        <f t="shared" si="26"/>
        <v>Bank Transfer</v>
      </c>
    </row>
    <row r="532" spans="3:15" x14ac:dyDescent="0.25">
      <c r="C532" t="s">
        <v>30</v>
      </c>
      <c r="D532" t="str">
        <f t="shared" si="24"/>
        <v>Apparel</v>
      </c>
      <c r="I532" t="s">
        <v>33</v>
      </c>
      <c r="J532" t="str">
        <f t="shared" si="25"/>
        <v>Berlin</v>
      </c>
      <c r="N532" t="s">
        <v>61</v>
      </c>
      <c r="O532" t="str">
        <f t="shared" si="26"/>
        <v>Paypal</v>
      </c>
    </row>
    <row r="533" spans="3:15" x14ac:dyDescent="0.25">
      <c r="C533" t="s">
        <v>44</v>
      </c>
      <c r="D533" t="str">
        <f t="shared" si="24"/>
        <v>Furniture</v>
      </c>
      <c r="I533" t="s">
        <v>24</v>
      </c>
      <c r="J533" t="str">
        <f t="shared" si="25"/>
        <v>Paris</v>
      </c>
      <c r="N533" t="s">
        <v>19</v>
      </c>
      <c r="O533" t="str">
        <f t="shared" si="26"/>
        <v>Bank Transfer</v>
      </c>
    </row>
    <row r="534" spans="3:15" x14ac:dyDescent="0.25">
      <c r="C534" t="s">
        <v>37</v>
      </c>
      <c r="D534" t="str">
        <f t="shared" si="24"/>
        <v>Stationery</v>
      </c>
      <c r="I534" t="s">
        <v>24</v>
      </c>
      <c r="J534" t="str">
        <f t="shared" si="25"/>
        <v>Paris</v>
      </c>
      <c r="N534" t="s">
        <v>61</v>
      </c>
      <c r="O534" t="str">
        <f t="shared" si="26"/>
        <v>Paypal</v>
      </c>
    </row>
    <row r="535" spans="3:15" x14ac:dyDescent="0.25">
      <c r="C535" t="s">
        <v>20</v>
      </c>
      <c r="D535" t="str">
        <f t="shared" si="24"/>
        <v>Accessories</v>
      </c>
      <c r="I535" t="s">
        <v>33</v>
      </c>
      <c r="J535" t="str">
        <f t="shared" si="25"/>
        <v>Berlin</v>
      </c>
      <c r="N535" t="s">
        <v>19</v>
      </c>
      <c r="O535" t="str">
        <f t="shared" si="26"/>
        <v>Bank Transfer</v>
      </c>
    </row>
    <row r="536" spans="3:15" x14ac:dyDescent="0.25">
      <c r="C536" t="s">
        <v>30</v>
      </c>
      <c r="D536" t="str">
        <f t="shared" si="24"/>
        <v>Apparel</v>
      </c>
      <c r="I536" t="s">
        <v>33</v>
      </c>
      <c r="J536" t="str">
        <f t="shared" si="25"/>
        <v>Berlin</v>
      </c>
      <c r="N536" t="s">
        <v>61</v>
      </c>
      <c r="O536" t="str">
        <f t="shared" si="26"/>
        <v>Paypal</v>
      </c>
    </row>
    <row r="537" spans="3:15" x14ac:dyDescent="0.25">
      <c r="C537" t="s">
        <v>50</v>
      </c>
      <c r="D537" t="str">
        <f t="shared" si="24"/>
        <v>Electronics</v>
      </c>
      <c r="I537" t="s">
        <v>59</v>
      </c>
      <c r="J537" t="str">
        <f t="shared" si="25"/>
        <v>Rome</v>
      </c>
      <c r="N537" t="s">
        <v>61</v>
      </c>
      <c r="O537" t="str">
        <f t="shared" si="26"/>
        <v>Paypal</v>
      </c>
    </row>
    <row r="538" spans="3:15" x14ac:dyDescent="0.25">
      <c r="C538" s="5" t="s">
        <v>728</v>
      </c>
      <c r="D538" s="4" t="str">
        <f t="shared" si="24"/>
        <v>Apparel</v>
      </c>
      <c r="I538" t="s">
        <v>59</v>
      </c>
      <c r="J538" t="str">
        <f t="shared" si="25"/>
        <v>Rome</v>
      </c>
      <c r="N538" t="s">
        <v>19</v>
      </c>
      <c r="O538" t="str">
        <f t="shared" si="26"/>
        <v>Bank Transfer</v>
      </c>
    </row>
    <row r="539" spans="3:15" x14ac:dyDescent="0.25">
      <c r="C539" t="s">
        <v>44</v>
      </c>
      <c r="D539" t="str">
        <f t="shared" si="24"/>
        <v>Furniture</v>
      </c>
      <c r="I539" t="s">
        <v>39</v>
      </c>
      <c r="J539" t="str">
        <f t="shared" si="25"/>
        <v>Amsterdam</v>
      </c>
      <c r="N539" t="s">
        <v>19</v>
      </c>
      <c r="O539" t="str">
        <f t="shared" si="26"/>
        <v>Bank Transfer</v>
      </c>
    </row>
    <row r="540" spans="3:15" x14ac:dyDescent="0.25">
      <c r="C540" t="s">
        <v>44</v>
      </c>
      <c r="D540" t="str">
        <f t="shared" si="24"/>
        <v>Furniture</v>
      </c>
      <c r="I540" t="s">
        <v>39</v>
      </c>
      <c r="J540" t="str">
        <f t="shared" si="25"/>
        <v>Amsterdam</v>
      </c>
      <c r="N540" t="s">
        <v>19</v>
      </c>
      <c r="O540" t="str">
        <f t="shared" si="26"/>
        <v>Bank Transfer</v>
      </c>
    </row>
    <row r="541" spans="3:15" x14ac:dyDescent="0.25">
      <c r="C541" t="s">
        <v>20</v>
      </c>
      <c r="D541" t="str">
        <f t="shared" si="24"/>
        <v>Accessories</v>
      </c>
      <c r="I541" t="s">
        <v>39</v>
      </c>
      <c r="J541" t="str">
        <f t="shared" si="25"/>
        <v>Amsterdam</v>
      </c>
      <c r="N541" t="s">
        <v>61</v>
      </c>
      <c r="O541" t="str">
        <f t="shared" si="26"/>
        <v>Paypal</v>
      </c>
    </row>
    <row r="542" spans="3:15" x14ac:dyDescent="0.25">
      <c r="C542" t="s">
        <v>20</v>
      </c>
      <c r="D542" t="str">
        <f t="shared" si="24"/>
        <v>Accessories</v>
      </c>
      <c r="I542" t="s">
        <v>24</v>
      </c>
      <c r="J542" t="str">
        <f t="shared" si="25"/>
        <v>Paris</v>
      </c>
      <c r="N542" t="s">
        <v>19</v>
      </c>
      <c r="O542" t="str">
        <f t="shared" si="26"/>
        <v>Bank Transfer</v>
      </c>
    </row>
    <row r="543" spans="3:15" x14ac:dyDescent="0.25">
      <c r="C543" t="s">
        <v>20</v>
      </c>
      <c r="D543" t="str">
        <f t="shared" si="24"/>
        <v>Accessories</v>
      </c>
      <c r="I543" t="s">
        <v>81</v>
      </c>
      <c r="J543" t="str">
        <f t="shared" si="25"/>
        <v>London</v>
      </c>
      <c r="N543" t="s">
        <v>29</v>
      </c>
      <c r="O543" t="str">
        <f t="shared" si="26"/>
        <v>Credit Card</v>
      </c>
    </row>
    <row r="544" spans="3:15" x14ac:dyDescent="0.25">
      <c r="C544" t="s">
        <v>30</v>
      </c>
      <c r="D544" t="str">
        <f t="shared" si="24"/>
        <v>Apparel</v>
      </c>
      <c r="I544" t="s">
        <v>81</v>
      </c>
      <c r="J544" t="str">
        <f t="shared" si="25"/>
        <v>London</v>
      </c>
      <c r="N544" t="s">
        <v>19</v>
      </c>
      <c r="O544" t="str">
        <f t="shared" si="26"/>
        <v>Bank Transfer</v>
      </c>
    </row>
    <row r="545" spans="3:15" x14ac:dyDescent="0.25">
      <c r="C545" t="s">
        <v>50</v>
      </c>
      <c r="D545" t="str">
        <f t="shared" si="24"/>
        <v>Electronics</v>
      </c>
      <c r="I545" t="s">
        <v>81</v>
      </c>
      <c r="J545" t="str">
        <f t="shared" si="25"/>
        <v>London</v>
      </c>
      <c r="N545" t="s">
        <v>61</v>
      </c>
      <c r="O545" t="str">
        <f t="shared" si="26"/>
        <v>Paypal</v>
      </c>
    </row>
    <row r="546" spans="3:15" x14ac:dyDescent="0.25">
      <c r="C546" t="s">
        <v>20</v>
      </c>
      <c r="D546" t="str">
        <f t="shared" si="24"/>
        <v>Accessories</v>
      </c>
      <c r="I546" t="s">
        <v>81</v>
      </c>
      <c r="J546" t="str">
        <f t="shared" si="25"/>
        <v>London</v>
      </c>
      <c r="N546" t="s">
        <v>29</v>
      </c>
      <c r="O546" t="str">
        <f t="shared" si="26"/>
        <v>Credit Card</v>
      </c>
    </row>
    <row r="547" spans="3:15" x14ac:dyDescent="0.25">
      <c r="C547" t="s">
        <v>37</v>
      </c>
      <c r="D547" t="str">
        <f t="shared" si="24"/>
        <v>Stationery</v>
      </c>
      <c r="I547" t="s">
        <v>81</v>
      </c>
      <c r="J547" t="str">
        <f t="shared" si="25"/>
        <v>London</v>
      </c>
      <c r="N547" t="s">
        <v>19</v>
      </c>
      <c r="O547" t="str">
        <f t="shared" si="26"/>
        <v>Bank Transfer</v>
      </c>
    </row>
    <row r="548" spans="3:15" x14ac:dyDescent="0.25">
      <c r="C548" t="s">
        <v>20</v>
      </c>
      <c r="D548" t="str">
        <f t="shared" si="24"/>
        <v>Accessories</v>
      </c>
      <c r="I548" t="s">
        <v>81</v>
      </c>
      <c r="J548" t="str">
        <f t="shared" si="25"/>
        <v>London</v>
      </c>
      <c r="N548" t="s">
        <v>61</v>
      </c>
      <c r="O548" t="str">
        <f t="shared" si="26"/>
        <v>Paypal</v>
      </c>
    </row>
    <row r="549" spans="3:15" x14ac:dyDescent="0.25">
      <c r="C549" t="s">
        <v>44</v>
      </c>
      <c r="D549" t="str">
        <f t="shared" si="24"/>
        <v>Furniture</v>
      </c>
      <c r="I549" t="s">
        <v>59</v>
      </c>
      <c r="J549" t="str">
        <f t="shared" si="25"/>
        <v>Rome</v>
      </c>
      <c r="N549" t="s">
        <v>61</v>
      </c>
      <c r="O549" t="str">
        <f t="shared" si="26"/>
        <v>Paypal</v>
      </c>
    </row>
    <row r="550" spans="3:15" x14ac:dyDescent="0.25">
      <c r="C550" t="s">
        <v>50</v>
      </c>
      <c r="D550" t="str">
        <f t="shared" si="24"/>
        <v>Electronics</v>
      </c>
      <c r="I550" t="s">
        <v>39</v>
      </c>
      <c r="J550" t="str">
        <f t="shared" si="25"/>
        <v>Amsterdam</v>
      </c>
      <c r="N550" t="s">
        <v>19</v>
      </c>
      <c r="O550" t="str">
        <f t="shared" si="26"/>
        <v>Bank Transfer</v>
      </c>
    </row>
    <row r="551" spans="3:15" x14ac:dyDescent="0.25">
      <c r="C551" t="s">
        <v>50</v>
      </c>
      <c r="D551" t="str">
        <f t="shared" si="24"/>
        <v>Electronics</v>
      </c>
      <c r="I551" t="s">
        <v>33</v>
      </c>
      <c r="J551" t="str">
        <f t="shared" si="25"/>
        <v>Berlin</v>
      </c>
      <c r="N551" t="s">
        <v>29</v>
      </c>
      <c r="O551" t="str">
        <f t="shared" si="26"/>
        <v>Credit Card</v>
      </c>
    </row>
    <row r="552" spans="3:15" x14ac:dyDescent="0.25">
      <c r="C552" t="s">
        <v>20</v>
      </c>
      <c r="D552" t="str">
        <f t="shared" si="24"/>
        <v>Accessories</v>
      </c>
      <c r="I552" t="s">
        <v>39</v>
      </c>
      <c r="J552" t="str">
        <f t="shared" si="25"/>
        <v>Amsterdam</v>
      </c>
      <c r="N552" t="s">
        <v>29</v>
      </c>
      <c r="O552" t="str">
        <f t="shared" si="26"/>
        <v>Credit Card</v>
      </c>
    </row>
    <row r="553" spans="3:15" x14ac:dyDescent="0.25">
      <c r="C553" t="s">
        <v>44</v>
      </c>
      <c r="D553" t="str">
        <f t="shared" si="24"/>
        <v>Furniture</v>
      </c>
      <c r="I553" t="s">
        <v>33</v>
      </c>
      <c r="J553" t="str">
        <f t="shared" si="25"/>
        <v>Berlin</v>
      </c>
      <c r="N553" t="s">
        <v>61</v>
      </c>
      <c r="O553" t="str">
        <f t="shared" si="26"/>
        <v>Paypal</v>
      </c>
    </row>
    <row r="554" spans="3:15" x14ac:dyDescent="0.25">
      <c r="C554" t="s">
        <v>30</v>
      </c>
      <c r="D554" t="str">
        <f t="shared" si="24"/>
        <v>Apparel</v>
      </c>
      <c r="I554" t="s">
        <v>24</v>
      </c>
      <c r="J554" t="str">
        <f t="shared" si="25"/>
        <v>Paris</v>
      </c>
      <c r="N554" t="s">
        <v>29</v>
      </c>
      <c r="O554" t="str">
        <f t="shared" si="26"/>
        <v>Credit Card</v>
      </c>
    </row>
    <row r="555" spans="3:15" x14ac:dyDescent="0.25">
      <c r="C555" t="s">
        <v>44</v>
      </c>
      <c r="D555" t="str">
        <f t="shared" si="24"/>
        <v>Furniture</v>
      </c>
      <c r="I555" t="s">
        <v>59</v>
      </c>
      <c r="J555" t="str">
        <f t="shared" si="25"/>
        <v>Rome</v>
      </c>
      <c r="N555" t="s">
        <v>19</v>
      </c>
      <c r="O555" t="str">
        <f t="shared" si="26"/>
        <v>Bank Transfer</v>
      </c>
    </row>
    <row r="556" spans="3:15" x14ac:dyDescent="0.25">
      <c r="C556" t="s">
        <v>37</v>
      </c>
      <c r="D556" t="str">
        <f t="shared" si="24"/>
        <v>Stationery</v>
      </c>
      <c r="I556" t="s">
        <v>81</v>
      </c>
      <c r="J556" t="str">
        <f t="shared" si="25"/>
        <v>London</v>
      </c>
      <c r="N556" t="s">
        <v>61</v>
      </c>
      <c r="O556" t="str">
        <f t="shared" si="26"/>
        <v>Paypal</v>
      </c>
    </row>
    <row r="557" spans="3:15" x14ac:dyDescent="0.25">
      <c r="C557" t="s">
        <v>20</v>
      </c>
      <c r="D557" t="str">
        <f t="shared" si="24"/>
        <v>Accessories</v>
      </c>
      <c r="I557" t="s">
        <v>81</v>
      </c>
      <c r="J557" t="str">
        <f t="shared" si="25"/>
        <v>London</v>
      </c>
      <c r="N557" t="s">
        <v>61</v>
      </c>
      <c r="O557" t="str">
        <f t="shared" si="26"/>
        <v>Paypal</v>
      </c>
    </row>
    <row r="558" spans="3:15" x14ac:dyDescent="0.25">
      <c r="C558" t="s">
        <v>50</v>
      </c>
      <c r="D558" t="str">
        <f t="shared" si="24"/>
        <v>Electronics</v>
      </c>
      <c r="I558" t="s">
        <v>81</v>
      </c>
      <c r="J558" t="str">
        <f t="shared" si="25"/>
        <v>London</v>
      </c>
      <c r="N558" t="s">
        <v>61</v>
      </c>
      <c r="O558" t="str">
        <f t="shared" si="26"/>
        <v>Paypal</v>
      </c>
    </row>
    <row r="559" spans="3:15" x14ac:dyDescent="0.25">
      <c r="C559" t="s">
        <v>30</v>
      </c>
      <c r="D559" t="str">
        <f t="shared" si="24"/>
        <v>Apparel</v>
      </c>
      <c r="I559" t="s">
        <v>39</v>
      </c>
      <c r="J559" t="str">
        <f t="shared" si="25"/>
        <v>Amsterdam</v>
      </c>
      <c r="N559" t="s">
        <v>61</v>
      </c>
      <c r="O559" t="str">
        <f t="shared" si="26"/>
        <v>Paypal</v>
      </c>
    </row>
    <row r="560" spans="3:15" x14ac:dyDescent="0.25">
      <c r="C560" t="s">
        <v>20</v>
      </c>
      <c r="D560" t="str">
        <f t="shared" si="24"/>
        <v>Accessories</v>
      </c>
      <c r="I560" t="s">
        <v>59</v>
      </c>
      <c r="J560" t="str">
        <f t="shared" si="25"/>
        <v>Rome</v>
      </c>
      <c r="N560" t="s">
        <v>29</v>
      </c>
      <c r="O560" t="str">
        <f t="shared" si="26"/>
        <v>Credit Card</v>
      </c>
    </row>
    <row r="561" spans="3:15" x14ac:dyDescent="0.25">
      <c r="C561" t="s">
        <v>50</v>
      </c>
      <c r="D561" t="str">
        <f t="shared" si="24"/>
        <v>Electronics</v>
      </c>
      <c r="I561" t="s">
        <v>39</v>
      </c>
      <c r="J561" t="str">
        <f t="shared" si="25"/>
        <v>Amsterdam</v>
      </c>
      <c r="N561" t="s">
        <v>61</v>
      </c>
      <c r="O561" t="str">
        <f t="shared" si="26"/>
        <v>Paypal</v>
      </c>
    </row>
    <row r="562" spans="3:15" x14ac:dyDescent="0.25">
      <c r="C562" t="s">
        <v>20</v>
      </c>
      <c r="D562" t="str">
        <f t="shared" si="24"/>
        <v>Accessories</v>
      </c>
      <c r="I562" t="s">
        <v>33</v>
      </c>
      <c r="J562" t="str">
        <f t="shared" si="25"/>
        <v>Berlin</v>
      </c>
      <c r="N562" t="s">
        <v>29</v>
      </c>
      <c r="O562" t="str">
        <f t="shared" si="26"/>
        <v>Credit Card</v>
      </c>
    </row>
    <row r="563" spans="3:15" x14ac:dyDescent="0.25">
      <c r="C563" t="s">
        <v>20</v>
      </c>
      <c r="D563" t="str">
        <f t="shared" si="24"/>
        <v>Accessories</v>
      </c>
      <c r="I563" t="s">
        <v>59</v>
      </c>
      <c r="J563" t="str">
        <f t="shared" si="25"/>
        <v>Rome</v>
      </c>
      <c r="N563" t="s">
        <v>61</v>
      </c>
      <c r="O563" t="str">
        <f t="shared" si="26"/>
        <v>Paypal</v>
      </c>
    </row>
    <row r="564" spans="3:15" x14ac:dyDescent="0.25">
      <c r="C564" t="s">
        <v>44</v>
      </c>
      <c r="D564" t="str">
        <f t="shared" si="24"/>
        <v>Furniture</v>
      </c>
      <c r="I564" t="s">
        <v>39</v>
      </c>
      <c r="J564" t="str">
        <f t="shared" si="25"/>
        <v>Amsterdam</v>
      </c>
      <c r="N564" t="s">
        <v>61</v>
      </c>
      <c r="O564" t="str">
        <f t="shared" si="26"/>
        <v>Paypal</v>
      </c>
    </row>
    <row r="565" spans="3:15" x14ac:dyDescent="0.25">
      <c r="C565" t="s">
        <v>20</v>
      </c>
      <c r="D565" t="str">
        <f t="shared" si="24"/>
        <v>Accessories</v>
      </c>
      <c r="I565" t="s">
        <v>24</v>
      </c>
      <c r="J565" t="str">
        <f t="shared" si="25"/>
        <v>Paris</v>
      </c>
      <c r="N565" t="s">
        <v>29</v>
      </c>
      <c r="O565" t="str">
        <f t="shared" si="26"/>
        <v>Credit Card</v>
      </c>
    </row>
    <row r="566" spans="3:15" x14ac:dyDescent="0.25">
      <c r="C566" t="s">
        <v>30</v>
      </c>
      <c r="D566" t="str">
        <f t="shared" si="24"/>
        <v>Apparel</v>
      </c>
      <c r="I566" t="s">
        <v>59</v>
      </c>
      <c r="J566" t="str">
        <f t="shared" si="25"/>
        <v>Rome</v>
      </c>
      <c r="N566" t="s">
        <v>29</v>
      </c>
      <c r="O566" t="str">
        <f t="shared" si="26"/>
        <v>Credit Card</v>
      </c>
    </row>
    <row r="567" spans="3:15" x14ac:dyDescent="0.25">
      <c r="C567" t="s">
        <v>20</v>
      </c>
      <c r="D567" t="str">
        <f t="shared" si="24"/>
        <v>Accessories</v>
      </c>
      <c r="I567" t="s">
        <v>81</v>
      </c>
      <c r="J567" t="str">
        <f t="shared" si="25"/>
        <v>London</v>
      </c>
      <c r="N567" t="s">
        <v>29</v>
      </c>
      <c r="O567" t="str">
        <f t="shared" si="26"/>
        <v>Credit Card</v>
      </c>
    </row>
    <row r="568" spans="3:15" x14ac:dyDescent="0.25">
      <c r="C568" t="s">
        <v>30</v>
      </c>
      <c r="D568" t="str">
        <f t="shared" si="24"/>
        <v>Apparel</v>
      </c>
      <c r="I568" t="s">
        <v>81</v>
      </c>
      <c r="J568" t="str">
        <f t="shared" si="25"/>
        <v>London</v>
      </c>
      <c r="N568" t="s">
        <v>19</v>
      </c>
      <c r="O568" t="str">
        <f t="shared" si="26"/>
        <v>Bank Transfer</v>
      </c>
    </row>
    <row r="569" spans="3:15" x14ac:dyDescent="0.25">
      <c r="C569" t="s">
        <v>37</v>
      </c>
      <c r="D569" t="str">
        <f t="shared" si="24"/>
        <v>Stationery</v>
      </c>
      <c r="I569" t="s">
        <v>81</v>
      </c>
      <c r="J569" t="str">
        <f t="shared" si="25"/>
        <v>London</v>
      </c>
      <c r="N569" t="s">
        <v>29</v>
      </c>
      <c r="O569" t="str">
        <f t="shared" si="26"/>
        <v>Credit Card</v>
      </c>
    </row>
    <row r="570" spans="3:15" x14ac:dyDescent="0.25">
      <c r="C570" t="s">
        <v>20</v>
      </c>
      <c r="D570" t="str">
        <f t="shared" si="24"/>
        <v>Accessories</v>
      </c>
      <c r="I570" t="s">
        <v>24</v>
      </c>
      <c r="J570" t="str">
        <f t="shared" si="25"/>
        <v>Paris</v>
      </c>
      <c r="N570" t="s">
        <v>19</v>
      </c>
      <c r="O570" t="str">
        <f t="shared" si="26"/>
        <v>Bank Transfer</v>
      </c>
    </row>
    <row r="571" spans="3:15" x14ac:dyDescent="0.25">
      <c r="C571" t="s">
        <v>50</v>
      </c>
      <c r="D571" t="str">
        <f t="shared" si="24"/>
        <v>Electronics</v>
      </c>
      <c r="I571" t="s">
        <v>81</v>
      </c>
      <c r="J571" t="str">
        <f t="shared" si="25"/>
        <v>London</v>
      </c>
      <c r="N571" t="s">
        <v>19</v>
      </c>
      <c r="O571" t="str">
        <f t="shared" si="26"/>
        <v>Bank Transfer</v>
      </c>
    </row>
    <row r="572" spans="3:15" x14ac:dyDescent="0.25">
      <c r="C572" t="s">
        <v>50</v>
      </c>
      <c r="D572" t="str">
        <f t="shared" si="24"/>
        <v>Electronics</v>
      </c>
      <c r="I572" t="s">
        <v>81</v>
      </c>
      <c r="J572" t="str">
        <f t="shared" si="25"/>
        <v>London</v>
      </c>
      <c r="N572" t="s">
        <v>61</v>
      </c>
      <c r="O572" t="str">
        <f t="shared" si="26"/>
        <v>Paypal</v>
      </c>
    </row>
    <row r="573" spans="3:15" x14ac:dyDescent="0.25">
      <c r="C573" t="s">
        <v>44</v>
      </c>
      <c r="D573" t="str">
        <f t="shared" si="24"/>
        <v>Furniture</v>
      </c>
      <c r="I573" t="s">
        <v>24</v>
      </c>
      <c r="J573" t="str">
        <f t="shared" si="25"/>
        <v>Paris</v>
      </c>
      <c r="N573" t="s">
        <v>19</v>
      </c>
      <c r="O573" t="str">
        <f t="shared" si="26"/>
        <v>Bank Transfer</v>
      </c>
    </row>
    <row r="574" spans="3:15" x14ac:dyDescent="0.25">
      <c r="C574" t="s">
        <v>50</v>
      </c>
      <c r="D574" t="str">
        <f t="shared" si="24"/>
        <v>Electronics</v>
      </c>
      <c r="I574" t="s">
        <v>24</v>
      </c>
      <c r="J574" t="str">
        <f t="shared" si="25"/>
        <v>Paris</v>
      </c>
      <c r="N574" t="s">
        <v>29</v>
      </c>
      <c r="O574" t="str">
        <f t="shared" si="26"/>
        <v>Credit Card</v>
      </c>
    </row>
    <row r="575" spans="3:15" x14ac:dyDescent="0.25">
      <c r="C575" t="s">
        <v>30</v>
      </c>
      <c r="D575" t="str">
        <f t="shared" si="24"/>
        <v>Apparel</v>
      </c>
      <c r="I575" t="s">
        <v>33</v>
      </c>
      <c r="J575" t="str">
        <f t="shared" si="25"/>
        <v>Berlin</v>
      </c>
      <c r="N575" t="s">
        <v>19</v>
      </c>
      <c r="O575" t="str">
        <f t="shared" si="26"/>
        <v>Bank Transfer</v>
      </c>
    </row>
    <row r="576" spans="3:15" x14ac:dyDescent="0.25">
      <c r="C576" t="s">
        <v>37</v>
      </c>
      <c r="D576" t="str">
        <f t="shared" si="24"/>
        <v>Stationery</v>
      </c>
      <c r="I576" t="s">
        <v>39</v>
      </c>
      <c r="J576" t="str">
        <f t="shared" si="25"/>
        <v>Amsterdam</v>
      </c>
      <c r="N576" t="s">
        <v>29</v>
      </c>
      <c r="O576" t="str">
        <f t="shared" si="26"/>
        <v>Credit Card</v>
      </c>
    </row>
    <row r="577" spans="3:15" x14ac:dyDescent="0.25">
      <c r="C577" t="s">
        <v>50</v>
      </c>
      <c r="D577" t="str">
        <f t="shared" si="24"/>
        <v>Electronics</v>
      </c>
      <c r="I577" t="s">
        <v>24</v>
      </c>
      <c r="J577" t="str">
        <f t="shared" si="25"/>
        <v>Paris</v>
      </c>
      <c r="N577" t="s">
        <v>61</v>
      </c>
      <c r="O577" t="str">
        <f t="shared" si="26"/>
        <v>Paypal</v>
      </c>
    </row>
    <row r="578" spans="3:15" x14ac:dyDescent="0.25">
      <c r="C578" t="s">
        <v>44</v>
      </c>
      <c r="D578" t="str">
        <f t="shared" si="24"/>
        <v>Furniture</v>
      </c>
      <c r="I578" t="s">
        <v>59</v>
      </c>
      <c r="J578" t="str">
        <f t="shared" si="25"/>
        <v>Rome</v>
      </c>
      <c r="N578" t="s">
        <v>29</v>
      </c>
      <c r="O578" t="str">
        <f t="shared" si="26"/>
        <v>Credit Card</v>
      </c>
    </row>
    <row r="579" spans="3:15" x14ac:dyDescent="0.25">
      <c r="C579" t="s">
        <v>44</v>
      </c>
      <c r="D579" t="str">
        <f t="shared" si="24"/>
        <v>Furniture</v>
      </c>
      <c r="I579" t="s">
        <v>81</v>
      </c>
      <c r="J579" t="str">
        <f t="shared" si="25"/>
        <v>London</v>
      </c>
      <c r="N579" t="s">
        <v>29</v>
      </c>
      <c r="O579" t="str">
        <f t="shared" si="26"/>
        <v>Credit Card</v>
      </c>
    </row>
    <row r="580" spans="3:15" x14ac:dyDescent="0.25">
      <c r="C580" t="s">
        <v>37</v>
      </c>
      <c r="D580" t="str">
        <f t="shared" si="24"/>
        <v>Stationery</v>
      </c>
      <c r="I580" t="s">
        <v>81</v>
      </c>
      <c r="J580" t="str">
        <f t="shared" si="25"/>
        <v>London</v>
      </c>
      <c r="N580" t="s">
        <v>19</v>
      </c>
      <c r="O580" t="str">
        <f t="shared" si="26"/>
        <v>Bank Transfer</v>
      </c>
    </row>
    <row r="581" spans="3:15" x14ac:dyDescent="0.25">
      <c r="C581" t="s">
        <v>50</v>
      </c>
      <c r="D581" t="str">
        <f t="shared" si="24"/>
        <v>Electronics</v>
      </c>
      <c r="I581" t="s">
        <v>24</v>
      </c>
      <c r="J581" t="str">
        <f t="shared" si="25"/>
        <v>Paris</v>
      </c>
      <c r="N581" t="s">
        <v>19</v>
      </c>
      <c r="O581" t="str">
        <f t="shared" si="26"/>
        <v>Bank Transfer</v>
      </c>
    </row>
    <row r="582" spans="3:15" x14ac:dyDescent="0.25">
      <c r="C582" t="s">
        <v>30</v>
      </c>
      <c r="D582" t="str">
        <f t="shared" ref="D582:D645" si="27">PROPER(C582)</f>
        <v>Apparel</v>
      </c>
      <c r="I582" t="s">
        <v>39</v>
      </c>
      <c r="J582" t="str">
        <f t="shared" ref="J582:J645" si="28">PROPER(I582)</f>
        <v>Amsterdam</v>
      </c>
      <c r="N582" t="s">
        <v>29</v>
      </c>
      <c r="O582" t="str">
        <f t="shared" ref="O582:O645" si="29">IF(N582="paypall","Paypal",N582)</f>
        <v>Credit Card</v>
      </c>
    </row>
    <row r="583" spans="3:15" x14ac:dyDescent="0.25">
      <c r="C583" t="s">
        <v>37</v>
      </c>
      <c r="D583" t="str">
        <f t="shared" si="27"/>
        <v>Stationery</v>
      </c>
      <c r="I583" t="s">
        <v>39</v>
      </c>
      <c r="J583" t="str">
        <f t="shared" si="28"/>
        <v>Amsterdam</v>
      </c>
      <c r="N583" t="s">
        <v>29</v>
      </c>
      <c r="O583" t="str">
        <f t="shared" si="29"/>
        <v>Credit Card</v>
      </c>
    </row>
    <row r="584" spans="3:15" x14ac:dyDescent="0.25">
      <c r="C584" t="s">
        <v>44</v>
      </c>
      <c r="D584" t="str">
        <f t="shared" si="27"/>
        <v>Furniture</v>
      </c>
      <c r="I584" t="s">
        <v>24</v>
      </c>
      <c r="J584" t="str">
        <f t="shared" si="28"/>
        <v>Paris</v>
      </c>
      <c r="N584" t="s">
        <v>61</v>
      </c>
      <c r="O584" t="str">
        <f t="shared" si="29"/>
        <v>Paypal</v>
      </c>
    </row>
    <row r="585" spans="3:15" x14ac:dyDescent="0.25">
      <c r="C585" t="s">
        <v>30</v>
      </c>
      <c r="D585" t="str">
        <f t="shared" si="27"/>
        <v>Apparel</v>
      </c>
      <c r="I585" t="s">
        <v>24</v>
      </c>
      <c r="J585" t="str">
        <f t="shared" si="28"/>
        <v>Paris</v>
      </c>
      <c r="N585" t="s">
        <v>61</v>
      </c>
      <c r="O585" t="str">
        <f t="shared" si="29"/>
        <v>Paypal</v>
      </c>
    </row>
    <row r="586" spans="3:15" x14ac:dyDescent="0.25">
      <c r="C586" t="s">
        <v>37</v>
      </c>
      <c r="D586" t="str">
        <f t="shared" si="27"/>
        <v>Stationery</v>
      </c>
      <c r="I586" t="s">
        <v>39</v>
      </c>
      <c r="J586" t="str">
        <f t="shared" si="28"/>
        <v>Amsterdam</v>
      </c>
      <c r="N586" t="s">
        <v>61</v>
      </c>
      <c r="O586" t="str">
        <f t="shared" si="29"/>
        <v>Paypal</v>
      </c>
    </row>
    <row r="587" spans="3:15" x14ac:dyDescent="0.25">
      <c r="C587" s="5" t="s">
        <v>729</v>
      </c>
      <c r="D587" s="4" t="str">
        <f t="shared" si="27"/>
        <v>Furniture</v>
      </c>
      <c r="I587" t="s">
        <v>59</v>
      </c>
      <c r="J587" t="str">
        <f t="shared" si="28"/>
        <v>Rome</v>
      </c>
      <c r="N587" t="s">
        <v>19</v>
      </c>
      <c r="O587" t="str">
        <f t="shared" si="29"/>
        <v>Bank Transfer</v>
      </c>
    </row>
    <row r="588" spans="3:15" x14ac:dyDescent="0.25">
      <c r="C588" t="s">
        <v>20</v>
      </c>
      <c r="D588" t="str">
        <f t="shared" si="27"/>
        <v>Accessories</v>
      </c>
      <c r="I588" t="s">
        <v>81</v>
      </c>
      <c r="J588" t="str">
        <f t="shared" si="28"/>
        <v>London</v>
      </c>
      <c r="N588" t="s">
        <v>61</v>
      </c>
      <c r="O588" t="str">
        <f t="shared" si="29"/>
        <v>Paypal</v>
      </c>
    </row>
    <row r="589" spans="3:15" x14ac:dyDescent="0.25">
      <c r="C589" t="s">
        <v>20</v>
      </c>
      <c r="D589" t="str">
        <f t="shared" si="27"/>
        <v>Accessories</v>
      </c>
      <c r="I589" t="s">
        <v>39</v>
      </c>
      <c r="J589" t="str">
        <f t="shared" si="28"/>
        <v>Amsterdam</v>
      </c>
      <c r="N589" t="s">
        <v>29</v>
      </c>
      <c r="O589" t="str">
        <f t="shared" si="29"/>
        <v>Credit Card</v>
      </c>
    </row>
    <row r="590" spans="3:15" x14ac:dyDescent="0.25">
      <c r="C590" t="s">
        <v>30</v>
      </c>
      <c r="D590" t="str">
        <f t="shared" si="27"/>
        <v>Apparel</v>
      </c>
      <c r="I590" t="s">
        <v>33</v>
      </c>
      <c r="J590" t="str">
        <f t="shared" si="28"/>
        <v>Berlin</v>
      </c>
      <c r="N590" t="s">
        <v>29</v>
      </c>
      <c r="O590" t="str">
        <f t="shared" si="29"/>
        <v>Credit Card</v>
      </c>
    </row>
    <row r="591" spans="3:15" x14ac:dyDescent="0.25">
      <c r="C591" t="s">
        <v>20</v>
      </c>
      <c r="D591" t="str">
        <f t="shared" si="27"/>
        <v>Accessories</v>
      </c>
      <c r="I591" t="s">
        <v>81</v>
      </c>
      <c r="J591" t="str">
        <f t="shared" si="28"/>
        <v>London</v>
      </c>
      <c r="N591" t="s">
        <v>19</v>
      </c>
      <c r="O591" t="str">
        <f t="shared" si="29"/>
        <v>Bank Transfer</v>
      </c>
    </row>
    <row r="592" spans="3:15" x14ac:dyDescent="0.25">
      <c r="C592" t="s">
        <v>30</v>
      </c>
      <c r="D592" t="str">
        <f t="shared" si="27"/>
        <v>Apparel</v>
      </c>
      <c r="I592" t="s">
        <v>33</v>
      </c>
      <c r="J592" t="str">
        <f t="shared" si="28"/>
        <v>Berlin</v>
      </c>
      <c r="N592" t="s">
        <v>61</v>
      </c>
      <c r="O592" t="str">
        <f t="shared" si="29"/>
        <v>Paypal</v>
      </c>
    </row>
    <row r="593" spans="3:15" x14ac:dyDescent="0.25">
      <c r="C593" t="s">
        <v>30</v>
      </c>
      <c r="D593" t="str">
        <f t="shared" si="27"/>
        <v>Apparel</v>
      </c>
      <c r="I593" t="s">
        <v>81</v>
      </c>
      <c r="J593" t="str">
        <f t="shared" si="28"/>
        <v>London</v>
      </c>
      <c r="N593" t="s">
        <v>61</v>
      </c>
      <c r="O593" t="str">
        <f t="shared" si="29"/>
        <v>Paypal</v>
      </c>
    </row>
    <row r="594" spans="3:15" x14ac:dyDescent="0.25">
      <c r="C594" t="s">
        <v>44</v>
      </c>
      <c r="D594" t="str">
        <f t="shared" si="27"/>
        <v>Furniture</v>
      </c>
      <c r="I594" t="s">
        <v>59</v>
      </c>
      <c r="J594" t="str">
        <f t="shared" si="28"/>
        <v>Rome</v>
      </c>
      <c r="N594" t="s">
        <v>61</v>
      </c>
      <c r="O594" t="str">
        <f t="shared" si="29"/>
        <v>Paypal</v>
      </c>
    </row>
    <row r="595" spans="3:15" x14ac:dyDescent="0.25">
      <c r="C595" t="s">
        <v>20</v>
      </c>
      <c r="D595" t="str">
        <f t="shared" si="27"/>
        <v>Accessories</v>
      </c>
      <c r="I595" t="s">
        <v>59</v>
      </c>
      <c r="J595" t="str">
        <f t="shared" si="28"/>
        <v>Rome</v>
      </c>
      <c r="N595" t="s">
        <v>19</v>
      </c>
      <c r="O595" t="str">
        <f t="shared" si="29"/>
        <v>Bank Transfer</v>
      </c>
    </row>
    <row r="596" spans="3:15" x14ac:dyDescent="0.25">
      <c r="C596" t="s">
        <v>20</v>
      </c>
      <c r="D596" t="str">
        <f t="shared" si="27"/>
        <v>Accessories</v>
      </c>
      <c r="I596" t="s">
        <v>24</v>
      </c>
      <c r="J596" t="str">
        <f t="shared" si="28"/>
        <v>Paris</v>
      </c>
      <c r="N596" t="s">
        <v>19</v>
      </c>
      <c r="O596" t="str">
        <f t="shared" si="29"/>
        <v>Bank Transfer</v>
      </c>
    </row>
    <row r="597" spans="3:15" x14ac:dyDescent="0.25">
      <c r="C597" t="s">
        <v>50</v>
      </c>
      <c r="D597" t="str">
        <f t="shared" si="27"/>
        <v>Electronics</v>
      </c>
      <c r="I597" t="s">
        <v>39</v>
      </c>
      <c r="J597" t="str">
        <f t="shared" si="28"/>
        <v>Amsterdam</v>
      </c>
      <c r="N597" t="s">
        <v>19</v>
      </c>
      <c r="O597" t="str">
        <f t="shared" si="29"/>
        <v>Bank Transfer</v>
      </c>
    </row>
    <row r="598" spans="3:15" x14ac:dyDescent="0.25">
      <c r="C598" t="s">
        <v>37</v>
      </c>
      <c r="D598" t="str">
        <f t="shared" si="27"/>
        <v>Stationery</v>
      </c>
      <c r="I598" t="s">
        <v>59</v>
      </c>
      <c r="J598" t="str">
        <f t="shared" si="28"/>
        <v>Rome</v>
      </c>
      <c r="N598" t="s">
        <v>61</v>
      </c>
      <c r="O598" t="str">
        <f t="shared" si="29"/>
        <v>Paypal</v>
      </c>
    </row>
    <row r="599" spans="3:15" x14ac:dyDescent="0.25">
      <c r="C599" t="s">
        <v>44</v>
      </c>
      <c r="D599" t="str">
        <f t="shared" si="27"/>
        <v>Furniture</v>
      </c>
      <c r="I599" t="s">
        <v>59</v>
      </c>
      <c r="J599" t="str">
        <f t="shared" si="28"/>
        <v>Rome</v>
      </c>
      <c r="N599" t="s">
        <v>19</v>
      </c>
      <c r="O599" t="str">
        <f t="shared" si="29"/>
        <v>Bank Transfer</v>
      </c>
    </row>
    <row r="600" spans="3:15" x14ac:dyDescent="0.25">
      <c r="C600" t="s">
        <v>30</v>
      </c>
      <c r="D600" t="str">
        <f t="shared" si="27"/>
        <v>Apparel</v>
      </c>
      <c r="I600" t="s">
        <v>33</v>
      </c>
      <c r="J600" t="str">
        <f t="shared" si="28"/>
        <v>Berlin</v>
      </c>
      <c r="N600" t="s">
        <v>19</v>
      </c>
      <c r="O600" t="str">
        <f t="shared" si="29"/>
        <v>Bank Transfer</v>
      </c>
    </row>
    <row r="601" spans="3:15" x14ac:dyDescent="0.25">
      <c r="C601" t="s">
        <v>50</v>
      </c>
      <c r="D601" t="str">
        <f t="shared" si="27"/>
        <v>Electronics</v>
      </c>
      <c r="I601" t="s">
        <v>39</v>
      </c>
      <c r="J601" t="str">
        <f t="shared" si="28"/>
        <v>Amsterdam</v>
      </c>
      <c r="N601" t="s">
        <v>29</v>
      </c>
      <c r="O601" t="str">
        <f t="shared" si="29"/>
        <v>Credit Card</v>
      </c>
    </row>
    <row r="602" spans="3:15" x14ac:dyDescent="0.25">
      <c r="C602" t="s">
        <v>20</v>
      </c>
      <c r="D602" t="str">
        <f t="shared" si="27"/>
        <v>Accessories</v>
      </c>
      <c r="I602" t="s">
        <v>24</v>
      </c>
      <c r="J602" t="str">
        <f t="shared" si="28"/>
        <v>Paris</v>
      </c>
      <c r="N602" t="s">
        <v>61</v>
      </c>
      <c r="O602" t="str">
        <f t="shared" si="29"/>
        <v>Paypal</v>
      </c>
    </row>
    <row r="603" spans="3:15" x14ac:dyDescent="0.25">
      <c r="C603" t="s">
        <v>50</v>
      </c>
      <c r="D603" t="str">
        <f t="shared" si="27"/>
        <v>Electronics</v>
      </c>
      <c r="I603" t="s">
        <v>24</v>
      </c>
      <c r="J603" t="str">
        <f t="shared" si="28"/>
        <v>Paris</v>
      </c>
      <c r="N603" t="s">
        <v>61</v>
      </c>
      <c r="O603" t="str">
        <f t="shared" si="29"/>
        <v>Paypal</v>
      </c>
    </row>
    <row r="604" spans="3:15" x14ac:dyDescent="0.25">
      <c r="C604" t="s">
        <v>50</v>
      </c>
      <c r="D604" t="str">
        <f t="shared" si="27"/>
        <v>Electronics</v>
      </c>
      <c r="I604" t="s">
        <v>24</v>
      </c>
      <c r="J604" t="str">
        <f t="shared" si="28"/>
        <v>Paris</v>
      </c>
      <c r="N604" t="s">
        <v>19</v>
      </c>
      <c r="O604" t="str">
        <f t="shared" si="29"/>
        <v>Bank Transfer</v>
      </c>
    </row>
    <row r="605" spans="3:15" x14ac:dyDescent="0.25">
      <c r="C605" t="s">
        <v>30</v>
      </c>
      <c r="D605" t="str">
        <f t="shared" si="27"/>
        <v>Apparel</v>
      </c>
      <c r="I605" t="s">
        <v>59</v>
      </c>
      <c r="J605" t="str">
        <f t="shared" si="28"/>
        <v>Rome</v>
      </c>
      <c r="N605" t="s">
        <v>29</v>
      </c>
      <c r="O605" t="str">
        <f t="shared" si="29"/>
        <v>Credit Card</v>
      </c>
    </row>
    <row r="606" spans="3:15" x14ac:dyDescent="0.25">
      <c r="C606" t="s">
        <v>37</v>
      </c>
      <c r="D606" t="str">
        <f t="shared" si="27"/>
        <v>Stationery</v>
      </c>
      <c r="I606" t="s">
        <v>81</v>
      </c>
      <c r="J606" t="str">
        <f t="shared" si="28"/>
        <v>London</v>
      </c>
      <c r="N606" t="s">
        <v>29</v>
      </c>
      <c r="O606" t="str">
        <f t="shared" si="29"/>
        <v>Credit Card</v>
      </c>
    </row>
    <row r="607" spans="3:15" x14ac:dyDescent="0.25">
      <c r="C607" t="s">
        <v>37</v>
      </c>
      <c r="D607" t="str">
        <f t="shared" si="27"/>
        <v>Stationery</v>
      </c>
      <c r="I607" t="s">
        <v>59</v>
      </c>
      <c r="J607" t="str">
        <f t="shared" si="28"/>
        <v>Rome</v>
      </c>
      <c r="N607" t="s">
        <v>29</v>
      </c>
      <c r="O607" t="str">
        <f t="shared" si="29"/>
        <v>Credit Card</v>
      </c>
    </row>
    <row r="608" spans="3:15" x14ac:dyDescent="0.25">
      <c r="C608" t="s">
        <v>50</v>
      </c>
      <c r="D608" t="str">
        <f t="shared" si="27"/>
        <v>Electronics</v>
      </c>
      <c r="I608" t="s">
        <v>33</v>
      </c>
      <c r="J608" t="str">
        <f t="shared" si="28"/>
        <v>Berlin</v>
      </c>
      <c r="N608" t="s">
        <v>29</v>
      </c>
      <c r="O608" t="str">
        <f t="shared" si="29"/>
        <v>Credit Card</v>
      </c>
    </row>
    <row r="609" spans="3:15" x14ac:dyDescent="0.25">
      <c r="C609" t="s">
        <v>44</v>
      </c>
      <c r="D609" t="str">
        <f t="shared" si="27"/>
        <v>Furniture</v>
      </c>
      <c r="I609" t="s">
        <v>39</v>
      </c>
      <c r="J609" t="str">
        <f t="shared" si="28"/>
        <v>Amsterdam</v>
      </c>
      <c r="N609" t="s">
        <v>19</v>
      </c>
      <c r="O609" t="str">
        <f t="shared" si="29"/>
        <v>Bank Transfer</v>
      </c>
    </row>
    <row r="610" spans="3:15" x14ac:dyDescent="0.25">
      <c r="C610" t="s">
        <v>37</v>
      </c>
      <c r="D610" t="str">
        <f t="shared" si="27"/>
        <v>Stationery</v>
      </c>
      <c r="I610" t="s">
        <v>81</v>
      </c>
      <c r="J610" t="str">
        <f t="shared" si="28"/>
        <v>London</v>
      </c>
      <c r="N610" t="s">
        <v>61</v>
      </c>
      <c r="O610" t="str">
        <f t="shared" si="29"/>
        <v>Paypal</v>
      </c>
    </row>
    <row r="611" spans="3:15" x14ac:dyDescent="0.25">
      <c r="C611" t="s">
        <v>20</v>
      </c>
      <c r="D611" t="str">
        <f t="shared" si="27"/>
        <v>Accessories</v>
      </c>
      <c r="I611" t="s">
        <v>24</v>
      </c>
      <c r="J611" t="str">
        <f t="shared" si="28"/>
        <v>Paris</v>
      </c>
      <c r="N611" t="s">
        <v>19</v>
      </c>
      <c r="O611" t="str">
        <f t="shared" si="29"/>
        <v>Bank Transfer</v>
      </c>
    </row>
    <row r="612" spans="3:15" x14ac:dyDescent="0.25">
      <c r="C612" t="s">
        <v>37</v>
      </c>
      <c r="D612" t="str">
        <f t="shared" si="27"/>
        <v>Stationery</v>
      </c>
      <c r="I612" t="s">
        <v>59</v>
      </c>
      <c r="J612" t="str">
        <f t="shared" si="28"/>
        <v>Rome</v>
      </c>
      <c r="N612" t="s">
        <v>61</v>
      </c>
      <c r="O612" t="str">
        <f t="shared" si="29"/>
        <v>Paypal</v>
      </c>
    </row>
    <row r="613" spans="3:15" x14ac:dyDescent="0.25">
      <c r="C613" t="s">
        <v>37</v>
      </c>
      <c r="D613" t="str">
        <f t="shared" si="27"/>
        <v>Stationery</v>
      </c>
      <c r="I613" t="s">
        <v>39</v>
      </c>
      <c r="J613" t="str">
        <f t="shared" si="28"/>
        <v>Amsterdam</v>
      </c>
      <c r="N613" t="s">
        <v>61</v>
      </c>
      <c r="O613" t="str">
        <f t="shared" si="29"/>
        <v>Paypal</v>
      </c>
    </row>
    <row r="614" spans="3:15" x14ac:dyDescent="0.25">
      <c r="C614" t="s">
        <v>50</v>
      </c>
      <c r="D614" t="str">
        <f t="shared" si="27"/>
        <v>Electronics</v>
      </c>
      <c r="I614" t="s">
        <v>24</v>
      </c>
      <c r="J614" t="str">
        <f t="shared" si="28"/>
        <v>Paris</v>
      </c>
      <c r="N614" t="s">
        <v>29</v>
      </c>
      <c r="O614" t="str">
        <f t="shared" si="29"/>
        <v>Credit Card</v>
      </c>
    </row>
    <row r="615" spans="3:15" x14ac:dyDescent="0.25">
      <c r="C615" t="s">
        <v>37</v>
      </c>
      <c r="D615" t="str">
        <f t="shared" si="27"/>
        <v>Stationery</v>
      </c>
      <c r="I615" t="s">
        <v>59</v>
      </c>
      <c r="J615" t="str">
        <f t="shared" si="28"/>
        <v>Rome</v>
      </c>
      <c r="N615" t="s">
        <v>19</v>
      </c>
      <c r="O615" t="str">
        <f t="shared" si="29"/>
        <v>Bank Transfer</v>
      </c>
    </row>
    <row r="616" spans="3:15" x14ac:dyDescent="0.25">
      <c r="C616" t="s">
        <v>37</v>
      </c>
      <c r="D616" t="str">
        <f t="shared" si="27"/>
        <v>Stationery</v>
      </c>
      <c r="I616" t="s">
        <v>24</v>
      </c>
      <c r="J616" t="str">
        <f t="shared" si="28"/>
        <v>Paris</v>
      </c>
      <c r="N616" t="s">
        <v>61</v>
      </c>
      <c r="O616" t="str">
        <f t="shared" si="29"/>
        <v>Paypal</v>
      </c>
    </row>
    <row r="617" spans="3:15" x14ac:dyDescent="0.25">
      <c r="C617" t="s">
        <v>44</v>
      </c>
      <c r="D617" t="str">
        <f t="shared" si="27"/>
        <v>Furniture</v>
      </c>
      <c r="I617" t="s">
        <v>33</v>
      </c>
      <c r="J617" t="str">
        <f t="shared" si="28"/>
        <v>Berlin</v>
      </c>
      <c r="N617" t="s">
        <v>19</v>
      </c>
      <c r="O617" t="str">
        <f t="shared" si="29"/>
        <v>Bank Transfer</v>
      </c>
    </row>
    <row r="618" spans="3:15" x14ac:dyDescent="0.25">
      <c r="C618" t="s">
        <v>20</v>
      </c>
      <c r="D618" t="str">
        <f t="shared" si="27"/>
        <v>Accessories</v>
      </c>
      <c r="I618" t="s">
        <v>39</v>
      </c>
      <c r="J618" t="str">
        <f t="shared" si="28"/>
        <v>Amsterdam</v>
      </c>
      <c r="N618" t="s">
        <v>61</v>
      </c>
      <c r="O618" t="str">
        <f t="shared" si="29"/>
        <v>Paypal</v>
      </c>
    </row>
    <row r="619" spans="3:15" x14ac:dyDescent="0.25">
      <c r="C619" t="s">
        <v>37</v>
      </c>
      <c r="D619" t="str">
        <f t="shared" si="27"/>
        <v>Stationery</v>
      </c>
      <c r="I619" t="s">
        <v>81</v>
      </c>
      <c r="J619" t="str">
        <f t="shared" si="28"/>
        <v>London</v>
      </c>
      <c r="N619" t="s">
        <v>29</v>
      </c>
      <c r="O619" t="str">
        <f t="shared" si="29"/>
        <v>Credit Card</v>
      </c>
    </row>
    <row r="620" spans="3:15" x14ac:dyDescent="0.25">
      <c r="C620" t="s">
        <v>20</v>
      </c>
      <c r="D620" t="str">
        <f t="shared" si="27"/>
        <v>Accessories</v>
      </c>
      <c r="I620" t="s">
        <v>33</v>
      </c>
      <c r="J620" t="str">
        <f t="shared" si="28"/>
        <v>Berlin</v>
      </c>
      <c r="N620" t="s">
        <v>19</v>
      </c>
      <c r="O620" t="str">
        <f t="shared" si="29"/>
        <v>Bank Transfer</v>
      </c>
    </row>
    <row r="621" spans="3:15" x14ac:dyDescent="0.25">
      <c r="C621" t="s">
        <v>44</v>
      </c>
      <c r="D621" t="str">
        <f t="shared" si="27"/>
        <v>Furniture</v>
      </c>
      <c r="I621" t="s">
        <v>33</v>
      </c>
      <c r="J621" t="str">
        <f t="shared" si="28"/>
        <v>Berlin</v>
      </c>
      <c r="N621" t="s">
        <v>19</v>
      </c>
      <c r="O621" t="str">
        <f t="shared" si="29"/>
        <v>Bank Transfer</v>
      </c>
    </row>
    <row r="622" spans="3:15" x14ac:dyDescent="0.25">
      <c r="C622" t="s">
        <v>50</v>
      </c>
      <c r="D622" t="str">
        <f t="shared" si="27"/>
        <v>Electronics</v>
      </c>
      <c r="I622" t="s">
        <v>33</v>
      </c>
      <c r="J622" t="str">
        <f t="shared" si="28"/>
        <v>Berlin</v>
      </c>
      <c r="N622" t="s">
        <v>29</v>
      </c>
      <c r="O622" t="str">
        <f t="shared" si="29"/>
        <v>Credit Card</v>
      </c>
    </row>
    <row r="623" spans="3:15" x14ac:dyDescent="0.25">
      <c r="C623" t="s">
        <v>50</v>
      </c>
      <c r="D623" t="str">
        <f t="shared" si="27"/>
        <v>Electronics</v>
      </c>
      <c r="I623" t="s">
        <v>39</v>
      </c>
      <c r="J623" t="str">
        <f t="shared" si="28"/>
        <v>Amsterdam</v>
      </c>
      <c r="N623" t="s">
        <v>19</v>
      </c>
      <c r="O623" t="str">
        <f t="shared" si="29"/>
        <v>Bank Transfer</v>
      </c>
    </row>
    <row r="624" spans="3:15" x14ac:dyDescent="0.25">
      <c r="C624" t="s">
        <v>50</v>
      </c>
      <c r="D624" t="str">
        <f t="shared" si="27"/>
        <v>Electronics</v>
      </c>
      <c r="I624" t="s">
        <v>33</v>
      </c>
      <c r="J624" t="str">
        <f t="shared" si="28"/>
        <v>Berlin</v>
      </c>
      <c r="N624" t="s">
        <v>29</v>
      </c>
      <c r="O624" t="str">
        <f t="shared" si="29"/>
        <v>Credit Card</v>
      </c>
    </row>
    <row r="625" spans="3:15" x14ac:dyDescent="0.25">
      <c r="C625" t="s">
        <v>44</v>
      </c>
      <c r="D625" t="str">
        <f t="shared" si="27"/>
        <v>Furniture</v>
      </c>
      <c r="I625" t="s">
        <v>24</v>
      </c>
      <c r="J625" t="str">
        <f t="shared" si="28"/>
        <v>Paris</v>
      </c>
      <c r="N625" t="s">
        <v>19</v>
      </c>
      <c r="O625" t="str">
        <f t="shared" si="29"/>
        <v>Bank Transfer</v>
      </c>
    </row>
    <row r="626" spans="3:15" x14ac:dyDescent="0.25">
      <c r="C626" t="s">
        <v>50</v>
      </c>
      <c r="D626" t="str">
        <f t="shared" si="27"/>
        <v>Electronics</v>
      </c>
      <c r="I626" t="s">
        <v>81</v>
      </c>
      <c r="J626" t="str">
        <f t="shared" si="28"/>
        <v>London</v>
      </c>
      <c r="N626" t="s">
        <v>61</v>
      </c>
      <c r="O626" t="str">
        <f t="shared" si="29"/>
        <v>Paypal</v>
      </c>
    </row>
    <row r="627" spans="3:15" x14ac:dyDescent="0.25">
      <c r="C627" t="s">
        <v>37</v>
      </c>
      <c r="D627" t="str">
        <f t="shared" si="27"/>
        <v>Stationery</v>
      </c>
      <c r="I627" t="s">
        <v>39</v>
      </c>
      <c r="J627" t="str">
        <f t="shared" si="28"/>
        <v>Amsterdam</v>
      </c>
      <c r="N627" t="s">
        <v>19</v>
      </c>
      <c r="O627" t="str">
        <f t="shared" si="29"/>
        <v>Bank Transfer</v>
      </c>
    </row>
    <row r="628" spans="3:15" x14ac:dyDescent="0.25">
      <c r="C628" t="s">
        <v>30</v>
      </c>
      <c r="D628" t="str">
        <f t="shared" si="27"/>
        <v>Apparel</v>
      </c>
      <c r="I628" t="s">
        <v>81</v>
      </c>
      <c r="J628" t="str">
        <f t="shared" si="28"/>
        <v>London</v>
      </c>
      <c r="N628" t="s">
        <v>29</v>
      </c>
      <c r="O628" t="str">
        <f t="shared" si="29"/>
        <v>Credit Card</v>
      </c>
    </row>
    <row r="629" spans="3:15" x14ac:dyDescent="0.25">
      <c r="C629" t="s">
        <v>30</v>
      </c>
      <c r="D629" t="str">
        <f t="shared" si="27"/>
        <v>Apparel</v>
      </c>
      <c r="I629" t="s">
        <v>81</v>
      </c>
      <c r="J629" t="str">
        <f t="shared" si="28"/>
        <v>London</v>
      </c>
      <c r="N629" t="s">
        <v>29</v>
      </c>
      <c r="O629" t="str">
        <f t="shared" si="29"/>
        <v>Credit Card</v>
      </c>
    </row>
    <row r="630" spans="3:15" x14ac:dyDescent="0.25">
      <c r="C630" t="s">
        <v>37</v>
      </c>
      <c r="D630" t="str">
        <f t="shared" si="27"/>
        <v>Stationery</v>
      </c>
      <c r="I630" t="s">
        <v>33</v>
      </c>
      <c r="J630" t="str">
        <f t="shared" si="28"/>
        <v>Berlin</v>
      </c>
      <c r="N630" t="s">
        <v>19</v>
      </c>
      <c r="O630" t="str">
        <f t="shared" si="29"/>
        <v>Bank Transfer</v>
      </c>
    </row>
    <row r="631" spans="3:15" x14ac:dyDescent="0.25">
      <c r="C631" t="s">
        <v>50</v>
      </c>
      <c r="D631" t="str">
        <f t="shared" si="27"/>
        <v>Electronics</v>
      </c>
      <c r="I631" t="s">
        <v>33</v>
      </c>
      <c r="J631" t="str">
        <f t="shared" si="28"/>
        <v>Berlin</v>
      </c>
      <c r="N631" t="s">
        <v>61</v>
      </c>
      <c r="O631" t="str">
        <f t="shared" si="29"/>
        <v>Paypal</v>
      </c>
    </row>
    <row r="632" spans="3:15" x14ac:dyDescent="0.25">
      <c r="C632" t="s">
        <v>37</v>
      </c>
      <c r="D632" t="str">
        <f t="shared" si="27"/>
        <v>Stationery</v>
      </c>
      <c r="I632" t="s">
        <v>59</v>
      </c>
      <c r="J632" t="str">
        <f t="shared" si="28"/>
        <v>Rome</v>
      </c>
      <c r="N632" t="s">
        <v>29</v>
      </c>
      <c r="O632" t="str">
        <f t="shared" si="29"/>
        <v>Credit Card</v>
      </c>
    </row>
    <row r="633" spans="3:15" x14ac:dyDescent="0.25">
      <c r="C633" t="s">
        <v>50</v>
      </c>
      <c r="D633" t="str">
        <f t="shared" si="27"/>
        <v>Electronics</v>
      </c>
      <c r="I633" t="s">
        <v>59</v>
      </c>
      <c r="J633" t="str">
        <f t="shared" si="28"/>
        <v>Rome</v>
      </c>
      <c r="N633" t="s">
        <v>61</v>
      </c>
      <c r="O633" t="str">
        <f t="shared" si="29"/>
        <v>Paypal</v>
      </c>
    </row>
    <row r="634" spans="3:15" x14ac:dyDescent="0.25">
      <c r="C634" t="s">
        <v>30</v>
      </c>
      <c r="D634" t="str">
        <f t="shared" si="27"/>
        <v>Apparel</v>
      </c>
      <c r="I634" t="s">
        <v>81</v>
      </c>
      <c r="J634" t="str">
        <f t="shared" si="28"/>
        <v>London</v>
      </c>
      <c r="N634" t="s">
        <v>19</v>
      </c>
      <c r="O634" t="str">
        <f t="shared" si="29"/>
        <v>Bank Transfer</v>
      </c>
    </row>
    <row r="635" spans="3:15" x14ac:dyDescent="0.25">
      <c r="C635" t="s">
        <v>30</v>
      </c>
      <c r="D635" t="str">
        <f t="shared" si="27"/>
        <v>Apparel</v>
      </c>
      <c r="I635" t="s">
        <v>81</v>
      </c>
      <c r="J635" t="str">
        <f t="shared" si="28"/>
        <v>London</v>
      </c>
      <c r="N635" t="s">
        <v>29</v>
      </c>
      <c r="O635" t="str">
        <f t="shared" si="29"/>
        <v>Credit Card</v>
      </c>
    </row>
    <row r="636" spans="3:15" x14ac:dyDescent="0.25">
      <c r="C636" t="s">
        <v>37</v>
      </c>
      <c r="D636" t="str">
        <f t="shared" si="27"/>
        <v>Stationery</v>
      </c>
      <c r="I636" t="s">
        <v>59</v>
      </c>
      <c r="J636" t="str">
        <f t="shared" si="28"/>
        <v>Rome</v>
      </c>
      <c r="N636" t="s">
        <v>29</v>
      </c>
      <c r="O636" t="str">
        <f t="shared" si="29"/>
        <v>Credit Card</v>
      </c>
    </row>
    <row r="637" spans="3:15" x14ac:dyDescent="0.25">
      <c r="C637" t="s">
        <v>37</v>
      </c>
      <c r="D637" t="str">
        <f t="shared" si="27"/>
        <v>Stationery</v>
      </c>
      <c r="I637" t="s">
        <v>81</v>
      </c>
      <c r="J637" t="str">
        <f t="shared" si="28"/>
        <v>London</v>
      </c>
      <c r="N637" t="s">
        <v>19</v>
      </c>
      <c r="O637" t="str">
        <f t="shared" si="29"/>
        <v>Bank Transfer</v>
      </c>
    </row>
    <row r="638" spans="3:15" x14ac:dyDescent="0.25">
      <c r="C638" t="s">
        <v>44</v>
      </c>
      <c r="D638" t="str">
        <f t="shared" si="27"/>
        <v>Furniture</v>
      </c>
      <c r="I638" t="s">
        <v>39</v>
      </c>
      <c r="J638" t="str">
        <f t="shared" si="28"/>
        <v>Amsterdam</v>
      </c>
      <c r="N638" t="s">
        <v>61</v>
      </c>
      <c r="O638" t="str">
        <f t="shared" si="29"/>
        <v>Paypal</v>
      </c>
    </row>
    <row r="639" spans="3:15" x14ac:dyDescent="0.25">
      <c r="C639" t="s">
        <v>50</v>
      </c>
      <c r="D639" t="str">
        <f t="shared" si="27"/>
        <v>Electronics</v>
      </c>
      <c r="I639" t="s">
        <v>81</v>
      </c>
      <c r="J639" t="str">
        <f t="shared" si="28"/>
        <v>London</v>
      </c>
      <c r="N639" t="s">
        <v>29</v>
      </c>
      <c r="O639" t="str">
        <f t="shared" si="29"/>
        <v>Credit Card</v>
      </c>
    </row>
    <row r="640" spans="3:15" x14ac:dyDescent="0.25">
      <c r="C640" t="s">
        <v>37</v>
      </c>
      <c r="D640" t="str">
        <f t="shared" si="27"/>
        <v>Stationery</v>
      </c>
      <c r="I640" t="s">
        <v>39</v>
      </c>
      <c r="J640" t="str">
        <f t="shared" si="28"/>
        <v>Amsterdam</v>
      </c>
      <c r="N640" t="s">
        <v>19</v>
      </c>
      <c r="O640" t="str">
        <f t="shared" si="29"/>
        <v>Bank Transfer</v>
      </c>
    </row>
    <row r="641" spans="3:15" x14ac:dyDescent="0.25">
      <c r="C641" t="s">
        <v>37</v>
      </c>
      <c r="D641" t="str">
        <f t="shared" si="27"/>
        <v>Stationery</v>
      </c>
      <c r="I641" t="s">
        <v>24</v>
      </c>
      <c r="J641" t="str">
        <f t="shared" si="28"/>
        <v>Paris</v>
      </c>
      <c r="N641" t="s">
        <v>29</v>
      </c>
      <c r="O641" t="str">
        <f t="shared" si="29"/>
        <v>Credit Card</v>
      </c>
    </row>
    <row r="642" spans="3:15" x14ac:dyDescent="0.25">
      <c r="C642" t="s">
        <v>50</v>
      </c>
      <c r="D642" t="str">
        <f t="shared" si="27"/>
        <v>Electronics</v>
      </c>
      <c r="I642" t="s">
        <v>81</v>
      </c>
      <c r="J642" t="str">
        <f t="shared" si="28"/>
        <v>London</v>
      </c>
      <c r="N642" t="s">
        <v>19</v>
      </c>
      <c r="O642" t="str">
        <f t="shared" si="29"/>
        <v>Bank Transfer</v>
      </c>
    </row>
    <row r="643" spans="3:15" x14ac:dyDescent="0.25">
      <c r="C643" t="s">
        <v>44</v>
      </c>
      <c r="D643" t="str">
        <f t="shared" si="27"/>
        <v>Furniture</v>
      </c>
      <c r="I643" t="s">
        <v>59</v>
      </c>
      <c r="J643" t="str">
        <f t="shared" si="28"/>
        <v>Rome</v>
      </c>
      <c r="N643" t="s">
        <v>19</v>
      </c>
      <c r="O643" t="str">
        <f t="shared" si="29"/>
        <v>Bank Transfer</v>
      </c>
    </row>
    <row r="644" spans="3:15" x14ac:dyDescent="0.25">
      <c r="C644" t="s">
        <v>20</v>
      </c>
      <c r="D644" t="str">
        <f t="shared" si="27"/>
        <v>Accessories</v>
      </c>
      <c r="I644" t="s">
        <v>81</v>
      </c>
      <c r="J644" t="str">
        <f t="shared" si="28"/>
        <v>London</v>
      </c>
      <c r="N644" t="s">
        <v>61</v>
      </c>
      <c r="O644" t="str">
        <f t="shared" si="29"/>
        <v>Paypal</v>
      </c>
    </row>
    <row r="645" spans="3:15" x14ac:dyDescent="0.25">
      <c r="C645" t="s">
        <v>30</v>
      </c>
      <c r="D645" t="str">
        <f t="shared" si="27"/>
        <v>Apparel</v>
      </c>
      <c r="I645" t="s">
        <v>24</v>
      </c>
      <c r="J645" t="str">
        <f t="shared" si="28"/>
        <v>Paris</v>
      </c>
      <c r="N645" t="s">
        <v>29</v>
      </c>
      <c r="O645" t="str">
        <f t="shared" si="29"/>
        <v>Credit Card</v>
      </c>
    </row>
    <row r="646" spans="3:15" x14ac:dyDescent="0.25">
      <c r="C646" t="s">
        <v>37</v>
      </c>
      <c r="D646" t="str">
        <f t="shared" ref="D646:D709" si="30">PROPER(C646)</f>
        <v>Stationery</v>
      </c>
      <c r="I646" t="s">
        <v>81</v>
      </c>
      <c r="J646" t="str">
        <f t="shared" ref="J646:J709" si="31">PROPER(I646)</f>
        <v>London</v>
      </c>
      <c r="N646" t="s">
        <v>19</v>
      </c>
      <c r="O646" t="str">
        <f t="shared" ref="O646:O709" si="32">IF(N646="paypall","Paypal",N646)</f>
        <v>Bank Transfer</v>
      </c>
    </row>
    <row r="647" spans="3:15" x14ac:dyDescent="0.25">
      <c r="C647" t="s">
        <v>30</v>
      </c>
      <c r="D647" t="str">
        <f t="shared" si="30"/>
        <v>Apparel</v>
      </c>
      <c r="I647" t="s">
        <v>24</v>
      </c>
      <c r="J647" t="str">
        <f t="shared" si="31"/>
        <v>Paris</v>
      </c>
      <c r="N647" t="s">
        <v>29</v>
      </c>
      <c r="O647" t="str">
        <f t="shared" si="32"/>
        <v>Credit Card</v>
      </c>
    </row>
    <row r="648" spans="3:15" x14ac:dyDescent="0.25">
      <c r="C648" t="s">
        <v>20</v>
      </c>
      <c r="D648" t="str">
        <f t="shared" si="30"/>
        <v>Accessories</v>
      </c>
      <c r="I648" t="s">
        <v>59</v>
      </c>
      <c r="J648" t="str">
        <f t="shared" si="31"/>
        <v>Rome</v>
      </c>
      <c r="N648" t="s">
        <v>61</v>
      </c>
      <c r="O648" t="str">
        <f t="shared" si="32"/>
        <v>Paypal</v>
      </c>
    </row>
    <row r="649" spans="3:15" x14ac:dyDescent="0.25">
      <c r="C649" t="s">
        <v>44</v>
      </c>
      <c r="D649" t="str">
        <f t="shared" si="30"/>
        <v>Furniture</v>
      </c>
      <c r="I649" t="s">
        <v>59</v>
      </c>
      <c r="J649" t="str">
        <f t="shared" si="31"/>
        <v>Rome</v>
      </c>
      <c r="N649" t="s">
        <v>29</v>
      </c>
      <c r="O649" t="str">
        <f t="shared" si="32"/>
        <v>Credit Card</v>
      </c>
    </row>
    <row r="650" spans="3:15" x14ac:dyDescent="0.25">
      <c r="C650" t="s">
        <v>20</v>
      </c>
      <c r="D650" t="str">
        <f t="shared" si="30"/>
        <v>Accessories</v>
      </c>
      <c r="I650" t="s">
        <v>33</v>
      </c>
      <c r="J650" t="str">
        <f t="shared" si="31"/>
        <v>Berlin</v>
      </c>
      <c r="N650" t="s">
        <v>61</v>
      </c>
      <c r="O650" t="str">
        <f t="shared" si="32"/>
        <v>Paypal</v>
      </c>
    </row>
    <row r="651" spans="3:15" x14ac:dyDescent="0.25">
      <c r="C651" t="s">
        <v>50</v>
      </c>
      <c r="D651" t="str">
        <f t="shared" si="30"/>
        <v>Electronics</v>
      </c>
      <c r="I651" t="s">
        <v>24</v>
      </c>
      <c r="J651" t="str">
        <f t="shared" si="31"/>
        <v>Paris</v>
      </c>
      <c r="N651" t="s">
        <v>61</v>
      </c>
      <c r="O651" t="str">
        <f t="shared" si="32"/>
        <v>Paypal</v>
      </c>
    </row>
    <row r="652" spans="3:15" x14ac:dyDescent="0.25">
      <c r="C652" t="s">
        <v>50</v>
      </c>
      <c r="D652" t="str">
        <f t="shared" si="30"/>
        <v>Electronics</v>
      </c>
      <c r="I652" t="s">
        <v>24</v>
      </c>
      <c r="J652" t="str">
        <f t="shared" si="31"/>
        <v>Paris</v>
      </c>
      <c r="N652" t="s">
        <v>61</v>
      </c>
      <c r="O652" t="str">
        <f t="shared" si="32"/>
        <v>Paypal</v>
      </c>
    </row>
    <row r="653" spans="3:15" x14ac:dyDescent="0.25">
      <c r="C653" t="s">
        <v>37</v>
      </c>
      <c r="D653" t="str">
        <f t="shared" si="30"/>
        <v>Stationery</v>
      </c>
      <c r="I653" t="s">
        <v>81</v>
      </c>
      <c r="J653" t="str">
        <f t="shared" si="31"/>
        <v>London</v>
      </c>
      <c r="N653" t="s">
        <v>29</v>
      </c>
      <c r="O653" t="str">
        <f t="shared" si="32"/>
        <v>Credit Card</v>
      </c>
    </row>
    <row r="654" spans="3:15" x14ac:dyDescent="0.25">
      <c r="C654" t="s">
        <v>30</v>
      </c>
      <c r="D654" t="str">
        <f t="shared" si="30"/>
        <v>Apparel</v>
      </c>
      <c r="I654" t="s">
        <v>39</v>
      </c>
      <c r="J654" t="str">
        <f t="shared" si="31"/>
        <v>Amsterdam</v>
      </c>
      <c r="N654" t="s">
        <v>29</v>
      </c>
      <c r="O654" t="str">
        <f t="shared" si="32"/>
        <v>Credit Card</v>
      </c>
    </row>
    <row r="655" spans="3:15" x14ac:dyDescent="0.25">
      <c r="C655" t="s">
        <v>20</v>
      </c>
      <c r="D655" t="str">
        <f t="shared" si="30"/>
        <v>Accessories</v>
      </c>
      <c r="I655" t="s">
        <v>81</v>
      </c>
      <c r="J655" t="str">
        <f t="shared" si="31"/>
        <v>London</v>
      </c>
      <c r="N655" t="s">
        <v>19</v>
      </c>
      <c r="O655" t="str">
        <f t="shared" si="32"/>
        <v>Bank Transfer</v>
      </c>
    </row>
    <row r="656" spans="3:15" x14ac:dyDescent="0.25">
      <c r="C656" t="s">
        <v>37</v>
      </c>
      <c r="D656" t="str">
        <f t="shared" si="30"/>
        <v>Stationery</v>
      </c>
      <c r="I656" t="s">
        <v>39</v>
      </c>
      <c r="J656" t="str">
        <f t="shared" si="31"/>
        <v>Amsterdam</v>
      </c>
      <c r="N656" t="s">
        <v>19</v>
      </c>
      <c r="O656" t="str">
        <f t="shared" si="32"/>
        <v>Bank Transfer</v>
      </c>
    </row>
    <row r="657" spans="3:15" x14ac:dyDescent="0.25">
      <c r="C657" t="s">
        <v>37</v>
      </c>
      <c r="D657" t="str">
        <f t="shared" si="30"/>
        <v>Stationery</v>
      </c>
      <c r="I657" t="s">
        <v>24</v>
      </c>
      <c r="J657" t="str">
        <f t="shared" si="31"/>
        <v>Paris</v>
      </c>
      <c r="N657" t="s">
        <v>29</v>
      </c>
      <c r="O657" t="str">
        <f t="shared" si="32"/>
        <v>Credit Card</v>
      </c>
    </row>
    <row r="658" spans="3:15" x14ac:dyDescent="0.25">
      <c r="C658" t="s">
        <v>44</v>
      </c>
      <c r="D658" t="str">
        <f t="shared" si="30"/>
        <v>Furniture</v>
      </c>
      <c r="I658" t="s">
        <v>39</v>
      </c>
      <c r="J658" t="str">
        <f t="shared" si="31"/>
        <v>Amsterdam</v>
      </c>
      <c r="N658" t="s">
        <v>61</v>
      </c>
      <c r="O658" t="str">
        <f t="shared" si="32"/>
        <v>Paypal</v>
      </c>
    </row>
    <row r="659" spans="3:15" x14ac:dyDescent="0.25">
      <c r="C659" t="s">
        <v>37</v>
      </c>
      <c r="D659" t="str">
        <f t="shared" si="30"/>
        <v>Stationery</v>
      </c>
      <c r="I659" t="s">
        <v>24</v>
      </c>
      <c r="J659" t="str">
        <f t="shared" si="31"/>
        <v>Paris</v>
      </c>
      <c r="N659" t="s">
        <v>61</v>
      </c>
      <c r="O659" t="str">
        <f t="shared" si="32"/>
        <v>Paypal</v>
      </c>
    </row>
    <row r="660" spans="3:15" x14ac:dyDescent="0.25">
      <c r="C660" t="s">
        <v>50</v>
      </c>
      <c r="D660" t="str">
        <f t="shared" si="30"/>
        <v>Electronics</v>
      </c>
      <c r="I660" t="s">
        <v>39</v>
      </c>
      <c r="J660" t="str">
        <f t="shared" si="31"/>
        <v>Amsterdam</v>
      </c>
      <c r="N660" t="s">
        <v>29</v>
      </c>
      <c r="O660" t="str">
        <f t="shared" si="32"/>
        <v>Credit Card</v>
      </c>
    </row>
    <row r="661" spans="3:15" x14ac:dyDescent="0.25">
      <c r="C661" t="s">
        <v>20</v>
      </c>
      <c r="D661" t="str">
        <f t="shared" si="30"/>
        <v>Accessories</v>
      </c>
      <c r="I661" t="s">
        <v>81</v>
      </c>
      <c r="J661" t="str">
        <f t="shared" si="31"/>
        <v>London</v>
      </c>
      <c r="N661" t="s">
        <v>19</v>
      </c>
      <c r="O661" t="str">
        <f t="shared" si="32"/>
        <v>Bank Transfer</v>
      </c>
    </row>
    <row r="662" spans="3:15" x14ac:dyDescent="0.25">
      <c r="C662" t="s">
        <v>50</v>
      </c>
      <c r="D662" t="str">
        <f t="shared" si="30"/>
        <v>Electronics</v>
      </c>
      <c r="I662" t="s">
        <v>81</v>
      </c>
      <c r="J662" t="str">
        <f t="shared" si="31"/>
        <v>London</v>
      </c>
      <c r="N662" t="s">
        <v>29</v>
      </c>
      <c r="O662" t="str">
        <f t="shared" si="32"/>
        <v>Credit Card</v>
      </c>
    </row>
    <row r="663" spans="3:15" x14ac:dyDescent="0.25">
      <c r="C663" t="s">
        <v>50</v>
      </c>
      <c r="D663" t="str">
        <f t="shared" si="30"/>
        <v>Electronics</v>
      </c>
      <c r="I663" t="s">
        <v>81</v>
      </c>
      <c r="J663" t="str">
        <f t="shared" si="31"/>
        <v>London</v>
      </c>
      <c r="N663" t="s">
        <v>19</v>
      </c>
      <c r="O663" t="str">
        <f t="shared" si="32"/>
        <v>Bank Transfer</v>
      </c>
    </row>
    <row r="664" spans="3:15" x14ac:dyDescent="0.25">
      <c r="C664" t="s">
        <v>37</v>
      </c>
      <c r="D664" t="str">
        <f t="shared" si="30"/>
        <v>Stationery</v>
      </c>
      <c r="I664" t="s">
        <v>24</v>
      </c>
      <c r="J664" t="str">
        <f t="shared" si="31"/>
        <v>Paris</v>
      </c>
      <c r="N664" t="s">
        <v>19</v>
      </c>
      <c r="O664" t="str">
        <f t="shared" si="32"/>
        <v>Bank Transfer</v>
      </c>
    </row>
    <row r="665" spans="3:15" x14ac:dyDescent="0.25">
      <c r="C665" t="s">
        <v>50</v>
      </c>
      <c r="D665" t="str">
        <f t="shared" si="30"/>
        <v>Electronics</v>
      </c>
      <c r="I665" t="s">
        <v>33</v>
      </c>
      <c r="J665" t="str">
        <f t="shared" si="31"/>
        <v>Berlin</v>
      </c>
      <c r="N665" t="s">
        <v>61</v>
      </c>
      <c r="O665" t="str">
        <f t="shared" si="32"/>
        <v>Paypal</v>
      </c>
    </row>
    <row r="666" spans="3:15" x14ac:dyDescent="0.25">
      <c r="C666" t="s">
        <v>30</v>
      </c>
      <c r="D666" t="str">
        <f t="shared" si="30"/>
        <v>Apparel</v>
      </c>
      <c r="I666" t="s">
        <v>24</v>
      </c>
      <c r="J666" t="str">
        <f t="shared" si="31"/>
        <v>Paris</v>
      </c>
      <c r="N666" t="s">
        <v>19</v>
      </c>
      <c r="O666" t="str">
        <f t="shared" si="32"/>
        <v>Bank Transfer</v>
      </c>
    </row>
    <row r="667" spans="3:15" x14ac:dyDescent="0.25">
      <c r="C667" t="s">
        <v>20</v>
      </c>
      <c r="D667" t="str">
        <f t="shared" si="30"/>
        <v>Accessories</v>
      </c>
      <c r="I667" t="s">
        <v>81</v>
      </c>
      <c r="J667" t="str">
        <f t="shared" si="31"/>
        <v>London</v>
      </c>
      <c r="N667" t="s">
        <v>19</v>
      </c>
      <c r="O667" t="str">
        <f t="shared" si="32"/>
        <v>Bank Transfer</v>
      </c>
    </row>
    <row r="668" spans="3:15" x14ac:dyDescent="0.25">
      <c r="C668" t="s">
        <v>50</v>
      </c>
      <c r="D668" t="str">
        <f t="shared" si="30"/>
        <v>Electronics</v>
      </c>
      <c r="I668" t="s">
        <v>39</v>
      </c>
      <c r="J668" t="str">
        <f t="shared" si="31"/>
        <v>Amsterdam</v>
      </c>
      <c r="N668" t="s">
        <v>61</v>
      </c>
      <c r="O668" t="str">
        <f t="shared" si="32"/>
        <v>Paypal</v>
      </c>
    </row>
    <row r="669" spans="3:15" x14ac:dyDescent="0.25">
      <c r="C669" t="s">
        <v>44</v>
      </c>
      <c r="D669" t="str">
        <f t="shared" si="30"/>
        <v>Furniture</v>
      </c>
      <c r="I669" t="s">
        <v>24</v>
      </c>
      <c r="J669" t="str">
        <f t="shared" si="31"/>
        <v>Paris</v>
      </c>
      <c r="N669" t="s">
        <v>29</v>
      </c>
      <c r="O669" t="str">
        <f t="shared" si="32"/>
        <v>Credit Card</v>
      </c>
    </row>
    <row r="670" spans="3:15" x14ac:dyDescent="0.25">
      <c r="C670" t="s">
        <v>44</v>
      </c>
      <c r="D670" t="str">
        <f t="shared" si="30"/>
        <v>Furniture</v>
      </c>
      <c r="I670" t="s">
        <v>33</v>
      </c>
      <c r="J670" t="str">
        <f t="shared" si="31"/>
        <v>Berlin</v>
      </c>
      <c r="N670" t="s">
        <v>29</v>
      </c>
      <c r="O670" t="str">
        <f t="shared" si="32"/>
        <v>Credit Card</v>
      </c>
    </row>
    <row r="671" spans="3:15" x14ac:dyDescent="0.25">
      <c r="C671" t="s">
        <v>37</v>
      </c>
      <c r="D671" t="str">
        <f t="shared" si="30"/>
        <v>Stationery</v>
      </c>
      <c r="I671" t="s">
        <v>33</v>
      </c>
      <c r="J671" t="str">
        <f t="shared" si="31"/>
        <v>Berlin</v>
      </c>
      <c r="N671" t="s">
        <v>61</v>
      </c>
      <c r="O671" t="str">
        <f t="shared" si="32"/>
        <v>Paypal</v>
      </c>
    </row>
    <row r="672" spans="3:15" x14ac:dyDescent="0.25">
      <c r="C672" t="s">
        <v>37</v>
      </c>
      <c r="D672" t="str">
        <f t="shared" si="30"/>
        <v>Stationery</v>
      </c>
      <c r="I672" t="s">
        <v>59</v>
      </c>
      <c r="J672" t="str">
        <f t="shared" si="31"/>
        <v>Rome</v>
      </c>
      <c r="N672" t="s">
        <v>61</v>
      </c>
      <c r="O672" t="str">
        <f t="shared" si="32"/>
        <v>Paypal</v>
      </c>
    </row>
    <row r="673" spans="3:15" x14ac:dyDescent="0.25">
      <c r="C673" t="s">
        <v>20</v>
      </c>
      <c r="D673" t="str">
        <f t="shared" si="30"/>
        <v>Accessories</v>
      </c>
      <c r="I673" t="s">
        <v>39</v>
      </c>
      <c r="J673" t="str">
        <f t="shared" si="31"/>
        <v>Amsterdam</v>
      </c>
      <c r="N673" t="s">
        <v>19</v>
      </c>
      <c r="O673" t="str">
        <f t="shared" si="32"/>
        <v>Bank Transfer</v>
      </c>
    </row>
    <row r="674" spans="3:15" x14ac:dyDescent="0.25">
      <c r="C674" t="s">
        <v>44</v>
      </c>
      <c r="D674" t="str">
        <f t="shared" si="30"/>
        <v>Furniture</v>
      </c>
      <c r="I674" t="s">
        <v>81</v>
      </c>
      <c r="J674" t="str">
        <f t="shared" si="31"/>
        <v>London</v>
      </c>
      <c r="N674" t="s">
        <v>61</v>
      </c>
      <c r="O674" t="str">
        <f t="shared" si="32"/>
        <v>Paypal</v>
      </c>
    </row>
    <row r="675" spans="3:15" x14ac:dyDescent="0.25">
      <c r="C675" t="s">
        <v>37</v>
      </c>
      <c r="D675" t="str">
        <f t="shared" si="30"/>
        <v>Stationery</v>
      </c>
      <c r="I675" t="s">
        <v>24</v>
      </c>
      <c r="J675" t="str">
        <f t="shared" si="31"/>
        <v>Paris</v>
      </c>
      <c r="N675" t="s">
        <v>29</v>
      </c>
      <c r="O675" t="str">
        <f t="shared" si="32"/>
        <v>Credit Card</v>
      </c>
    </row>
    <row r="676" spans="3:15" x14ac:dyDescent="0.25">
      <c r="C676" t="s">
        <v>44</v>
      </c>
      <c r="D676" t="str">
        <f t="shared" si="30"/>
        <v>Furniture</v>
      </c>
      <c r="I676" t="s">
        <v>24</v>
      </c>
      <c r="J676" t="str">
        <f t="shared" si="31"/>
        <v>Paris</v>
      </c>
      <c r="N676" t="s">
        <v>61</v>
      </c>
      <c r="O676" t="str">
        <f t="shared" si="32"/>
        <v>Paypal</v>
      </c>
    </row>
    <row r="677" spans="3:15" x14ac:dyDescent="0.25">
      <c r="C677" t="s">
        <v>50</v>
      </c>
      <c r="D677" t="str">
        <f t="shared" si="30"/>
        <v>Electronics</v>
      </c>
      <c r="I677" t="s">
        <v>24</v>
      </c>
      <c r="J677" t="str">
        <f t="shared" si="31"/>
        <v>Paris</v>
      </c>
      <c r="N677" t="s">
        <v>61</v>
      </c>
      <c r="O677" t="str">
        <f t="shared" si="32"/>
        <v>Paypal</v>
      </c>
    </row>
    <row r="678" spans="3:15" x14ac:dyDescent="0.25">
      <c r="C678" t="s">
        <v>44</v>
      </c>
      <c r="D678" t="str">
        <f t="shared" si="30"/>
        <v>Furniture</v>
      </c>
      <c r="I678" t="s">
        <v>81</v>
      </c>
      <c r="J678" t="str">
        <f t="shared" si="31"/>
        <v>London</v>
      </c>
      <c r="N678" t="s">
        <v>61</v>
      </c>
      <c r="O678" t="str">
        <f t="shared" si="32"/>
        <v>Paypal</v>
      </c>
    </row>
    <row r="679" spans="3:15" x14ac:dyDescent="0.25">
      <c r="C679" t="s">
        <v>30</v>
      </c>
      <c r="D679" t="str">
        <f t="shared" si="30"/>
        <v>Apparel</v>
      </c>
      <c r="I679" t="s">
        <v>33</v>
      </c>
      <c r="J679" t="str">
        <f t="shared" si="31"/>
        <v>Berlin</v>
      </c>
      <c r="N679" t="s">
        <v>29</v>
      </c>
      <c r="O679" t="str">
        <f t="shared" si="32"/>
        <v>Credit Card</v>
      </c>
    </row>
    <row r="680" spans="3:15" x14ac:dyDescent="0.25">
      <c r="C680" t="s">
        <v>20</v>
      </c>
      <c r="D680" t="str">
        <f t="shared" si="30"/>
        <v>Accessories</v>
      </c>
      <c r="I680" t="s">
        <v>24</v>
      </c>
      <c r="J680" t="str">
        <f t="shared" si="31"/>
        <v>Paris</v>
      </c>
      <c r="N680" t="s">
        <v>19</v>
      </c>
      <c r="O680" t="str">
        <f t="shared" si="32"/>
        <v>Bank Transfer</v>
      </c>
    </row>
    <row r="681" spans="3:15" x14ac:dyDescent="0.25">
      <c r="C681" t="s">
        <v>30</v>
      </c>
      <c r="D681" t="str">
        <f t="shared" si="30"/>
        <v>Apparel</v>
      </c>
      <c r="I681" t="s">
        <v>59</v>
      </c>
      <c r="J681" t="str">
        <f t="shared" si="31"/>
        <v>Rome</v>
      </c>
      <c r="N681" t="s">
        <v>29</v>
      </c>
      <c r="O681" t="str">
        <f t="shared" si="32"/>
        <v>Credit Card</v>
      </c>
    </row>
    <row r="682" spans="3:15" x14ac:dyDescent="0.25">
      <c r="C682" t="s">
        <v>44</v>
      </c>
      <c r="D682" t="str">
        <f t="shared" si="30"/>
        <v>Furniture</v>
      </c>
      <c r="I682" t="s">
        <v>39</v>
      </c>
      <c r="J682" t="str">
        <f t="shared" si="31"/>
        <v>Amsterdam</v>
      </c>
      <c r="N682" t="s">
        <v>19</v>
      </c>
      <c r="O682" t="str">
        <f t="shared" si="32"/>
        <v>Bank Transfer</v>
      </c>
    </row>
    <row r="683" spans="3:15" x14ac:dyDescent="0.25">
      <c r="C683" t="s">
        <v>50</v>
      </c>
      <c r="D683" t="str">
        <f t="shared" si="30"/>
        <v>Electronics</v>
      </c>
      <c r="I683" t="s">
        <v>81</v>
      </c>
      <c r="J683" t="str">
        <f t="shared" si="31"/>
        <v>London</v>
      </c>
      <c r="N683" t="s">
        <v>61</v>
      </c>
      <c r="O683" t="str">
        <f t="shared" si="32"/>
        <v>Paypal</v>
      </c>
    </row>
    <row r="684" spans="3:15" x14ac:dyDescent="0.25">
      <c r="C684" t="s">
        <v>30</v>
      </c>
      <c r="D684" t="str">
        <f t="shared" si="30"/>
        <v>Apparel</v>
      </c>
      <c r="I684" t="s">
        <v>33</v>
      </c>
      <c r="J684" t="str">
        <f t="shared" si="31"/>
        <v>Berlin</v>
      </c>
      <c r="N684" t="s">
        <v>61</v>
      </c>
      <c r="O684" t="str">
        <f t="shared" si="32"/>
        <v>Paypal</v>
      </c>
    </row>
    <row r="685" spans="3:15" x14ac:dyDescent="0.25">
      <c r="C685" t="s">
        <v>30</v>
      </c>
      <c r="D685" t="str">
        <f t="shared" si="30"/>
        <v>Apparel</v>
      </c>
      <c r="I685" t="s">
        <v>81</v>
      </c>
      <c r="J685" t="str">
        <f t="shared" si="31"/>
        <v>London</v>
      </c>
      <c r="N685" t="s">
        <v>29</v>
      </c>
      <c r="O685" t="str">
        <f t="shared" si="32"/>
        <v>Credit Card</v>
      </c>
    </row>
    <row r="686" spans="3:15" x14ac:dyDescent="0.25">
      <c r="C686" t="s">
        <v>44</v>
      </c>
      <c r="D686" t="str">
        <f t="shared" si="30"/>
        <v>Furniture</v>
      </c>
      <c r="I686" t="s">
        <v>24</v>
      </c>
      <c r="J686" t="str">
        <f t="shared" si="31"/>
        <v>Paris</v>
      </c>
      <c r="N686" t="s">
        <v>29</v>
      </c>
      <c r="O686" t="str">
        <f t="shared" si="32"/>
        <v>Credit Card</v>
      </c>
    </row>
    <row r="687" spans="3:15" x14ac:dyDescent="0.25">
      <c r="C687" t="s">
        <v>37</v>
      </c>
      <c r="D687" t="str">
        <f t="shared" si="30"/>
        <v>Stationery</v>
      </c>
      <c r="I687" t="s">
        <v>33</v>
      </c>
      <c r="J687" t="str">
        <f t="shared" si="31"/>
        <v>Berlin</v>
      </c>
      <c r="N687" t="s">
        <v>61</v>
      </c>
      <c r="O687" t="str">
        <f t="shared" si="32"/>
        <v>Paypal</v>
      </c>
    </row>
    <row r="688" spans="3:15" x14ac:dyDescent="0.25">
      <c r="C688" t="s">
        <v>37</v>
      </c>
      <c r="D688" t="str">
        <f t="shared" si="30"/>
        <v>Stationery</v>
      </c>
      <c r="I688" t="s">
        <v>59</v>
      </c>
      <c r="J688" t="str">
        <f t="shared" si="31"/>
        <v>Rome</v>
      </c>
      <c r="N688" t="s">
        <v>61</v>
      </c>
      <c r="O688" t="str">
        <f t="shared" si="32"/>
        <v>Paypal</v>
      </c>
    </row>
    <row r="689" spans="3:15" x14ac:dyDescent="0.25">
      <c r="C689" t="s">
        <v>30</v>
      </c>
      <c r="D689" t="str">
        <f t="shared" si="30"/>
        <v>Apparel</v>
      </c>
      <c r="I689" t="s">
        <v>33</v>
      </c>
      <c r="J689" t="str">
        <f t="shared" si="31"/>
        <v>Berlin</v>
      </c>
      <c r="N689" t="s">
        <v>29</v>
      </c>
      <c r="O689" t="str">
        <f t="shared" si="32"/>
        <v>Credit Card</v>
      </c>
    </row>
    <row r="690" spans="3:15" x14ac:dyDescent="0.25">
      <c r="C690" t="s">
        <v>44</v>
      </c>
      <c r="D690" t="str">
        <f t="shared" si="30"/>
        <v>Furniture</v>
      </c>
      <c r="I690" t="s">
        <v>33</v>
      </c>
      <c r="J690" t="str">
        <f t="shared" si="31"/>
        <v>Berlin</v>
      </c>
      <c r="N690" t="s">
        <v>61</v>
      </c>
      <c r="O690" t="str">
        <f t="shared" si="32"/>
        <v>Paypal</v>
      </c>
    </row>
    <row r="691" spans="3:15" x14ac:dyDescent="0.25">
      <c r="C691" t="s">
        <v>20</v>
      </c>
      <c r="D691" t="str">
        <f t="shared" si="30"/>
        <v>Accessories</v>
      </c>
      <c r="I691" t="s">
        <v>24</v>
      </c>
      <c r="J691" t="str">
        <f t="shared" si="31"/>
        <v>Paris</v>
      </c>
      <c r="N691" t="s">
        <v>29</v>
      </c>
      <c r="O691" t="str">
        <f t="shared" si="32"/>
        <v>Credit Card</v>
      </c>
    </row>
    <row r="692" spans="3:15" x14ac:dyDescent="0.25">
      <c r="C692" t="s">
        <v>37</v>
      </c>
      <c r="D692" t="str">
        <f t="shared" si="30"/>
        <v>Stationery</v>
      </c>
      <c r="I692" t="s">
        <v>39</v>
      </c>
      <c r="J692" t="str">
        <f t="shared" si="31"/>
        <v>Amsterdam</v>
      </c>
      <c r="N692" t="s">
        <v>61</v>
      </c>
      <c r="O692" t="str">
        <f t="shared" si="32"/>
        <v>Paypal</v>
      </c>
    </row>
    <row r="693" spans="3:15" x14ac:dyDescent="0.25">
      <c r="C693" t="s">
        <v>50</v>
      </c>
      <c r="D693" t="str">
        <f t="shared" si="30"/>
        <v>Electronics</v>
      </c>
      <c r="I693" t="s">
        <v>39</v>
      </c>
      <c r="J693" t="str">
        <f t="shared" si="31"/>
        <v>Amsterdam</v>
      </c>
      <c r="N693" t="s">
        <v>61</v>
      </c>
      <c r="O693" t="str">
        <f t="shared" si="32"/>
        <v>Paypal</v>
      </c>
    </row>
    <row r="694" spans="3:15" x14ac:dyDescent="0.25">
      <c r="C694" t="s">
        <v>30</v>
      </c>
      <c r="D694" t="str">
        <f t="shared" si="30"/>
        <v>Apparel</v>
      </c>
      <c r="I694" t="s">
        <v>33</v>
      </c>
      <c r="J694" t="str">
        <f t="shared" si="31"/>
        <v>Berlin</v>
      </c>
      <c r="N694" t="s">
        <v>19</v>
      </c>
      <c r="O694" t="str">
        <f t="shared" si="32"/>
        <v>Bank Transfer</v>
      </c>
    </row>
    <row r="695" spans="3:15" x14ac:dyDescent="0.25">
      <c r="C695" t="s">
        <v>44</v>
      </c>
      <c r="D695" t="str">
        <f t="shared" si="30"/>
        <v>Furniture</v>
      </c>
      <c r="I695" t="s">
        <v>59</v>
      </c>
      <c r="J695" t="str">
        <f t="shared" si="31"/>
        <v>Rome</v>
      </c>
      <c r="N695" t="s">
        <v>61</v>
      </c>
      <c r="O695" t="str">
        <f t="shared" si="32"/>
        <v>Paypal</v>
      </c>
    </row>
    <row r="696" spans="3:15" x14ac:dyDescent="0.25">
      <c r="C696" t="s">
        <v>44</v>
      </c>
      <c r="D696" t="str">
        <f t="shared" si="30"/>
        <v>Furniture</v>
      </c>
      <c r="I696" t="s">
        <v>59</v>
      </c>
      <c r="J696" t="str">
        <f t="shared" si="31"/>
        <v>Rome</v>
      </c>
      <c r="N696" t="s">
        <v>29</v>
      </c>
      <c r="O696" t="str">
        <f t="shared" si="32"/>
        <v>Credit Card</v>
      </c>
    </row>
    <row r="697" spans="3:15" x14ac:dyDescent="0.25">
      <c r="C697" t="s">
        <v>50</v>
      </c>
      <c r="D697" t="str">
        <f t="shared" si="30"/>
        <v>Electronics</v>
      </c>
      <c r="I697" t="s">
        <v>59</v>
      </c>
      <c r="J697" t="str">
        <f t="shared" si="31"/>
        <v>Rome</v>
      </c>
      <c r="N697" t="s">
        <v>61</v>
      </c>
      <c r="O697" t="str">
        <f t="shared" si="32"/>
        <v>Paypal</v>
      </c>
    </row>
    <row r="698" spans="3:15" x14ac:dyDescent="0.25">
      <c r="C698" t="s">
        <v>44</v>
      </c>
      <c r="D698" t="str">
        <f t="shared" si="30"/>
        <v>Furniture</v>
      </c>
      <c r="I698" t="s">
        <v>33</v>
      </c>
      <c r="J698" t="str">
        <f t="shared" si="31"/>
        <v>Berlin</v>
      </c>
      <c r="N698" t="s">
        <v>19</v>
      </c>
      <c r="O698" t="str">
        <f t="shared" si="32"/>
        <v>Bank Transfer</v>
      </c>
    </row>
    <row r="699" spans="3:15" x14ac:dyDescent="0.25">
      <c r="C699" t="s">
        <v>37</v>
      </c>
      <c r="D699" t="str">
        <f t="shared" si="30"/>
        <v>Stationery</v>
      </c>
      <c r="I699" t="s">
        <v>33</v>
      </c>
      <c r="J699" t="str">
        <f t="shared" si="31"/>
        <v>Berlin</v>
      </c>
      <c r="N699" t="s">
        <v>19</v>
      </c>
      <c r="O699" t="str">
        <f t="shared" si="32"/>
        <v>Bank Transfer</v>
      </c>
    </row>
    <row r="700" spans="3:15" x14ac:dyDescent="0.25">
      <c r="C700" t="s">
        <v>30</v>
      </c>
      <c r="D700" t="str">
        <f t="shared" si="30"/>
        <v>Apparel</v>
      </c>
      <c r="I700" t="s">
        <v>59</v>
      </c>
      <c r="J700" t="str">
        <f t="shared" si="31"/>
        <v>Rome</v>
      </c>
      <c r="N700" t="s">
        <v>61</v>
      </c>
      <c r="O700" t="str">
        <f t="shared" si="32"/>
        <v>Paypal</v>
      </c>
    </row>
    <row r="701" spans="3:15" x14ac:dyDescent="0.25">
      <c r="C701" t="s">
        <v>20</v>
      </c>
      <c r="D701" t="str">
        <f t="shared" si="30"/>
        <v>Accessories</v>
      </c>
      <c r="I701" t="s">
        <v>81</v>
      </c>
      <c r="J701" t="str">
        <f t="shared" si="31"/>
        <v>London</v>
      </c>
      <c r="N701" t="s">
        <v>29</v>
      </c>
      <c r="O701" t="str">
        <f t="shared" si="32"/>
        <v>Credit Card</v>
      </c>
    </row>
    <row r="702" spans="3:15" x14ac:dyDescent="0.25">
      <c r="C702" t="s">
        <v>44</v>
      </c>
      <c r="D702" t="str">
        <f t="shared" si="30"/>
        <v>Furniture</v>
      </c>
      <c r="I702" t="s">
        <v>81</v>
      </c>
      <c r="J702" t="str">
        <f t="shared" si="31"/>
        <v>London</v>
      </c>
      <c r="N702" t="s">
        <v>29</v>
      </c>
      <c r="O702" t="str">
        <f t="shared" si="32"/>
        <v>Credit Card</v>
      </c>
    </row>
    <row r="703" spans="3:15" x14ac:dyDescent="0.25">
      <c r="C703" t="s">
        <v>50</v>
      </c>
      <c r="D703" t="str">
        <f t="shared" si="30"/>
        <v>Electronics</v>
      </c>
      <c r="I703" t="s">
        <v>59</v>
      </c>
      <c r="J703" t="str">
        <f t="shared" si="31"/>
        <v>Rome</v>
      </c>
      <c r="N703" t="s">
        <v>29</v>
      </c>
      <c r="O703" t="str">
        <f t="shared" si="32"/>
        <v>Credit Card</v>
      </c>
    </row>
    <row r="704" spans="3:15" x14ac:dyDescent="0.25">
      <c r="C704" t="s">
        <v>20</v>
      </c>
      <c r="D704" t="str">
        <f t="shared" si="30"/>
        <v>Accessories</v>
      </c>
      <c r="I704" t="s">
        <v>59</v>
      </c>
      <c r="J704" t="str">
        <f t="shared" si="31"/>
        <v>Rome</v>
      </c>
      <c r="N704" t="s">
        <v>61</v>
      </c>
      <c r="O704" t="str">
        <f t="shared" si="32"/>
        <v>Paypal</v>
      </c>
    </row>
    <row r="705" spans="3:15" x14ac:dyDescent="0.25">
      <c r="C705" t="s">
        <v>50</v>
      </c>
      <c r="D705" t="str">
        <f t="shared" si="30"/>
        <v>Electronics</v>
      </c>
      <c r="I705" t="s">
        <v>59</v>
      </c>
      <c r="J705" t="str">
        <f t="shared" si="31"/>
        <v>Rome</v>
      </c>
      <c r="N705" t="s">
        <v>19</v>
      </c>
      <c r="O705" t="str">
        <f t="shared" si="32"/>
        <v>Bank Transfer</v>
      </c>
    </row>
    <row r="706" spans="3:15" x14ac:dyDescent="0.25">
      <c r="C706" t="s">
        <v>30</v>
      </c>
      <c r="D706" t="str">
        <f t="shared" si="30"/>
        <v>Apparel</v>
      </c>
      <c r="I706" t="s">
        <v>59</v>
      </c>
      <c r="J706" t="str">
        <f t="shared" si="31"/>
        <v>Rome</v>
      </c>
      <c r="N706" t="s">
        <v>19</v>
      </c>
      <c r="O706" t="str">
        <f t="shared" si="32"/>
        <v>Bank Transfer</v>
      </c>
    </row>
    <row r="707" spans="3:15" x14ac:dyDescent="0.25">
      <c r="C707" t="s">
        <v>44</v>
      </c>
      <c r="D707" t="str">
        <f t="shared" si="30"/>
        <v>Furniture</v>
      </c>
      <c r="I707" t="s">
        <v>24</v>
      </c>
      <c r="J707" t="str">
        <f t="shared" si="31"/>
        <v>Paris</v>
      </c>
      <c r="N707" t="s">
        <v>61</v>
      </c>
      <c r="O707" t="str">
        <f t="shared" si="32"/>
        <v>Paypal</v>
      </c>
    </row>
    <row r="708" spans="3:15" x14ac:dyDescent="0.25">
      <c r="C708" t="s">
        <v>30</v>
      </c>
      <c r="D708" t="str">
        <f t="shared" si="30"/>
        <v>Apparel</v>
      </c>
      <c r="I708" t="s">
        <v>81</v>
      </c>
      <c r="J708" t="str">
        <f t="shared" si="31"/>
        <v>London</v>
      </c>
      <c r="N708" t="s">
        <v>29</v>
      </c>
      <c r="O708" t="str">
        <f t="shared" si="32"/>
        <v>Credit Card</v>
      </c>
    </row>
    <row r="709" spans="3:15" x14ac:dyDescent="0.25">
      <c r="C709" t="s">
        <v>50</v>
      </c>
      <c r="D709" t="str">
        <f t="shared" si="30"/>
        <v>Electronics</v>
      </c>
      <c r="I709" t="s">
        <v>33</v>
      </c>
      <c r="J709" t="str">
        <f t="shared" si="31"/>
        <v>Berlin</v>
      </c>
      <c r="N709" t="s">
        <v>19</v>
      </c>
      <c r="O709" t="str">
        <f t="shared" si="32"/>
        <v>Bank Transfer</v>
      </c>
    </row>
    <row r="710" spans="3:15" x14ac:dyDescent="0.25">
      <c r="C710" t="s">
        <v>44</v>
      </c>
      <c r="D710" t="str">
        <f t="shared" ref="D710:D773" si="33">PROPER(C710)</f>
        <v>Furniture</v>
      </c>
      <c r="I710" t="s">
        <v>33</v>
      </c>
      <c r="J710" t="str">
        <f t="shared" ref="J710:J773" si="34">PROPER(I710)</f>
        <v>Berlin</v>
      </c>
      <c r="N710" t="s">
        <v>19</v>
      </c>
      <c r="O710" t="str">
        <f t="shared" ref="O710:O773" si="35">IF(N710="paypall","Paypal",N710)</f>
        <v>Bank Transfer</v>
      </c>
    </row>
    <row r="711" spans="3:15" x14ac:dyDescent="0.25">
      <c r="C711" t="s">
        <v>37</v>
      </c>
      <c r="D711" t="str">
        <f t="shared" si="33"/>
        <v>Stationery</v>
      </c>
      <c r="I711" t="s">
        <v>81</v>
      </c>
      <c r="J711" t="str">
        <f t="shared" si="34"/>
        <v>London</v>
      </c>
      <c r="N711" t="s">
        <v>19</v>
      </c>
      <c r="O711" t="str">
        <f t="shared" si="35"/>
        <v>Bank Transfer</v>
      </c>
    </row>
    <row r="712" spans="3:15" x14ac:dyDescent="0.25">
      <c r="C712" t="s">
        <v>50</v>
      </c>
      <c r="D712" t="str">
        <f t="shared" si="33"/>
        <v>Electronics</v>
      </c>
      <c r="I712" t="s">
        <v>24</v>
      </c>
      <c r="J712" t="str">
        <f t="shared" si="34"/>
        <v>Paris</v>
      </c>
      <c r="N712" t="s">
        <v>19</v>
      </c>
      <c r="O712" t="str">
        <f t="shared" si="35"/>
        <v>Bank Transfer</v>
      </c>
    </row>
    <row r="713" spans="3:15" x14ac:dyDescent="0.25">
      <c r="C713" t="s">
        <v>37</v>
      </c>
      <c r="D713" t="str">
        <f t="shared" si="33"/>
        <v>Stationery</v>
      </c>
      <c r="I713" t="s">
        <v>39</v>
      </c>
      <c r="J713" t="str">
        <f t="shared" si="34"/>
        <v>Amsterdam</v>
      </c>
      <c r="N713" t="s">
        <v>61</v>
      </c>
      <c r="O713" t="str">
        <f t="shared" si="35"/>
        <v>Paypal</v>
      </c>
    </row>
    <row r="714" spans="3:15" x14ac:dyDescent="0.25">
      <c r="C714" t="s">
        <v>20</v>
      </c>
      <c r="D714" t="str">
        <f t="shared" si="33"/>
        <v>Accessories</v>
      </c>
      <c r="I714" t="s">
        <v>59</v>
      </c>
      <c r="J714" t="str">
        <f t="shared" si="34"/>
        <v>Rome</v>
      </c>
      <c r="N714" t="s">
        <v>61</v>
      </c>
      <c r="O714" t="str">
        <f t="shared" si="35"/>
        <v>Paypal</v>
      </c>
    </row>
    <row r="715" spans="3:15" x14ac:dyDescent="0.25">
      <c r="C715" t="s">
        <v>20</v>
      </c>
      <c r="D715" t="str">
        <f t="shared" si="33"/>
        <v>Accessories</v>
      </c>
      <c r="I715" t="s">
        <v>59</v>
      </c>
      <c r="J715" t="str">
        <f t="shared" si="34"/>
        <v>Rome</v>
      </c>
      <c r="N715" t="s">
        <v>19</v>
      </c>
      <c r="O715" t="str">
        <f t="shared" si="35"/>
        <v>Bank Transfer</v>
      </c>
    </row>
    <row r="716" spans="3:15" x14ac:dyDescent="0.25">
      <c r="C716" t="s">
        <v>727</v>
      </c>
      <c r="D716" t="str">
        <f t="shared" si="33"/>
        <v>Accessories</v>
      </c>
      <c r="I716" t="s">
        <v>59</v>
      </c>
      <c r="J716" t="str">
        <f t="shared" si="34"/>
        <v>Rome</v>
      </c>
      <c r="N716" t="s">
        <v>29</v>
      </c>
      <c r="O716" t="str">
        <f t="shared" si="35"/>
        <v>Credit Card</v>
      </c>
    </row>
    <row r="717" spans="3:15" x14ac:dyDescent="0.25">
      <c r="C717" t="s">
        <v>50</v>
      </c>
      <c r="D717" t="str">
        <f t="shared" si="33"/>
        <v>Electronics</v>
      </c>
      <c r="I717" t="s">
        <v>59</v>
      </c>
      <c r="J717" t="str">
        <f t="shared" si="34"/>
        <v>Rome</v>
      </c>
      <c r="N717" t="s">
        <v>19</v>
      </c>
      <c r="O717" t="str">
        <f t="shared" si="35"/>
        <v>Bank Transfer</v>
      </c>
    </row>
    <row r="718" spans="3:15" x14ac:dyDescent="0.25">
      <c r="C718" t="s">
        <v>37</v>
      </c>
      <c r="D718" t="str">
        <f t="shared" si="33"/>
        <v>Stationery</v>
      </c>
      <c r="I718" t="s">
        <v>59</v>
      </c>
      <c r="J718" t="str">
        <f t="shared" si="34"/>
        <v>Rome</v>
      </c>
      <c r="N718" t="s">
        <v>29</v>
      </c>
      <c r="O718" t="str">
        <f t="shared" si="35"/>
        <v>Credit Card</v>
      </c>
    </row>
    <row r="719" spans="3:15" x14ac:dyDescent="0.25">
      <c r="C719" t="s">
        <v>37</v>
      </c>
      <c r="D719" t="str">
        <f t="shared" si="33"/>
        <v>Stationery</v>
      </c>
      <c r="I719" t="s">
        <v>39</v>
      </c>
      <c r="J719" t="str">
        <f t="shared" si="34"/>
        <v>Amsterdam</v>
      </c>
      <c r="N719" t="s">
        <v>61</v>
      </c>
      <c r="O719" t="str">
        <f t="shared" si="35"/>
        <v>Paypal</v>
      </c>
    </row>
    <row r="720" spans="3:15" x14ac:dyDescent="0.25">
      <c r="C720" t="s">
        <v>20</v>
      </c>
      <c r="D720" t="str">
        <f t="shared" si="33"/>
        <v>Accessories</v>
      </c>
      <c r="I720" t="s">
        <v>24</v>
      </c>
      <c r="J720" t="str">
        <f t="shared" si="34"/>
        <v>Paris</v>
      </c>
      <c r="N720" t="s">
        <v>29</v>
      </c>
      <c r="O720" t="str">
        <f t="shared" si="35"/>
        <v>Credit Card</v>
      </c>
    </row>
    <row r="721" spans="3:15" x14ac:dyDescent="0.25">
      <c r="C721" t="s">
        <v>37</v>
      </c>
      <c r="D721" t="str">
        <f t="shared" si="33"/>
        <v>Stationery</v>
      </c>
      <c r="I721" t="s">
        <v>59</v>
      </c>
      <c r="J721" t="str">
        <f t="shared" si="34"/>
        <v>Rome</v>
      </c>
      <c r="N721" t="s">
        <v>61</v>
      </c>
      <c r="O721" t="str">
        <f t="shared" si="35"/>
        <v>Paypal</v>
      </c>
    </row>
    <row r="722" spans="3:15" x14ac:dyDescent="0.25">
      <c r="C722" t="s">
        <v>30</v>
      </c>
      <c r="D722" t="str">
        <f t="shared" si="33"/>
        <v>Apparel</v>
      </c>
      <c r="I722" t="s">
        <v>33</v>
      </c>
      <c r="J722" t="str">
        <f t="shared" si="34"/>
        <v>Berlin</v>
      </c>
      <c r="N722" t="s">
        <v>19</v>
      </c>
      <c r="O722" t="str">
        <f t="shared" si="35"/>
        <v>Bank Transfer</v>
      </c>
    </row>
    <row r="723" spans="3:15" x14ac:dyDescent="0.25">
      <c r="C723" t="s">
        <v>30</v>
      </c>
      <c r="D723" t="str">
        <f t="shared" si="33"/>
        <v>Apparel</v>
      </c>
      <c r="I723" t="s">
        <v>24</v>
      </c>
      <c r="J723" t="str">
        <f t="shared" si="34"/>
        <v>Paris</v>
      </c>
      <c r="N723" t="s">
        <v>29</v>
      </c>
      <c r="O723" t="str">
        <f t="shared" si="35"/>
        <v>Credit Card</v>
      </c>
    </row>
    <row r="724" spans="3:15" x14ac:dyDescent="0.25">
      <c r="C724" t="s">
        <v>50</v>
      </c>
      <c r="D724" t="str">
        <f t="shared" si="33"/>
        <v>Electronics</v>
      </c>
      <c r="I724" t="s">
        <v>33</v>
      </c>
      <c r="J724" t="str">
        <f t="shared" si="34"/>
        <v>Berlin</v>
      </c>
      <c r="N724" t="s">
        <v>61</v>
      </c>
      <c r="O724" t="str">
        <f t="shared" si="35"/>
        <v>Paypal</v>
      </c>
    </row>
    <row r="725" spans="3:15" x14ac:dyDescent="0.25">
      <c r="C725" t="s">
        <v>30</v>
      </c>
      <c r="D725" t="str">
        <f t="shared" si="33"/>
        <v>Apparel</v>
      </c>
      <c r="I725" t="s">
        <v>59</v>
      </c>
      <c r="J725" t="str">
        <f t="shared" si="34"/>
        <v>Rome</v>
      </c>
      <c r="N725" t="s">
        <v>29</v>
      </c>
      <c r="O725" t="str">
        <f t="shared" si="35"/>
        <v>Credit Card</v>
      </c>
    </row>
    <row r="726" spans="3:15" x14ac:dyDescent="0.25">
      <c r="C726" t="s">
        <v>20</v>
      </c>
      <c r="D726" t="str">
        <f t="shared" si="33"/>
        <v>Accessories</v>
      </c>
      <c r="I726" t="s">
        <v>59</v>
      </c>
      <c r="J726" t="str">
        <f t="shared" si="34"/>
        <v>Rome</v>
      </c>
      <c r="N726" t="s">
        <v>19</v>
      </c>
      <c r="O726" t="str">
        <f t="shared" si="35"/>
        <v>Bank Transfer</v>
      </c>
    </row>
    <row r="727" spans="3:15" x14ac:dyDescent="0.25">
      <c r="C727" t="s">
        <v>44</v>
      </c>
      <c r="D727" t="str">
        <f t="shared" si="33"/>
        <v>Furniture</v>
      </c>
      <c r="I727" t="s">
        <v>81</v>
      </c>
      <c r="J727" t="str">
        <f t="shared" si="34"/>
        <v>London</v>
      </c>
      <c r="N727" t="s">
        <v>29</v>
      </c>
      <c r="O727" t="str">
        <f t="shared" si="35"/>
        <v>Credit Card</v>
      </c>
    </row>
    <row r="728" spans="3:15" x14ac:dyDescent="0.25">
      <c r="C728" t="s">
        <v>44</v>
      </c>
      <c r="D728" t="str">
        <f t="shared" si="33"/>
        <v>Furniture</v>
      </c>
      <c r="I728" t="s">
        <v>81</v>
      </c>
      <c r="J728" t="str">
        <f t="shared" si="34"/>
        <v>London</v>
      </c>
      <c r="N728" t="s">
        <v>29</v>
      </c>
      <c r="O728" t="str">
        <f t="shared" si="35"/>
        <v>Credit Card</v>
      </c>
    </row>
    <row r="729" spans="3:15" x14ac:dyDescent="0.25">
      <c r="C729" t="s">
        <v>50</v>
      </c>
      <c r="D729" t="str">
        <f t="shared" si="33"/>
        <v>Electronics</v>
      </c>
      <c r="I729" t="s">
        <v>24</v>
      </c>
      <c r="J729" t="str">
        <f t="shared" si="34"/>
        <v>Paris</v>
      </c>
      <c r="N729" t="s">
        <v>61</v>
      </c>
      <c r="O729" t="str">
        <f t="shared" si="35"/>
        <v>Paypal</v>
      </c>
    </row>
    <row r="730" spans="3:15" x14ac:dyDescent="0.25">
      <c r="C730" t="s">
        <v>37</v>
      </c>
      <c r="D730" t="str">
        <f t="shared" si="33"/>
        <v>Stationery</v>
      </c>
      <c r="I730" t="s">
        <v>81</v>
      </c>
      <c r="J730" t="str">
        <f t="shared" si="34"/>
        <v>London</v>
      </c>
      <c r="N730" t="s">
        <v>19</v>
      </c>
      <c r="O730" t="str">
        <f t="shared" si="35"/>
        <v>Bank Transfer</v>
      </c>
    </row>
    <row r="731" spans="3:15" x14ac:dyDescent="0.25">
      <c r="C731" t="s">
        <v>20</v>
      </c>
      <c r="D731" t="str">
        <f t="shared" si="33"/>
        <v>Accessories</v>
      </c>
      <c r="I731" t="s">
        <v>33</v>
      </c>
      <c r="J731" t="str">
        <f t="shared" si="34"/>
        <v>Berlin</v>
      </c>
      <c r="N731" t="s">
        <v>61</v>
      </c>
      <c r="O731" t="str">
        <f t="shared" si="35"/>
        <v>Paypal</v>
      </c>
    </row>
    <row r="732" spans="3:15" x14ac:dyDescent="0.25">
      <c r="C732" t="s">
        <v>30</v>
      </c>
      <c r="D732" t="str">
        <f t="shared" si="33"/>
        <v>Apparel</v>
      </c>
      <c r="I732" t="s">
        <v>33</v>
      </c>
      <c r="J732" t="str">
        <f t="shared" si="34"/>
        <v>Berlin</v>
      </c>
      <c r="N732" t="s">
        <v>19</v>
      </c>
      <c r="O732" t="str">
        <f t="shared" si="35"/>
        <v>Bank Transfer</v>
      </c>
    </row>
    <row r="733" spans="3:15" x14ac:dyDescent="0.25">
      <c r="C733" t="s">
        <v>20</v>
      </c>
      <c r="D733" t="str">
        <f t="shared" si="33"/>
        <v>Accessories</v>
      </c>
      <c r="I733" t="s">
        <v>724</v>
      </c>
      <c r="J733" t="str">
        <f t="shared" si="34"/>
        <v>London</v>
      </c>
      <c r="N733" t="s">
        <v>29</v>
      </c>
      <c r="O733" t="str">
        <f t="shared" si="35"/>
        <v>Credit Card</v>
      </c>
    </row>
    <row r="734" spans="3:15" x14ac:dyDescent="0.25">
      <c r="C734" t="s">
        <v>37</v>
      </c>
      <c r="D734" t="str">
        <f t="shared" si="33"/>
        <v>Stationery</v>
      </c>
      <c r="I734" t="s">
        <v>59</v>
      </c>
      <c r="J734" t="str">
        <f t="shared" si="34"/>
        <v>Rome</v>
      </c>
      <c r="N734" t="s">
        <v>29</v>
      </c>
      <c r="O734" t="str">
        <f t="shared" si="35"/>
        <v>Credit Card</v>
      </c>
    </row>
    <row r="735" spans="3:15" x14ac:dyDescent="0.25">
      <c r="C735" t="s">
        <v>20</v>
      </c>
      <c r="D735" t="str">
        <f t="shared" si="33"/>
        <v>Accessories</v>
      </c>
      <c r="I735" t="s">
        <v>33</v>
      </c>
      <c r="J735" t="str">
        <f t="shared" si="34"/>
        <v>Berlin</v>
      </c>
      <c r="N735" t="s">
        <v>19</v>
      </c>
      <c r="O735" t="str">
        <f t="shared" si="35"/>
        <v>Bank Transfer</v>
      </c>
    </row>
    <row r="736" spans="3:15" x14ac:dyDescent="0.25">
      <c r="C736" t="s">
        <v>44</v>
      </c>
      <c r="D736" t="str">
        <f t="shared" si="33"/>
        <v>Furniture</v>
      </c>
      <c r="I736" t="s">
        <v>59</v>
      </c>
      <c r="J736" t="str">
        <f t="shared" si="34"/>
        <v>Rome</v>
      </c>
      <c r="N736" t="s">
        <v>19</v>
      </c>
      <c r="O736" t="str">
        <f t="shared" si="35"/>
        <v>Bank Transfer</v>
      </c>
    </row>
    <row r="737" spans="3:15" x14ac:dyDescent="0.25">
      <c r="C737" t="s">
        <v>37</v>
      </c>
      <c r="D737" t="str">
        <f t="shared" si="33"/>
        <v>Stationery</v>
      </c>
      <c r="I737" t="s">
        <v>24</v>
      </c>
      <c r="J737" t="str">
        <f t="shared" si="34"/>
        <v>Paris</v>
      </c>
      <c r="N737" t="s">
        <v>61</v>
      </c>
      <c r="O737" t="str">
        <f t="shared" si="35"/>
        <v>Paypal</v>
      </c>
    </row>
    <row r="738" spans="3:15" x14ac:dyDescent="0.25">
      <c r="C738" t="s">
        <v>20</v>
      </c>
      <c r="D738" t="str">
        <f t="shared" si="33"/>
        <v>Accessories</v>
      </c>
      <c r="I738" t="s">
        <v>59</v>
      </c>
      <c r="J738" t="str">
        <f t="shared" si="34"/>
        <v>Rome</v>
      </c>
      <c r="N738" t="s">
        <v>61</v>
      </c>
      <c r="O738" t="str">
        <f t="shared" si="35"/>
        <v>Paypal</v>
      </c>
    </row>
    <row r="739" spans="3:15" x14ac:dyDescent="0.25">
      <c r="C739" t="s">
        <v>44</v>
      </c>
      <c r="D739" t="str">
        <f t="shared" si="33"/>
        <v>Furniture</v>
      </c>
      <c r="I739" t="s">
        <v>33</v>
      </c>
      <c r="J739" t="str">
        <f t="shared" si="34"/>
        <v>Berlin</v>
      </c>
      <c r="N739" t="s">
        <v>61</v>
      </c>
      <c r="O739" t="str">
        <f t="shared" si="35"/>
        <v>Paypal</v>
      </c>
    </row>
    <row r="740" spans="3:15" x14ac:dyDescent="0.25">
      <c r="C740" t="s">
        <v>44</v>
      </c>
      <c r="D740" t="str">
        <f t="shared" si="33"/>
        <v>Furniture</v>
      </c>
      <c r="I740" t="s">
        <v>24</v>
      </c>
      <c r="J740" t="str">
        <f t="shared" si="34"/>
        <v>Paris</v>
      </c>
      <c r="N740" t="s">
        <v>61</v>
      </c>
      <c r="O740" t="str">
        <f t="shared" si="35"/>
        <v>Paypal</v>
      </c>
    </row>
    <row r="741" spans="3:15" x14ac:dyDescent="0.25">
      <c r="C741" t="s">
        <v>44</v>
      </c>
      <c r="D741" t="str">
        <f t="shared" si="33"/>
        <v>Furniture</v>
      </c>
      <c r="I741" t="s">
        <v>39</v>
      </c>
      <c r="J741" t="str">
        <f t="shared" si="34"/>
        <v>Amsterdam</v>
      </c>
      <c r="N741" t="s">
        <v>19</v>
      </c>
      <c r="O741" t="str">
        <f t="shared" si="35"/>
        <v>Bank Transfer</v>
      </c>
    </row>
    <row r="742" spans="3:15" x14ac:dyDescent="0.25">
      <c r="C742" t="s">
        <v>50</v>
      </c>
      <c r="D742" t="str">
        <f t="shared" si="33"/>
        <v>Electronics</v>
      </c>
      <c r="I742" t="s">
        <v>59</v>
      </c>
      <c r="J742" t="str">
        <f t="shared" si="34"/>
        <v>Rome</v>
      </c>
      <c r="N742" t="s">
        <v>29</v>
      </c>
      <c r="O742" t="str">
        <f t="shared" si="35"/>
        <v>Credit Card</v>
      </c>
    </row>
    <row r="743" spans="3:15" x14ac:dyDescent="0.25">
      <c r="C743" t="s">
        <v>37</v>
      </c>
      <c r="D743" t="str">
        <f t="shared" si="33"/>
        <v>Stationery</v>
      </c>
      <c r="I743" t="s">
        <v>33</v>
      </c>
      <c r="J743" t="str">
        <f t="shared" si="34"/>
        <v>Berlin</v>
      </c>
      <c r="N743" t="s">
        <v>19</v>
      </c>
      <c r="O743" t="str">
        <f t="shared" si="35"/>
        <v>Bank Transfer</v>
      </c>
    </row>
    <row r="744" spans="3:15" x14ac:dyDescent="0.25">
      <c r="C744" t="s">
        <v>20</v>
      </c>
      <c r="D744" t="str">
        <f t="shared" si="33"/>
        <v>Accessories</v>
      </c>
      <c r="I744" t="s">
        <v>59</v>
      </c>
      <c r="J744" t="str">
        <f t="shared" si="34"/>
        <v>Rome</v>
      </c>
      <c r="N744" t="s">
        <v>61</v>
      </c>
      <c r="O744" t="str">
        <f t="shared" si="35"/>
        <v>Paypal</v>
      </c>
    </row>
    <row r="745" spans="3:15" x14ac:dyDescent="0.25">
      <c r="C745" s="5" t="s">
        <v>727</v>
      </c>
      <c r="D745" s="4" t="str">
        <f t="shared" si="33"/>
        <v>Accessories</v>
      </c>
      <c r="I745" t="s">
        <v>59</v>
      </c>
      <c r="J745" t="str">
        <f t="shared" si="34"/>
        <v>Rome</v>
      </c>
      <c r="N745" t="s">
        <v>61</v>
      </c>
      <c r="O745" t="str">
        <f t="shared" si="35"/>
        <v>Paypal</v>
      </c>
    </row>
    <row r="746" spans="3:15" x14ac:dyDescent="0.25">
      <c r="C746" t="s">
        <v>50</v>
      </c>
      <c r="D746" t="str">
        <f t="shared" si="33"/>
        <v>Electronics</v>
      </c>
      <c r="I746" t="s">
        <v>39</v>
      </c>
      <c r="J746" t="str">
        <f t="shared" si="34"/>
        <v>Amsterdam</v>
      </c>
      <c r="N746" t="s">
        <v>61</v>
      </c>
      <c r="O746" t="str">
        <f t="shared" si="35"/>
        <v>Paypal</v>
      </c>
    </row>
    <row r="747" spans="3:15" x14ac:dyDescent="0.25">
      <c r="C747" t="s">
        <v>50</v>
      </c>
      <c r="D747" t="str">
        <f t="shared" si="33"/>
        <v>Electronics</v>
      </c>
      <c r="I747" t="s">
        <v>33</v>
      </c>
      <c r="J747" t="str">
        <f t="shared" si="34"/>
        <v>Berlin</v>
      </c>
      <c r="N747" t="s">
        <v>61</v>
      </c>
      <c r="O747" t="str">
        <f t="shared" si="35"/>
        <v>Paypal</v>
      </c>
    </row>
    <row r="748" spans="3:15" x14ac:dyDescent="0.25">
      <c r="C748" t="s">
        <v>50</v>
      </c>
      <c r="D748" t="str">
        <f t="shared" si="33"/>
        <v>Electronics</v>
      </c>
      <c r="I748" t="s">
        <v>33</v>
      </c>
      <c r="J748" t="str">
        <f t="shared" si="34"/>
        <v>Berlin</v>
      </c>
      <c r="N748" t="s">
        <v>19</v>
      </c>
      <c r="O748" t="str">
        <f t="shared" si="35"/>
        <v>Bank Transfer</v>
      </c>
    </row>
    <row r="749" spans="3:15" x14ac:dyDescent="0.25">
      <c r="C749" t="s">
        <v>20</v>
      </c>
      <c r="D749" t="str">
        <f t="shared" si="33"/>
        <v>Accessories</v>
      </c>
      <c r="I749" t="s">
        <v>81</v>
      </c>
      <c r="J749" t="str">
        <f t="shared" si="34"/>
        <v>London</v>
      </c>
      <c r="N749" t="s">
        <v>61</v>
      </c>
      <c r="O749" t="str">
        <f t="shared" si="35"/>
        <v>Paypal</v>
      </c>
    </row>
    <row r="750" spans="3:15" x14ac:dyDescent="0.25">
      <c r="C750" t="s">
        <v>44</v>
      </c>
      <c r="D750" t="str">
        <f t="shared" si="33"/>
        <v>Furniture</v>
      </c>
      <c r="I750" t="s">
        <v>59</v>
      </c>
      <c r="J750" t="str">
        <f t="shared" si="34"/>
        <v>Rome</v>
      </c>
      <c r="N750" t="s">
        <v>19</v>
      </c>
      <c r="O750" t="str">
        <f t="shared" si="35"/>
        <v>Bank Transfer</v>
      </c>
    </row>
    <row r="751" spans="3:15" x14ac:dyDescent="0.25">
      <c r="C751" t="s">
        <v>30</v>
      </c>
      <c r="D751" t="str">
        <f t="shared" si="33"/>
        <v>Apparel</v>
      </c>
      <c r="I751" t="s">
        <v>24</v>
      </c>
      <c r="J751" t="str">
        <f t="shared" si="34"/>
        <v>Paris</v>
      </c>
      <c r="N751" t="s">
        <v>19</v>
      </c>
      <c r="O751" t="str">
        <f t="shared" si="35"/>
        <v>Bank Transfer</v>
      </c>
    </row>
    <row r="752" spans="3:15" x14ac:dyDescent="0.25">
      <c r="C752" t="s">
        <v>20</v>
      </c>
      <c r="D752" t="str">
        <f t="shared" si="33"/>
        <v>Accessories</v>
      </c>
      <c r="I752" t="s">
        <v>59</v>
      </c>
      <c r="J752" t="str">
        <f t="shared" si="34"/>
        <v>Rome</v>
      </c>
      <c r="N752" t="s">
        <v>61</v>
      </c>
      <c r="O752" t="str">
        <f t="shared" si="35"/>
        <v>Paypal</v>
      </c>
    </row>
    <row r="753" spans="3:15" x14ac:dyDescent="0.25">
      <c r="C753" t="s">
        <v>44</v>
      </c>
      <c r="D753" t="str">
        <f t="shared" si="33"/>
        <v>Furniture</v>
      </c>
      <c r="I753" t="s">
        <v>24</v>
      </c>
      <c r="J753" t="str">
        <f t="shared" si="34"/>
        <v>Paris</v>
      </c>
      <c r="N753" t="s">
        <v>19</v>
      </c>
      <c r="O753" t="str">
        <f t="shared" si="35"/>
        <v>Bank Transfer</v>
      </c>
    </row>
    <row r="754" spans="3:15" x14ac:dyDescent="0.25">
      <c r="C754" t="s">
        <v>37</v>
      </c>
      <c r="D754" t="str">
        <f t="shared" si="33"/>
        <v>Stationery</v>
      </c>
      <c r="I754" t="s">
        <v>81</v>
      </c>
      <c r="J754" t="str">
        <f t="shared" si="34"/>
        <v>London</v>
      </c>
      <c r="N754" t="s">
        <v>29</v>
      </c>
      <c r="O754" t="str">
        <f t="shared" si="35"/>
        <v>Credit Card</v>
      </c>
    </row>
    <row r="755" spans="3:15" x14ac:dyDescent="0.25">
      <c r="C755" t="s">
        <v>20</v>
      </c>
      <c r="D755" t="str">
        <f t="shared" si="33"/>
        <v>Accessories</v>
      </c>
      <c r="I755" t="s">
        <v>24</v>
      </c>
      <c r="J755" t="str">
        <f t="shared" si="34"/>
        <v>Paris</v>
      </c>
      <c r="N755" t="s">
        <v>29</v>
      </c>
      <c r="O755" t="str">
        <f t="shared" si="35"/>
        <v>Credit Card</v>
      </c>
    </row>
    <row r="756" spans="3:15" x14ac:dyDescent="0.25">
      <c r="C756" t="s">
        <v>30</v>
      </c>
      <c r="D756" t="str">
        <f t="shared" si="33"/>
        <v>Apparel</v>
      </c>
      <c r="I756" t="s">
        <v>59</v>
      </c>
      <c r="J756" t="str">
        <f t="shared" si="34"/>
        <v>Rome</v>
      </c>
      <c r="N756" t="s">
        <v>29</v>
      </c>
      <c r="O756" t="str">
        <f t="shared" si="35"/>
        <v>Credit Card</v>
      </c>
    </row>
    <row r="757" spans="3:15" x14ac:dyDescent="0.25">
      <c r="C757" t="s">
        <v>30</v>
      </c>
      <c r="D757" t="str">
        <f t="shared" si="33"/>
        <v>Apparel</v>
      </c>
      <c r="I757" t="s">
        <v>24</v>
      </c>
      <c r="J757" t="str">
        <f t="shared" si="34"/>
        <v>Paris</v>
      </c>
      <c r="N757" t="s">
        <v>61</v>
      </c>
      <c r="O757" t="str">
        <f t="shared" si="35"/>
        <v>Paypal</v>
      </c>
    </row>
    <row r="758" spans="3:15" x14ac:dyDescent="0.25">
      <c r="C758" t="s">
        <v>30</v>
      </c>
      <c r="D758" t="str">
        <f t="shared" si="33"/>
        <v>Apparel</v>
      </c>
      <c r="I758" t="s">
        <v>39</v>
      </c>
      <c r="J758" t="str">
        <f t="shared" si="34"/>
        <v>Amsterdam</v>
      </c>
      <c r="N758" t="s">
        <v>61</v>
      </c>
      <c r="O758" t="str">
        <f t="shared" si="35"/>
        <v>Paypal</v>
      </c>
    </row>
    <row r="759" spans="3:15" x14ac:dyDescent="0.25">
      <c r="C759" t="s">
        <v>30</v>
      </c>
      <c r="D759" t="str">
        <f t="shared" si="33"/>
        <v>Apparel</v>
      </c>
      <c r="I759" t="s">
        <v>33</v>
      </c>
      <c r="J759" t="str">
        <f t="shared" si="34"/>
        <v>Berlin</v>
      </c>
      <c r="N759" t="s">
        <v>19</v>
      </c>
      <c r="O759" t="str">
        <f t="shared" si="35"/>
        <v>Bank Transfer</v>
      </c>
    </row>
    <row r="760" spans="3:15" x14ac:dyDescent="0.25">
      <c r="C760" t="s">
        <v>30</v>
      </c>
      <c r="D760" t="str">
        <f t="shared" si="33"/>
        <v>Apparel</v>
      </c>
      <c r="I760" t="s">
        <v>39</v>
      </c>
      <c r="J760" t="str">
        <f t="shared" si="34"/>
        <v>Amsterdam</v>
      </c>
      <c r="N760" t="s">
        <v>19</v>
      </c>
      <c r="O760" t="str">
        <f t="shared" si="35"/>
        <v>Bank Transfer</v>
      </c>
    </row>
    <row r="761" spans="3:15" x14ac:dyDescent="0.25">
      <c r="C761" t="s">
        <v>50</v>
      </c>
      <c r="D761" t="str">
        <f t="shared" si="33"/>
        <v>Electronics</v>
      </c>
      <c r="I761" t="s">
        <v>33</v>
      </c>
      <c r="J761" t="str">
        <f t="shared" si="34"/>
        <v>Berlin</v>
      </c>
      <c r="N761" t="s">
        <v>61</v>
      </c>
      <c r="O761" t="str">
        <f t="shared" si="35"/>
        <v>Paypal</v>
      </c>
    </row>
    <row r="762" spans="3:15" x14ac:dyDescent="0.25">
      <c r="C762" t="s">
        <v>20</v>
      </c>
      <c r="D762" t="str">
        <f t="shared" si="33"/>
        <v>Accessories</v>
      </c>
      <c r="I762" t="s">
        <v>59</v>
      </c>
      <c r="J762" t="str">
        <f t="shared" si="34"/>
        <v>Rome</v>
      </c>
      <c r="N762" t="s">
        <v>29</v>
      </c>
      <c r="O762" t="str">
        <f t="shared" si="35"/>
        <v>Credit Card</v>
      </c>
    </row>
    <row r="763" spans="3:15" x14ac:dyDescent="0.25">
      <c r="C763" t="s">
        <v>20</v>
      </c>
      <c r="D763" t="str">
        <f t="shared" si="33"/>
        <v>Accessories</v>
      </c>
      <c r="I763" t="s">
        <v>33</v>
      </c>
      <c r="J763" t="str">
        <f t="shared" si="34"/>
        <v>Berlin</v>
      </c>
      <c r="N763" t="s">
        <v>61</v>
      </c>
      <c r="O763" t="str">
        <f t="shared" si="35"/>
        <v>Paypal</v>
      </c>
    </row>
    <row r="764" spans="3:15" x14ac:dyDescent="0.25">
      <c r="C764" t="s">
        <v>20</v>
      </c>
      <c r="D764" t="str">
        <f t="shared" si="33"/>
        <v>Accessories</v>
      </c>
      <c r="I764" t="s">
        <v>33</v>
      </c>
      <c r="J764" t="str">
        <f t="shared" si="34"/>
        <v>Berlin</v>
      </c>
      <c r="N764" t="s">
        <v>29</v>
      </c>
      <c r="O764" t="str">
        <f t="shared" si="35"/>
        <v>Credit Card</v>
      </c>
    </row>
    <row r="765" spans="3:15" x14ac:dyDescent="0.25">
      <c r="C765" t="s">
        <v>44</v>
      </c>
      <c r="D765" t="str">
        <f t="shared" si="33"/>
        <v>Furniture</v>
      </c>
      <c r="I765" t="s">
        <v>33</v>
      </c>
      <c r="J765" t="str">
        <f t="shared" si="34"/>
        <v>Berlin</v>
      </c>
      <c r="N765" t="s">
        <v>19</v>
      </c>
      <c r="O765" t="str">
        <f t="shared" si="35"/>
        <v>Bank Transfer</v>
      </c>
    </row>
    <row r="766" spans="3:15" x14ac:dyDescent="0.25">
      <c r="C766" t="s">
        <v>44</v>
      </c>
      <c r="D766" t="str">
        <f t="shared" si="33"/>
        <v>Furniture</v>
      </c>
      <c r="I766" t="s">
        <v>39</v>
      </c>
      <c r="J766" t="str">
        <f t="shared" si="34"/>
        <v>Amsterdam</v>
      </c>
      <c r="N766" t="s">
        <v>29</v>
      </c>
      <c r="O766" t="str">
        <f t="shared" si="35"/>
        <v>Credit Card</v>
      </c>
    </row>
    <row r="767" spans="3:15" x14ac:dyDescent="0.25">
      <c r="C767" t="s">
        <v>20</v>
      </c>
      <c r="D767" t="str">
        <f t="shared" si="33"/>
        <v>Accessories</v>
      </c>
      <c r="I767" t="s">
        <v>33</v>
      </c>
      <c r="J767" t="str">
        <f t="shared" si="34"/>
        <v>Berlin</v>
      </c>
      <c r="N767" t="s">
        <v>19</v>
      </c>
      <c r="O767" t="str">
        <f t="shared" si="35"/>
        <v>Bank Transfer</v>
      </c>
    </row>
    <row r="768" spans="3:15" x14ac:dyDescent="0.25">
      <c r="C768" t="s">
        <v>20</v>
      </c>
      <c r="D768" t="str">
        <f t="shared" si="33"/>
        <v>Accessories</v>
      </c>
      <c r="I768" t="s">
        <v>33</v>
      </c>
      <c r="J768" t="str">
        <f t="shared" si="34"/>
        <v>Berlin</v>
      </c>
      <c r="N768" t="s">
        <v>19</v>
      </c>
      <c r="O768" t="str">
        <f t="shared" si="35"/>
        <v>Bank Transfer</v>
      </c>
    </row>
    <row r="769" spans="3:15" x14ac:dyDescent="0.25">
      <c r="C769" t="s">
        <v>30</v>
      </c>
      <c r="D769" t="str">
        <f t="shared" si="33"/>
        <v>Apparel</v>
      </c>
      <c r="I769" t="s">
        <v>59</v>
      </c>
      <c r="J769" t="str">
        <f t="shared" si="34"/>
        <v>Rome</v>
      </c>
      <c r="N769" t="s">
        <v>29</v>
      </c>
      <c r="O769" t="str">
        <f t="shared" si="35"/>
        <v>Credit Card</v>
      </c>
    </row>
    <row r="770" spans="3:15" x14ac:dyDescent="0.25">
      <c r="C770" t="s">
        <v>50</v>
      </c>
      <c r="D770" t="str">
        <f t="shared" si="33"/>
        <v>Electronics</v>
      </c>
      <c r="I770" t="s">
        <v>59</v>
      </c>
      <c r="J770" t="str">
        <f t="shared" si="34"/>
        <v>Rome</v>
      </c>
      <c r="N770" t="s">
        <v>19</v>
      </c>
      <c r="O770" t="str">
        <f t="shared" si="35"/>
        <v>Bank Transfer</v>
      </c>
    </row>
    <row r="771" spans="3:15" x14ac:dyDescent="0.25">
      <c r="C771" t="s">
        <v>20</v>
      </c>
      <c r="D771" t="str">
        <f t="shared" si="33"/>
        <v>Accessories</v>
      </c>
      <c r="I771" t="s">
        <v>39</v>
      </c>
      <c r="J771" t="str">
        <f t="shared" si="34"/>
        <v>Amsterdam</v>
      </c>
      <c r="N771" t="s">
        <v>19</v>
      </c>
      <c r="O771" t="str">
        <f t="shared" si="35"/>
        <v>Bank Transfer</v>
      </c>
    </row>
    <row r="772" spans="3:15" x14ac:dyDescent="0.25">
      <c r="C772" t="s">
        <v>20</v>
      </c>
      <c r="D772" t="str">
        <f t="shared" si="33"/>
        <v>Accessories</v>
      </c>
      <c r="I772" t="s">
        <v>39</v>
      </c>
      <c r="J772" t="str">
        <f t="shared" si="34"/>
        <v>Amsterdam</v>
      </c>
      <c r="N772" t="s">
        <v>29</v>
      </c>
      <c r="O772" t="str">
        <f t="shared" si="35"/>
        <v>Credit Card</v>
      </c>
    </row>
    <row r="773" spans="3:15" x14ac:dyDescent="0.25">
      <c r="C773" t="s">
        <v>37</v>
      </c>
      <c r="D773" t="str">
        <f t="shared" si="33"/>
        <v>Stationery</v>
      </c>
      <c r="I773" t="s">
        <v>81</v>
      </c>
      <c r="J773" t="str">
        <f t="shared" si="34"/>
        <v>London</v>
      </c>
      <c r="N773" t="s">
        <v>19</v>
      </c>
      <c r="O773" t="str">
        <f t="shared" si="35"/>
        <v>Bank Transfer</v>
      </c>
    </row>
    <row r="774" spans="3:15" x14ac:dyDescent="0.25">
      <c r="C774" s="5" t="s">
        <v>729</v>
      </c>
      <c r="D774" s="4" t="str">
        <f t="shared" ref="D774:D837" si="36">PROPER(C774)</f>
        <v>Furniture</v>
      </c>
      <c r="I774" t="s">
        <v>59</v>
      </c>
      <c r="J774" t="str">
        <f t="shared" ref="J774:J837" si="37">PROPER(I774)</f>
        <v>Rome</v>
      </c>
      <c r="N774" t="s">
        <v>61</v>
      </c>
      <c r="O774" t="str">
        <f t="shared" ref="O774:O837" si="38">IF(N774="paypall","Paypal",N774)</f>
        <v>Paypal</v>
      </c>
    </row>
    <row r="775" spans="3:15" x14ac:dyDescent="0.25">
      <c r="C775" t="s">
        <v>37</v>
      </c>
      <c r="D775" t="str">
        <f t="shared" si="36"/>
        <v>Stationery</v>
      </c>
      <c r="I775" t="s">
        <v>24</v>
      </c>
      <c r="J775" t="str">
        <f t="shared" si="37"/>
        <v>Paris</v>
      </c>
      <c r="N775" t="s">
        <v>19</v>
      </c>
      <c r="O775" t="str">
        <f t="shared" si="38"/>
        <v>Bank Transfer</v>
      </c>
    </row>
    <row r="776" spans="3:15" x14ac:dyDescent="0.25">
      <c r="C776" t="s">
        <v>44</v>
      </c>
      <c r="D776" t="str">
        <f t="shared" si="36"/>
        <v>Furniture</v>
      </c>
      <c r="I776" t="s">
        <v>39</v>
      </c>
      <c r="J776" t="str">
        <f t="shared" si="37"/>
        <v>Amsterdam</v>
      </c>
      <c r="N776" t="s">
        <v>61</v>
      </c>
      <c r="O776" t="str">
        <f t="shared" si="38"/>
        <v>Paypal</v>
      </c>
    </row>
    <row r="777" spans="3:15" x14ac:dyDescent="0.25">
      <c r="C777" t="s">
        <v>30</v>
      </c>
      <c r="D777" t="str">
        <f t="shared" si="36"/>
        <v>Apparel</v>
      </c>
      <c r="I777" t="s">
        <v>81</v>
      </c>
      <c r="J777" t="str">
        <f t="shared" si="37"/>
        <v>London</v>
      </c>
      <c r="N777" t="s">
        <v>19</v>
      </c>
      <c r="O777" t="str">
        <f t="shared" si="38"/>
        <v>Bank Transfer</v>
      </c>
    </row>
    <row r="778" spans="3:15" x14ac:dyDescent="0.25">
      <c r="C778" t="s">
        <v>20</v>
      </c>
      <c r="D778" t="str">
        <f t="shared" si="36"/>
        <v>Accessories</v>
      </c>
      <c r="I778" t="s">
        <v>39</v>
      </c>
      <c r="J778" t="str">
        <f t="shared" si="37"/>
        <v>Amsterdam</v>
      </c>
      <c r="N778" t="s">
        <v>19</v>
      </c>
      <c r="O778" t="str">
        <f t="shared" si="38"/>
        <v>Bank Transfer</v>
      </c>
    </row>
    <row r="779" spans="3:15" x14ac:dyDescent="0.25">
      <c r="C779" t="s">
        <v>50</v>
      </c>
      <c r="D779" t="str">
        <f t="shared" si="36"/>
        <v>Electronics</v>
      </c>
      <c r="I779" t="s">
        <v>24</v>
      </c>
      <c r="J779" t="str">
        <f t="shared" si="37"/>
        <v>Paris</v>
      </c>
      <c r="N779" t="s">
        <v>61</v>
      </c>
      <c r="O779" t="str">
        <f t="shared" si="38"/>
        <v>Paypal</v>
      </c>
    </row>
    <row r="780" spans="3:15" x14ac:dyDescent="0.25">
      <c r="C780" t="s">
        <v>50</v>
      </c>
      <c r="D780" t="str">
        <f t="shared" si="36"/>
        <v>Electronics</v>
      </c>
      <c r="I780" t="s">
        <v>81</v>
      </c>
      <c r="J780" t="str">
        <f t="shared" si="37"/>
        <v>London</v>
      </c>
      <c r="N780" t="s">
        <v>61</v>
      </c>
      <c r="O780" t="str">
        <f t="shared" si="38"/>
        <v>Paypal</v>
      </c>
    </row>
    <row r="781" spans="3:15" x14ac:dyDescent="0.25">
      <c r="C781" t="s">
        <v>37</v>
      </c>
      <c r="D781" t="str">
        <f t="shared" si="36"/>
        <v>Stationery</v>
      </c>
      <c r="I781" t="s">
        <v>39</v>
      </c>
      <c r="J781" t="str">
        <f t="shared" si="37"/>
        <v>Amsterdam</v>
      </c>
      <c r="N781" t="s">
        <v>29</v>
      </c>
      <c r="O781" t="str">
        <f t="shared" si="38"/>
        <v>Credit Card</v>
      </c>
    </row>
    <row r="782" spans="3:15" x14ac:dyDescent="0.25">
      <c r="C782" t="s">
        <v>44</v>
      </c>
      <c r="D782" t="str">
        <f t="shared" si="36"/>
        <v>Furniture</v>
      </c>
      <c r="I782" t="s">
        <v>81</v>
      </c>
      <c r="J782" t="str">
        <f t="shared" si="37"/>
        <v>London</v>
      </c>
      <c r="N782" t="s">
        <v>29</v>
      </c>
      <c r="O782" t="str">
        <f t="shared" si="38"/>
        <v>Credit Card</v>
      </c>
    </row>
    <row r="783" spans="3:15" x14ac:dyDescent="0.25">
      <c r="C783" t="s">
        <v>50</v>
      </c>
      <c r="D783" t="str">
        <f t="shared" si="36"/>
        <v>Electronics</v>
      </c>
      <c r="I783" s="5" t="s">
        <v>724</v>
      </c>
      <c r="J783" s="4" t="str">
        <f t="shared" si="37"/>
        <v>London</v>
      </c>
      <c r="N783" t="s">
        <v>61</v>
      </c>
      <c r="O783" t="str">
        <f t="shared" si="38"/>
        <v>Paypal</v>
      </c>
    </row>
    <row r="784" spans="3:15" x14ac:dyDescent="0.25">
      <c r="C784" t="s">
        <v>44</v>
      </c>
      <c r="D784" t="str">
        <f t="shared" si="36"/>
        <v>Furniture</v>
      </c>
      <c r="I784" t="s">
        <v>81</v>
      </c>
      <c r="J784" t="str">
        <f t="shared" si="37"/>
        <v>London</v>
      </c>
      <c r="N784" t="s">
        <v>61</v>
      </c>
      <c r="O784" t="str">
        <f t="shared" si="38"/>
        <v>Paypal</v>
      </c>
    </row>
    <row r="785" spans="3:15" x14ac:dyDescent="0.25">
      <c r="C785" t="s">
        <v>20</v>
      </c>
      <c r="D785" t="str">
        <f t="shared" si="36"/>
        <v>Accessories</v>
      </c>
      <c r="I785" t="s">
        <v>81</v>
      </c>
      <c r="J785" t="str">
        <f t="shared" si="37"/>
        <v>London</v>
      </c>
      <c r="N785" t="s">
        <v>19</v>
      </c>
      <c r="O785" t="str">
        <f t="shared" si="38"/>
        <v>Bank Transfer</v>
      </c>
    </row>
    <row r="786" spans="3:15" x14ac:dyDescent="0.25">
      <c r="C786" t="s">
        <v>20</v>
      </c>
      <c r="D786" t="str">
        <f t="shared" si="36"/>
        <v>Accessories</v>
      </c>
      <c r="I786" t="s">
        <v>81</v>
      </c>
      <c r="J786" t="str">
        <f t="shared" si="37"/>
        <v>London</v>
      </c>
      <c r="N786" t="s">
        <v>61</v>
      </c>
      <c r="O786" t="str">
        <f t="shared" si="38"/>
        <v>Paypal</v>
      </c>
    </row>
    <row r="787" spans="3:15" x14ac:dyDescent="0.25">
      <c r="C787" t="s">
        <v>37</v>
      </c>
      <c r="D787" t="str">
        <f t="shared" si="36"/>
        <v>Stationery</v>
      </c>
      <c r="I787" t="s">
        <v>39</v>
      </c>
      <c r="J787" t="str">
        <f t="shared" si="37"/>
        <v>Amsterdam</v>
      </c>
      <c r="N787" t="s">
        <v>61</v>
      </c>
      <c r="O787" t="str">
        <f t="shared" si="38"/>
        <v>Paypal</v>
      </c>
    </row>
    <row r="788" spans="3:15" x14ac:dyDescent="0.25">
      <c r="C788" t="s">
        <v>50</v>
      </c>
      <c r="D788" t="str">
        <f t="shared" si="36"/>
        <v>Electronics</v>
      </c>
      <c r="I788" t="s">
        <v>39</v>
      </c>
      <c r="J788" t="str">
        <f t="shared" si="37"/>
        <v>Amsterdam</v>
      </c>
      <c r="N788" t="s">
        <v>19</v>
      </c>
      <c r="O788" t="str">
        <f t="shared" si="38"/>
        <v>Bank Transfer</v>
      </c>
    </row>
    <row r="789" spans="3:15" x14ac:dyDescent="0.25">
      <c r="C789" t="s">
        <v>44</v>
      </c>
      <c r="D789" t="str">
        <f t="shared" si="36"/>
        <v>Furniture</v>
      </c>
      <c r="I789" t="s">
        <v>39</v>
      </c>
      <c r="J789" t="str">
        <f t="shared" si="37"/>
        <v>Amsterdam</v>
      </c>
      <c r="N789" t="s">
        <v>29</v>
      </c>
      <c r="O789" t="str">
        <f t="shared" si="38"/>
        <v>Credit Card</v>
      </c>
    </row>
    <row r="790" spans="3:15" x14ac:dyDescent="0.25">
      <c r="C790" t="s">
        <v>44</v>
      </c>
      <c r="D790" t="str">
        <f t="shared" si="36"/>
        <v>Furniture</v>
      </c>
      <c r="I790" t="s">
        <v>81</v>
      </c>
      <c r="J790" t="str">
        <f t="shared" si="37"/>
        <v>London</v>
      </c>
      <c r="N790" t="s">
        <v>19</v>
      </c>
      <c r="O790" t="str">
        <f t="shared" si="38"/>
        <v>Bank Transfer</v>
      </c>
    </row>
    <row r="791" spans="3:15" x14ac:dyDescent="0.25">
      <c r="C791" t="s">
        <v>50</v>
      </c>
      <c r="D791" t="str">
        <f t="shared" si="36"/>
        <v>Electronics</v>
      </c>
      <c r="I791" t="s">
        <v>39</v>
      </c>
      <c r="J791" t="str">
        <f t="shared" si="37"/>
        <v>Amsterdam</v>
      </c>
      <c r="N791" t="s">
        <v>19</v>
      </c>
      <c r="O791" t="str">
        <f t="shared" si="38"/>
        <v>Bank Transfer</v>
      </c>
    </row>
    <row r="792" spans="3:15" x14ac:dyDescent="0.25">
      <c r="C792" t="s">
        <v>44</v>
      </c>
      <c r="D792" t="str">
        <f t="shared" si="36"/>
        <v>Furniture</v>
      </c>
      <c r="I792" t="s">
        <v>39</v>
      </c>
      <c r="J792" t="str">
        <f t="shared" si="37"/>
        <v>Amsterdam</v>
      </c>
      <c r="N792" t="s">
        <v>61</v>
      </c>
      <c r="O792" t="str">
        <f t="shared" si="38"/>
        <v>Paypal</v>
      </c>
    </row>
    <row r="793" spans="3:15" x14ac:dyDescent="0.25">
      <c r="C793" t="s">
        <v>44</v>
      </c>
      <c r="D793" t="str">
        <f t="shared" si="36"/>
        <v>Furniture</v>
      </c>
      <c r="I793" t="s">
        <v>59</v>
      </c>
      <c r="J793" t="str">
        <f t="shared" si="37"/>
        <v>Rome</v>
      </c>
      <c r="N793" t="s">
        <v>19</v>
      </c>
      <c r="O793" t="str">
        <f t="shared" si="38"/>
        <v>Bank Transfer</v>
      </c>
    </row>
    <row r="794" spans="3:15" x14ac:dyDescent="0.25">
      <c r="C794" t="s">
        <v>44</v>
      </c>
      <c r="D794" t="str">
        <f t="shared" si="36"/>
        <v>Furniture</v>
      </c>
      <c r="I794" t="s">
        <v>39</v>
      </c>
      <c r="J794" t="str">
        <f t="shared" si="37"/>
        <v>Amsterdam</v>
      </c>
      <c r="N794" t="s">
        <v>61</v>
      </c>
      <c r="O794" t="str">
        <f t="shared" si="38"/>
        <v>Paypal</v>
      </c>
    </row>
    <row r="795" spans="3:15" x14ac:dyDescent="0.25">
      <c r="C795" t="s">
        <v>30</v>
      </c>
      <c r="D795" t="str">
        <f t="shared" si="36"/>
        <v>Apparel</v>
      </c>
      <c r="I795" t="s">
        <v>24</v>
      </c>
      <c r="J795" t="str">
        <f t="shared" si="37"/>
        <v>Paris</v>
      </c>
      <c r="N795" t="s">
        <v>29</v>
      </c>
      <c r="O795" t="str">
        <f t="shared" si="38"/>
        <v>Credit Card</v>
      </c>
    </row>
    <row r="796" spans="3:15" x14ac:dyDescent="0.25">
      <c r="C796" t="s">
        <v>37</v>
      </c>
      <c r="D796" t="str">
        <f t="shared" si="36"/>
        <v>Stationery</v>
      </c>
      <c r="I796" t="s">
        <v>33</v>
      </c>
      <c r="J796" t="str">
        <f t="shared" si="37"/>
        <v>Berlin</v>
      </c>
      <c r="N796" t="s">
        <v>29</v>
      </c>
      <c r="O796" t="str">
        <f t="shared" si="38"/>
        <v>Credit Card</v>
      </c>
    </row>
    <row r="797" spans="3:15" x14ac:dyDescent="0.25">
      <c r="C797" t="s">
        <v>30</v>
      </c>
      <c r="D797" t="str">
        <f t="shared" si="36"/>
        <v>Apparel</v>
      </c>
      <c r="I797" t="s">
        <v>33</v>
      </c>
      <c r="J797" t="str">
        <f t="shared" si="37"/>
        <v>Berlin</v>
      </c>
      <c r="N797" t="s">
        <v>61</v>
      </c>
      <c r="O797" t="str">
        <f t="shared" si="38"/>
        <v>Paypal</v>
      </c>
    </row>
    <row r="798" spans="3:15" x14ac:dyDescent="0.25">
      <c r="C798" t="s">
        <v>44</v>
      </c>
      <c r="D798" t="str">
        <f t="shared" si="36"/>
        <v>Furniture</v>
      </c>
      <c r="I798" t="s">
        <v>39</v>
      </c>
      <c r="J798" t="str">
        <f t="shared" si="37"/>
        <v>Amsterdam</v>
      </c>
      <c r="N798" t="s">
        <v>61</v>
      </c>
      <c r="O798" t="str">
        <f t="shared" si="38"/>
        <v>Paypal</v>
      </c>
    </row>
    <row r="799" spans="3:15" x14ac:dyDescent="0.25">
      <c r="C799" t="s">
        <v>37</v>
      </c>
      <c r="D799" t="str">
        <f t="shared" si="36"/>
        <v>Stationery</v>
      </c>
      <c r="I799" t="s">
        <v>39</v>
      </c>
      <c r="J799" t="str">
        <f t="shared" si="37"/>
        <v>Amsterdam</v>
      </c>
      <c r="N799" t="s">
        <v>29</v>
      </c>
      <c r="O799" t="str">
        <f t="shared" si="38"/>
        <v>Credit Card</v>
      </c>
    </row>
    <row r="800" spans="3:15" x14ac:dyDescent="0.25">
      <c r="C800" t="s">
        <v>20</v>
      </c>
      <c r="D800" t="str">
        <f t="shared" si="36"/>
        <v>Accessories</v>
      </c>
      <c r="I800" t="s">
        <v>24</v>
      </c>
      <c r="J800" t="str">
        <f t="shared" si="37"/>
        <v>Paris</v>
      </c>
      <c r="N800" t="s">
        <v>19</v>
      </c>
      <c r="O800" t="str">
        <f t="shared" si="38"/>
        <v>Bank Transfer</v>
      </c>
    </row>
    <row r="801" spans="3:15" x14ac:dyDescent="0.25">
      <c r="C801" t="s">
        <v>44</v>
      </c>
      <c r="D801" t="str">
        <f t="shared" si="36"/>
        <v>Furniture</v>
      </c>
      <c r="I801" t="s">
        <v>24</v>
      </c>
      <c r="J801" t="str">
        <f t="shared" si="37"/>
        <v>Paris</v>
      </c>
      <c r="N801" t="s">
        <v>19</v>
      </c>
      <c r="O801" t="str">
        <f t="shared" si="38"/>
        <v>Bank Transfer</v>
      </c>
    </row>
    <row r="802" spans="3:15" x14ac:dyDescent="0.25">
      <c r="C802" t="s">
        <v>30</v>
      </c>
      <c r="D802" t="str">
        <f t="shared" si="36"/>
        <v>Apparel</v>
      </c>
      <c r="I802" t="s">
        <v>59</v>
      </c>
      <c r="J802" t="str">
        <f t="shared" si="37"/>
        <v>Rome</v>
      </c>
      <c r="N802" t="s">
        <v>61</v>
      </c>
      <c r="O802" t="str">
        <f t="shared" si="38"/>
        <v>Paypal</v>
      </c>
    </row>
    <row r="803" spans="3:15" x14ac:dyDescent="0.25">
      <c r="C803" t="s">
        <v>30</v>
      </c>
      <c r="D803" t="str">
        <f t="shared" si="36"/>
        <v>Apparel</v>
      </c>
      <c r="I803" t="s">
        <v>33</v>
      </c>
      <c r="J803" t="str">
        <f t="shared" si="37"/>
        <v>Berlin</v>
      </c>
      <c r="N803" t="s">
        <v>29</v>
      </c>
      <c r="O803" t="str">
        <f t="shared" si="38"/>
        <v>Credit Card</v>
      </c>
    </row>
    <row r="804" spans="3:15" x14ac:dyDescent="0.25">
      <c r="C804" t="s">
        <v>44</v>
      </c>
      <c r="D804" t="str">
        <f t="shared" si="36"/>
        <v>Furniture</v>
      </c>
      <c r="I804" t="s">
        <v>24</v>
      </c>
      <c r="J804" t="str">
        <f t="shared" si="37"/>
        <v>Paris</v>
      </c>
      <c r="N804" t="s">
        <v>19</v>
      </c>
      <c r="O804" t="str">
        <f t="shared" si="38"/>
        <v>Bank Transfer</v>
      </c>
    </row>
    <row r="805" spans="3:15" x14ac:dyDescent="0.25">
      <c r="C805" t="s">
        <v>30</v>
      </c>
      <c r="D805" t="str">
        <f t="shared" si="36"/>
        <v>Apparel</v>
      </c>
      <c r="I805" t="s">
        <v>39</v>
      </c>
      <c r="J805" t="str">
        <f t="shared" si="37"/>
        <v>Amsterdam</v>
      </c>
      <c r="N805" t="s">
        <v>19</v>
      </c>
      <c r="O805" t="str">
        <f t="shared" si="38"/>
        <v>Bank Transfer</v>
      </c>
    </row>
    <row r="806" spans="3:15" x14ac:dyDescent="0.25">
      <c r="C806" t="s">
        <v>20</v>
      </c>
      <c r="D806" t="str">
        <f t="shared" si="36"/>
        <v>Accessories</v>
      </c>
      <c r="I806" t="s">
        <v>39</v>
      </c>
      <c r="J806" t="str">
        <f t="shared" si="37"/>
        <v>Amsterdam</v>
      </c>
      <c r="N806" t="s">
        <v>29</v>
      </c>
      <c r="O806" t="str">
        <f t="shared" si="38"/>
        <v>Credit Card</v>
      </c>
    </row>
    <row r="807" spans="3:15" x14ac:dyDescent="0.25">
      <c r="C807" t="s">
        <v>50</v>
      </c>
      <c r="D807" t="str">
        <f t="shared" si="36"/>
        <v>Electronics</v>
      </c>
      <c r="I807" t="s">
        <v>33</v>
      </c>
      <c r="J807" t="str">
        <f t="shared" si="37"/>
        <v>Berlin</v>
      </c>
      <c r="N807" t="s">
        <v>29</v>
      </c>
      <c r="O807" t="str">
        <f t="shared" si="38"/>
        <v>Credit Card</v>
      </c>
    </row>
    <row r="808" spans="3:15" x14ac:dyDescent="0.25">
      <c r="C808" t="s">
        <v>44</v>
      </c>
      <c r="D808" t="str">
        <f t="shared" si="36"/>
        <v>Furniture</v>
      </c>
      <c r="I808" t="s">
        <v>39</v>
      </c>
      <c r="J808" t="str">
        <f t="shared" si="37"/>
        <v>Amsterdam</v>
      </c>
      <c r="N808" t="s">
        <v>61</v>
      </c>
      <c r="O808" t="str">
        <f t="shared" si="38"/>
        <v>Paypal</v>
      </c>
    </row>
    <row r="809" spans="3:15" x14ac:dyDescent="0.25">
      <c r="C809" t="s">
        <v>20</v>
      </c>
      <c r="D809" t="str">
        <f t="shared" si="36"/>
        <v>Accessories</v>
      </c>
      <c r="I809" t="s">
        <v>33</v>
      </c>
      <c r="J809" t="str">
        <f t="shared" si="37"/>
        <v>Berlin</v>
      </c>
      <c r="N809" t="s">
        <v>61</v>
      </c>
      <c r="O809" t="str">
        <f t="shared" si="38"/>
        <v>Paypal</v>
      </c>
    </row>
    <row r="810" spans="3:15" x14ac:dyDescent="0.25">
      <c r="C810" t="s">
        <v>44</v>
      </c>
      <c r="D810" t="str">
        <f t="shared" si="36"/>
        <v>Furniture</v>
      </c>
      <c r="I810" t="s">
        <v>33</v>
      </c>
      <c r="J810" t="str">
        <f t="shared" si="37"/>
        <v>Berlin</v>
      </c>
      <c r="N810" t="s">
        <v>19</v>
      </c>
      <c r="O810" t="str">
        <f t="shared" si="38"/>
        <v>Bank Transfer</v>
      </c>
    </row>
    <row r="811" spans="3:15" x14ac:dyDescent="0.25">
      <c r="C811" t="s">
        <v>30</v>
      </c>
      <c r="D811" t="str">
        <f t="shared" si="36"/>
        <v>Apparel</v>
      </c>
      <c r="I811" t="s">
        <v>24</v>
      </c>
      <c r="J811" t="str">
        <f t="shared" si="37"/>
        <v>Paris</v>
      </c>
      <c r="N811" t="s">
        <v>29</v>
      </c>
      <c r="O811" t="str">
        <f t="shared" si="38"/>
        <v>Credit Card</v>
      </c>
    </row>
    <row r="812" spans="3:15" x14ac:dyDescent="0.25">
      <c r="C812" t="s">
        <v>44</v>
      </c>
      <c r="D812" t="str">
        <f t="shared" si="36"/>
        <v>Furniture</v>
      </c>
      <c r="I812" t="s">
        <v>24</v>
      </c>
      <c r="J812" t="str">
        <f t="shared" si="37"/>
        <v>Paris</v>
      </c>
      <c r="N812" t="s">
        <v>19</v>
      </c>
      <c r="O812" t="str">
        <f t="shared" si="38"/>
        <v>Bank Transfer</v>
      </c>
    </row>
    <row r="813" spans="3:15" x14ac:dyDescent="0.25">
      <c r="C813" t="s">
        <v>44</v>
      </c>
      <c r="D813" t="str">
        <f t="shared" si="36"/>
        <v>Furniture</v>
      </c>
      <c r="I813" t="s">
        <v>39</v>
      </c>
      <c r="J813" t="str">
        <f t="shared" si="37"/>
        <v>Amsterdam</v>
      </c>
      <c r="N813" t="s">
        <v>61</v>
      </c>
      <c r="O813" t="str">
        <f t="shared" si="38"/>
        <v>Paypal</v>
      </c>
    </row>
    <row r="814" spans="3:15" x14ac:dyDescent="0.25">
      <c r="C814" t="s">
        <v>30</v>
      </c>
      <c r="D814" t="str">
        <f t="shared" si="36"/>
        <v>Apparel</v>
      </c>
      <c r="I814" t="s">
        <v>59</v>
      </c>
      <c r="J814" t="str">
        <f t="shared" si="37"/>
        <v>Rome</v>
      </c>
      <c r="N814" t="s">
        <v>29</v>
      </c>
      <c r="O814" t="str">
        <f t="shared" si="38"/>
        <v>Credit Card</v>
      </c>
    </row>
    <row r="815" spans="3:15" x14ac:dyDescent="0.25">
      <c r="C815" t="s">
        <v>37</v>
      </c>
      <c r="D815" t="str">
        <f t="shared" si="36"/>
        <v>Stationery</v>
      </c>
      <c r="I815" t="s">
        <v>24</v>
      </c>
      <c r="J815" t="str">
        <f t="shared" si="37"/>
        <v>Paris</v>
      </c>
      <c r="N815" t="s">
        <v>29</v>
      </c>
      <c r="O815" t="str">
        <f t="shared" si="38"/>
        <v>Credit Card</v>
      </c>
    </row>
    <row r="816" spans="3:15" x14ac:dyDescent="0.25">
      <c r="C816" t="s">
        <v>50</v>
      </c>
      <c r="D816" t="str">
        <f t="shared" si="36"/>
        <v>Electronics</v>
      </c>
      <c r="I816" t="s">
        <v>59</v>
      </c>
      <c r="J816" t="str">
        <f t="shared" si="37"/>
        <v>Rome</v>
      </c>
      <c r="N816" t="s">
        <v>19</v>
      </c>
      <c r="O816" t="str">
        <f t="shared" si="38"/>
        <v>Bank Transfer</v>
      </c>
    </row>
    <row r="817" spans="3:15" x14ac:dyDescent="0.25">
      <c r="C817" t="s">
        <v>37</v>
      </c>
      <c r="D817" t="str">
        <f t="shared" si="36"/>
        <v>Stationery</v>
      </c>
      <c r="I817" t="s">
        <v>33</v>
      </c>
      <c r="J817" t="str">
        <f t="shared" si="37"/>
        <v>Berlin</v>
      </c>
      <c r="N817" t="s">
        <v>29</v>
      </c>
      <c r="O817" t="str">
        <f t="shared" si="38"/>
        <v>Credit Card</v>
      </c>
    </row>
    <row r="818" spans="3:15" x14ac:dyDescent="0.25">
      <c r="C818" t="s">
        <v>44</v>
      </c>
      <c r="D818" t="str">
        <f t="shared" si="36"/>
        <v>Furniture</v>
      </c>
      <c r="I818" t="s">
        <v>81</v>
      </c>
      <c r="J818" t="str">
        <f t="shared" si="37"/>
        <v>London</v>
      </c>
      <c r="N818" t="s">
        <v>29</v>
      </c>
      <c r="O818" t="str">
        <f t="shared" si="38"/>
        <v>Credit Card</v>
      </c>
    </row>
    <row r="819" spans="3:15" x14ac:dyDescent="0.25">
      <c r="C819" t="s">
        <v>50</v>
      </c>
      <c r="D819" t="str">
        <f t="shared" si="36"/>
        <v>Electronics</v>
      </c>
      <c r="I819" t="s">
        <v>59</v>
      </c>
      <c r="J819" t="str">
        <f t="shared" si="37"/>
        <v>Rome</v>
      </c>
      <c r="N819" t="s">
        <v>61</v>
      </c>
      <c r="O819" t="str">
        <f t="shared" si="38"/>
        <v>Paypal</v>
      </c>
    </row>
    <row r="820" spans="3:15" x14ac:dyDescent="0.25">
      <c r="C820" t="s">
        <v>37</v>
      </c>
      <c r="D820" t="str">
        <f t="shared" si="36"/>
        <v>Stationery</v>
      </c>
      <c r="I820" t="s">
        <v>39</v>
      </c>
      <c r="J820" t="str">
        <f t="shared" si="37"/>
        <v>Amsterdam</v>
      </c>
      <c r="N820" t="s">
        <v>19</v>
      </c>
      <c r="O820" t="str">
        <f t="shared" si="38"/>
        <v>Bank Transfer</v>
      </c>
    </row>
    <row r="821" spans="3:15" x14ac:dyDescent="0.25">
      <c r="C821" t="s">
        <v>50</v>
      </c>
      <c r="D821" t="str">
        <f t="shared" si="36"/>
        <v>Electronics</v>
      </c>
      <c r="I821" t="s">
        <v>81</v>
      </c>
      <c r="J821" t="str">
        <f t="shared" si="37"/>
        <v>London</v>
      </c>
      <c r="N821" t="s">
        <v>29</v>
      </c>
      <c r="O821" t="str">
        <f t="shared" si="38"/>
        <v>Credit Card</v>
      </c>
    </row>
    <row r="822" spans="3:15" x14ac:dyDescent="0.25">
      <c r="C822" t="s">
        <v>50</v>
      </c>
      <c r="D822" t="str">
        <f t="shared" si="36"/>
        <v>Electronics</v>
      </c>
      <c r="I822" t="s">
        <v>39</v>
      </c>
      <c r="J822" t="str">
        <f t="shared" si="37"/>
        <v>Amsterdam</v>
      </c>
      <c r="N822" t="s">
        <v>61</v>
      </c>
      <c r="O822" t="str">
        <f t="shared" si="38"/>
        <v>Paypal</v>
      </c>
    </row>
    <row r="823" spans="3:15" x14ac:dyDescent="0.25">
      <c r="C823" t="s">
        <v>30</v>
      </c>
      <c r="D823" t="str">
        <f t="shared" si="36"/>
        <v>Apparel</v>
      </c>
      <c r="I823" t="s">
        <v>39</v>
      </c>
      <c r="J823" t="str">
        <f t="shared" si="37"/>
        <v>Amsterdam</v>
      </c>
      <c r="N823" t="s">
        <v>29</v>
      </c>
      <c r="O823" t="str">
        <f t="shared" si="38"/>
        <v>Credit Card</v>
      </c>
    </row>
    <row r="824" spans="3:15" x14ac:dyDescent="0.25">
      <c r="C824" t="s">
        <v>50</v>
      </c>
      <c r="D824" t="str">
        <f t="shared" si="36"/>
        <v>Electronics</v>
      </c>
      <c r="I824" t="s">
        <v>81</v>
      </c>
      <c r="J824" t="str">
        <f t="shared" si="37"/>
        <v>London</v>
      </c>
      <c r="N824" t="s">
        <v>29</v>
      </c>
      <c r="O824" t="str">
        <f t="shared" si="38"/>
        <v>Credit Card</v>
      </c>
    </row>
    <row r="825" spans="3:15" x14ac:dyDescent="0.25">
      <c r="C825" t="s">
        <v>30</v>
      </c>
      <c r="D825" t="str">
        <f t="shared" si="36"/>
        <v>Apparel</v>
      </c>
      <c r="I825" s="5" t="s">
        <v>724</v>
      </c>
      <c r="J825" s="4" t="str">
        <f t="shared" si="37"/>
        <v>London</v>
      </c>
      <c r="N825" t="s">
        <v>61</v>
      </c>
      <c r="O825" t="str">
        <f t="shared" si="38"/>
        <v>Paypal</v>
      </c>
    </row>
    <row r="826" spans="3:15" x14ac:dyDescent="0.25">
      <c r="C826" s="5" t="s">
        <v>728</v>
      </c>
      <c r="D826" s="4" t="str">
        <f t="shared" si="36"/>
        <v>Apparel</v>
      </c>
      <c r="I826" t="s">
        <v>59</v>
      </c>
      <c r="J826" t="str">
        <f t="shared" si="37"/>
        <v>Rome</v>
      </c>
      <c r="N826" t="s">
        <v>29</v>
      </c>
      <c r="O826" t="str">
        <f t="shared" si="38"/>
        <v>Credit Card</v>
      </c>
    </row>
    <row r="827" spans="3:15" x14ac:dyDescent="0.25">
      <c r="C827" t="s">
        <v>30</v>
      </c>
      <c r="D827" t="str">
        <f t="shared" si="36"/>
        <v>Apparel</v>
      </c>
      <c r="I827" t="s">
        <v>24</v>
      </c>
      <c r="J827" t="str">
        <f t="shared" si="37"/>
        <v>Paris</v>
      </c>
      <c r="N827" t="s">
        <v>29</v>
      </c>
      <c r="O827" t="str">
        <f t="shared" si="38"/>
        <v>Credit Card</v>
      </c>
    </row>
    <row r="828" spans="3:15" x14ac:dyDescent="0.25">
      <c r="C828" t="s">
        <v>20</v>
      </c>
      <c r="D828" t="str">
        <f t="shared" si="36"/>
        <v>Accessories</v>
      </c>
      <c r="I828" t="s">
        <v>81</v>
      </c>
      <c r="J828" t="str">
        <f t="shared" si="37"/>
        <v>London</v>
      </c>
      <c r="N828" t="s">
        <v>61</v>
      </c>
      <c r="O828" t="str">
        <f t="shared" si="38"/>
        <v>Paypal</v>
      </c>
    </row>
    <row r="829" spans="3:15" x14ac:dyDescent="0.25">
      <c r="C829" t="s">
        <v>44</v>
      </c>
      <c r="D829" t="str">
        <f t="shared" si="36"/>
        <v>Furniture</v>
      </c>
      <c r="I829" t="s">
        <v>81</v>
      </c>
      <c r="J829" t="str">
        <f t="shared" si="37"/>
        <v>London</v>
      </c>
      <c r="N829" t="s">
        <v>29</v>
      </c>
      <c r="O829" t="str">
        <f t="shared" si="38"/>
        <v>Credit Card</v>
      </c>
    </row>
    <row r="830" spans="3:15" x14ac:dyDescent="0.25">
      <c r="C830" t="s">
        <v>30</v>
      </c>
      <c r="D830" t="str">
        <f t="shared" si="36"/>
        <v>Apparel</v>
      </c>
      <c r="I830" t="s">
        <v>59</v>
      </c>
      <c r="J830" t="str">
        <f t="shared" si="37"/>
        <v>Rome</v>
      </c>
      <c r="N830" t="s">
        <v>19</v>
      </c>
      <c r="O830" t="str">
        <f t="shared" si="38"/>
        <v>Bank Transfer</v>
      </c>
    </row>
    <row r="831" spans="3:15" x14ac:dyDescent="0.25">
      <c r="C831" t="s">
        <v>44</v>
      </c>
      <c r="D831" t="str">
        <f t="shared" si="36"/>
        <v>Furniture</v>
      </c>
      <c r="I831" t="s">
        <v>24</v>
      </c>
      <c r="J831" t="str">
        <f t="shared" si="37"/>
        <v>Paris</v>
      </c>
      <c r="N831" t="s">
        <v>61</v>
      </c>
      <c r="O831" t="str">
        <f t="shared" si="38"/>
        <v>Paypal</v>
      </c>
    </row>
    <row r="832" spans="3:15" x14ac:dyDescent="0.25">
      <c r="C832" t="s">
        <v>37</v>
      </c>
      <c r="D832" t="str">
        <f t="shared" si="36"/>
        <v>Stationery</v>
      </c>
      <c r="I832" t="s">
        <v>39</v>
      </c>
      <c r="J832" t="str">
        <f t="shared" si="37"/>
        <v>Amsterdam</v>
      </c>
      <c r="N832" t="s">
        <v>19</v>
      </c>
      <c r="O832" t="str">
        <f t="shared" si="38"/>
        <v>Bank Transfer</v>
      </c>
    </row>
    <row r="833" spans="3:15" x14ac:dyDescent="0.25">
      <c r="C833" t="s">
        <v>30</v>
      </c>
      <c r="D833" t="str">
        <f t="shared" si="36"/>
        <v>Apparel</v>
      </c>
      <c r="I833" t="s">
        <v>59</v>
      </c>
      <c r="J833" t="str">
        <f t="shared" si="37"/>
        <v>Rome</v>
      </c>
      <c r="N833" t="s">
        <v>29</v>
      </c>
      <c r="O833" t="str">
        <f t="shared" si="38"/>
        <v>Credit Card</v>
      </c>
    </row>
    <row r="834" spans="3:15" x14ac:dyDescent="0.25">
      <c r="C834" t="s">
        <v>20</v>
      </c>
      <c r="D834" t="str">
        <f t="shared" si="36"/>
        <v>Accessories</v>
      </c>
      <c r="I834" t="s">
        <v>24</v>
      </c>
      <c r="J834" t="str">
        <f t="shared" si="37"/>
        <v>Paris</v>
      </c>
      <c r="N834" t="s">
        <v>19</v>
      </c>
      <c r="O834" t="str">
        <f t="shared" si="38"/>
        <v>Bank Transfer</v>
      </c>
    </row>
    <row r="835" spans="3:15" x14ac:dyDescent="0.25">
      <c r="C835" t="s">
        <v>44</v>
      </c>
      <c r="D835" t="str">
        <f t="shared" si="36"/>
        <v>Furniture</v>
      </c>
      <c r="I835" t="s">
        <v>81</v>
      </c>
      <c r="J835" t="str">
        <f t="shared" si="37"/>
        <v>London</v>
      </c>
      <c r="N835" t="s">
        <v>29</v>
      </c>
      <c r="O835" t="str">
        <f t="shared" si="38"/>
        <v>Credit Card</v>
      </c>
    </row>
    <row r="836" spans="3:15" x14ac:dyDescent="0.25">
      <c r="C836" t="s">
        <v>20</v>
      </c>
      <c r="D836" t="str">
        <f t="shared" si="36"/>
        <v>Accessories</v>
      </c>
      <c r="I836" t="s">
        <v>59</v>
      </c>
      <c r="J836" t="str">
        <f t="shared" si="37"/>
        <v>Rome</v>
      </c>
      <c r="N836" t="s">
        <v>61</v>
      </c>
      <c r="O836" t="str">
        <f t="shared" si="38"/>
        <v>Paypal</v>
      </c>
    </row>
    <row r="837" spans="3:15" x14ac:dyDescent="0.25">
      <c r="C837" t="s">
        <v>37</v>
      </c>
      <c r="D837" t="str">
        <f t="shared" si="36"/>
        <v>Stationery</v>
      </c>
      <c r="I837" t="s">
        <v>81</v>
      </c>
      <c r="J837" t="str">
        <f t="shared" si="37"/>
        <v>London</v>
      </c>
      <c r="N837" t="s">
        <v>19</v>
      </c>
      <c r="O837" t="str">
        <f t="shared" si="38"/>
        <v>Bank Transfer</v>
      </c>
    </row>
    <row r="838" spans="3:15" x14ac:dyDescent="0.25">
      <c r="C838" t="s">
        <v>37</v>
      </c>
      <c r="D838" t="str">
        <f t="shared" ref="D838:D901" si="39">PROPER(C838)</f>
        <v>Stationery</v>
      </c>
      <c r="I838" t="s">
        <v>24</v>
      </c>
      <c r="J838" t="str">
        <f t="shared" ref="J838:J901" si="40">PROPER(I838)</f>
        <v>Paris</v>
      </c>
      <c r="N838" t="s">
        <v>61</v>
      </c>
      <c r="O838" t="str">
        <f t="shared" ref="O838:O901" si="41">IF(N838="paypall","Paypal",N838)</f>
        <v>Paypal</v>
      </c>
    </row>
    <row r="839" spans="3:15" x14ac:dyDescent="0.25">
      <c r="C839" t="s">
        <v>20</v>
      </c>
      <c r="D839" t="str">
        <f t="shared" si="39"/>
        <v>Accessories</v>
      </c>
      <c r="I839" t="s">
        <v>81</v>
      </c>
      <c r="J839" t="str">
        <f t="shared" si="40"/>
        <v>London</v>
      </c>
      <c r="N839" t="s">
        <v>29</v>
      </c>
      <c r="O839" t="str">
        <f t="shared" si="41"/>
        <v>Credit Card</v>
      </c>
    </row>
    <row r="840" spans="3:15" x14ac:dyDescent="0.25">
      <c r="C840" t="s">
        <v>50</v>
      </c>
      <c r="D840" t="str">
        <f t="shared" si="39"/>
        <v>Electronics</v>
      </c>
      <c r="I840" t="s">
        <v>39</v>
      </c>
      <c r="J840" t="str">
        <f t="shared" si="40"/>
        <v>Amsterdam</v>
      </c>
      <c r="N840" t="s">
        <v>61</v>
      </c>
      <c r="O840" t="str">
        <f t="shared" si="41"/>
        <v>Paypal</v>
      </c>
    </row>
    <row r="841" spans="3:15" x14ac:dyDescent="0.25">
      <c r="C841" t="s">
        <v>30</v>
      </c>
      <c r="D841" t="str">
        <f t="shared" si="39"/>
        <v>Apparel</v>
      </c>
      <c r="I841" s="5" t="s">
        <v>724</v>
      </c>
      <c r="J841" s="4" t="str">
        <f t="shared" si="40"/>
        <v>London</v>
      </c>
      <c r="N841" t="s">
        <v>19</v>
      </c>
      <c r="O841" t="str">
        <f t="shared" si="41"/>
        <v>Bank Transfer</v>
      </c>
    </row>
    <row r="842" spans="3:15" x14ac:dyDescent="0.25">
      <c r="C842" t="s">
        <v>30</v>
      </c>
      <c r="D842" t="str">
        <f t="shared" si="39"/>
        <v>Apparel</v>
      </c>
      <c r="I842" t="s">
        <v>81</v>
      </c>
      <c r="J842" t="str">
        <f t="shared" si="40"/>
        <v>London</v>
      </c>
      <c r="N842" t="s">
        <v>29</v>
      </c>
      <c r="O842" t="str">
        <f t="shared" si="41"/>
        <v>Credit Card</v>
      </c>
    </row>
    <row r="843" spans="3:15" x14ac:dyDescent="0.25">
      <c r="C843" t="s">
        <v>20</v>
      </c>
      <c r="D843" t="str">
        <f t="shared" si="39"/>
        <v>Accessories</v>
      </c>
      <c r="I843" t="s">
        <v>24</v>
      </c>
      <c r="J843" t="str">
        <f t="shared" si="40"/>
        <v>Paris</v>
      </c>
      <c r="N843" t="s">
        <v>61</v>
      </c>
      <c r="O843" t="str">
        <f t="shared" si="41"/>
        <v>Paypal</v>
      </c>
    </row>
    <row r="844" spans="3:15" x14ac:dyDescent="0.25">
      <c r="C844" t="s">
        <v>50</v>
      </c>
      <c r="D844" t="str">
        <f t="shared" si="39"/>
        <v>Electronics</v>
      </c>
      <c r="I844" t="s">
        <v>39</v>
      </c>
      <c r="J844" t="str">
        <f t="shared" si="40"/>
        <v>Amsterdam</v>
      </c>
      <c r="N844" t="s">
        <v>61</v>
      </c>
      <c r="O844" t="str">
        <f t="shared" si="41"/>
        <v>Paypal</v>
      </c>
    </row>
    <row r="845" spans="3:15" x14ac:dyDescent="0.25">
      <c r="C845" t="s">
        <v>30</v>
      </c>
      <c r="D845" t="str">
        <f t="shared" si="39"/>
        <v>Apparel</v>
      </c>
      <c r="I845" t="s">
        <v>24</v>
      </c>
      <c r="J845" t="str">
        <f t="shared" si="40"/>
        <v>Paris</v>
      </c>
      <c r="N845" t="s">
        <v>19</v>
      </c>
      <c r="O845" t="str">
        <f t="shared" si="41"/>
        <v>Bank Transfer</v>
      </c>
    </row>
    <row r="846" spans="3:15" x14ac:dyDescent="0.25">
      <c r="C846" t="s">
        <v>37</v>
      </c>
      <c r="D846" t="str">
        <f t="shared" si="39"/>
        <v>Stationery</v>
      </c>
      <c r="I846" t="s">
        <v>59</v>
      </c>
      <c r="J846" t="str">
        <f t="shared" si="40"/>
        <v>Rome</v>
      </c>
      <c r="N846" t="s">
        <v>29</v>
      </c>
      <c r="O846" t="str">
        <f t="shared" si="41"/>
        <v>Credit Card</v>
      </c>
    </row>
    <row r="847" spans="3:15" x14ac:dyDescent="0.25">
      <c r="C847" t="s">
        <v>50</v>
      </c>
      <c r="D847" t="str">
        <f t="shared" si="39"/>
        <v>Electronics</v>
      </c>
      <c r="I847" t="s">
        <v>33</v>
      </c>
      <c r="J847" t="str">
        <f t="shared" si="40"/>
        <v>Berlin</v>
      </c>
      <c r="N847" t="s">
        <v>29</v>
      </c>
      <c r="O847" t="str">
        <f t="shared" si="41"/>
        <v>Credit Card</v>
      </c>
    </row>
    <row r="848" spans="3:15" x14ac:dyDescent="0.25">
      <c r="C848" t="s">
        <v>44</v>
      </c>
      <c r="D848" t="str">
        <f t="shared" si="39"/>
        <v>Furniture</v>
      </c>
      <c r="I848" s="5" t="s">
        <v>724</v>
      </c>
      <c r="J848" s="4" t="str">
        <f t="shared" si="40"/>
        <v>London</v>
      </c>
      <c r="N848" t="s">
        <v>29</v>
      </c>
      <c r="O848" t="str">
        <f t="shared" si="41"/>
        <v>Credit Card</v>
      </c>
    </row>
    <row r="849" spans="3:15" x14ac:dyDescent="0.25">
      <c r="C849" t="s">
        <v>44</v>
      </c>
      <c r="D849" t="str">
        <f t="shared" si="39"/>
        <v>Furniture</v>
      </c>
      <c r="I849" t="s">
        <v>81</v>
      </c>
      <c r="J849" t="str">
        <f t="shared" si="40"/>
        <v>London</v>
      </c>
      <c r="N849" t="s">
        <v>19</v>
      </c>
      <c r="O849" t="str">
        <f t="shared" si="41"/>
        <v>Bank Transfer</v>
      </c>
    </row>
    <row r="850" spans="3:15" x14ac:dyDescent="0.25">
      <c r="C850" t="s">
        <v>37</v>
      </c>
      <c r="D850" t="str">
        <f t="shared" si="39"/>
        <v>Stationery</v>
      </c>
      <c r="I850" t="s">
        <v>81</v>
      </c>
      <c r="J850" t="str">
        <f t="shared" si="40"/>
        <v>London</v>
      </c>
      <c r="N850" t="s">
        <v>29</v>
      </c>
      <c r="O850" t="str">
        <f t="shared" si="41"/>
        <v>Credit Card</v>
      </c>
    </row>
    <row r="851" spans="3:15" x14ac:dyDescent="0.25">
      <c r="C851" t="s">
        <v>50</v>
      </c>
      <c r="D851" t="str">
        <f t="shared" si="39"/>
        <v>Electronics</v>
      </c>
      <c r="I851" t="s">
        <v>59</v>
      </c>
      <c r="J851" t="str">
        <f t="shared" si="40"/>
        <v>Rome</v>
      </c>
      <c r="N851" t="s">
        <v>29</v>
      </c>
      <c r="O851" t="str">
        <f t="shared" si="41"/>
        <v>Credit Card</v>
      </c>
    </row>
    <row r="852" spans="3:15" x14ac:dyDescent="0.25">
      <c r="C852" t="s">
        <v>50</v>
      </c>
      <c r="D852" t="str">
        <f t="shared" si="39"/>
        <v>Electronics</v>
      </c>
      <c r="I852" t="s">
        <v>33</v>
      </c>
      <c r="J852" t="str">
        <f t="shared" si="40"/>
        <v>Berlin</v>
      </c>
      <c r="N852" t="s">
        <v>29</v>
      </c>
      <c r="O852" t="str">
        <f t="shared" si="41"/>
        <v>Credit Card</v>
      </c>
    </row>
    <row r="853" spans="3:15" x14ac:dyDescent="0.25">
      <c r="C853" t="s">
        <v>30</v>
      </c>
      <c r="D853" t="str">
        <f t="shared" si="39"/>
        <v>Apparel</v>
      </c>
      <c r="I853" t="s">
        <v>81</v>
      </c>
      <c r="J853" t="str">
        <f t="shared" si="40"/>
        <v>London</v>
      </c>
      <c r="N853" t="s">
        <v>61</v>
      </c>
      <c r="O853" t="str">
        <f t="shared" si="41"/>
        <v>Paypal</v>
      </c>
    </row>
    <row r="854" spans="3:15" x14ac:dyDescent="0.25">
      <c r="C854" t="s">
        <v>50</v>
      </c>
      <c r="D854" t="str">
        <f t="shared" si="39"/>
        <v>Electronics</v>
      </c>
      <c r="I854" t="s">
        <v>33</v>
      </c>
      <c r="J854" t="str">
        <f t="shared" si="40"/>
        <v>Berlin</v>
      </c>
      <c r="N854" t="s">
        <v>29</v>
      </c>
      <c r="O854" t="str">
        <f t="shared" si="41"/>
        <v>Credit Card</v>
      </c>
    </row>
    <row r="855" spans="3:15" x14ac:dyDescent="0.25">
      <c r="C855" t="s">
        <v>50</v>
      </c>
      <c r="D855" t="str">
        <f t="shared" si="39"/>
        <v>Electronics</v>
      </c>
      <c r="I855" t="s">
        <v>81</v>
      </c>
      <c r="J855" t="str">
        <f t="shared" si="40"/>
        <v>London</v>
      </c>
      <c r="N855" t="s">
        <v>19</v>
      </c>
      <c r="O855" t="str">
        <f t="shared" si="41"/>
        <v>Bank Transfer</v>
      </c>
    </row>
    <row r="856" spans="3:15" x14ac:dyDescent="0.25">
      <c r="C856" t="s">
        <v>50</v>
      </c>
      <c r="D856" t="str">
        <f t="shared" si="39"/>
        <v>Electronics</v>
      </c>
      <c r="I856" t="s">
        <v>33</v>
      </c>
      <c r="J856" t="str">
        <f t="shared" si="40"/>
        <v>Berlin</v>
      </c>
      <c r="N856" t="s">
        <v>19</v>
      </c>
      <c r="O856" t="str">
        <f t="shared" si="41"/>
        <v>Bank Transfer</v>
      </c>
    </row>
    <row r="857" spans="3:15" x14ac:dyDescent="0.25">
      <c r="C857" t="s">
        <v>50</v>
      </c>
      <c r="D857" t="str">
        <f t="shared" si="39"/>
        <v>Electronics</v>
      </c>
      <c r="I857" t="s">
        <v>39</v>
      </c>
      <c r="J857" t="str">
        <f t="shared" si="40"/>
        <v>Amsterdam</v>
      </c>
      <c r="N857" t="s">
        <v>19</v>
      </c>
      <c r="O857" t="str">
        <f t="shared" si="41"/>
        <v>Bank Transfer</v>
      </c>
    </row>
    <row r="858" spans="3:15" x14ac:dyDescent="0.25">
      <c r="C858" t="s">
        <v>50</v>
      </c>
      <c r="D858" t="str">
        <f t="shared" si="39"/>
        <v>Electronics</v>
      </c>
      <c r="I858" s="5" t="s">
        <v>724</v>
      </c>
      <c r="J858" s="4" t="str">
        <f t="shared" si="40"/>
        <v>London</v>
      </c>
      <c r="N858" t="s">
        <v>61</v>
      </c>
      <c r="O858" t="str">
        <f t="shared" si="41"/>
        <v>Paypal</v>
      </c>
    </row>
    <row r="859" spans="3:15" x14ac:dyDescent="0.25">
      <c r="C859" t="s">
        <v>44</v>
      </c>
      <c r="D859" t="str">
        <f t="shared" si="39"/>
        <v>Furniture</v>
      </c>
      <c r="I859" t="s">
        <v>81</v>
      </c>
      <c r="J859" t="str">
        <f t="shared" si="40"/>
        <v>London</v>
      </c>
      <c r="N859" t="s">
        <v>61</v>
      </c>
      <c r="O859" t="str">
        <f t="shared" si="41"/>
        <v>Paypal</v>
      </c>
    </row>
    <row r="860" spans="3:15" x14ac:dyDescent="0.25">
      <c r="C860" t="s">
        <v>20</v>
      </c>
      <c r="D860" t="str">
        <f t="shared" si="39"/>
        <v>Accessories</v>
      </c>
      <c r="I860" t="s">
        <v>24</v>
      </c>
      <c r="J860" t="str">
        <f t="shared" si="40"/>
        <v>Paris</v>
      </c>
      <c r="N860" t="s">
        <v>29</v>
      </c>
      <c r="O860" t="str">
        <f t="shared" si="41"/>
        <v>Credit Card</v>
      </c>
    </row>
    <row r="861" spans="3:15" x14ac:dyDescent="0.25">
      <c r="C861" t="s">
        <v>44</v>
      </c>
      <c r="D861" t="str">
        <f t="shared" si="39"/>
        <v>Furniture</v>
      </c>
      <c r="I861" t="s">
        <v>33</v>
      </c>
      <c r="J861" t="str">
        <f t="shared" si="40"/>
        <v>Berlin</v>
      </c>
      <c r="N861" t="s">
        <v>19</v>
      </c>
      <c r="O861" t="str">
        <f t="shared" si="41"/>
        <v>Bank Transfer</v>
      </c>
    </row>
    <row r="862" spans="3:15" x14ac:dyDescent="0.25">
      <c r="C862" t="s">
        <v>20</v>
      </c>
      <c r="D862" t="str">
        <f t="shared" si="39"/>
        <v>Accessories</v>
      </c>
      <c r="I862" t="s">
        <v>39</v>
      </c>
      <c r="J862" t="str">
        <f t="shared" si="40"/>
        <v>Amsterdam</v>
      </c>
      <c r="N862" t="s">
        <v>19</v>
      </c>
      <c r="O862" t="str">
        <f t="shared" si="41"/>
        <v>Bank Transfer</v>
      </c>
    </row>
    <row r="863" spans="3:15" x14ac:dyDescent="0.25">
      <c r="C863" t="s">
        <v>44</v>
      </c>
      <c r="D863" t="str">
        <f t="shared" si="39"/>
        <v>Furniture</v>
      </c>
      <c r="I863" t="s">
        <v>39</v>
      </c>
      <c r="J863" t="str">
        <f t="shared" si="40"/>
        <v>Amsterdam</v>
      </c>
      <c r="N863" t="s">
        <v>61</v>
      </c>
      <c r="O863" t="str">
        <f t="shared" si="41"/>
        <v>Paypal</v>
      </c>
    </row>
    <row r="864" spans="3:15" x14ac:dyDescent="0.25">
      <c r="C864" t="s">
        <v>30</v>
      </c>
      <c r="D864" t="str">
        <f t="shared" si="39"/>
        <v>Apparel</v>
      </c>
      <c r="I864" t="s">
        <v>59</v>
      </c>
      <c r="J864" t="str">
        <f t="shared" si="40"/>
        <v>Rome</v>
      </c>
      <c r="N864" t="s">
        <v>19</v>
      </c>
      <c r="O864" t="str">
        <f t="shared" si="41"/>
        <v>Bank Transfer</v>
      </c>
    </row>
    <row r="865" spans="3:15" x14ac:dyDescent="0.25">
      <c r="C865" t="s">
        <v>44</v>
      </c>
      <c r="D865" t="str">
        <f t="shared" si="39"/>
        <v>Furniture</v>
      </c>
      <c r="I865" t="s">
        <v>81</v>
      </c>
      <c r="J865" t="str">
        <f t="shared" si="40"/>
        <v>London</v>
      </c>
      <c r="N865" t="s">
        <v>29</v>
      </c>
      <c r="O865" t="str">
        <f t="shared" si="41"/>
        <v>Credit Card</v>
      </c>
    </row>
    <row r="866" spans="3:15" x14ac:dyDescent="0.25">
      <c r="C866" t="s">
        <v>50</v>
      </c>
      <c r="D866" t="str">
        <f t="shared" si="39"/>
        <v>Electronics</v>
      </c>
      <c r="I866" t="s">
        <v>24</v>
      </c>
      <c r="J866" t="str">
        <f t="shared" si="40"/>
        <v>Paris</v>
      </c>
      <c r="N866" t="s">
        <v>29</v>
      </c>
      <c r="O866" t="str">
        <f t="shared" si="41"/>
        <v>Credit Card</v>
      </c>
    </row>
    <row r="867" spans="3:15" x14ac:dyDescent="0.25">
      <c r="C867" t="s">
        <v>44</v>
      </c>
      <c r="D867" t="str">
        <f t="shared" si="39"/>
        <v>Furniture</v>
      </c>
      <c r="I867" t="s">
        <v>81</v>
      </c>
      <c r="J867" t="str">
        <f t="shared" si="40"/>
        <v>London</v>
      </c>
      <c r="N867" t="s">
        <v>19</v>
      </c>
      <c r="O867" t="str">
        <f t="shared" si="41"/>
        <v>Bank Transfer</v>
      </c>
    </row>
    <row r="868" spans="3:15" x14ac:dyDescent="0.25">
      <c r="C868" t="s">
        <v>20</v>
      </c>
      <c r="D868" t="str">
        <f t="shared" si="39"/>
        <v>Accessories</v>
      </c>
      <c r="I868" t="s">
        <v>59</v>
      </c>
      <c r="J868" t="str">
        <f t="shared" si="40"/>
        <v>Rome</v>
      </c>
      <c r="N868" t="s">
        <v>19</v>
      </c>
      <c r="O868" t="str">
        <f t="shared" si="41"/>
        <v>Bank Transfer</v>
      </c>
    </row>
    <row r="869" spans="3:15" x14ac:dyDescent="0.25">
      <c r="C869" t="s">
        <v>30</v>
      </c>
      <c r="D869" t="str">
        <f t="shared" si="39"/>
        <v>Apparel</v>
      </c>
      <c r="I869" t="s">
        <v>59</v>
      </c>
      <c r="J869" t="str">
        <f t="shared" si="40"/>
        <v>Rome</v>
      </c>
      <c r="N869" t="s">
        <v>19</v>
      </c>
      <c r="O869" t="str">
        <f t="shared" si="41"/>
        <v>Bank Transfer</v>
      </c>
    </row>
    <row r="870" spans="3:15" x14ac:dyDescent="0.25">
      <c r="C870" t="s">
        <v>30</v>
      </c>
      <c r="D870" t="str">
        <f t="shared" si="39"/>
        <v>Apparel</v>
      </c>
      <c r="I870" t="s">
        <v>59</v>
      </c>
      <c r="J870" t="str">
        <f t="shared" si="40"/>
        <v>Rome</v>
      </c>
      <c r="N870" t="s">
        <v>29</v>
      </c>
      <c r="O870" t="str">
        <f t="shared" si="41"/>
        <v>Credit Card</v>
      </c>
    </row>
    <row r="871" spans="3:15" x14ac:dyDescent="0.25">
      <c r="C871" t="s">
        <v>50</v>
      </c>
      <c r="D871" t="str">
        <f t="shared" si="39"/>
        <v>Electronics</v>
      </c>
      <c r="I871" t="s">
        <v>33</v>
      </c>
      <c r="J871" t="str">
        <f t="shared" si="40"/>
        <v>Berlin</v>
      </c>
      <c r="N871" t="s">
        <v>19</v>
      </c>
      <c r="O871" t="str">
        <f t="shared" si="41"/>
        <v>Bank Transfer</v>
      </c>
    </row>
    <row r="872" spans="3:15" x14ac:dyDescent="0.25">
      <c r="C872" t="s">
        <v>20</v>
      </c>
      <c r="D872" t="str">
        <f t="shared" si="39"/>
        <v>Accessories</v>
      </c>
      <c r="I872" t="s">
        <v>81</v>
      </c>
      <c r="J872" t="str">
        <f t="shared" si="40"/>
        <v>London</v>
      </c>
      <c r="N872" t="s">
        <v>19</v>
      </c>
      <c r="O872" t="str">
        <f t="shared" si="41"/>
        <v>Bank Transfer</v>
      </c>
    </row>
    <row r="873" spans="3:15" x14ac:dyDescent="0.25">
      <c r="C873" t="s">
        <v>37</v>
      </c>
      <c r="D873" t="str">
        <f t="shared" si="39"/>
        <v>Stationery</v>
      </c>
      <c r="I873" t="s">
        <v>59</v>
      </c>
      <c r="J873" t="str">
        <f t="shared" si="40"/>
        <v>Rome</v>
      </c>
      <c r="N873" t="s">
        <v>61</v>
      </c>
      <c r="O873" t="str">
        <f t="shared" si="41"/>
        <v>Paypal</v>
      </c>
    </row>
    <row r="874" spans="3:15" x14ac:dyDescent="0.25">
      <c r="C874" t="s">
        <v>37</v>
      </c>
      <c r="D874" t="str">
        <f t="shared" si="39"/>
        <v>Stationery</v>
      </c>
      <c r="I874" t="s">
        <v>39</v>
      </c>
      <c r="J874" t="str">
        <f t="shared" si="40"/>
        <v>Amsterdam</v>
      </c>
      <c r="N874" t="s">
        <v>61</v>
      </c>
      <c r="O874" t="str">
        <f t="shared" si="41"/>
        <v>Paypal</v>
      </c>
    </row>
    <row r="875" spans="3:15" x14ac:dyDescent="0.25">
      <c r="C875" t="s">
        <v>50</v>
      </c>
      <c r="D875" t="str">
        <f t="shared" si="39"/>
        <v>Electronics</v>
      </c>
      <c r="I875" t="s">
        <v>33</v>
      </c>
      <c r="J875" t="str">
        <f t="shared" si="40"/>
        <v>Berlin</v>
      </c>
      <c r="N875" t="s">
        <v>61</v>
      </c>
      <c r="O875" t="str">
        <f t="shared" si="41"/>
        <v>Paypal</v>
      </c>
    </row>
    <row r="876" spans="3:15" x14ac:dyDescent="0.25">
      <c r="C876" t="s">
        <v>37</v>
      </c>
      <c r="D876" t="str">
        <f t="shared" si="39"/>
        <v>Stationery</v>
      </c>
      <c r="I876" t="s">
        <v>24</v>
      </c>
      <c r="J876" t="str">
        <f t="shared" si="40"/>
        <v>Paris</v>
      </c>
      <c r="N876" t="s">
        <v>29</v>
      </c>
      <c r="O876" t="str">
        <f t="shared" si="41"/>
        <v>Credit Card</v>
      </c>
    </row>
    <row r="877" spans="3:15" x14ac:dyDescent="0.25">
      <c r="C877" t="s">
        <v>37</v>
      </c>
      <c r="D877" t="str">
        <f t="shared" si="39"/>
        <v>Stationery</v>
      </c>
      <c r="I877" t="s">
        <v>39</v>
      </c>
      <c r="J877" t="str">
        <f t="shared" si="40"/>
        <v>Amsterdam</v>
      </c>
      <c r="N877" t="s">
        <v>29</v>
      </c>
      <c r="O877" t="str">
        <f t="shared" si="41"/>
        <v>Credit Card</v>
      </c>
    </row>
    <row r="878" spans="3:15" x14ac:dyDescent="0.25">
      <c r="C878" t="s">
        <v>44</v>
      </c>
      <c r="D878" t="str">
        <f t="shared" si="39"/>
        <v>Furniture</v>
      </c>
      <c r="I878" t="s">
        <v>81</v>
      </c>
      <c r="J878" t="str">
        <f t="shared" si="40"/>
        <v>London</v>
      </c>
      <c r="N878" t="s">
        <v>61</v>
      </c>
      <c r="O878" t="str">
        <f t="shared" si="41"/>
        <v>Paypal</v>
      </c>
    </row>
    <row r="879" spans="3:15" x14ac:dyDescent="0.25">
      <c r="C879" t="s">
        <v>44</v>
      </c>
      <c r="D879" t="str">
        <f t="shared" si="39"/>
        <v>Furniture</v>
      </c>
      <c r="I879" t="s">
        <v>39</v>
      </c>
      <c r="J879" t="str">
        <f t="shared" si="40"/>
        <v>Amsterdam</v>
      </c>
      <c r="N879" t="s">
        <v>61</v>
      </c>
      <c r="O879" t="str">
        <f t="shared" si="41"/>
        <v>Paypal</v>
      </c>
    </row>
    <row r="880" spans="3:15" x14ac:dyDescent="0.25">
      <c r="C880" t="s">
        <v>20</v>
      </c>
      <c r="D880" t="str">
        <f t="shared" si="39"/>
        <v>Accessories</v>
      </c>
      <c r="I880" t="s">
        <v>39</v>
      </c>
      <c r="J880" t="str">
        <f t="shared" si="40"/>
        <v>Amsterdam</v>
      </c>
      <c r="N880" t="s">
        <v>61</v>
      </c>
      <c r="O880" t="str">
        <f t="shared" si="41"/>
        <v>Paypal</v>
      </c>
    </row>
    <row r="881" spans="3:15" x14ac:dyDescent="0.25">
      <c r="C881" t="s">
        <v>44</v>
      </c>
      <c r="D881" t="str">
        <f t="shared" si="39"/>
        <v>Furniture</v>
      </c>
      <c r="I881" t="s">
        <v>81</v>
      </c>
      <c r="J881" t="str">
        <f t="shared" si="40"/>
        <v>London</v>
      </c>
      <c r="N881" t="s">
        <v>61</v>
      </c>
      <c r="O881" t="str">
        <f t="shared" si="41"/>
        <v>Paypal</v>
      </c>
    </row>
    <row r="882" spans="3:15" x14ac:dyDescent="0.25">
      <c r="C882" t="s">
        <v>30</v>
      </c>
      <c r="D882" t="str">
        <f t="shared" si="39"/>
        <v>Apparel</v>
      </c>
      <c r="I882" t="s">
        <v>81</v>
      </c>
      <c r="J882" t="str">
        <f t="shared" si="40"/>
        <v>London</v>
      </c>
      <c r="N882" t="s">
        <v>19</v>
      </c>
      <c r="O882" t="str">
        <f t="shared" si="41"/>
        <v>Bank Transfer</v>
      </c>
    </row>
    <row r="883" spans="3:15" x14ac:dyDescent="0.25">
      <c r="C883" t="s">
        <v>20</v>
      </c>
      <c r="D883" t="str">
        <f t="shared" si="39"/>
        <v>Accessories</v>
      </c>
      <c r="I883" t="s">
        <v>39</v>
      </c>
      <c r="J883" t="str">
        <f t="shared" si="40"/>
        <v>Amsterdam</v>
      </c>
      <c r="N883" t="s">
        <v>29</v>
      </c>
      <c r="O883" t="str">
        <f t="shared" si="41"/>
        <v>Credit Card</v>
      </c>
    </row>
    <row r="884" spans="3:15" x14ac:dyDescent="0.25">
      <c r="C884" t="s">
        <v>30</v>
      </c>
      <c r="D884" t="str">
        <f t="shared" si="39"/>
        <v>Apparel</v>
      </c>
      <c r="I884" t="s">
        <v>33</v>
      </c>
      <c r="J884" t="str">
        <f t="shared" si="40"/>
        <v>Berlin</v>
      </c>
      <c r="N884" t="s">
        <v>29</v>
      </c>
      <c r="O884" t="str">
        <f t="shared" si="41"/>
        <v>Credit Card</v>
      </c>
    </row>
    <row r="885" spans="3:15" x14ac:dyDescent="0.25">
      <c r="C885" t="s">
        <v>50</v>
      </c>
      <c r="D885" t="str">
        <f t="shared" si="39"/>
        <v>Electronics</v>
      </c>
      <c r="I885" t="s">
        <v>81</v>
      </c>
      <c r="J885" t="str">
        <f t="shared" si="40"/>
        <v>London</v>
      </c>
      <c r="N885" t="s">
        <v>29</v>
      </c>
      <c r="O885" t="str">
        <f t="shared" si="41"/>
        <v>Credit Card</v>
      </c>
    </row>
    <row r="886" spans="3:15" x14ac:dyDescent="0.25">
      <c r="C886" t="s">
        <v>20</v>
      </c>
      <c r="D886" t="str">
        <f t="shared" si="39"/>
        <v>Accessories</v>
      </c>
      <c r="I886" t="s">
        <v>81</v>
      </c>
      <c r="J886" t="str">
        <f t="shared" si="40"/>
        <v>London</v>
      </c>
      <c r="N886" t="s">
        <v>19</v>
      </c>
      <c r="O886" t="str">
        <f t="shared" si="41"/>
        <v>Bank Transfer</v>
      </c>
    </row>
    <row r="887" spans="3:15" x14ac:dyDescent="0.25">
      <c r="C887" t="s">
        <v>30</v>
      </c>
      <c r="D887" t="str">
        <f t="shared" si="39"/>
        <v>Apparel</v>
      </c>
      <c r="I887" t="s">
        <v>39</v>
      </c>
      <c r="J887" t="str">
        <f t="shared" si="40"/>
        <v>Amsterdam</v>
      </c>
      <c r="N887" t="s">
        <v>19</v>
      </c>
      <c r="O887" t="str">
        <f t="shared" si="41"/>
        <v>Bank Transfer</v>
      </c>
    </row>
    <row r="888" spans="3:15" x14ac:dyDescent="0.25">
      <c r="C888" t="s">
        <v>37</v>
      </c>
      <c r="D888" t="str">
        <f t="shared" si="39"/>
        <v>Stationery</v>
      </c>
      <c r="I888" t="s">
        <v>59</v>
      </c>
      <c r="J888" t="str">
        <f t="shared" si="40"/>
        <v>Rome</v>
      </c>
      <c r="N888" t="s">
        <v>19</v>
      </c>
      <c r="O888" t="str">
        <f t="shared" si="41"/>
        <v>Bank Transfer</v>
      </c>
    </row>
    <row r="889" spans="3:15" x14ac:dyDescent="0.25">
      <c r="C889" t="s">
        <v>20</v>
      </c>
      <c r="D889" t="str">
        <f t="shared" si="39"/>
        <v>Accessories</v>
      </c>
      <c r="I889" t="s">
        <v>39</v>
      </c>
      <c r="J889" t="str">
        <f t="shared" si="40"/>
        <v>Amsterdam</v>
      </c>
      <c r="N889" t="s">
        <v>19</v>
      </c>
      <c r="O889" t="str">
        <f t="shared" si="41"/>
        <v>Bank Transfer</v>
      </c>
    </row>
    <row r="890" spans="3:15" x14ac:dyDescent="0.25">
      <c r="C890" t="s">
        <v>20</v>
      </c>
      <c r="D890" t="str">
        <f t="shared" si="39"/>
        <v>Accessories</v>
      </c>
      <c r="I890" t="s">
        <v>81</v>
      </c>
      <c r="J890" t="str">
        <f t="shared" si="40"/>
        <v>London</v>
      </c>
      <c r="N890" t="s">
        <v>19</v>
      </c>
      <c r="O890" t="str">
        <f t="shared" si="41"/>
        <v>Bank Transfer</v>
      </c>
    </row>
    <row r="891" spans="3:15" x14ac:dyDescent="0.25">
      <c r="C891" t="s">
        <v>50</v>
      </c>
      <c r="D891" t="str">
        <f t="shared" si="39"/>
        <v>Electronics</v>
      </c>
      <c r="I891" t="s">
        <v>33</v>
      </c>
      <c r="J891" t="str">
        <f t="shared" si="40"/>
        <v>Berlin</v>
      </c>
      <c r="N891" t="s">
        <v>19</v>
      </c>
      <c r="O891" t="str">
        <f t="shared" si="41"/>
        <v>Bank Transfer</v>
      </c>
    </row>
    <row r="892" spans="3:15" x14ac:dyDescent="0.25">
      <c r="C892" t="s">
        <v>37</v>
      </c>
      <c r="D892" t="str">
        <f t="shared" si="39"/>
        <v>Stationery</v>
      </c>
      <c r="I892" t="s">
        <v>39</v>
      </c>
      <c r="J892" t="str">
        <f t="shared" si="40"/>
        <v>Amsterdam</v>
      </c>
      <c r="N892" t="s">
        <v>19</v>
      </c>
      <c r="O892" t="str">
        <f t="shared" si="41"/>
        <v>Bank Transfer</v>
      </c>
    </row>
    <row r="893" spans="3:15" x14ac:dyDescent="0.25">
      <c r="C893" t="s">
        <v>44</v>
      </c>
      <c r="D893" t="str">
        <f t="shared" si="39"/>
        <v>Furniture</v>
      </c>
      <c r="I893" t="s">
        <v>24</v>
      </c>
      <c r="J893" t="str">
        <f t="shared" si="40"/>
        <v>Paris</v>
      </c>
      <c r="N893" t="s">
        <v>61</v>
      </c>
      <c r="O893" t="str">
        <f t="shared" si="41"/>
        <v>Paypal</v>
      </c>
    </row>
    <row r="894" spans="3:15" x14ac:dyDescent="0.25">
      <c r="C894" t="s">
        <v>44</v>
      </c>
      <c r="D894" t="str">
        <f t="shared" si="39"/>
        <v>Furniture</v>
      </c>
      <c r="I894" t="s">
        <v>24</v>
      </c>
      <c r="J894" t="str">
        <f t="shared" si="40"/>
        <v>Paris</v>
      </c>
      <c r="N894" t="s">
        <v>19</v>
      </c>
      <c r="O894" t="str">
        <f t="shared" si="41"/>
        <v>Bank Transfer</v>
      </c>
    </row>
    <row r="895" spans="3:15" x14ac:dyDescent="0.25">
      <c r="C895" t="s">
        <v>50</v>
      </c>
      <c r="D895" t="str">
        <f t="shared" si="39"/>
        <v>Electronics</v>
      </c>
      <c r="I895" t="s">
        <v>33</v>
      </c>
      <c r="J895" t="str">
        <f t="shared" si="40"/>
        <v>Berlin</v>
      </c>
      <c r="N895" t="s">
        <v>61</v>
      </c>
      <c r="O895" t="str">
        <f t="shared" si="41"/>
        <v>Paypal</v>
      </c>
    </row>
    <row r="896" spans="3:15" x14ac:dyDescent="0.25">
      <c r="C896" t="s">
        <v>30</v>
      </c>
      <c r="D896" t="str">
        <f t="shared" si="39"/>
        <v>Apparel</v>
      </c>
      <c r="I896" t="s">
        <v>59</v>
      </c>
      <c r="J896" t="str">
        <f t="shared" si="40"/>
        <v>Rome</v>
      </c>
      <c r="N896" t="s">
        <v>61</v>
      </c>
      <c r="O896" t="str">
        <f t="shared" si="41"/>
        <v>Paypal</v>
      </c>
    </row>
    <row r="897" spans="3:15" x14ac:dyDescent="0.25">
      <c r="C897" t="s">
        <v>50</v>
      </c>
      <c r="D897" t="str">
        <f t="shared" si="39"/>
        <v>Electronics</v>
      </c>
      <c r="I897" t="s">
        <v>39</v>
      </c>
      <c r="J897" t="str">
        <f t="shared" si="40"/>
        <v>Amsterdam</v>
      </c>
      <c r="N897" t="s">
        <v>29</v>
      </c>
      <c r="O897" t="str">
        <f t="shared" si="41"/>
        <v>Credit Card</v>
      </c>
    </row>
    <row r="898" spans="3:15" x14ac:dyDescent="0.25">
      <c r="C898" t="s">
        <v>44</v>
      </c>
      <c r="D898" t="str">
        <f t="shared" si="39"/>
        <v>Furniture</v>
      </c>
      <c r="I898" t="s">
        <v>723</v>
      </c>
      <c r="J898" t="str">
        <f t="shared" si="40"/>
        <v>Berlin</v>
      </c>
      <c r="N898" t="s">
        <v>29</v>
      </c>
      <c r="O898" t="str">
        <f t="shared" si="41"/>
        <v>Credit Card</v>
      </c>
    </row>
    <row r="899" spans="3:15" x14ac:dyDescent="0.25">
      <c r="C899" s="5" t="s">
        <v>727</v>
      </c>
      <c r="D899" s="4" t="str">
        <f t="shared" si="39"/>
        <v>Accessories</v>
      </c>
      <c r="I899" t="s">
        <v>59</v>
      </c>
      <c r="J899" t="str">
        <f t="shared" si="40"/>
        <v>Rome</v>
      </c>
      <c r="N899" t="s">
        <v>19</v>
      </c>
      <c r="O899" t="str">
        <f t="shared" si="41"/>
        <v>Bank Transfer</v>
      </c>
    </row>
    <row r="900" spans="3:15" x14ac:dyDescent="0.25">
      <c r="C900" t="s">
        <v>50</v>
      </c>
      <c r="D900" t="str">
        <f t="shared" si="39"/>
        <v>Electronics</v>
      </c>
      <c r="I900" t="s">
        <v>59</v>
      </c>
      <c r="J900" t="str">
        <f t="shared" si="40"/>
        <v>Rome</v>
      </c>
      <c r="N900" t="s">
        <v>29</v>
      </c>
      <c r="O900" t="str">
        <f t="shared" si="41"/>
        <v>Credit Card</v>
      </c>
    </row>
    <row r="901" spans="3:15" x14ac:dyDescent="0.25">
      <c r="C901" t="s">
        <v>30</v>
      </c>
      <c r="D901" t="str">
        <f t="shared" si="39"/>
        <v>Apparel</v>
      </c>
      <c r="I901" t="s">
        <v>33</v>
      </c>
      <c r="J901" t="str">
        <f t="shared" si="40"/>
        <v>Berlin</v>
      </c>
      <c r="N901" t="s">
        <v>29</v>
      </c>
      <c r="O901" t="str">
        <f t="shared" si="41"/>
        <v>Credit Card</v>
      </c>
    </row>
    <row r="902" spans="3:15" x14ac:dyDescent="0.25">
      <c r="C902" t="s">
        <v>44</v>
      </c>
      <c r="D902" t="str">
        <f t="shared" ref="D902:D965" si="42">PROPER(C902)</f>
        <v>Furniture</v>
      </c>
      <c r="I902" t="s">
        <v>59</v>
      </c>
      <c r="J902" t="str">
        <f t="shared" ref="J902:J965" si="43">PROPER(I902)</f>
        <v>Rome</v>
      </c>
      <c r="N902" t="s">
        <v>19</v>
      </c>
      <c r="O902" t="str">
        <f t="shared" ref="O902:O965" si="44">IF(N902="paypall","Paypal",N902)</f>
        <v>Bank Transfer</v>
      </c>
    </row>
    <row r="903" spans="3:15" x14ac:dyDescent="0.25">
      <c r="C903" t="s">
        <v>50</v>
      </c>
      <c r="D903" t="str">
        <f t="shared" si="42"/>
        <v>Electronics</v>
      </c>
      <c r="I903" t="s">
        <v>59</v>
      </c>
      <c r="J903" t="str">
        <f t="shared" si="43"/>
        <v>Rome</v>
      </c>
      <c r="N903" t="s">
        <v>61</v>
      </c>
      <c r="O903" t="str">
        <f t="shared" si="44"/>
        <v>Paypal</v>
      </c>
    </row>
    <row r="904" spans="3:15" x14ac:dyDescent="0.25">
      <c r="C904" t="s">
        <v>50</v>
      </c>
      <c r="D904" t="str">
        <f t="shared" si="42"/>
        <v>Electronics</v>
      </c>
      <c r="I904" t="s">
        <v>39</v>
      </c>
      <c r="J904" t="str">
        <f t="shared" si="43"/>
        <v>Amsterdam</v>
      </c>
      <c r="N904" t="s">
        <v>19</v>
      </c>
      <c r="O904" t="str">
        <f t="shared" si="44"/>
        <v>Bank Transfer</v>
      </c>
    </row>
    <row r="905" spans="3:15" x14ac:dyDescent="0.25">
      <c r="C905" t="s">
        <v>37</v>
      </c>
      <c r="D905" t="str">
        <f t="shared" si="42"/>
        <v>Stationery</v>
      </c>
      <c r="I905" t="s">
        <v>59</v>
      </c>
      <c r="J905" t="str">
        <f t="shared" si="43"/>
        <v>Rome</v>
      </c>
      <c r="N905" t="s">
        <v>19</v>
      </c>
      <c r="O905" t="str">
        <f t="shared" si="44"/>
        <v>Bank Transfer</v>
      </c>
    </row>
    <row r="906" spans="3:15" x14ac:dyDescent="0.25">
      <c r="C906" t="s">
        <v>30</v>
      </c>
      <c r="D906" t="str">
        <f t="shared" si="42"/>
        <v>Apparel</v>
      </c>
      <c r="I906" t="s">
        <v>24</v>
      </c>
      <c r="J906" t="str">
        <f t="shared" si="43"/>
        <v>Paris</v>
      </c>
      <c r="N906" t="s">
        <v>19</v>
      </c>
      <c r="O906" t="str">
        <f t="shared" si="44"/>
        <v>Bank Transfer</v>
      </c>
    </row>
    <row r="907" spans="3:15" x14ac:dyDescent="0.25">
      <c r="C907" t="s">
        <v>50</v>
      </c>
      <c r="D907" t="str">
        <f t="shared" si="42"/>
        <v>Electronics</v>
      </c>
      <c r="I907" t="s">
        <v>24</v>
      </c>
      <c r="J907" t="str">
        <f t="shared" si="43"/>
        <v>Paris</v>
      </c>
      <c r="N907" t="s">
        <v>29</v>
      </c>
      <c r="O907" t="str">
        <f t="shared" si="44"/>
        <v>Credit Card</v>
      </c>
    </row>
    <row r="908" spans="3:15" x14ac:dyDescent="0.25">
      <c r="C908" t="s">
        <v>37</v>
      </c>
      <c r="D908" t="str">
        <f t="shared" si="42"/>
        <v>Stationery</v>
      </c>
      <c r="I908" t="s">
        <v>33</v>
      </c>
      <c r="J908" t="str">
        <f t="shared" si="43"/>
        <v>Berlin</v>
      </c>
      <c r="N908" t="s">
        <v>19</v>
      </c>
      <c r="O908" t="str">
        <f t="shared" si="44"/>
        <v>Bank Transfer</v>
      </c>
    </row>
    <row r="909" spans="3:15" x14ac:dyDescent="0.25">
      <c r="C909" t="s">
        <v>50</v>
      </c>
      <c r="D909" t="str">
        <f t="shared" si="42"/>
        <v>Electronics</v>
      </c>
      <c r="I909" t="s">
        <v>24</v>
      </c>
      <c r="J909" t="str">
        <f t="shared" si="43"/>
        <v>Paris</v>
      </c>
      <c r="N909" t="s">
        <v>19</v>
      </c>
      <c r="O909" t="str">
        <f t="shared" si="44"/>
        <v>Bank Transfer</v>
      </c>
    </row>
    <row r="910" spans="3:15" x14ac:dyDescent="0.25">
      <c r="C910" t="s">
        <v>20</v>
      </c>
      <c r="D910" t="str">
        <f t="shared" si="42"/>
        <v>Accessories</v>
      </c>
      <c r="I910" t="s">
        <v>24</v>
      </c>
      <c r="J910" t="str">
        <f t="shared" si="43"/>
        <v>Paris</v>
      </c>
      <c r="N910" t="s">
        <v>61</v>
      </c>
      <c r="O910" t="str">
        <f t="shared" si="44"/>
        <v>Paypal</v>
      </c>
    </row>
    <row r="911" spans="3:15" x14ac:dyDescent="0.25">
      <c r="C911" t="s">
        <v>20</v>
      </c>
      <c r="D911" t="str">
        <f t="shared" si="42"/>
        <v>Accessories</v>
      </c>
      <c r="I911" t="s">
        <v>33</v>
      </c>
      <c r="J911" t="str">
        <f t="shared" si="43"/>
        <v>Berlin</v>
      </c>
      <c r="N911" t="s">
        <v>61</v>
      </c>
      <c r="O911" t="str">
        <f t="shared" si="44"/>
        <v>Paypal</v>
      </c>
    </row>
    <row r="912" spans="3:15" x14ac:dyDescent="0.25">
      <c r="C912" t="s">
        <v>30</v>
      </c>
      <c r="D912" t="str">
        <f t="shared" si="42"/>
        <v>Apparel</v>
      </c>
      <c r="I912" t="s">
        <v>39</v>
      </c>
      <c r="J912" t="str">
        <f t="shared" si="43"/>
        <v>Amsterdam</v>
      </c>
      <c r="N912" t="s">
        <v>19</v>
      </c>
      <c r="O912" t="str">
        <f t="shared" si="44"/>
        <v>Bank Transfer</v>
      </c>
    </row>
    <row r="913" spans="3:15" x14ac:dyDescent="0.25">
      <c r="C913" t="s">
        <v>37</v>
      </c>
      <c r="D913" t="str">
        <f t="shared" si="42"/>
        <v>Stationery</v>
      </c>
      <c r="I913" t="s">
        <v>39</v>
      </c>
      <c r="J913" t="str">
        <f t="shared" si="43"/>
        <v>Amsterdam</v>
      </c>
      <c r="N913" t="s">
        <v>61</v>
      </c>
      <c r="O913" t="str">
        <f t="shared" si="44"/>
        <v>Paypal</v>
      </c>
    </row>
    <row r="914" spans="3:15" x14ac:dyDescent="0.25">
      <c r="C914" t="s">
        <v>50</v>
      </c>
      <c r="D914" t="str">
        <f t="shared" si="42"/>
        <v>Electronics</v>
      </c>
      <c r="I914" t="s">
        <v>81</v>
      </c>
      <c r="J914" t="str">
        <f t="shared" si="43"/>
        <v>London</v>
      </c>
      <c r="N914" t="s">
        <v>29</v>
      </c>
      <c r="O914" t="str">
        <f t="shared" si="44"/>
        <v>Credit Card</v>
      </c>
    </row>
    <row r="915" spans="3:15" x14ac:dyDescent="0.25">
      <c r="C915" t="s">
        <v>37</v>
      </c>
      <c r="D915" t="str">
        <f t="shared" si="42"/>
        <v>Stationery</v>
      </c>
      <c r="I915" t="s">
        <v>24</v>
      </c>
      <c r="J915" t="str">
        <f t="shared" si="43"/>
        <v>Paris</v>
      </c>
      <c r="N915" t="s">
        <v>61</v>
      </c>
      <c r="O915" t="str">
        <f t="shared" si="44"/>
        <v>Paypal</v>
      </c>
    </row>
    <row r="916" spans="3:15" x14ac:dyDescent="0.25">
      <c r="C916" t="s">
        <v>30</v>
      </c>
      <c r="D916" t="str">
        <f t="shared" si="42"/>
        <v>Apparel</v>
      </c>
      <c r="I916" t="s">
        <v>33</v>
      </c>
      <c r="J916" t="str">
        <f t="shared" si="43"/>
        <v>Berlin</v>
      </c>
      <c r="N916" t="s">
        <v>29</v>
      </c>
      <c r="O916" t="str">
        <f t="shared" si="44"/>
        <v>Credit Card</v>
      </c>
    </row>
    <row r="917" spans="3:15" x14ac:dyDescent="0.25">
      <c r="C917" t="s">
        <v>44</v>
      </c>
      <c r="D917" t="str">
        <f t="shared" si="42"/>
        <v>Furniture</v>
      </c>
      <c r="I917" t="s">
        <v>24</v>
      </c>
      <c r="J917" t="str">
        <f t="shared" si="43"/>
        <v>Paris</v>
      </c>
      <c r="N917" t="s">
        <v>29</v>
      </c>
      <c r="O917" t="str">
        <f t="shared" si="44"/>
        <v>Credit Card</v>
      </c>
    </row>
    <row r="918" spans="3:15" x14ac:dyDescent="0.25">
      <c r="C918" t="s">
        <v>20</v>
      </c>
      <c r="D918" t="str">
        <f t="shared" si="42"/>
        <v>Accessories</v>
      </c>
      <c r="I918" t="s">
        <v>24</v>
      </c>
      <c r="J918" t="str">
        <f t="shared" si="43"/>
        <v>Paris</v>
      </c>
      <c r="N918" t="s">
        <v>19</v>
      </c>
      <c r="O918" t="str">
        <f t="shared" si="44"/>
        <v>Bank Transfer</v>
      </c>
    </row>
    <row r="919" spans="3:15" x14ac:dyDescent="0.25">
      <c r="C919" t="s">
        <v>50</v>
      </c>
      <c r="D919" t="str">
        <f t="shared" si="42"/>
        <v>Electronics</v>
      </c>
      <c r="I919" t="s">
        <v>24</v>
      </c>
      <c r="J919" t="str">
        <f t="shared" si="43"/>
        <v>Paris</v>
      </c>
      <c r="N919" t="s">
        <v>19</v>
      </c>
      <c r="O919" t="str">
        <f t="shared" si="44"/>
        <v>Bank Transfer</v>
      </c>
    </row>
    <row r="920" spans="3:15" x14ac:dyDescent="0.25">
      <c r="C920" t="s">
        <v>37</v>
      </c>
      <c r="D920" t="str">
        <f t="shared" si="42"/>
        <v>Stationery</v>
      </c>
      <c r="I920" t="s">
        <v>81</v>
      </c>
      <c r="J920" t="str">
        <f t="shared" si="43"/>
        <v>London</v>
      </c>
      <c r="N920" t="s">
        <v>19</v>
      </c>
      <c r="O920" t="str">
        <f t="shared" si="44"/>
        <v>Bank Transfer</v>
      </c>
    </row>
    <row r="921" spans="3:15" x14ac:dyDescent="0.25">
      <c r="C921" t="s">
        <v>44</v>
      </c>
      <c r="D921" t="str">
        <f t="shared" si="42"/>
        <v>Furniture</v>
      </c>
      <c r="I921" t="s">
        <v>24</v>
      </c>
      <c r="J921" t="str">
        <f t="shared" si="43"/>
        <v>Paris</v>
      </c>
      <c r="N921" t="s">
        <v>61</v>
      </c>
      <c r="O921" t="str">
        <f t="shared" si="44"/>
        <v>Paypal</v>
      </c>
    </row>
    <row r="922" spans="3:15" x14ac:dyDescent="0.25">
      <c r="C922" t="s">
        <v>30</v>
      </c>
      <c r="D922" t="str">
        <f t="shared" si="42"/>
        <v>Apparel</v>
      </c>
      <c r="I922" t="s">
        <v>81</v>
      </c>
      <c r="J922" t="str">
        <f t="shared" si="43"/>
        <v>London</v>
      </c>
      <c r="N922" t="s">
        <v>29</v>
      </c>
      <c r="O922" t="str">
        <f t="shared" si="44"/>
        <v>Credit Card</v>
      </c>
    </row>
    <row r="923" spans="3:15" x14ac:dyDescent="0.25">
      <c r="C923" t="s">
        <v>44</v>
      </c>
      <c r="D923" t="str">
        <f t="shared" si="42"/>
        <v>Furniture</v>
      </c>
      <c r="I923" t="s">
        <v>39</v>
      </c>
      <c r="J923" t="str">
        <f t="shared" si="43"/>
        <v>Amsterdam</v>
      </c>
      <c r="N923" t="s">
        <v>19</v>
      </c>
      <c r="O923" t="str">
        <f t="shared" si="44"/>
        <v>Bank Transfer</v>
      </c>
    </row>
    <row r="924" spans="3:15" x14ac:dyDescent="0.25">
      <c r="C924" t="s">
        <v>44</v>
      </c>
      <c r="D924" t="str">
        <f t="shared" si="42"/>
        <v>Furniture</v>
      </c>
      <c r="I924" t="s">
        <v>39</v>
      </c>
      <c r="J924" t="str">
        <f t="shared" si="43"/>
        <v>Amsterdam</v>
      </c>
      <c r="N924" t="s">
        <v>61</v>
      </c>
      <c r="O924" t="str">
        <f t="shared" si="44"/>
        <v>Paypal</v>
      </c>
    </row>
    <row r="925" spans="3:15" x14ac:dyDescent="0.25">
      <c r="C925" t="s">
        <v>50</v>
      </c>
      <c r="D925" t="str">
        <f t="shared" si="42"/>
        <v>Electronics</v>
      </c>
      <c r="I925" t="s">
        <v>81</v>
      </c>
      <c r="J925" t="str">
        <f t="shared" si="43"/>
        <v>London</v>
      </c>
      <c r="N925" t="s">
        <v>61</v>
      </c>
      <c r="O925" t="str">
        <f t="shared" si="44"/>
        <v>Paypal</v>
      </c>
    </row>
    <row r="926" spans="3:15" x14ac:dyDescent="0.25">
      <c r="C926" t="s">
        <v>44</v>
      </c>
      <c r="D926" t="str">
        <f t="shared" si="42"/>
        <v>Furniture</v>
      </c>
      <c r="I926" t="s">
        <v>59</v>
      </c>
      <c r="J926" t="str">
        <f t="shared" si="43"/>
        <v>Rome</v>
      </c>
      <c r="N926" t="s">
        <v>19</v>
      </c>
      <c r="O926" t="str">
        <f t="shared" si="44"/>
        <v>Bank Transfer</v>
      </c>
    </row>
    <row r="927" spans="3:15" x14ac:dyDescent="0.25">
      <c r="C927" t="s">
        <v>30</v>
      </c>
      <c r="D927" t="str">
        <f t="shared" si="42"/>
        <v>Apparel</v>
      </c>
      <c r="I927" t="s">
        <v>24</v>
      </c>
      <c r="J927" t="str">
        <f t="shared" si="43"/>
        <v>Paris</v>
      </c>
      <c r="N927" t="s">
        <v>29</v>
      </c>
      <c r="O927" t="str">
        <f t="shared" si="44"/>
        <v>Credit Card</v>
      </c>
    </row>
    <row r="928" spans="3:15" x14ac:dyDescent="0.25">
      <c r="C928" t="s">
        <v>44</v>
      </c>
      <c r="D928" t="str">
        <f t="shared" si="42"/>
        <v>Furniture</v>
      </c>
      <c r="I928" t="s">
        <v>24</v>
      </c>
      <c r="J928" t="str">
        <f t="shared" si="43"/>
        <v>Paris</v>
      </c>
      <c r="N928" t="s">
        <v>29</v>
      </c>
      <c r="O928" t="str">
        <f t="shared" si="44"/>
        <v>Credit Card</v>
      </c>
    </row>
    <row r="929" spans="3:15" x14ac:dyDescent="0.25">
      <c r="C929" t="s">
        <v>37</v>
      </c>
      <c r="D929" t="str">
        <f t="shared" si="42"/>
        <v>Stationery</v>
      </c>
      <c r="I929" t="s">
        <v>81</v>
      </c>
      <c r="J929" t="str">
        <f t="shared" si="43"/>
        <v>London</v>
      </c>
      <c r="N929" t="s">
        <v>19</v>
      </c>
      <c r="O929" t="str">
        <f t="shared" si="44"/>
        <v>Bank Transfer</v>
      </c>
    </row>
    <row r="930" spans="3:15" x14ac:dyDescent="0.25">
      <c r="C930" t="s">
        <v>30</v>
      </c>
      <c r="D930" t="str">
        <f t="shared" si="42"/>
        <v>Apparel</v>
      </c>
      <c r="I930" t="s">
        <v>81</v>
      </c>
      <c r="J930" t="str">
        <f t="shared" si="43"/>
        <v>London</v>
      </c>
      <c r="N930" t="s">
        <v>29</v>
      </c>
      <c r="O930" t="str">
        <f t="shared" si="44"/>
        <v>Credit Card</v>
      </c>
    </row>
    <row r="931" spans="3:15" x14ac:dyDescent="0.25">
      <c r="C931" s="5" t="s">
        <v>729</v>
      </c>
      <c r="D931" s="4" t="str">
        <f t="shared" si="42"/>
        <v>Furniture</v>
      </c>
      <c r="I931" t="s">
        <v>59</v>
      </c>
      <c r="J931" t="str">
        <f t="shared" si="43"/>
        <v>Rome</v>
      </c>
      <c r="N931" t="s">
        <v>61</v>
      </c>
      <c r="O931" t="str">
        <f t="shared" si="44"/>
        <v>Paypal</v>
      </c>
    </row>
    <row r="932" spans="3:15" x14ac:dyDescent="0.25">
      <c r="C932" t="s">
        <v>37</v>
      </c>
      <c r="D932" t="str">
        <f t="shared" si="42"/>
        <v>Stationery</v>
      </c>
      <c r="I932" t="s">
        <v>24</v>
      </c>
      <c r="J932" t="str">
        <f t="shared" si="43"/>
        <v>Paris</v>
      </c>
      <c r="N932" t="s">
        <v>61</v>
      </c>
      <c r="O932" t="str">
        <f t="shared" si="44"/>
        <v>Paypal</v>
      </c>
    </row>
    <row r="933" spans="3:15" x14ac:dyDescent="0.25">
      <c r="C933" t="s">
        <v>37</v>
      </c>
      <c r="D933" t="str">
        <f t="shared" si="42"/>
        <v>Stationery</v>
      </c>
      <c r="I933" t="s">
        <v>39</v>
      </c>
      <c r="J933" t="str">
        <f t="shared" si="43"/>
        <v>Amsterdam</v>
      </c>
      <c r="N933" t="s">
        <v>29</v>
      </c>
      <c r="O933" t="str">
        <f t="shared" si="44"/>
        <v>Credit Card</v>
      </c>
    </row>
    <row r="934" spans="3:15" x14ac:dyDescent="0.25">
      <c r="C934" t="s">
        <v>44</v>
      </c>
      <c r="D934" t="str">
        <f t="shared" si="42"/>
        <v>Furniture</v>
      </c>
      <c r="I934" t="s">
        <v>59</v>
      </c>
      <c r="J934" t="str">
        <f t="shared" si="43"/>
        <v>Rome</v>
      </c>
      <c r="N934" t="s">
        <v>29</v>
      </c>
      <c r="O934" t="str">
        <f t="shared" si="44"/>
        <v>Credit Card</v>
      </c>
    </row>
    <row r="935" spans="3:15" x14ac:dyDescent="0.25">
      <c r="C935" t="s">
        <v>37</v>
      </c>
      <c r="D935" t="str">
        <f t="shared" si="42"/>
        <v>Stationery</v>
      </c>
      <c r="I935" t="s">
        <v>81</v>
      </c>
      <c r="J935" t="str">
        <f t="shared" si="43"/>
        <v>London</v>
      </c>
      <c r="N935" t="s">
        <v>19</v>
      </c>
      <c r="O935" t="str">
        <f t="shared" si="44"/>
        <v>Bank Transfer</v>
      </c>
    </row>
    <row r="936" spans="3:15" x14ac:dyDescent="0.25">
      <c r="C936" t="s">
        <v>37</v>
      </c>
      <c r="D936" t="str">
        <f t="shared" si="42"/>
        <v>Stationery</v>
      </c>
      <c r="I936" t="s">
        <v>59</v>
      </c>
      <c r="J936" t="str">
        <f t="shared" si="43"/>
        <v>Rome</v>
      </c>
      <c r="N936" t="s">
        <v>29</v>
      </c>
      <c r="O936" t="str">
        <f t="shared" si="44"/>
        <v>Credit Card</v>
      </c>
    </row>
    <row r="937" spans="3:15" x14ac:dyDescent="0.25">
      <c r="C937" t="s">
        <v>44</v>
      </c>
      <c r="D937" t="str">
        <f t="shared" si="42"/>
        <v>Furniture</v>
      </c>
      <c r="I937" t="s">
        <v>39</v>
      </c>
      <c r="J937" t="str">
        <f t="shared" si="43"/>
        <v>Amsterdam</v>
      </c>
      <c r="N937" t="s">
        <v>29</v>
      </c>
      <c r="O937" t="str">
        <f t="shared" si="44"/>
        <v>Credit Card</v>
      </c>
    </row>
    <row r="938" spans="3:15" x14ac:dyDescent="0.25">
      <c r="C938" t="s">
        <v>20</v>
      </c>
      <c r="D938" t="str">
        <f t="shared" si="42"/>
        <v>Accessories</v>
      </c>
      <c r="I938" t="s">
        <v>39</v>
      </c>
      <c r="J938" t="str">
        <f t="shared" si="43"/>
        <v>Amsterdam</v>
      </c>
      <c r="N938" t="s">
        <v>29</v>
      </c>
      <c r="O938" t="str">
        <f t="shared" si="44"/>
        <v>Credit Card</v>
      </c>
    </row>
    <row r="939" spans="3:15" x14ac:dyDescent="0.25">
      <c r="C939" t="s">
        <v>50</v>
      </c>
      <c r="D939" t="str">
        <f t="shared" si="42"/>
        <v>Electronics</v>
      </c>
      <c r="I939" t="s">
        <v>24</v>
      </c>
      <c r="J939" t="str">
        <f t="shared" si="43"/>
        <v>Paris</v>
      </c>
      <c r="N939" t="s">
        <v>29</v>
      </c>
      <c r="O939" t="str">
        <f t="shared" si="44"/>
        <v>Credit Card</v>
      </c>
    </row>
    <row r="940" spans="3:15" x14ac:dyDescent="0.25">
      <c r="C940" t="s">
        <v>44</v>
      </c>
      <c r="D940" t="str">
        <f t="shared" si="42"/>
        <v>Furniture</v>
      </c>
      <c r="I940" t="s">
        <v>33</v>
      </c>
      <c r="J940" t="str">
        <f t="shared" si="43"/>
        <v>Berlin</v>
      </c>
      <c r="N940" t="s">
        <v>29</v>
      </c>
      <c r="O940" t="str">
        <f t="shared" si="44"/>
        <v>Credit Card</v>
      </c>
    </row>
    <row r="941" spans="3:15" x14ac:dyDescent="0.25">
      <c r="C941" t="s">
        <v>44</v>
      </c>
      <c r="D941" t="str">
        <f t="shared" si="42"/>
        <v>Furniture</v>
      </c>
      <c r="I941" s="5" t="s">
        <v>724</v>
      </c>
      <c r="J941" s="4" t="str">
        <f t="shared" si="43"/>
        <v>London</v>
      </c>
      <c r="N941" t="s">
        <v>19</v>
      </c>
      <c r="O941" t="str">
        <f t="shared" si="44"/>
        <v>Bank Transfer</v>
      </c>
    </row>
    <row r="942" spans="3:15" x14ac:dyDescent="0.25">
      <c r="C942" t="s">
        <v>44</v>
      </c>
      <c r="D942" t="str">
        <f t="shared" si="42"/>
        <v>Furniture</v>
      </c>
      <c r="I942" t="s">
        <v>39</v>
      </c>
      <c r="J942" t="str">
        <f t="shared" si="43"/>
        <v>Amsterdam</v>
      </c>
      <c r="N942" t="s">
        <v>61</v>
      </c>
      <c r="O942" t="str">
        <f t="shared" si="44"/>
        <v>Paypal</v>
      </c>
    </row>
    <row r="943" spans="3:15" x14ac:dyDescent="0.25">
      <c r="C943" t="s">
        <v>30</v>
      </c>
      <c r="D943" t="str">
        <f t="shared" si="42"/>
        <v>Apparel</v>
      </c>
      <c r="I943" t="s">
        <v>59</v>
      </c>
      <c r="J943" t="str">
        <f t="shared" si="43"/>
        <v>Rome</v>
      </c>
      <c r="N943" t="s">
        <v>29</v>
      </c>
      <c r="O943" t="str">
        <f t="shared" si="44"/>
        <v>Credit Card</v>
      </c>
    </row>
    <row r="944" spans="3:15" x14ac:dyDescent="0.25">
      <c r="C944" t="s">
        <v>37</v>
      </c>
      <c r="D944" t="str">
        <f t="shared" si="42"/>
        <v>Stationery</v>
      </c>
      <c r="I944" t="s">
        <v>81</v>
      </c>
      <c r="J944" t="str">
        <f t="shared" si="43"/>
        <v>London</v>
      </c>
      <c r="N944" t="s">
        <v>19</v>
      </c>
      <c r="O944" t="str">
        <f t="shared" si="44"/>
        <v>Bank Transfer</v>
      </c>
    </row>
    <row r="945" spans="3:15" x14ac:dyDescent="0.25">
      <c r="C945" t="s">
        <v>44</v>
      </c>
      <c r="D945" t="str">
        <f t="shared" si="42"/>
        <v>Furniture</v>
      </c>
      <c r="I945" t="s">
        <v>24</v>
      </c>
      <c r="J945" t="str">
        <f t="shared" si="43"/>
        <v>Paris</v>
      </c>
      <c r="N945" t="s">
        <v>61</v>
      </c>
      <c r="O945" t="str">
        <f t="shared" si="44"/>
        <v>Paypal</v>
      </c>
    </row>
    <row r="946" spans="3:15" x14ac:dyDescent="0.25">
      <c r="C946" t="s">
        <v>20</v>
      </c>
      <c r="D946" t="str">
        <f t="shared" si="42"/>
        <v>Accessories</v>
      </c>
      <c r="I946" t="s">
        <v>39</v>
      </c>
      <c r="J946" t="str">
        <f t="shared" si="43"/>
        <v>Amsterdam</v>
      </c>
      <c r="N946" t="s">
        <v>61</v>
      </c>
      <c r="O946" t="str">
        <f t="shared" si="44"/>
        <v>Paypal</v>
      </c>
    </row>
    <row r="947" spans="3:15" x14ac:dyDescent="0.25">
      <c r="C947" t="s">
        <v>44</v>
      </c>
      <c r="D947" t="str">
        <f t="shared" si="42"/>
        <v>Furniture</v>
      </c>
      <c r="I947" t="s">
        <v>59</v>
      </c>
      <c r="J947" t="str">
        <f t="shared" si="43"/>
        <v>Rome</v>
      </c>
      <c r="N947" t="s">
        <v>19</v>
      </c>
      <c r="O947" t="str">
        <f t="shared" si="44"/>
        <v>Bank Transfer</v>
      </c>
    </row>
    <row r="948" spans="3:15" x14ac:dyDescent="0.25">
      <c r="C948" t="s">
        <v>30</v>
      </c>
      <c r="D948" t="str">
        <f t="shared" si="42"/>
        <v>Apparel</v>
      </c>
      <c r="I948" t="s">
        <v>723</v>
      </c>
      <c r="J948" t="str">
        <f t="shared" si="43"/>
        <v>Berlin</v>
      </c>
      <c r="N948" t="s">
        <v>19</v>
      </c>
      <c r="O948" t="str">
        <f t="shared" si="44"/>
        <v>Bank Transfer</v>
      </c>
    </row>
    <row r="949" spans="3:15" x14ac:dyDescent="0.25">
      <c r="C949" t="s">
        <v>50</v>
      </c>
      <c r="D949" t="str">
        <f t="shared" si="42"/>
        <v>Electronics</v>
      </c>
      <c r="I949" t="s">
        <v>81</v>
      </c>
      <c r="J949" t="str">
        <f t="shared" si="43"/>
        <v>London</v>
      </c>
      <c r="N949" t="s">
        <v>61</v>
      </c>
      <c r="O949" t="str">
        <f t="shared" si="44"/>
        <v>Paypal</v>
      </c>
    </row>
    <row r="950" spans="3:15" x14ac:dyDescent="0.25">
      <c r="C950" t="s">
        <v>50</v>
      </c>
      <c r="D950" t="str">
        <f t="shared" si="42"/>
        <v>Electronics</v>
      </c>
      <c r="I950" t="s">
        <v>24</v>
      </c>
      <c r="J950" t="str">
        <f t="shared" si="43"/>
        <v>Paris</v>
      </c>
      <c r="N950" t="s">
        <v>29</v>
      </c>
      <c r="O950" t="str">
        <f t="shared" si="44"/>
        <v>Credit Card</v>
      </c>
    </row>
    <row r="951" spans="3:15" x14ac:dyDescent="0.25">
      <c r="C951" t="s">
        <v>37</v>
      </c>
      <c r="D951" t="str">
        <f t="shared" si="42"/>
        <v>Stationery</v>
      </c>
      <c r="I951" t="s">
        <v>39</v>
      </c>
      <c r="J951" t="str">
        <f t="shared" si="43"/>
        <v>Amsterdam</v>
      </c>
      <c r="N951" t="s">
        <v>29</v>
      </c>
      <c r="O951" t="str">
        <f t="shared" si="44"/>
        <v>Credit Card</v>
      </c>
    </row>
    <row r="952" spans="3:15" x14ac:dyDescent="0.25">
      <c r="C952" t="s">
        <v>44</v>
      </c>
      <c r="D952" t="str">
        <f t="shared" si="42"/>
        <v>Furniture</v>
      </c>
      <c r="I952" t="s">
        <v>39</v>
      </c>
      <c r="J952" t="str">
        <f t="shared" si="43"/>
        <v>Amsterdam</v>
      </c>
      <c r="N952" t="s">
        <v>29</v>
      </c>
      <c r="O952" t="str">
        <f t="shared" si="44"/>
        <v>Credit Card</v>
      </c>
    </row>
    <row r="953" spans="3:15" x14ac:dyDescent="0.25">
      <c r="C953" t="s">
        <v>30</v>
      </c>
      <c r="D953" t="str">
        <f t="shared" si="42"/>
        <v>Apparel</v>
      </c>
      <c r="I953" t="s">
        <v>59</v>
      </c>
      <c r="J953" t="str">
        <f t="shared" si="43"/>
        <v>Rome</v>
      </c>
      <c r="N953" t="s">
        <v>19</v>
      </c>
      <c r="O953" t="str">
        <f t="shared" si="44"/>
        <v>Bank Transfer</v>
      </c>
    </row>
    <row r="954" spans="3:15" x14ac:dyDescent="0.25">
      <c r="C954" t="s">
        <v>44</v>
      </c>
      <c r="D954" t="str">
        <f t="shared" si="42"/>
        <v>Furniture</v>
      </c>
      <c r="I954" t="s">
        <v>39</v>
      </c>
      <c r="J954" t="str">
        <f t="shared" si="43"/>
        <v>Amsterdam</v>
      </c>
      <c r="N954" t="s">
        <v>29</v>
      </c>
      <c r="O954" t="str">
        <f t="shared" si="44"/>
        <v>Credit Card</v>
      </c>
    </row>
    <row r="955" spans="3:15" x14ac:dyDescent="0.25">
      <c r="C955" t="s">
        <v>44</v>
      </c>
      <c r="D955" t="str">
        <f t="shared" si="42"/>
        <v>Furniture</v>
      </c>
      <c r="I955" t="s">
        <v>39</v>
      </c>
      <c r="J955" t="str">
        <f t="shared" si="43"/>
        <v>Amsterdam</v>
      </c>
      <c r="N955" t="s">
        <v>19</v>
      </c>
      <c r="O955" t="str">
        <f t="shared" si="44"/>
        <v>Bank Transfer</v>
      </c>
    </row>
    <row r="956" spans="3:15" x14ac:dyDescent="0.25">
      <c r="C956" t="s">
        <v>50</v>
      </c>
      <c r="D956" t="str">
        <f t="shared" si="42"/>
        <v>Electronics</v>
      </c>
      <c r="I956" t="s">
        <v>59</v>
      </c>
      <c r="J956" t="str">
        <f t="shared" si="43"/>
        <v>Rome</v>
      </c>
      <c r="N956" t="s">
        <v>61</v>
      </c>
      <c r="O956" t="str">
        <f t="shared" si="44"/>
        <v>Paypal</v>
      </c>
    </row>
    <row r="957" spans="3:15" x14ac:dyDescent="0.25">
      <c r="C957" t="s">
        <v>37</v>
      </c>
      <c r="D957" t="str">
        <f t="shared" si="42"/>
        <v>Stationery</v>
      </c>
      <c r="I957" t="s">
        <v>59</v>
      </c>
      <c r="J957" t="str">
        <f t="shared" si="43"/>
        <v>Rome</v>
      </c>
      <c r="N957" t="s">
        <v>29</v>
      </c>
      <c r="O957" t="str">
        <f t="shared" si="44"/>
        <v>Credit Card</v>
      </c>
    </row>
    <row r="958" spans="3:15" x14ac:dyDescent="0.25">
      <c r="C958" t="s">
        <v>50</v>
      </c>
      <c r="D958" t="str">
        <f t="shared" si="42"/>
        <v>Electronics</v>
      </c>
      <c r="I958" t="s">
        <v>39</v>
      </c>
      <c r="J958" t="str">
        <f t="shared" si="43"/>
        <v>Amsterdam</v>
      </c>
      <c r="N958" t="s">
        <v>29</v>
      </c>
      <c r="O958" t="str">
        <f t="shared" si="44"/>
        <v>Credit Card</v>
      </c>
    </row>
    <row r="959" spans="3:15" x14ac:dyDescent="0.25">
      <c r="C959" t="s">
        <v>30</v>
      </c>
      <c r="D959" t="str">
        <f t="shared" si="42"/>
        <v>Apparel</v>
      </c>
      <c r="I959" t="s">
        <v>59</v>
      </c>
      <c r="J959" t="str">
        <f t="shared" si="43"/>
        <v>Rome</v>
      </c>
      <c r="N959" t="s">
        <v>19</v>
      </c>
      <c r="O959" t="str">
        <f t="shared" si="44"/>
        <v>Bank Transfer</v>
      </c>
    </row>
    <row r="960" spans="3:15" x14ac:dyDescent="0.25">
      <c r="C960" t="s">
        <v>30</v>
      </c>
      <c r="D960" t="str">
        <f t="shared" si="42"/>
        <v>Apparel</v>
      </c>
      <c r="I960" t="s">
        <v>33</v>
      </c>
      <c r="J960" t="str">
        <f t="shared" si="43"/>
        <v>Berlin</v>
      </c>
      <c r="N960" t="s">
        <v>29</v>
      </c>
      <c r="O960" t="str">
        <f t="shared" si="44"/>
        <v>Credit Card</v>
      </c>
    </row>
    <row r="961" spans="3:15" x14ac:dyDescent="0.25">
      <c r="C961" t="s">
        <v>30</v>
      </c>
      <c r="D961" t="str">
        <f t="shared" si="42"/>
        <v>Apparel</v>
      </c>
      <c r="I961" t="s">
        <v>24</v>
      </c>
      <c r="J961" t="str">
        <f t="shared" si="43"/>
        <v>Paris</v>
      </c>
      <c r="N961" t="s">
        <v>61</v>
      </c>
      <c r="O961" t="str">
        <f t="shared" si="44"/>
        <v>Paypal</v>
      </c>
    </row>
    <row r="962" spans="3:15" x14ac:dyDescent="0.25">
      <c r="C962" t="s">
        <v>50</v>
      </c>
      <c r="D962" t="str">
        <f t="shared" si="42"/>
        <v>Electronics</v>
      </c>
      <c r="I962" t="s">
        <v>24</v>
      </c>
      <c r="J962" t="str">
        <f t="shared" si="43"/>
        <v>Paris</v>
      </c>
      <c r="N962" t="s">
        <v>29</v>
      </c>
      <c r="O962" t="str">
        <f t="shared" si="44"/>
        <v>Credit Card</v>
      </c>
    </row>
    <row r="963" spans="3:15" x14ac:dyDescent="0.25">
      <c r="C963" t="s">
        <v>37</v>
      </c>
      <c r="D963" t="str">
        <f t="shared" si="42"/>
        <v>Stationery</v>
      </c>
      <c r="I963" t="s">
        <v>81</v>
      </c>
      <c r="J963" t="str">
        <f t="shared" si="43"/>
        <v>London</v>
      </c>
      <c r="N963" t="s">
        <v>61</v>
      </c>
      <c r="O963" t="str">
        <f t="shared" si="44"/>
        <v>Paypal</v>
      </c>
    </row>
    <row r="964" spans="3:15" x14ac:dyDescent="0.25">
      <c r="C964" t="s">
        <v>44</v>
      </c>
      <c r="D964" t="str">
        <f t="shared" si="42"/>
        <v>Furniture</v>
      </c>
      <c r="I964" t="s">
        <v>33</v>
      </c>
      <c r="J964" t="str">
        <f t="shared" si="43"/>
        <v>Berlin</v>
      </c>
      <c r="N964" t="s">
        <v>61</v>
      </c>
      <c r="O964" t="str">
        <f t="shared" si="44"/>
        <v>Paypal</v>
      </c>
    </row>
    <row r="965" spans="3:15" x14ac:dyDescent="0.25">
      <c r="C965" t="s">
        <v>37</v>
      </c>
      <c r="D965" t="str">
        <f t="shared" si="42"/>
        <v>Stationery</v>
      </c>
      <c r="I965" t="s">
        <v>39</v>
      </c>
      <c r="J965" t="str">
        <f t="shared" si="43"/>
        <v>Amsterdam</v>
      </c>
      <c r="N965" t="s">
        <v>19</v>
      </c>
      <c r="O965" t="str">
        <f t="shared" si="44"/>
        <v>Bank Transfer</v>
      </c>
    </row>
    <row r="966" spans="3:15" x14ac:dyDescent="0.25">
      <c r="C966" t="s">
        <v>30</v>
      </c>
      <c r="D966" t="str">
        <f t="shared" ref="D966:D1003" si="45">PROPER(C966)</f>
        <v>Apparel</v>
      </c>
      <c r="I966" t="s">
        <v>24</v>
      </c>
      <c r="J966" t="str">
        <f t="shared" ref="J966:J1003" si="46">PROPER(I966)</f>
        <v>Paris</v>
      </c>
      <c r="N966" t="s">
        <v>19</v>
      </c>
      <c r="O966" t="str">
        <f t="shared" ref="O966:O1003" si="47">IF(N966="paypall","Paypal",N966)</f>
        <v>Bank Transfer</v>
      </c>
    </row>
    <row r="967" spans="3:15" x14ac:dyDescent="0.25">
      <c r="C967" t="s">
        <v>37</v>
      </c>
      <c r="D967" t="str">
        <f t="shared" si="45"/>
        <v>Stationery</v>
      </c>
      <c r="I967" t="s">
        <v>33</v>
      </c>
      <c r="J967" t="str">
        <f t="shared" si="46"/>
        <v>Berlin</v>
      </c>
      <c r="N967" t="s">
        <v>29</v>
      </c>
      <c r="O967" t="str">
        <f t="shared" si="47"/>
        <v>Credit Card</v>
      </c>
    </row>
    <row r="968" spans="3:15" x14ac:dyDescent="0.25">
      <c r="C968" t="s">
        <v>50</v>
      </c>
      <c r="D968" t="str">
        <f t="shared" si="45"/>
        <v>Electronics</v>
      </c>
      <c r="I968" t="s">
        <v>39</v>
      </c>
      <c r="J968" t="str">
        <f t="shared" si="46"/>
        <v>Amsterdam</v>
      </c>
      <c r="N968" t="s">
        <v>19</v>
      </c>
      <c r="O968" t="str">
        <f t="shared" si="47"/>
        <v>Bank Transfer</v>
      </c>
    </row>
    <row r="969" spans="3:15" x14ac:dyDescent="0.25">
      <c r="C969" t="s">
        <v>50</v>
      </c>
      <c r="D969" t="str">
        <f t="shared" si="45"/>
        <v>Electronics</v>
      </c>
      <c r="I969" t="s">
        <v>24</v>
      </c>
      <c r="J969" t="str">
        <f t="shared" si="46"/>
        <v>Paris</v>
      </c>
      <c r="N969" t="s">
        <v>19</v>
      </c>
      <c r="O969" t="str">
        <f t="shared" si="47"/>
        <v>Bank Transfer</v>
      </c>
    </row>
    <row r="970" spans="3:15" x14ac:dyDescent="0.25">
      <c r="C970" t="s">
        <v>37</v>
      </c>
      <c r="D970" t="str">
        <f t="shared" si="45"/>
        <v>Stationery</v>
      </c>
      <c r="I970" t="s">
        <v>59</v>
      </c>
      <c r="J970" t="str">
        <f t="shared" si="46"/>
        <v>Rome</v>
      </c>
      <c r="N970" t="s">
        <v>29</v>
      </c>
      <c r="O970" t="str">
        <f t="shared" si="47"/>
        <v>Credit Card</v>
      </c>
    </row>
    <row r="971" spans="3:15" x14ac:dyDescent="0.25">
      <c r="C971" t="s">
        <v>30</v>
      </c>
      <c r="D971" t="str">
        <f t="shared" si="45"/>
        <v>Apparel</v>
      </c>
      <c r="I971" t="s">
        <v>39</v>
      </c>
      <c r="J971" t="str">
        <f t="shared" si="46"/>
        <v>Amsterdam</v>
      </c>
      <c r="N971" t="s">
        <v>61</v>
      </c>
      <c r="O971" t="str">
        <f t="shared" si="47"/>
        <v>Paypal</v>
      </c>
    </row>
    <row r="972" spans="3:15" x14ac:dyDescent="0.25">
      <c r="C972" t="s">
        <v>50</v>
      </c>
      <c r="D972" t="str">
        <f t="shared" si="45"/>
        <v>Electronics</v>
      </c>
      <c r="I972" t="s">
        <v>81</v>
      </c>
      <c r="J972" t="str">
        <f t="shared" si="46"/>
        <v>London</v>
      </c>
      <c r="N972" t="s">
        <v>29</v>
      </c>
      <c r="O972" t="str">
        <f t="shared" si="47"/>
        <v>Credit Card</v>
      </c>
    </row>
    <row r="973" spans="3:15" x14ac:dyDescent="0.25">
      <c r="C973" t="s">
        <v>44</v>
      </c>
      <c r="D973" t="str">
        <f t="shared" si="45"/>
        <v>Furniture</v>
      </c>
      <c r="I973" t="s">
        <v>59</v>
      </c>
      <c r="J973" t="str">
        <f t="shared" si="46"/>
        <v>Rome</v>
      </c>
      <c r="N973" t="s">
        <v>61</v>
      </c>
      <c r="O973" t="str">
        <f t="shared" si="47"/>
        <v>Paypal</v>
      </c>
    </row>
    <row r="974" spans="3:15" x14ac:dyDescent="0.25">
      <c r="C974" t="s">
        <v>50</v>
      </c>
      <c r="D974" t="str">
        <f t="shared" si="45"/>
        <v>Electronics</v>
      </c>
      <c r="I974" t="s">
        <v>24</v>
      </c>
      <c r="J974" t="str">
        <f t="shared" si="46"/>
        <v>Paris</v>
      </c>
      <c r="N974" t="s">
        <v>19</v>
      </c>
      <c r="O974" t="str">
        <f t="shared" si="47"/>
        <v>Bank Transfer</v>
      </c>
    </row>
    <row r="975" spans="3:15" x14ac:dyDescent="0.25">
      <c r="C975" t="s">
        <v>44</v>
      </c>
      <c r="D975" t="str">
        <f t="shared" si="45"/>
        <v>Furniture</v>
      </c>
      <c r="I975" t="s">
        <v>59</v>
      </c>
      <c r="J975" t="str">
        <f t="shared" si="46"/>
        <v>Rome</v>
      </c>
      <c r="N975" t="s">
        <v>19</v>
      </c>
      <c r="O975" t="str">
        <f t="shared" si="47"/>
        <v>Bank Transfer</v>
      </c>
    </row>
    <row r="976" spans="3:15" x14ac:dyDescent="0.25">
      <c r="C976" t="s">
        <v>44</v>
      </c>
      <c r="D976" t="str">
        <f t="shared" si="45"/>
        <v>Furniture</v>
      </c>
      <c r="I976" t="s">
        <v>59</v>
      </c>
      <c r="J976" t="str">
        <f t="shared" si="46"/>
        <v>Rome</v>
      </c>
      <c r="N976" t="s">
        <v>19</v>
      </c>
      <c r="O976" t="str">
        <f t="shared" si="47"/>
        <v>Bank Transfer</v>
      </c>
    </row>
    <row r="977" spans="3:15" x14ac:dyDescent="0.25">
      <c r="C977" t="s">
        <v>37</v>
      </c>
      <c r="D977" t="str">
        <f t="shared" si="45"/>
        <v>Stationery</v>
      </c>
      <c r="I977" t="s">
        <v>24</v>
      </c>
      <c r="J977" t="str">
        <f t="shared" si="46"/>
        <v>Paris</v>
      </c>
      <c r="N977" t="s">
        <v>19</v>
      </c>
      <c r="O977" t="str">
        <f t="shared" si="47"/>
        <v>Bank Transfer</v>
      </c>
    </row>
    <row r="978" spans="3:15" x14ac:dyDescent="0.25">
      <c r="C978" t="s">
        <v>30</v>
      </c>
      <c r="D978" t="str">
        <f t="shared" si="45"/>
        <v>Apparel</v>
      </c>
      <c r="I978" t="s">
        <v>24</v>
      </c>
      <c r="J978" t="str">
        <f t="shared" si="46"/>
        <v>Paris</v>
      </c>
      <c r="N978" t="s">
        <v>19</v>
      </c>
      <c r="O978" t="str">
        <f t="shared" si="47"/>
        <v>Bank Transfer</v>
      </c>
    </row>
    <row r="979" spans="3:15" x14ac:dyDescent="0.25">
      <c r="C979" t="s">
        <v>20</v>
      </c>
      <c r="D979" t="str">
        <f t="shared" si="45"/>
        <v>Accessories</v>
      </c>
      <c r="I979" t="s">
        <v>81</v>
      </c>
      <c r="J979" t="str">
        <f t="shared" si="46"/>
        <v>London</v>
      </c>
      <c r="N979" t="s">
        <v>61</v>
      </c>
      <c r="O979" t="str">
        <f t="shared" si="47"/>
        <v>Paypal</v>
      </c>
    </row>
    <row r="980" spans="3:15" x14ac:dyDescent="0.25">
      <c r="C980" t="s">
        <v>37</v>
      </c>
      <c r="D980" t="str">
        <f t="shared" si="45"/>
        <v>Stationery</v>
      </c>
      <c r="I980" t="s">
        <v>81</v>
      </c>
      <c r="J980" t="str">
        <f t="shared" si="46"/>
        <v>London</v>
      </c>
      <c r="N980" t="s">
        <v>19</v>
      </c>
      <c r="O980" t="str">
        <f t="shared" si="47"/>
        <v>Bank Transfer</v>
      </c>
    </row>
    <row r="981" spans="3:15" x14ac:dyDescent="0.25">
      <c r="C981" t="s">
        <v>44</v>
      </c>
      <c r="D981" t="str">
        <f t="shared" si="45"/>
        <v>Furniture</v>
      </c>
      <c r="I981" t="s">
        <v>24</v>
      </c>
      <c r="J981" t="str">
        <f t="shared" si="46"/>
        <v>Paris</v>
      </c>
      <c r="N981" t="s">
        <v>61</v>
      </c>
      <c r="O981" t="str">
        <f t="shared" si="47"/>
        <v>Paypal</v>
      </c>
    </row>
    <row r="982" spans="3:15" x14ac:dyDescent="0.25">
      <c r="C982" t="s">
        <v>44</v>
      </c>
      <c r="D982" t="str">
        <f t="shared" si="45"/>
        <v>Furniture</v>
      </c>
      <c r="I982" t="s">
        <v>33</v>
      </c>
      <c r="J982" t="str">
        <f t="shared" si="46"/>
        <v>Berlin</v>
      </c>
      <c r="N982" t="s">
        <v>29</v>
      </c>
      <c r="O982" t="str">
        <f t="shared" si="47"/>
        <v>Credit Card</v>
      </c>
    </row>
    <row r="983" spans="3:15" x14ac:dyDescent="0.25">
      <c r="C983" t="s">
        <v>37</v>
      </c>
      <c r="D983" t="str">
        <f t="shared" si="45"/>
        <v>Stationery</v>
      </c>
      <c r="I983" t="s">
        <v>59</v>
      </c>
      <c r="J983" t="str">
        <f t="shared" si="46"/>
        <v>Rome</v>
      </c>
      <c r="N983" t="s">
        <v>19</v>
      </c>
      <c r="O983" t="str">
        <f t="shared" si="47"/>
        <v>Bank Transfer</v>
      </c>
    </row>
    <row r="984" spans="3:15" x14ac:dyDescent="0.25">
      <c r="C984" s="5" t="s">
        <v>729</v>
      </c>
      <c r="D984" s="4" t="str">
        <f t="shared" si="45"/>
        <v>Furniture</v>
      </c>
      <c r="I984" t="s">
        <v>59</v>
      </c>
      <c r="J984" t="str">
        <f t="shared" si="46"/>
        <v>Rome</v>
      </c>
      <c r="N984" t="s">
        <v>29</v>
      </c>
      <c r="O984" t="str">
        <f t="shared" si="47"/>
        <v>Credit Card</v>
      </c>
    </row>
    <row r="985" spans="3:15" x14ac:dyDescent="0.25">
      <c r="C985" t="s">
        <v>44</v>
      </c>
      <c r="D985" t="str">
        <f t="shared" si="45"/>
        <v>Furniture</v>
      </c>
      <c r="I985" s="5" t="s">
        <v>724</v>
      </c>
      <c r="J985" s="4" t="str">
        <f t="shared" si="46"/>
        <v>London</v>
      </c>
      <c r="N985" t="s">
        <v>61</v>
      </c>
      <c r="O985" t="str">
        <f t="shared" si="47"/>
        <v>Paypal</v>
      </c>
    </row>
    <row r="986" spans="3:15" x14ac:dyDescent="0.25">
      <c r="C986" t="s">
        <v>50</v>
      </c>
      <c r="D986" t="str">
        <f t="shared" si="45"/>
        <v>Electronics</v>
      </c>
      <c r="I986" t="s">
        <v>39</v>
      </c>
      <c r="J986" t="str">
        <f t="shared" si="46"/>
        <v>Amsterdam</v>
      </c>
      <c r="N986" t="s">
        <v>29</v>
      </c>
      <c r="O986" t="str">
        <f t="shared" si="47"/>
        <v>Credit Card</v>
      </c>
    </row>
    <row r="987" spans="3:15" x14ac:dyDescent="0.25">
      <c r="C987" t="s">
        <v>37</v>
      </c>
      <c r="D987" t="str">
        <f t="shared" si="45"/>
        <v>Stationery</v>
      </c>
      <c r="I987" t="s">
        <v>24</v>
      </c>
      <c r="J987" t="str">
        <f t="shared" si="46"/>
        <v>Paris</v>
      </c>
      <c r="N987" t="s">
        <v>29</v>
      </c>
      <c r="O987" t="str">
        <f t="shared" si="47"/>
        <v>Credit Card</v>
      </c>
    </row>
    <row r="988" spans="3:15" x14ac:dyDescent="0.25">
      <c r="C988" t="s">
        <v>20</v>
      </c>
      <c r="D988" t="str">
        <f t="shared" si="45"/>
        <v>Accessories</v>
      </c>
      <c r="I988" t="s">
        <v>39</v>
      </c>
      <c r="J988" t="str">
        <f t="shared" si="46"/>
        <v>Amsterdam</v>
      </c>
      <c r="N988" t="s">
        <v>61</v>
      </c>
      <c r="O988" t="str">
        <f t="shared" si="47"/>
        <v>Paypal</v>
      </c>
    </row>
    <row r="989" spans="3:15" x14ac:dyDescent="0.25">
      <c r="C989" t="s">
        <v>30</v>
      </c>
      <c r="D989" t="str">
        <f t="shared" si="45"/>
        <v>Apparel</v>
      </c>
      <c r="I989" t="s">
        <v>81</v>
      </c>
      <c r="J989" t="str">
        <f t="shared" si="46"/>
        <v>London</v>
      </c>
      <c r="N989" t="s">
        <v>61</v>
      </c>
      <c r="O989" t="str">
        <f t="shared" si="47"/>
        <v>Paypal</v>
      </c>
    </row>
    <row r="990" spans="3:15" x14ac:dyDescent="0.25">
      <c r="C990" t="s">
        <v>37</v>
      </c>
      <c r="D990" t="str">
        <f t="shared" si="45"/>
        <v>Stationery</v>
      </c>
      <c r="I990" t="s">
        <v>39</v>
      </c>
      <c r="J990" t="str">
        <f t="shared" si="46"/>
        <v>Amsterdam</v>
      </c>
      <c r="N990" t="s">
        <v>61</v>
      </c>
      <c r="O990" t="str">
        <f t="shared" si="47"/>
        <v>Paypal</v>
      </c>
    </row>
    <row r="991" spans="3:15" x14ac:dyDescent="0.25">
      <c r="C991" t="s">
        <v>37</v>
      </c>
      <c r="D991" t="str">
        <f t="shared" si="45"/>
        <v>Stationery</v>
      </c>
      <c r="I991" t="s">
        <v>24</v>
      </c>
      <c r="J991" t="str">
        <f t="shared" si="46"/>
        <v>Paris</v>
      </c>
      <c r="N991" t="s">
        <v>29</v>
      </c>
      <c r="O991" t="str">
        <f t="shared" si="47"/>
        <v>Credit Card</v>
      </c>
    </row>
    <row r="992" spans="3:15" x14ac:dyDescent="0.25">
      <c r="C992" s="5" t="s">
        <v>728</v>
      </c>
      <c r="D992" s="4" t="str">
        <f t="shared" si="45"/>
        <v>Apparel</v>
      </c>
      <c r="I992" t="s">
        <v>59</v>
      </c>
      <c r="J992" t="str">
        <f t="shared" si="46"/>
        <v>Rome</v>
      </c>
      <c r="N992" t="s">
        <v>29</v>
      </c>
      <c r="O992" t="str">
        <f t="shared" si="47"/>
        <v>Credit Card</v>
      </c>
    </row>
    <row r="993" spans="3:15" x14ac:dyDescent="0.25">
      <c r="C993" t="s">
        <v>50</v>
      </c>
      <c r="D993" t="str">
        <f t="shared" si="45"/>
        <v>Electronics</v>
      </c>
      <c r="I993" t="s">
        <v>33</v>
      </c>
      <c r="J993" t="str">
        <f t="shared" si="46"/>
        <v>Berlin</v>
      </c>
      <c r="N993" t="s">
        <v>29</v>
      </c>
      <c r="O993" t="str">
        <f t="shared" si="47"/>
        <v>Credit Card</v>
      </c>
    </row>
    <row r="994" spans="3:15" x14ac:dyDescent="0.25">
      <c r="C994" t="s">
        <v>37</v>
      </c>
      <c r="D994" t="str">
        <f t="shared" si="45"/>
        <v>Stationery</v>
      </c>
      <c r="I994" s="5" t="s">
        <v>724</v>
      </c>
      <c r="J994" s="4" t="str">
        <f t="shared" si="46"/>
        <v>London</v>
      </c>
      <c r="N994" t="s">
        <v>19</v>
      </c>
      <c r="O994" t="str">
        <f t="shared" si="47"/>
        <v>Bank Transfer</v>
      </c>
    </row>
    <row r="995" spans="3:15" x14ac:dyDescent="0.25">
      <c r="C995" t="s">
        <v>20</v>
      </c>
      <c r="D995" t="str">
        <f t="shared" si="45"/>
        <v>Accessories</v>
      </c>
      <c r="I995" t="s">
        <v>81</v>
      </c>
      <c r="J995" t="str">
        <f t="shared" si="46"/>
        <v>London</v>
      </c>
      <c r="N995" t="s">
        <v>29</v>
      </c>
      <c r="O995" t="str">
        <f t="shared" si="47"/>
        <v>Credit Card</v>
      </c>
    </row>
    <row r="996" spans="3:15" x14ac:dyDescent="0.25">
      <c r="C996" t="s">
        <v>20</v>
      </c>
      <c r="D996" t="str">
        <f t="shared" si="45"/>
        <v>Accessories</v>
      </c>
      <c r="I996" t="s">
        <v>33</v>
      </c>
      <c r="J996" t="str">
        <f t="shared" si="46"/>
        <v>Berlin</v>
      </c>
      <c r="N996" t="s">
        <v>61</v>
      </c>
      <c r="O996" t="str">
        <f t="shared" si="47"/>
        <v>Paypal</v>
      </c>
    </row>
    <row r="997" spans="3:15" x14ac:dyDescent="0.25">
      <c r="C997" t="s">
        <v>30</v>
      </c>
      <c r="D997" t="str">
        <f t="shared" si="45"/>
        <v>Apparel</v>
      </c>
      <c r="I997" t="s">
        <v>33</v>
      </c>
      <c r="J997" t="str">
        <f t="shared" si="46"/>
        <v>Berlin</v>
      </c>
      <c r="N997" t="s">
        <v>29</v>
      </c>
      <c r="O997" t="str">
        <f t="shared" si="47"/>
        <v>Credit Card</v>
      </c>
    </row>
    <row r="998" spans="3:15" x14ac:dyDescent="0.25">
      <c r="C998" t="s">
        <v>50</v>
      </c>
      <c r="D998" t="str">
        <f t="shared" si="45"/>
        <v>Electronics</v>
      </c>
      <c r="I998" t="s">
        <v>59</v>
      </c>
      <c r="J998" t="str">
        <f t="shared" si="46"/>
        <v>Rome</v>
      </c>
      <c r="N998" t="s">
        <v>29</v>
      </c>
      <c r="O998" t="str">
        <f t="shared" si="47"/>
        <v>Credit Card</v>
      </c>
    </row>
    <row r="999" spans="3:15" x14ac:dyDescent="0.25">
      <c r="C999" t="s">
        <v>30</v>
      </c>
      <c r="D999" t="str">
        <f t="shared" si="45"/>
        <v>Apparel</v>
      </c>
      <c r="I999" t="s">
        <v>723</v>
      </c>
      <c r="J999" t="str">
        <f t="shared" si="46"/>
        <v>Berlin</v>
      </c>
      <c r="N999" t="s">
        <v>61</v>
      </c>
      <c r="O999" t="str">
        <f t="shared" si="47"/>
        <v>Paypal</v>
      </c>
    </row>
    <row r="1000" spans="3:15" x14ac:dyDescent="0.25">
      <c r="C1000" t="s">
        <v>44</v>
      </c>
      <c r="D1000" t="str">
        <f t="shared" si="45"/>
        <v>Furniture</v>
      </c>
      <c r="I1000" t="s">
        <v>24</v>
      </c>
      <c r="J1000" t="str">
        <f t="shared" si="46"/>
        <v>Paris</v>
      </c>
      <c r="N1000" t="s">
        <v>19</v>
      </c>
      <c r="O1000" t="str">
        <f t="shared" si="47"/>
        <v>Bank Transfer</v>
      </c>
    </row>
    <row r="1001" spans="3:15" x14ac:dyDescent="0.25">
      <c r="C1001" t="s">
        <v>37</v>
      </c>
      <c r="D1001" t="str">
        <f t="shared" si="45"/>
        <v>Stationery</v>
      </c>
      <c r="I1001" t="s">
        <v>39</v>
      </c>
      <c r="J1001" t="str">
        <f t="shared" si="46"/>
        <v>Amsterdam</v>
      </c>
      <c r="N1001" t="s">
        <v>19</v>
      </c>
      <c r="O1001" t="str">
        <f t="shared" si="47"/>
        <v>Bank Transfer</v>
      </c>
    </row>
    <row r="1002" spans="3:15" x14ac:dyDescent="0.25">
      <c r="C1002" t="s">
        <v>44</v>
      </c>
      <c r="D1002" t="str">
        <f t="shared" si="45"/>
        <v>Furniture</v>
      </c>
      <c r="I1002" t="s">
        <v>39</v>
      </c>
      <c r="J1002" t="str">
        <f t="shared" si="46"/>
        <v>Amsterdam</v>
      </c>
      <c r="N1002" t="s">
        <v>19</v>
      </c>
      <c r="O1002" t="str">
        <f t="shared" si="47"/>
        <v>Bank Transfer</v>
      </c>
    </row>
    <row r="1003" spans="3:15" x14ac:dyDescent="0.25">
      <c r="C1003" t="s">
        <v>20</v>
      </c>
      <c r="D1003" t="str">
        <f t="shared" si="45"/>
        <v>Accessories</v>
      </c>
      <c r="I1003" t="s">
        <v>59</v>
      </c>
      <c r="J1003" t="str">
        <f t="shared" si="46"/>
        <v>Rome</v>
      </c>
      <c r="N1003" t="s">
        <v>61</v>
      </c>
      <c r="O1003" t="str">
        <f t="shared" si="47"/>
        <v>Paypal</v>
      </c>
    </row>
  </sheetData>
  <mergeCells count="1">
    <mergeCell ref="C1:O2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>
      <selection activeCell="F10" sqref="F10"/>
    </sheetView>
  </sheetViews>
  <sheetFormatPr defaultRowHeight="15" x14ac:dyDescent="0.25"/>
  <cols>
    <col min="1" max="1" width="17.28515625" customWidth="1"/>
    <col min="2" max="2" width="18.28515625" customWidth="1"/>
    <col min="3" max="3" width="14.7109375" customWidth="1"/>
    <col min="8" max="8" width="17.28515625" customWidth="1"/>
    <col min="9" max="9" width="18.28515625" customWidth="1"/>
    <col min="10" max="10" width="11" style="11" customWidth="1"/>
    <col min="11" max="11" width="18" customWidth="1"/>
    <col min="14" max="14" width="13.140625" customWidth="1"/>
    <col min="15" max="15" width="18" customWidth="1"/>
    <col min="16" max="16" width="11.42578125" customWidth="1"/>
  </cols>
  <sheetData>
    <row r="1" spans="1:16" x14ac:dyDescent="0.25">
      <c r="A1" t="s">
        <v>716</v>
      </c>
      <c r="B1" t="s">
        <v>717</v>
      </c>
      <c r="C1" s="6" t="s">
        <v>720</v>
      </c>
      <c r="H1" t="s">
        <v>716</v>
      </c>
      <c r="I1" t="s">
        <v>717</v>
      </c>
      <c r="J1" s="11" t="s">
        <v>7</v>
      </c>
      <c r="K1" t="s">
        <v>721</v>
      </c>
      <c r="N1" t="s">
        <v>720</v>
      </c>
      <c r="O1" t="s">
        <v>721</v>
      </c>
      <c r="P1" s="10" t="s">
        <v>736</v>
      </c>
    </row>
    <row r="2" spans="1:16" x14ac:dyDescent="0.25">
      <c r="A2">
        <v>33</v>
      </c>
      <c r="B2">
        <v>85.88</v>
      </c>
      <c r="C2">
        <f>A2*B2</f>
        <v>2834.04</v>
      </c>
      <c r="H2">
        <v>33</v>
      </c>
      <c r="I2">
        <v>85.88</v>
      </c>
      <c r="J2" s="11">
        <v>0.05</v>
      </c>
      <c r="K2">
        <f>H2*I2*J2</f>
        <v>141.702</v>
      </c>
      <c r="N2">
        <v>2834.04</v>
      </c>
      <c r="O2">
        <v>141.702</v>
      </c>
      <c r="P2">
        <f t="shared" ref="P2:P65" si="0">N2-O2</f>
        <v>2692.3379999999997</v>
      </c>
    </row>
    <row r="3" spans="1:16" x14ac:dyDescent="0.25">
      <c r="A3">
        <v>47</v>
      </c>
      <c r="B3">
        <v>75.47</v>
      </c>
      <c r="C3">
        <f t="shared" ref="C3:C66" si="1">A3*B3</f>
        <v>3547.09</v>
      </c>
      <c r="H3">
        <v>47</v>
      </c>
      <c r="I3">
        <v>75.47</v>
      </c>
      <c r="J3" s="11">
        <v>0.28000000000000003</v>
      </c>
      <c r="K3">
        <f t="shared" ref="K3:K66" si="2">H3*I3*J3</f>
        <v>993.18520000000012</v>
      </c>
      <c r="N3">
        <v>3547.09</v>
      </c>
      <c r="O3">
        <v>993.18520000000012</v>
      </c>
      <c r="P3">
        <f t="shared" si="0"/>
        <v>2553.9048000000003</v>
      </c>
    </row>
    <row r="4" spans="1:16" x14ac:dyDescent="0.25">
      <c r="A4">
        <v>18</v>
      </c>
      <c r="B4">
        <v>67.849999999999994</v>
      </c>
      <c r="C4">
        <f t="shared" si="1"/>
        <v>1221.3</v>
      </c>
      <c r="H4">
        <v>18</v>
      </c>
      <c r="I4">
        <v>67.849999999999994</v>
      </c>
      <c r="J4" s="11">
        <v>0.36</v>
      </c>
      <c r="K4">
        <f t="shared" si="2"/>
        <v>439.66799999999995</v>
      </c>
      <c r="N4">
        <v>1221.3</v>
      </c>
      <c r="O4">
        <v>439.66799999999995</v>
      </c>
      <c r="P4">
        <f t="shared" si="0"/>
        <v>781.63200000000006</v>
      </c>
    </row>
    <row r="5" spans="1:16" x14ac:dyDescent="0.25">
      <c r="A5">
        <v>45</v>
      </c>
      <c r="B5">
        <v>98.3</v>
      </c>
      <c r="C5">
        <f t="shared" si="1"/>
        <v>4423.5</v>
      </c>
      <c r="H5">
        <v>45</v>
      </c>
      <c r="I5">
        <v>98.3</v>
      </c>
      <c r="J5" s="11">
        <v>0.06</v>
      </c>
      <c r="K5">
        <f t="shared" si="2"/>
        <v>265.40999999999997</v>
      </c>
      <c r="N5">
        <v>4423.5</v>
      </c>
      <c r="O5">
        <v>265.40999999999997</v>
      </c>
      <c r="P5">
        <f t="shared" si="0"/>
        <v>4158.09</v>
      </c>
    </row>
    <row r="6" spans="1:16" x14ac:dyDescent="0.25">
      <c r="A6">
        <v>23</v>
      </c>
      <c r="B6">
        <v>14.19</v>
      </c>
      <c r="C6">
        <f t="shared" si="1"/>
        <v>326.37</v>
      </c>
      <c r="H6">
        <v>23</v>
      </c>
      <c r="I6">
        <v>14.19</v>
      </c>
      <c r="J6" s="11">
        <v>0.35</v>
      </c>
      <c r="K6">
        <f t="shared" si="2"/>
        <v>114.22949999999999</v>
      </c>
      <c r="N6">
        <v>326.37</v>
      </c>
      <c r="O6">
        <v>114.22949999999999</v>
      </c>
      <c r="P6">
        <f t="shared" si="0"/>
        <v>212.14050000000003</v>
      </c>
    </row>
    <row r="7" spans="1:16" x14ac:dyDescent="0.25">
      <c r="A7">
        <v>47</v>
      </c>
      <c r="B7">
        <v>36.71</v>
      </c>
      <c r="C7">
        <f t="shared" si="1"/>
        <v>1725.3700000000001</v>
      </c>
      <c r="H7">
        <v>47</v>
      </c>
      <c r="I7">
        <v>36.71</v>
      </c>
      <c r="J7" s="11">
        <v>0.37</v>
      </c>
      <c r="K7">
        <f t="shared" si="2"/>
        <v>638.38690000000008</v>
      </c>
      <c r="N7">
        <v>1725.3700000000001</v>
      </c>
      <c r="O7">
        <v>638.38690000000008</v>
      </c>
      <c r="P7">
        <f t="shared" si="0"/>
        <v>1086.9830999999999</v>
      </c>
    </row>
    <row r="8" spans="1:16" x14ac:dyDescent="0.25">
      <c r="A8">
        <v>33</v>
      </c>
      <c r="B8">
        <v>70.69</v>
      </c>
      <c r="C8">
        <f t="shared" si="1"/>
        <v>2332.77</v>
      </c>
      <c r="H8">
        <v>33</v>
      </c>
      <c r="I8">
        <v>70.69</v>
      </c>
      <c r="J8" s="11">
        <v>0.41</v>
      </c>
      <c r="K8">
        <f t="shared" si="2"/>
        <v>956.43569999999988</v>
      </c>
      <c r="N8">
        <v>2332.77</v>
      </c>
      <c r="O8">
        <v>956.43569999999988</v>
      </c>
      <c r="P8">
        <f t="shared" si="0"/>
        <v>1376.3343</v>
      </c>
    </row>
    <row r="9" spans="1:16" x14ac:dyDescent="0.25">
      <c r="A9">
        <v>23</v>
      </c>
      <c r="B9">
        <v>28.54</v>
      </c>
      <c r="C9">
        <f t="shared" si="1"/>
        <v>656.42</v>
      </c>
      <c r="H9">
        <v>23</v>
      </c>
      <c r="I9">
        <v>28.54</v>
      </c>
      <c r="J9" s="11">
        <v>0.02</v>
      </c>
      <c r="K9">
        <f t="shared" si="2"/>
        <v>13.128399999999999</v>
      </c>
      <c r="N9">
        <v>656.42</v>
      </c>
      <c r="O9">
        <v>13.128399999999999</v>
      </c>
      <c r="P9">
        <f t="shared" si="0"/>
        <v>643.29160000000002</v>
      </c>
    </row>
    <row r="10" spans="1:16" x14ac:dyDescent="0.25">
      <c r="A10">
        <v>21</v>
      </c>
      <c r="B10">
        <v>28.96</v>
      </c>
      <c r="C10">
        <f t="shared" si="1"/>
        <v>608.16</v>
      </c>
      <c r="H10">
        <v>21</v>
      </c>
      <c r="I10">
        <v>28.96</v>
      </c>
      <c r="J10" s="11">
        <v>0.18</v>
      </c>
      <c r="K10">
        <f t="shared" si="2"/>
        <v>109.46879999999999</v>
      </c>
      <c r="N10">
        <v>608.16</v>
      </c>
      <c r="O10">
        <v>109.46879999999999</v>
      </c>
      <c r="P10">
        <f t="shared" si="0"/>
        <v>498.69119999999998</v>
      </c>
    </row>
    <row r="11" spans="1:16" x14ac:dyDescent="0.25">
      <c r="A11">
        <v>10</v>
      </c>
      <c r="B11">
        <v>24.81</v>
      </c>
      <c r="C11">
        <f t="shared" si="1"/>
        <v>248.1</v>
      </c>
      <c r="H11">
        <v>10</v>
      </c>
      <c r="I11">
        <v>24.81</v>
      </c>
      <c r="J11" s="11">
        <v>0.38</v>
      </c>
      <c r="K11">
        <f t="shared" si="2"/>
        <v>94.278000000000006</v>
      </c>
      <c r="N11">
        <v>248.1</v>
      </c>
      <c r="O11">
        <v>94.278000000000006</v>
      </c>
      <c r="P11">
        <f t="shared" si="0"/>
        <v>153.822</v>
      </c>
    </row>
    <row r="12" spans="1:16" x14ac:dyDescent="0.25">
      <c r="A12">
        <v>22</v>
      </c>
      <c r="B12">
        <v>68.180000000000007</v>
      </c>
      <c r="C12">
        <f t="shared" si="1"/>
        <v>1499.96</v>
      </c>
      <c r="H12">
        <v>22</v>
      </c>
      <c r="I12">
        <v>68.180000000000007</v>
      </c>
      <c r="J12" s="11">
        <v>0.33</v>
      </c>
      <c r="K12">
        <f t="shared" si="2"/>
        <v>494.98680000000002</v>
      </c>
      <c r="N12">
        <v>1499.96</v>
      </c>
      <c r="O12">
        <v>494.98680000000002</v>
      </c>
      <c r="P12">
        <f t="shared" si="0"/>
        <v>1004.9732</v>
      </c>
    </row>
    <row r="13" spans="1:16" x14ac:dyDescent="0.25">
      <c r="A13">
        <v>11</v>
      </c>
      <c r="B13">
        <v>3.34</v>
      </c>
      <c r="C13">
        <f t="shared" si="1"/>
        <v>36.739999999999995</v>
      </c>
      <c r="H13">
        <v>11</v>
      </c>
      <c r="I13">
        <v>3.34</v>
      </c>
      <c r="J13" s="11">
        <v>0.2</v>
      </c>
      <c r="K13">
        <f t="shared" si="2"/>
        <v>7.347999999999999</v>
      </c>
      <c r="N13">
        <v>36.739999999999995</v>
      </c>
      <c r="O13">
        <v>7.347999999999999</v>
      </c>
      <c r="P13">
        <f t="shared" si="0"/>
        <v>29.391999999999996</v>
      </c>
    </row>
    <row r="14" spans="1:16" x14ac:dyDescent="0.25">
      <c r="A14">
        <v>5</v>
      </c>
      <c r="B14">
        <v>53</v>
      </c>
      <c r="C14">
        <f t="shared" si="1"/>
        <v>265</v>
      </c>
      <c r="H14">
        <v>5</v>
      </c>
      <c r="I14">
        <v>53</v>
      </c>
      <c r="J14" s="11">
        <v>0.24</v>
      </c>
      <c r="K14">
        <f t="shared" si="2"/>
        <v>63.599999999999994</v>
      </c>
      <c r="N14">
        <v>265</v>
      </c>
      <c r="O14">
        <v>63.599999999999994</v>
      </c>
      <c r="P14">
        <f t="shared" si="0"/>
        <v>201.4</v>
      </c>
    </row>
    <row r="15" spans="1:16" x14ac:dyDescent="0.25">
      <c r="A15">
        <v>14</v>
      </c>
      <c r="B15">
        <v>95.17</v>
      </c>
      <c r="C15">
        <f t="shared" si="1"/>
        <v>1332.38</v>
      </c>
      <c r="H15">
        <v>14</v>
      </c>
      <c r="I15">
        <v>95.17</v>
      </c>
      <c r="J15" s="11">
        <v>0.39</v>
      </c>
      <c r="K15">
        <f t="shared" si="2"/>
        <v>519.62820000000011</v>
      </c>
      <c r="N15">
        <v>1332.38</v>
      </c>
      <c r="O15">
        <v>519.62820000000011</v>
      </c>
      <c r="P15">
        <f t="shared" si="0"/>
        <v>812.7518</v>
      </c>
    </row>
    <row r="16" spans="1:16" x14ac:dyDescent="0.25">
      <c r="A16">
        <v>4</v>
      </c>
      <c r="B16">
        <v>5.66</v>
      </c>
      <c r="C16">
        <f t="shared" si="1"/>
        <v>22.64</v>
      </c>
      <c r="H16">
        <v>4</v>
      </c>
      <c r="I16">
        <v>5.66</v>
      </c>
      <c r="J16" s="11">
        <v>0</v>
      </c>
      <c r="K16">
        <f t="shared" si="2"/>
        <v>0</v>
      </c>
      <c r="N16">
        <v>22.64</v>
      </c>
      <c r="O16">
        <v>0</v>
      </c>
      <c r="P16">
        <f t="shared" si="0"/>
        <v>22.64</v>
      </c>
    </row>
    <row r="17" spans="1:16" x14ac:dyDescent="0.25">
      <c r="A17">
        <v>19</v>
      </c>
      <c r="B17">
        <v>32.94</v>
      </c>
      <c r="C17">
        <f t="shared" si="1"/>
        <v>625.8599999999999</v>
      </c>
      <c r="H17">
        <v>19</v>
      </c>
      <c r="I17">
        <v>32.94</v>
      </c>
      <c r="J17" s="11">
        <v>0.19</v>
      </c>
      <c r="K17">
        <f t="shared" si="2"/>
        <v>118.91339999999998</v>
      </c>
      <c r="N17">
        <v>625.8599999999999</v>
      </c>
      <c r="O17">
        <v>118.91339999999998</v>
      </c>
      <c r="P17">
        <f t="shared" si="0"/>
        <v>506.94659999999993</v>
      </c>
    </row>
    <row r="18" spans="1:16" x14ac:dyDescent="0.25">
      <c r="A18">
        <v>44</v>
      </c>
      <c r="B18">
        <v>55.26</v>
      </c>
      <c r="C18">
        <f t="shared" si="1"/>
        <v>2431.44</v>
      </c>
      <c r="H18">
        <v>44</v>
      </c>
      <c r="I18">
        <v>55.26</v>
      </c>
      <c r="J18" s="11">
        <v>0.44</v>
      </c>
      <c r="K18">
        <f t="shared" si="2"/>
        <v>1069.8335999999999</v>
      </c>
      <c r="N18">
        <v>2431.44</v>
      </c>
      <c r="O18">
        <v>1069.8335999999999</v>
      </c>
      <c r="P18">
        <f t="shared" si="0"/>
        <v>1361.6064000000001</v>
      </c>
    </row>
    <row r="19" spans="1:16" x14ac:dyDescent="0.25">
      <c r="A19">
        <v>25</v>
      </c>
      <c r="B19">
        <v>75.5</v>
      </c>
      <c r="C19">
        <f t="shared" si="1"/>
        <v>1887.5</v>
      </c>
      <c r="H19">
        <v>25</v>
      </c>
      <c r="I19">
        <v>75.5</v>
      </c>
      <c r="J19" s="11">
        <v>0.42</v>
      </c>
      <c r="K19">
        <f t="shared" si="2"/>
        <v>792.75</v>
      </c>
      <c r="N19">
        <v>1887.5</v>
      </c>
      <c r="O19">
        <v>792.75</v>
      </c>
      <c r="P19">
        <f t="shared" si="0"/>
        <v>1094.75</v>
      </c>
    </row>
    <row r="20" spans="1:16" x14ac:dyDescent="0.25">
      <c r="A20">
        <v>30</v>
      </c>
      <c r="B20">
        <v>67.510000000000005</v>
      </c>
      <c r="C20">
        <f t="shared" si="1"/>
        <v>2025.3000000000002</v>
      </c>
      <c r="H20">
        <v>30</v>
      </c>
      <c r="I20">
        <v>67.510000000000005</v>
      </c>
      <c r="J20" s="11">
        <v>0.06</v>
      </c>
      <c r="K20">
        <f t="shared" si="2"/>
        <v>121.518</v>
      </c>
      <c r="N20">
        <v>2025.3000000000002</v>
      </c>
      <c r="O20">
        <v>121.518</v>
      </c>
      <c r="P20">
        <f t="shared" si="0"/>
        <v>1903.7820000000002</v>
      </c>
    </row>
    <row r="21" spans="1:16" x14ac:dyDescent="0.25">
      <c r="A21">
        <v>39</v>
      </c>
      <c r="B21">
        <v>88.31</v>
      </c>
      <c r="C21">
        <f t="shared" si="1"/>
        <v>3444.09</v>
      </c>
      <c r="H21">
        <v>39</v>
      </c>
      <c r="I21">
        <v>88.31</v>
      </c>
      <c r="J21" s="11">
        <v>0.11</v>
      </c>
      <c r="K21">
        <f t="shared" si="2"/>
        <v>378.84989999999999</v>
      </c>
      <c r="N21">
        <v>3444.09</v>
      </c>
      <c r="O21">
        <v>378.84989999999999</v>
      </c>
      <c r="P21">
        <f t="shared" si="0"/>
        <v>3065.2401</v>
      </c>
    </row>
    <row r="22" spans="1:16" x14ac:dyDescent="0.25">
      <c r="A22">
        <v>24</v>
      </c>
      <c r="B22">
        <v>53</v>
      </c>
      <c r="C22">
        <f t="shared" si="1"/>
        <v>1272</v>
      </c>
      <c r="H22">
        <v>24</v>
      </c>
      <c r="I22">
        <v>53</v>
      </c>
      <c r="J22" s="11">
        <v>0.26</v>
      </c>
      <c r="K22">
        <f t="shared" si="2"/>
        <v>330.72</v>
      </c>
      <c r="N22">
        <v>1272</v>
      </c>
      <c r="O22">
        <v>330.72</v>
      </c>
      <c r="P22">
        <f t="shared" si="0"/>
        <v>941.28</v>
      </c>
    </row>
    <row r="23" spans="1:16" x14ac:dyDescent="0.25">
      <c r="A23">
        <v>10</v>
      </c>
      <c r="B23">
        <v>23</v>
      </c>
      <c r="C23">
        <f t="shared" si="1"/>
        <v>230</v>
      </c>
      <c r="H23">
        <v>10</v>
      </c>
      <c r="I23">
        <v>23</v>
      </c>
      <c r="J23" s="11">
        <v>0.36</v>
      </c>
      <c r="K23">
        <f t="shared" si="2"/>
        <v>82.8</v>
      </c>
      <c r="N23">
        <v>230</v>
      </c>
      <c r="O23">
        <v>82.8</v>
      </c>
      <c r="P23">
        <f t="shared" si="0"/>
        <v>147.19999999999999</v>
      </c>
    </row>
    <row r="24" spans="1:16" x14ac:dyDescent="0.25">
      <c r="A24">
        <v>22</v>
      </c>
      <c r="B24">
        <v>25.51</v>
      </c>
      <c r="C24">
        <f t="shared" si="1"/>
        <v>561.22</v>
      </c>
      <c r="H24">
        <v>22</v>
      </c>
      <c r="I24">
        <v>25.51</v>
      </c>
      <c r="J24" s="11">
        <v>0.41</v>
      </c>
      <c r="K24">
        <f t="shared" si="2"/>
        <v>230.1002</v>
      </c>
      <c r="N24">
        <v>561.22</v>
      </c>
      <c r="O24">
        <v>230.1002</v>
      </c>
      <c r="P24">
        <f t="shared" si="0"/>
        <v>331.11980000000005</v>
      </c>
    </row>
    <row r="25" spans="1:16" x14ac:dyDescent="0.25">
      <c r="A25">
        <v>25</v>
      </c>
      <c r="B25">
        <v>69.17</v>
      </c>
      <c r="C25">
        <f t="shared" si="1"/>
        <v>1729.25</v>
      </c>
      <c r="H25">
        <v>25</v>
      </c>
      <c r="I25">
        <v>69.17</v>
      </c>
      <c r="J25" s="11">
        <v>0.28000000000000003</v>
      </c>
      <c r="K25">
        <f t="shared" si="2"/>
        <v>484.19000000000005</v>
      </c>
      <c r="N25">
        <v>1729.25</v>
      </c>
      <c r="O25">
        <v>484.19000000000005</v>
      </c>
      <c r="P25">
        <f t="shared" si="0"/>
        <v>1245.06</v>
      </c>
    </row>
    <row r="26" spans="1:16" x14ac:dyDescent="0.25">
      <c r="A26">
        <v>24</v>
      </c>
      <c r="B26">
        <v>17.09</v>
      </c>
      <c r="C26">
        <f t="shared" si="1"/>
        <v>410.15999999999997</v>
      </c>
      <c r="H26">
        <v>24</v>
      </c>
      <c r="I26">
        <v>17.09</v>
      </c>
      <c r="J26" s="11">
        <v>0.33</v>
      </c>
      <c r="K26">
        <f t="shared" si="2"/>
        <v>135.3528</v>
      </c>
      <c r="N26">
        <v>410.15999999999997</v>
      </c>
      <c r="O26">
        <v>135.3528</v>
      </c>
      <c r="P26">
        <f t="shared" si="0"/>
        <v>274.80719999999997</v>
      </c>
    </row>
    <row r="27" spans="1:16" x14ac:dyDescent="0.25">
      <c r="A27">
        <v>33</v>
      </c>
      <c r="B27">
        <v>35.74</v>
      </c>
      <c r="C27">
        <f t="shared" si="1"/>
        <v>1179.42</v>
      </c>
      <c r="H27">
        <v>33</v>
      </c>
      <c r="I27">
        <v>35.74</v>
      </c>
      <c r="J27" s="11">
        <v>0.14000000000000001</v>
      </c>
      <c r="K27">
        <f t="shared" si="2"/>
        <v>165.11880000000002</v>
      </c>
      <c r="N27">
        <v>1179.42</v>
      </c>
      <c r="O27">
        <v>165.11880000000002</v>
      </c>
      <c r="P27">
        <f t="shared" si="0"/>
        <v>1014.3012000000001</v>
      </c>
    </row>
    <row r="28" spans="1:16" x14ac:dyDescent="0.25">
      <c r="A28">
        <v>32</v>
      </c>
      <c r="B28">
        <v>58.11</v>
      </c>
      <c r="C28">
        <f t="shared" si="1"/>
        <v>1859.52</v>
      </c>
      <c r="H28">
        <v>32</v>
      </c>
      <c r="I28">
        <v>58.11</v>
      </c>
      <c r="J28" s="11">
        <v>0.1</v>
      </c>
      <c r="K28">
        <f t="shared" si="2"/>
        <v>185.952</v>
      </c>
      <c r="N28">
        <v>1859.52</v>
      </c>
      <c r="O28">
        <v>185.952</v>
      </c>
      <c r="P28">
        <f t="shared" si="0"/>
        <v>1673.568</v>
      </c>
    </row>
    <row r="29" spans="1:16" x14ac:dyDescent="0.25">
      <c r="A29">
        <v>37</v>
      </c>
      <c r="B29">
        <v>20.309999999999999</v>
      </c>
      <c r="C29">
        <f t="shared" si="1"/>
        <v>751.46999999999991</v>
      </c>
      <c r="H29">
        <v>37</v>
      </c>
      <c r="I29">
        <v>20.309999999999999</v>
      </c>
      <c r="J29" s="11">
        <v>7.0000000000000007E-2</v>
      </c>
      <c r="K29">
        <f t="shared" si="2"/>
        <v>52.602899999999998</v>
      </c>
      <c r="N29">
        <v>751.46999999999991</v>
      </c>
      <c r="O29">
        <v>52.602899999999998</v>
      </c>
      <c r="P29">
        <f t="shared" si="0"/>
        <v>698.86709999999994</v>
      </c>
    </row>
    <row r="30" spans="1:16" x14ac:dyDescent="0.25">
      <c r="A30">
        <v>45</v>
      </c>
      <c r="B30">
        <v>89.64</v>
      </c>
      <c r="C30">
        <f t="shared" si="1"/>
        <v>4033.8</v>
      </c>
      <c r="H30">
        <v>45</v>
      </c>
      <c r="I30">
        <v>89.64</v>
      </c>
      <c r="J30" s="11">
        <v>0.26</v>
      </c>
      <c r="K30">
        <f t="shared" si="2"/>
        <v>1048.788</v>
      </c>
      <c r="N30">
        <v>4033.8</v>
      </c>
      <c r="O30">
        <v>1048.788</v>
      </c>
      <c r="P30">
        <f t="shared" si="0"/>
        <v>2985.0120000000002</v>
      </c>
    </row>
    <row r="31" spans="1:16" x14ac:dyDescent="0.25">
      <c r="A31">
        <v>14</v>
      </c>
      <c r="B31">
        <v>53</v>
      </c>
      <c r="C31">
        <f t="shared" si="1"/>
        <v>742</v>
      </c>
      <c r="H31">
        <v>14</v>
      </c>
      <c r="I31">
        <v>53</v>
      </c>
      <c r="J31" s="11">
        <v>0.38</v>
      </c>
      <c r="K31">
        <f t="shared" si="2"/>
        <v>281.95999999999998</v>
      </c>
      <c r="N31">
        <v>742</v>
      </c>
      <c r="O31">
        <v>281.95999999999998</v>
      </c>
      <c r="P31">
        <f t="shared" si="0"/>
        <v>460.04</v>
      </c>
    </row>
    <row r="32" spans="1:16" x14ac:dyDescent="0.25">
      <c r="A32">
        <v>39</v>
      </c>
      <c r="B32">
        <v>65.16</v>
      </c>
      <c r="C32">
        <f t="shared" si="1"/>
        <v>2541.2399999999998</v>
      </c>
      <c r="H32">
        <v>39</v>
      </c>
      <c r="I32">
        <v>65.16</v>
      </c>
      <c r="J32" s="11">
        <v>0.32</v>
      </c>
      <c r="K32">
        <f t="shared" si="2"/>
        <v>813.19679999999994</v>
      </c>
      <c r="N32">
        <v>2541.2399999999998</v>
      </c>
      <c r="O32">
        <v>813.19679999999994</v>
      </c>
      <c r="P32">
        <f t="shared" si="0"/>
        <v>1728.0431999999998</v>
      </c>
    </row>
    <row r="33" spans="1:16" x14ac:dyDescent="0.25">
      <c r="A33">
        <v>4</v>
      </c>
      <c r="B33">
        <v>14.89</v>
      </c>
      <c r="C33">
        <f t="shared" si="1"/>
        <v>59.56</v>
      </c>
      <c r="H33">
        <v>4</v>
      </c>
      <c r="I33">
        <v>14.89</v>
      </c>
      <c r="J33" s="11">
        <v>0.37</v>
      </c>
      <c r="K33">
        <f t="shared" si="2"/>
        <v>22.037200000000002</v>
      </c>
      <c r="N33">
        <v>59.56</v>
      </c>
      <c r="O33">
        <v>22.037200000000002</v>
      </c>
      <c r="P33">
        <f t="shared" si="0"/>
        <v>37.522800000000004</v>
      </c>
    </row>
    <row r="34" spans="1:16" x14ac:dyDescent="0.25">
      <c r="A34">
        <v>5</v>
      </c>
      <c r="B34">
        <v>31.1</v>
      </c>
      <c r="C34">
        <f t="shared" si="1"/>
        <v>155.5</v>
      </c>
      <c r="H34">
        <v>5</v>
      </c>
      <c r="I34">
        <v>31.1</v>
      </c>
      <c r="J34" s="11">
        <v>7.0000000000000007E-2</v>
      </c>
      <c r="K34">
        <f t="shared" si="2"/>
        <v>10.885000000000002</v>
      </c>
      <c r="N34">
        <v>155.5</v>
      </c>
      <c r="O34">
        <v>10.885000000000002</v>
      </c>
      <c r="P34">
        <f t="shared" si="0"/>
        <v>144.61500000000001</v>
      </c>
    </row>
    <row r="35" spans="1:16" x14ac:dyDescent="0.25">
      <c r="A35">
        <v>26</v>
      </c>
      <c r="B35">
        <v>7.66</v>
      </c>
      <c r="C35">
        <f t="shared" si="1"/>
        <v>199.16</v>
      </c>
      <c r="H35">
        <v>26</v>
      </c>
      <c r="I35">
        <v>7.66</v>
      </c>
      <c r="J35" s="11">
        <v>0.06</v>
      </c>
      <c r="K35">
        <f t="shared" si="2"/>
        <v>11.9496</v>
      </c>
      <c r="N35">
        <v>199.16</v>
      </c>
      <c r="O35">
        <v>11.9496</v>
      </c>
      <c r="P35">
        <f t="shared" si="0"/>
        <v>187.21039999999999</v>
      </c>
    </row>
    <row r="36" spans="1:16" x14ac:dyDescent="0.25">
      <c r="A36">
        <v>19</v>
      </c>
      <c r="B36">
        <v>88.78</v>
      </c>
      <c r="C36">
        <f t="shared" si="1"/>
        <v>1686.82</v>
      </c>
      <c r="H36">
        <v>19</v>
      </c>
      <c r="I36">
        <v>88.78</v>
      </c>
      <c r="J36" s="11">
        <v>0.18</v>
      </c>
      <c r="K36">
        <f t="shared" si="2"/>
        <v>303.62759999999997</v>
      </c>
      <c r="N36">
        <v>1686.82</v>
      </c>
      <c r="O36">
        <v>303.62759999999997</v>
      </c>
      <c r="P36">
        <f t="shared" si="0"/>
        <v>1383.1923999999999</v>
      </c>
    </row>
    <row r="37" spans="1:16" x14ac:dyDescent="0.25">
      <c r="A37">
        <v>40</v>
      </c>
      <c r="B37">
        <v>33.42</v>
      </c>
      <c r="C37">
        <f t="shared" si="1"/>
        <v>1336.8000000000002</v>
      </c>
      <c r="H37">
        <v>40</v>
      </c>
      <c r="I37">
        <v>33.42</v>
      </c>
      <c r="J37" s="11">
        <v>0.5</v>
      </c>
      <c r="K37">
        <f t="shared" si="2"/>
        <v>668.40000000000009</v>
      </c>
      <c r="N37">
        <v>1336.8000000000002</v>
      </c>
      <c r="O37">
        <v>668.40000000000009</v>
      </c>
      <c r="P37">
        <f t="shared" si="0"/>
        <v>668.40000000000009</v>
      </c>
    </row>
    <row r="38" spans="1:16" x14ac:dyDescent="0.25">
      <c r="A38">
        <v>43</v>
      </c>
      <c r="B38">
        <v>80.63</v>
      </c>
      <c r="C38">
        <f t="shared" si="1"/>
        <v>3467.0899999999997</v>
      </c>
      <c r="H38">
        <v>43</v>
      </c>
      <c r="I38">
        <v>80.63</v>
      </c>
      <c r="J38" s="11">
        <v>0.15</v>
      </c>
      <c r="K38">
        <f t="shared" si="2"/>
        <v>520.06349999999998</v>
      </c>
      <c r="N38">
        <v>3467.0899999999997</v>
      </c>
      <c r="O38">
        <v>520.06349999999998</v>
      </c>
      <c r="P38">
        <f t="shared" si="0"/>
        <v>2947.0264999999999</v>
      </c>
    </row>
    <row r="39" spans="1:16" x14ac:dyDescent="0.25">
      <c r="A39">
        <v>15</v>
      </c>
      <c r="B39">
        <v>29.56</v>
      </c>
      <c r="C39">
        <f t="shared" si="1"/>
        <v>443.4</v>
      </c>
      <c r="H39">
        <v>15</v>
      </c>
      <c r="I39">
        <v>29.56</v>
      </c>
      <c r="J39" s="11">
        <v>0.28999999999999998</v>
      </c>
      <c r="K39">
        <f t="shared" si="2"/>
        <v>128.58599999999998</v>
      </c>
      <c r="N39">
        <v>443.4</v>
      </c>
      <c r="O39">
        <v>128.58599999999998</v>
      </c>
      <c r="P39">
        <f t="shared" si="0"/>
        <v>314.81399999999996</v>
      </c>
    </row>
    <row r="40" spans="1:16" x14ac:dyDescent="0.25">
      <c r="A40">
        <v>8</v>
      </c>
      <c r="B40">
        <v>96.18</v>
      </c>
      <c r="C40">
        <f t="shared" si="1"/>
        <v>769.44</v>
      </c>
      <c r="H40">
        <v>8</v>
      </c>
      <c r="I40">
        <v>96.18</v>
      </c>
      <c r="J40" s="11">
        <v>0.39</v>
      </c>
      <c r="K40">
        <f t="shared" si="2"/>
        <v>300.08160000000004</v>
      </c>
      <c r="N40">
        <v>769.44</v>
      </c>
      <c r="O40">
        <v>300.08160000000004</v>
      </c>
      <c r="P40">
        <f t="shared" si="0"/>
        <v>469.35840000000002</v>
      </c>
    </row>
    <row r="41" spans="1:16" x14ac:dyDescent="0.25">
      <c r="A41">
        <v>21</v>
      </c>
      <c r="B41">
        <v>26.41</v>
      </c>
      <c r="C41">
        <f t="shared" si="1"/>
        <v>554.61</v>
      </c>
      <c r="H41">
        <v>21</v>
      </c>
      <c r="I41">
        <v>26.41</v>
      </c>
      <c r="J41" s="11">
        <v>0.31</v>
      </c>
      <c r="K41">
        <f t="shared" si="2"/>
        <v>171.92910000000001</v>
      </c>
      <c r="N41">
        <v>554.61</v>
      </c>
      <c r="O41">
        <v>171.92910000000001</v>
      </c>
      <c r="P41">
        <f t="shared" si="0"/>
        <v>382.68090000000001</v>
      </c>
    </row>
    <row r="42" spans="1:16" x14ac:dyDescent="0.25">
      <c r="A42">
        <v>17</v>
      </c>
      <c r="B42">
        <v>53</v>
      </c>
      <c r="C42">
        <f t="shared" si="1"/>
        <v>901</v>
      </c>
      <c r="H42">
        <v>17</v>
      </c>
      <c r="I42">
        <v>53</v>
      </c>
      <c r="J42" s="11">
        <v>0.17</v>
      </c>
      <c r="K42">
        <f t="shared" si="2"/>
        <v>153.17000000000002</v>
      </c>
      <c r="N42">
        <v>901</v>
      </c>
      <c r="O42">
        <v>153.17000000000002</v>
      </c>
      <c r="P42">
        <f t="shared" si="0"/>
        <v>747.82999999999993</v>
      </c>
    </row>
    <row r="43" spans="1:16" x14ac:dyDescent="0.25">
      <c r="A43">
        <v>5</v>
      </c>
      <c r="B43">
        <v>32.6</v>
      </c>
      <c r="C43">
        <f t="shared" si="1"/>
        <v>163</v>
      </c>
      <c r="H43">
        <v>5</v>
      </c>
      <c r="I43">
        <v>32.6</v>
      </c>
      <c r="J43" s="11">
        <v>0.11</v>
      </c>
      <c r="K43">
        <f t="shared" si="2"/>
        <v>17.93</v>
      </c>
      <c r="N43">
        <v>163</v>
      </c>
      <c r="O43">
        <v>17.93</v>
      </c>
      <c r="P43">
        <f t="shared" si="0"/>
        <v>145.07</v>
      </c>
    </row>
    <row r="44" spans="1:16" x14ac:dyDescent="0.25">
      <c r="A44">
        <v>28</v>
      </c>
      <c r="B44">
        <v>25.98</v>
      </c>
      <c r="C44">
        <f t="shared" si="1"/>
        <v>727.44</v>
      </c>
      <c r="H44">
        <v>28</v>
      </c>
      <c r="I44">
        <v>25.98</v>
      </c>
      <c r="J44" s="11">
        <v>0.24</v>
      </c>
      <c r="K44">
        <f t="shared" si="2"/>
        <v>174.5856</v>
      </c>
      <c r="N44">
        <v>727.44</v>
      </c>
      <c r="O44">
        <v>174.5856</v>
      </c>
      <c r="P44">
        <f t="shared" si="0"/>
        <v>552.85440000000006</v>
      </c>
    </row>
    <row r="45" spans="1:16" x14ac:dyDescent="0.25">
      <c r="A45">
        <v>31</v>
      </c>
      <c r="B45">
        <v>9.4</v>
      </c>
      <c r="C45">
        <f t="shared" si="1"/>
        <v>291.40000000000003</v>
      </c>
      <c r="H45">
        <v>31</v>
      </c>
      <c r="I45">
        <v>9.4</v>
      </c>
      <c r="J45" s="11">
        <v>0.28000000000000003</v>
      </c>
      <c r="K45">
        <f t="shared" si="2"/>
        <v>81.592000000000013</v>
      </c>
      <c r="N45">
        <v>291.40000000000003</v>
      </c>
      <c r="O45">
        <v>81.592000000000013</v>
      </c>
      <c r="P45">
        <f t="shared" si="0"/>
        <v>209.80800000000002</v>
      </c>
    </row>
    <row r="46" spans="1:16" x14ac:dyDescent="0.25">
      <c r="A46">
        <v>10</v>
      </c>
      <c r="B46">
        <v>10.83</v>
      </c>
      <c r="C46">
        <f t="shared" si="1"/>
        <v>108.3</v>
      </c>
      <c r="H46">
        <v>10</v>
      </c>
      <c r="I46">
        <v>10.83</v>
      </c>
      <c r="J46" s="11">
        <v>0.11</v>
      </c>
      <c r="K46">
        <f t="shared" si="2"/>
        <v>11.913</v>
      </c>
      <c r="N46">
        <v>108.3</v>
      </c>
      <c r="O46">
        <v>11.913</v>
      </c>
      <c r="P46">
        <f t="shared" si="0"/>
        <v>96.387</v>
      </c>
    </row>
    <row r="47" spans="1:16" x14ac:dyDescent="0.25">
      <c r="A47">
        <v>49</v>
      </c>
      <c r="B47">
        <v>37.18</v>
      </c>
      <c r="C47">
        <f t="shared" si="1"/>
        <v>1821.82</v>
      </c>
      <c r="H47">
        <v>49</v>
      </c>
      <c r="I47">
        <v>37.18</v>
      </c>
      <c r="J47" s="11">
        <v>0.11</v>
      </c>
      <c r="K47">
        <f t="shared" si="2"/>
        <v>200.40019999999998</v>
      </c>
      <c r="N47">
        <v>1821.82</v>
      </c>
      <c r="O47">
        <v>200.40019999999998</v>
      </c>
      <c r="P47">
        <f t="shared" si="0"/>
        <v>1621.4197999999999</v>
      </c>
    </row>
    <row r="48" spans="1:16" x14ac:dyDescent="0.25">
      <c r="A48">
        <v>10</v>
      </c>
      <c r="B48">
        <v>43.24</v>
      </c>
      <c r="C48">
        <f t="shared" si="1"/>
        <v>432.40000000000003</v>
      </c>
      <c r="H48">
        <v>10</v>
      </c>
      <c r="I48">
        <v>43.24</v>
      </c>
      <c r="J48" s="11">
        <v>0.49</v>
      </c>
      <c r="K48">
        <f t="shared" si="2"/>
        <v>211.876</v>
      </c>
      <c r="N48">
        <v>432.40000000000003</v>
      </c>
      <c r="O48">
        <v>211.876</v>
      </c>
      <c r="P48">
        <f t="shared" si="0"/>
        <v>220.52400000000003</v>
      </c>
    </row>
    <row r="49" spans="1:16" x14ac:dyDescent="0.25">
      <c r="A49">
        <v>2</v>
      </c>
      <c r="B49">
        <v>56.8</v>
      </c>
      <c r="C49">
        <f t="shared" si="1"/>
        <v>113.6</v>
      </c>
      <c r="H49">
        <v>2</v>
      </c>
      <c r="I49">
        <v>56.8</v>
      </c>
      <c r="J49" s="11">
        <v>0.33</v>
      </c>
      <c r="K49">
        <f t="shared" si="2"/>
        <v>37.488</v>
      </c>
      <c r="N49">
        <v>113.6</v>
      </c>
      <c r="O49">
        <v>37.488</v>
      </c>
      <c r="P49">
        <f t="shared" si="0"/>
        <v>76.111999999999995</v>
      </c>
    </row>
    <row r="50" spans="1:16" x14ac:dyDescent="0.25">
      <c r="A50">
        <v>31</v>
      </c>
      <c r="B50">
        <v>38.39</v>
      </c>
      <c r="C50">
        <f t="shared" si="1"/>
        <v>1190.0899999999999</v>
      </c>
      <c r="H50">
        <v>31</v>
      </c>
      <c r="I50">
        <v>38.39</v>
      </c>
      <c r="J50" s="11">
        <v>0.09</v>
      </c>
      <c r="K50">
        <f t="shared" si="2"/>
        <v>107.10809999999999</v>
      </c>
      <c r="N50">
        <v>1190.0899999999999</v>
      </c>
      <c r="O50">
        <v>107.10809999999999</v>
      </c>
      <c r="P50">
        <f t="shared" si="0"/>
        <v>1082.9819</v>
      </c>
    </row>
    <row r="51" spans="1:16" x14ac:dyDescent="0.25">
      <c r="A51">
        <v>40</v>
      </c>
      <c r="B51">
        <v>30.76</v>
      </c>
      <c r="C51">
        <f t="shared" si="1"/>
        <v>1230.4000000000001</v>
      </c>
      <c r="H51">
        <v>40</v>
      </c>
      <c r="I51">
        <v>30.76</v>
      </c>
      <c r="J51" s="11">
        <v>0.37</v>
      </c>
      <c r="K51">
        <f t="shared" si="2"/>
        <v>455.24800000000005</v>
      </c>
      <c r="N51">
        <v>1230.4000000000001</v>
      </c>
      <c r="O51">
        <v>455.24800000000005</v>
      </c>
      <c r="P51">
        <f t="shared" si="0"/>
        <v>775.15200000000004</v>
      </c>
    </row>
    <row r="52" spans="1:16" x14ac:dyDescent="0.25">
      <c r="A52">
        <v>4</v>
      </c>
      <c r="B52">
        <v>83.85</v>
      </c>
      <c r="C52">
        <f t="shared" si="1"/>
        <v>335.4</v>
      </c>
      <c r="H52">
        <v>4</v>
      </c>
      <c r="I52">
        <v>83.85</v>
      </c>
      <c r="J52" s="11">
        <v>0.28999999999999998</v>
      </c>
      <c r="K52">
        <f t="shared" si="2"/>
        <v>97.265999999999991</v>
      </c>
      <c r="N52">
        <v>335.4</v>
      </c>
      <c r="O52">
        <v>97.265999999999991</v>
      </c>
      <c r="P52">
        <f t="shared" si="0"/>
        <v>238.13399999999999</v>
      </c>
    </row>
    <row r="53" spans="1:16" x14ac:dyDescent="0.25">
      <c r="A53">
        <v>10</v>
      </c>
      <c r="B53">
        <v>80.58</v>
      </c>
      <c r="C53">
        <f t="shared" si="1"/>
        <v>805.8</v>
      </c>
      <c r="H53">
        <v>10</v>
      </c>
      <c r="I53">
        <v>80.58</v>
      </c>
      <c r="J53" s="11">
        <v>0.37</v>
      </c>
      <c r="K53">
        <f t="shared" si="2"/>
        <v>298.14599999999996</v>
      </c>
      <c r="N53">
        <v>805.8</v>
      </c>
      <c r="O53">
        <v>298.14599999999996</v>
      </c>
      <c r="P53">
        <f t="shared" si="0"/>
        <v>507.654</v>
      </c>
    </row>
    <row r="54" spans="1:16" x14ac:dyDescent="0.25">
      <c r="A54">
        <v>12</v>
      </c>
      <c r="B54">
        <v>96.44</v>
      </c>
      <c r="C54">
        <f t="shared" si="1"/>
        <v>1157.28</v>
      </c>
      <c r="H54">
        <v>12</v>
      </c>
      <c r="I54">
        <v>96.44</v>
      </c>
      <c r="J54" s="11">
        <v>0.04</v>
      </c>
      <c r="K54">
        <f t="shared" si="2"/>
        <v>46.291199999999996</v>
      </c>
      <c r="N54">
        <v>1157.28</v>
      </c>
      <c r="O54">
        <v>46.291199999999996</v>
      </c>
      <c r="P54">
        <f t="shared" si="0"/>
        <v>1110.9888000000001</v>
      </c>
    </row>
    <row r="55" spans="1:16" x14ac:dyDescent="0.25">
      <c r="A55">
        <v>23</v>
      </c>
      <c r="B55">
        <v>35.85</v>
      </c>
      <c r="C55">
        <f t="shared" si="1"/>
        <v>824.55000000000007</v>
      </c>
      <c r="H55">
        <v>23</v>
      </c>
      <c r="I55">
        <v>35.85</v>
      </c>
      <c r="J55" s="11">
        <v>0.26</v>
      </c>
      <c r="K55">
        <f t="shared" si="2"/>
        <v>214.38300000000004</v>
      </c>
      <c r="N55">
        <v>824.55000000000007</v>
      </c>
      <c r="O55">
        <v>214.38300000000004</v>
      </c>
      <c r="P55">
        <f t="shared" si="0"/>
        <v>610.16700000000003</v>
      </c>
    </row>
    <row r="56" spans="1:16" x14ac:dyDescent="0.25">
      <c r="A56">
        <v>26</v>
      </c>
      <c r="B56">
        <v>53</v>
      </c>
      <c r="C56">
        <f t="shared" si="1"/>
        <v>1378</v>
      </c>
      <c r="H56">
        <v>26</v>
      </c>
      <c r="I56">
        <v>53</v>
      </c>
      <c r="J56" s="11">
        <v>0.33</v>
      </c>
      <c r="K56">
        <f t="shared" si="2"/>
        <v>454.74</v>
      </c>
      <c r="N56">
        <v>1378</v>
      </c>
      <c r="O56">
        <v>454.74</v>
      </c>
      <c r="P56">
        <f t="shared" si="0"/>
        <v>923.26</v>
      </c>
    </row>
    <row r="57" spans="1:16" x14ac:dyDescent="0.25">
      <c r="A57">
        <v>28</v>
      </c>
      <c r="B57">
        <v>54.88</v>
      </c>
      <c r="C57">
        <f t="shared" si="1"/>
        <v>1536.64</v>
      </c>
      <c r="H57">
        <v>28</v>
      </c>
      <c r="I57">
        <v>54.88</v>
      </c>
      <c r="J57" s="11">
        <v>0.3</v>
      </c>
      <c r="K57">
        <f t="shared" si="2"/>
        <v>460.99200000000002</v>
      </c>
      <c r="N57">
        <v>1536.64</v>
      </c>
      <c r="O57">
        <v>460.99200000000002</v>
      </c>
      <c r="P57">
        <f t="shared" si="0"/>
        <v>1075.6480000000001</v>
      </c>
    </row>
    <row r="58" spans="1:16" x14ac:dyDescent="0.25">
      <c r="A58">
        <v>20</v>
      </c>
      <c r="B58">
        <v>68.569999999999993</v>
      </c>
      <c r="C58">
        <f t="shared" si="1"/>
        <v>1371.3999999999999</v>
      </c>
      <c r="H58">
        <v>20</v>
      </c>
      <c r="I58">
        <v>68.569999999999993</v>
      </c>
      <c r="J58" s="11">
        <v>0.26</v>
      </c>
      <c r="K58">
        <f t="shared" si="2"/>
        <v>356.56399999999996</v>
      </c>
      <c r="N58">
        <v>1371.3999999999999</v>
      </c>
      <c r="O58">
        <v>356.56399999999996</v>
      </c>
      <c r="P58">
        <f t="shared" si="0"/>
        <v>1014.8359999999999</v>
      </c>
    </row>
    <row r="59" spans="1:16" x14ac:dyDescent="0.25">
      <c r="A59">
        <v>5</v>
      </c>
      <c r="B59">
        <v>95.89</v>
      </c>
      <c r="C59">
        <f t="shared" si="1"/>
        <v>479.45</v>
      </c>
      <c r="H59">
        <v>5</v>
      </c>
      <c r="I59">
        <v>95.89</v>
      </c>
      <c r="J59" s="11">
        <v>0.14000000000000001</v>
      </c>
      <c r="K59">
        <f t="shared" si="2"/>
        <v>67.123000000000005</v>
      </c>
      <c r="N59">
        <v>479.45</v>
      </c>
      <c r="O59">
        <v>67.123000000000005</v>
      </c>
      <c r="P59">
        <f t="shared" si="0"/>
        <v>412.327</v>
      </c>
    </row>
    <row r="60" spans="1:16" x14ac:dyDescent="0.25">
      <c r="A60">
        <v>10</v>
      </c>
      <c r="B60">
        <v>47.35</v>
      </c>
      <c r="C60">
        <f t="shared" si="1"/>
        <v>473.5</v>
      </c>
      <c r="H60">
        <v>10</v>
      </c>
      <c r="I60">
        <v>47.35</v>
      </c>
      <c r="J60" s="11">
        <v>0.17</v>
      </c>
      <c r="K60">
        <f t="shared" si="2"/>
        <v>80.495000000000005</v>
      </c>
      <c r="N60">
        <v>473.5</v>
      </c>
      <c r="O60">
        <v>80.495000000000005</v>
      </c>
      <c r="P60">
        <f t="shared" si="0"/>
        <v>393.005</v>
      </c>
    </row>
    <row r="61" spans="1:16" x14ac:dyDescent="0.25">
      <c r="A61">
        <v>9</v>
      </c>
      <c r="B61">
        <v>8.2899999999999991</v>
      </c>
      <c r="C61">
        <f t="shared" si="1"/>
        <v>74.609999999999985</v>
      </c>
      <c r="H61">
        <v>9</v>
      </c>
      <c r="I61">
        <v>8.2899999999999991</v>
      </c>
      <c r="J61" s="11">
        <v>0.08</v>
      </c>
      <c r="K61">
        <f t="shared" si="2"/>
        <v>5.968799999999999</v>
      </c>
      <c r="N61">
        <v>74.609999999999985</v>
      </c>
      <c r="O61">
        <v>5.968799999999999</v>
      </c>
      <c r="P61">
        <f t="shared" si="0"/>
        <v>68.641199999999984</v>
      </c>
    </row>
    <row r="62" spans="1:16" x14ac:dyDescent="0.25">
      <c r="A62">
        <v>1</v>
      </c>
      <c r="B62">
        <v>71.87</v>
      </c>
      <c r="C62">
        <f t="shared" si="1"/>
        <v>71.87</v>
      </c>
      <c r="H62">
        <v>1</v>
      </c>
      <c r="I62">
        <v>71.87</v>
      </c>
      <c r="J62" s="11">
        <v>0.08</v>
      </c>
      <c r="K62">
        <f t="shared" si="2"/>
        <v>5.7496</v>
      </c>
      <c r="N62">
        <v>71.87</v>
      </c>
      <c r="O62">
        <v>5.7496</v>
      </c>
      <c r="P62">
        <f t="shared" si="0"/>
        <v>66.120400000000004</v>
      </c>
    </row>
    <row r="63" spans="1:16" x14ac:dyDescent="0.25">
      <c r="A63">
        <v>33</v>
      </c>
      <c r="B63">
        <v>70.89</v>
      </c>
      <c r="C63">
        <f t="shared" si="1"/>
        <v>2339.37</v>
      </c>
      <c r="H63">
        <v>33</v>
      </c>
      <c r="I63">
        <v>70.89</v>
      </c>
      <c r="J63" s="11">
        <v>0.09</v>
      </c>
      <c r="K63">
        <f t="shared" si="2"/>
        <v>210.54329999999999</v>
      </c>
      <c r="N63">
        <v>2339.37</v>
      </c>
      <c r="O63">
        <v>210.54329999999999</v>
      </c>
      <c r="P63">
        <f t="shared" si="0"/>
        <v>2128.8267000000001</v>
      </c>
    </row>
    <row r="64" spans="1:16" x14ac:dyDescent="0.25">
      <c r="A64">
        <v>16</v>
      </c>
      <c r="B64">
        <v>78.33</v>
      </c>
      <c r="C64">
        <f t="shared" si="1"/>
        <v>1253.28</v>
      </c>
      <c r="H64">
        <v>16</v>
      </c>
      <c r="I64">
        <v>78.33</v>
      </c>
      <c r="J64" s="11">
        <v>0.2</v>
      </c>
      <c r="K64">
        <f t="shared" si="2"/>
        <v>250.65600000000001</v>
      </c>
      <c r="N64">
        <v>1253.28</v>
      </c>
      <c r="O64">
        <v>250.65600000000001</v>
      </c>
      <c r="P64">
        <f t="shared" si="0"/>
        <v>1002.624</v>
      </c>
    </row>
    <row r="65" spans="1:16" x14ac:dyDescent="0.25">
      <c r="A65">
        <v>2</v>
      </c>
      <c r="B65">
        <v>38.07</v>
      </c>
      <c r="C65">
        <f t="shared" si="1"/>
        <v>76.14</v>
      </c>
      <c r="H65">
        <v>2</v>
      </c>
      <c r="I65">
        <v>38.07</v>
      </c>
      <c r="J65" s="11">
        <v>0.34</v>
      </c>
      <c r="K65">
        <f t="shared" si="2"/>
        <v>25.887600000000003</v>
      </c>
      <c r="N65">
        <v>76.14</v>
      </c>
      <c r="O65">
        <v>25.887600000000003</v>
      </c>
      <c r="P65">
        <f t="shared" si="0"/>
        <v>50.252399999999994</v>
      </c>
    </row>
    <row r="66" spans="1:16" x14ac:dyDescent="0.25">
      <c r="A66">
        <v>39</v>
      </c>
      <c r="B66">
        <v>71.94</v>
      </c>
      <c r="C66">
        <f t="shared" si="1"/>
        <v>2805.66</v>
      </c>
      <c r="H66">
        <v>39</v>
      </c>
      <c r="I66">
        <v>71.94</v>
      </c>
      <c r="J66" s="11">
        <v>0.02</v>
      </c>
      <c r="K66">
        <f t="shared" si="2"/>
        <v>56.113199999999999</v>
      </c>
      <c r="N66">
        <v>2805.66</v>
      </c>
      <c r="O66">
        <v>56.113199999999999</v>
      </c>
      <c r="P66">
        <f t="shared" ref="P66:P129" si="3">N66-O66</f>
        <v>2749.5468000000001</v>
      </c>
    </row>
    <row r="67" spans="1:16" x14ac:dyDescent="0.25">
      <c r="A67">
        <v>47</v>
      </c>
      <c r="B67">
        <v>82.94</v>
      </c>
      <c r="C67">
        <f t="shared" ref="C67:C130" si="4">A67*B67</f>
        <v>3898.18</v>
      </c>
      <c r="H67">
        <v>47</v>
      </c>
      <c r="I67">
        <v>82.94</v>
      </c>
      <c r="J67" s="11">
        <v>0.39</v>
      </c>
      <c r="K67">
        <f t="shared" ref="K67:K130" si="5">H67*I67*J67</f>
        <v>1520.2901999999999</v>
      </c>
      <c r="N67">
        <v>3898.18</v>
      </c>
      <c r="O67">
        <v>1520.2901999999999</v>
      </c>
      <c r="P67">
        <f t="shared" si="3"/>
        <v>2377.8897999999999</v>
      </c>
    </row>
    <row r="68" spans="1:16" x14ac:dyDescent="0.25">
      <c r="A68">
        <v>26</v>
      </c>
      <c r="B68">
        <v>37.479999999999997</v>
      </c>
      <c r="C68">
        <f t="shared" si="4"/>
        <v>974.4799999999999</v>
      </c>
      <c r="H68">
        <v>26</v>
      </c>
      <c r="I68">
        <v>37.479999999999997</v>
      </c>
      <c r="J68" s="11">
        <v>0.16</v>
      </c>
      <c r="K68">
        <f t="shared" si="5"/>
        <v>155.91679999999999</v>
      </c>
      <c r="N68">
        <v>974.4799999999999</v>
      </c>
      <c r="O68">
        <v>155.91679999999999</v>
      </c>
      <c r="P68">
        <f t="shared" si="3"/>
        <v>818.56319999999994</v>
      </c>
    </row>
    <row r="69" spans="1:16" x14ac:dyDescent="0.25">
      <c r="A69">
        <v>18</v>
      </c>
      <c r="B69">
        <v>88.56</v>
      </c>
      <c r="C69">
        <f t="shared" si="4"/>
        <v>1594.08</v>
      </c>
      <c r="H69">
        <v>18</v>
      </c>
      <c r="I69">
        <v>88.56</v>
      </c>
      <c r="J69" s="11">
        <v>0.08</v>
      </c>
      <c r="K69">
        <f t="shared" si="5"/>
        <v>127.5264</v>
      </c>
      <c r="N69">
        <v>1594.08</v>
      </c>
      <c r="O69">
        <v>127.5264</v>
      </c>
      <c r="P69">
        <f t="shared" si="3"/>
        <v>1466.5536</v>
      </c>
    </row>
    <row r="70" spans="1:16" x14ac:dyDescent="0.25">
      <c r="A70">
        <v>31</v>
      </c>
      <c r="B70">
        <v>74.2</v>
      </c>
      <c r="C70">
        <f t="shared" si="4"/>
        <v>2300.2000000000003</v>
      </c>
      <c r="H70">
        <v>31</v>
      </c>
      <c r="I70">
        <v>74.2</v>
      </c>
      <c r="J70" s="11">
        <v>0.14000000000000001</v>
      </c>
      <c r="K70">
        <f t="shared" si="5"/>
        <v>322.02800000000008</v>
      </c>
      <c r="N70">
        <v>2300.2000000000003</v>
      </c>
      <c r="O70">
        <v>322.02800000000008</v>
      </c>
      <c r="P70">
        <f t="shared" si="3"/>
        <v>1978.1720000000003</v>
      </c>
    </row>
    <row r="71" spans="1:16" x14ac:dyDescent="0.25">
      <c r="A71">
        <v>32</v>
      </c>
      <c r="B71">
        <v>39.68</v>
      </c>
      <c r="C71">
        <f t="shared" si="4"/>
        <v>1269.76</v>
      </c>
      <c r="H71">
        <v>32</v>
      </c>
      <c r="I71">
        <v>39.68</v>
      </c>
      <c r="J71" s="11">
        <v>0.38</v>
      </c>
      <c r="K71">
        <f t="shared" si="5"/>
        <v>482.50880000000001</v>
      </c>
      <c r="N71">
        <v>1269.76</v>
      </c>
      <c r="O71">
        <v>482.50880000000001</v>
      </c>
      <c r="P71">
        <f t="shared" si="3"/>
        <v>787.25119999999993</v>
      </c>
    </row>
    <row r="72" spans="1:16" x14ac:dyDescent="0.25">
      <c r="A72">
        <v>23</v>
      </c>
      <c r="B72">
        <v>53.65</v>
      </c>
      <c r="C72">
        <f t="shared" si="4"/>
        <v>1233.95</v>
      </c>
      <c r="H72">
        <v>23</v>
      </c>
      <c r="I72">
        <v>53.65</v>
      </c>
      <c r="J72" s="11">
        <v>0.49</v>
      </c>
      <c r="K72">
        <f t="shared" si="5"/>
        <v>604.63549999999998</v>
      </c>
      <c r="N72">
        <v>1233.95</v>
      </c>
      <c r="O72">
        <v>604.63549999999998</v>
      </c>
      <c r="P72">
        <f t="shared" si="3"/>
        <v>629.31450000000007</v>
      </c>
    </row>
    <row r="73" spans="1:16" x14ac:dyDescent="0.25">
      <c r="A73">
        <v>15</v>
      </c>
      <c r="B73">
        <v>53</v>
      </c>
      <c r="C73">
        <f t="shared" si="4"/>
        <v>795</v>
      </c>
      <c r="H73">
        <v>15</v>
      </c>
      <c r="I73">
        <v>53</v>
      </c>
      <c r="J73" s="11">
        <v>0.36</v>
      </c>
      <c r="K73">
        <f t="shared" si="5"/>
        <v>286.2</v>
      </c>
      <c r="N73">
        <v>795</v>
      </c>
      <c r="O73">
        <v>286.2</v>
      </c>
      <c r="P73">
        <f t="shared" si="3"/>
        <v>508.8</v>
      </c>
    </row>
    <row r="74" spans="1:16" x14ac:dyDescent="0.25">
      <c r="A74">
        <v>24</v>
      </c>
      <c r="B74">
        <v>1.34</v>
      </c>
      <c r="C74">
        <f t="shared" si="4"/>
        <v>32.160000000000004</v>
      </c>
      <c r="H74">
        <v>24</v>
      </c>
      <c r="I74">
        <v>1.34</v>
      </c>
      <c r="J74" s="11">
        <v>0.13</v>
      </c>
      <c r="K74">
        <f t="shared" si="5"/>
        <v>4.1808000000000005</v>
      </c>
      <c r="N74">
        <v>32.160000000000004</v>
      </c>
      <c r="O74">
        <v>4.1808000000000005</v>
      </c>
      <c r="P74">
        <f t="shared" si="3"/>
        <v>27.979200000000002</v>
      </c>
    </row>
    <row r="75" spans="1:16" x14ac:dyDescent="0.25">
      <c r="A75">
        <v>21</v>
      </c>
      <c r="B75">
        <v>90.37</v>
      </c>
      <c r="C75">
        <f t="shared" si="4"/>
        <v>1897.77</v>
      </c>
      <c r="H75">
        <v>21</v>
      </c>
      <c r="I75">
        <v>90.37</v>
      </c>
      <c r="J75" s="11">
        <v>0.08</v>
      </c>
      <c r="K75">
        <f t="shared" si="5"/>
        <v>151.82159999999999</v>
      </c>
      <c r="N75">
        <v>1897.77</v>
      </c>
      <c r="O75">
        <v>151.82159999999999</v>
      </c>
      <c r="P75">
        <f t="shared" si="3"/>
        <v>1745.9484</v>
      </c>
    </row>
    <row r="76" spans="1:16" x14ac:dyDescent="0.25">
      <c r="A76">
        <v>1</v>
      </c>
      <c r="B76">
        <v>27.12</v>
      </c>
      <c r="C76">
        <f t="shared" si="4"/>
        <v>27.12</v>
      </c>
      <c r="H76">
        <v>1</v>
      </c>
      <c r="I76">
        <v>27.12</v>
      </c>
      <c r="J76" s="11">
        <v>0.01</v>
      </c>
      <c r="K76">
        <f t="shared" si="5"/>
        <v>0.2712</v>
      </c>
      <c r="N76">
        <v>27.12</v>
      </c>
      <c r="O76">
        <v>0.2712</v>
      </c>
      <c r="P76">
        <f t="shared" si="3"/>
        <v>26.848800000000001</v>
      </c>
    </row>
    <row r="77" spans="1:16" x14ac:dyDescent="0.25">
      <c r="A77">
        <v>21</v>
      </c>
      <c r="B77">
        <v>77.22</v>
      </c>
      <c r="C77">
        <f t="shared" si="4"/>
        <v>1621.62</v>
      </c>
      <c r="H77">
        <v>21</v>
      </c>
      <c r="I77">
        <v>77.22</v>
      </c>
      <c r="J77" s="11">
        <v>0.03</v>
      </c>
      <c r="K77">
        <f t="shared" si="5"/>
        <v>48.648599999999995</v>
      </c>
      <c r="N77">
        <v>1621.62</v>
      </c>
      <c r="O77">
        <v>48.648599999999995</v>
      </c>
      <c r="P77">
        <f t="shared" si="3"/>
        <v>1572.9713999999999</v>
      </c>
    </row>
    <row r="78" spans="1:16" x14ac:dyDescent="0.25">
      <c r="A78">
        <v>14</v>
      </c>
      <c r="B78">
        <v>15.36</v>
      </c>
      <c r="C78">
        <f t="shared" si="4"/>
        <v>215.04</v>
      </c>
      <c r="H78">
        <v>14</v>
      </c>
      <c r="I78">
        <v>15.36</v>
      </c>
      <c r="J78" s="11">
        <v>0.26</v>
      </c>
      <c r="K78">
        <f t="shared" si="5"/>
        <v>55.910400000000003</v>
      </c>
      <c r="N78">
        <v>215.04</v>
      </c>
      <c r="O78">
        <v>55.910400000000003</v>
      </c>
      <c r="P78">
        <f t="shared" si="3"/>
        <v>159.12959999999998</v>
      </c>
    </row>
    <row r="79" spans="1:16" x14ac:dyDescent="0.25">
      <c r="A79">
        <v>18</v>
      </c>
      <c r="B79">
        <v>81.540000000000006</v>
      </c>
      <c r="C79">
        <f t="shared" si="4"/>
        <v>1467.72</v>
      </c>
      <c r="H79">
        <v>18</v>
      </c>
      <c r="I79">
        <v>81.540000000000006</v>
      </c>
      <c r="J79" s="11">
        <v>0.42</v>
      </c>
      <c r="K79">
        <f t="shared" si="5"/>
        <v>616.44240000000002</v>
      </c>
      <c r="N79">
        <v>1467.72</v>
      </c>
      <c r="O79">
        <v>616.44240000000002</v>
      </c>
      <c r="P79">
        <f t="shared" si="3"/>
        <v>851.27760000000001</v>
      </c>
    </row>
    <row r="80" spans="1:16" x14ac:dyDescent="0.25">
      <c r="A80">
        <v>29</v>
      </c>
      <c r="B80">
        <v>63.02</v>
      </c>
      <c r="C80">
        <f t="shared" si="4"/>
        <v>1827.5800000000002</v>
      </c>
      <c r="H80">
        <v>29</v>
      </c>
      <c r="I80">
        <v>63.02</v>
      </c>
      <c r="J80" s="11">
        <v>0.08</v>
      </c>
      <c r="K80">
        <f t="shared" si="5"/>
        <v>146.2064</v>
      </c>
      <c r="N80">
        <v>1827.5800000000002</v>
      </c>
      <c r="O80">
        <v>146.2064</v>
      </c>
      <c r="P80">
        <f t="shared" si="3"/>
        <v>1681.3736000000001</v>
      </c>
    </row>
    <row r="81" spans="1:16" x14ac:dyDescent="0.25">
      <c r="A81">
        <v>35</v>
      </c>
      <c r="B81">
        <v>9.94</v>
      </c>
      <c r="C81">
        <f t="shared" si="4"/>
        <v>347.9</v>
      </c>
      <c r="H81">
        <v>35</v>
      </c>
      <c r="I81">
        <v>9.94</v>
      </c>
      <c r="J81" s="11">
        <v>0.09</v>
      </c>
      <c r="K81">
        <f t="shared" si="5"/>
        <v>31.310999999999996</v>
      </c>
      <c r="N81">
        <v>347.9</v>
      </c>
      <c r="O81">
        <v>31.310999999999996</v>
      </c>
      <c r="P81">
        <f t="shared" si="3"/>
        <v>316.589</v>
      </c>
    </row>
    <row r="82" spans="1:16" x14ac:dyDescent="0.25">
      <c r="A82">
        <v>25</v>
      </c>
      <c r="B82">
        <v>22.54</v>
      </c>
      <c r="C82">
        <f t="shared" si="4"/>
        <v>563.5</v>
      </c>
      <c r="H82">
        <v>25</v>
      </c>
      <c r="I82">
        <v>22.54</v>
      </c>
      <c r="J82" s="11">
        <v>0.5</v>
      </c>
      <c r="K82">
        <f t="shared" si="5"/>
        <v>281.75</v>
      </c>
      <c r="N82">
        <v>563.5</v>
      </c>
      <c r="O82">
        <v>281.75</v>
      </c>
      <c r="P82">
        <f t="shared" si="3"/>
        <v>281.75</v>
      </c>
    </row>
    <row r="83" spans="1:16" x14ac:dyDescent="0.25">
      <c r="A83">
        <v>1</v>
      </c>
      <c r="B83">
        <v>73.650000000000006</v>
      </c>
      <c r="C83">
        <f t="shared" si="4"/>
        <v>73.650000000000006</v>
      </c>
      <c r="H83">
        <v>1</v>
      </c>
      <c r="I83">
        <v>73.650000000000006</v>
      </c>
      <c r="J83" s="11">
        <v>0.02</v>
      </c>
      <c r="K83">
        <f t="shared" si="5"/>
        <v>1.4730000000000001</v>
      </c>
      <c r="N83">
        <v>73.650000000000006</v>
      </c>
      <c r="O83">
        <v>1.4730000000000001</v>
      </c>
      <c r="P83">
        <f t="shared" si="3"/>
        <v>72.177000000000007</v>
      </c>
    </row>
    <row r="84" spans="1:16" x14ac:dyDescent="0.25">
      <c r="A84">
        <v>26</v>
      </c>
      <c r="B84">
        <v>93.04</v>
      </c>
      <c r="C84">
        <f t="shared" si="4"/>
        <v>2419.04</v>
      </c>
      <c r="H84">
        <v>26</v>
      </c>
      <c r="I84">
        <v>93.04</v>
      </c>
      <c r="J84" s="11">
        <v>0.2</v>
      </c>
      <c r="K84">
        <f t="shared" si="5"/>
        <v>483.80799999999999</v>
      </c>
      <c r="N84">
        <v>2419.04</v>
      </c>
      <c r="O84">
        <v>483.80799999999999</v>
      </c>
      <c r="P84">
        <f t="shared" si="3"/>
        <v>1935.232</v>
      </c>
    </row>
    <row r="85" spans="1:16" x14ac:dyDescent="0.25">
      <c r="A85">
        <v>30</v>
      </c>
      <c r="B85">
        <v>9.68</v>
      </c>
      <c r="C85">
        <f t="shared" si="4"/>
        <v>290.39999999999998</v>
      </c>
      <c r="H85">
        <v>30</v>
      </c>
      <c r="I85">
        <v>9.68</v>
      </c>
      <c r="J85" s="11">
        <v>0.41</v>
      </c>
      <c r="K85">
        <f t="shared" si="5"/>
        <v>119.06399999999998</v>
      </c>
      <c r="N85">
        <v>290.39999999999998</v>
      </c>
      <c r="O85">
        <v>119.06399999999998</v>
      </c>
      <c r="P85">
        <f t="shared" si="3"/>
        <v>171.33600000000001</v>
      </c>
    </row>
    <row r="86" spans="1:16" x14ac:dyDescent="0.25">
      <c r="A86">
        <v>7</v>
      </c>
      <c r="B86">
        <v>81.52</v>
      </c>
      <c r="C86">
        <f t="shared" si="4"/>
        <v>570.64</v>
      </c>
      <c r="H86">
        <v>7</v>
      </c>
      <c r="I86">
        <v>81.52</v>
      </c>
      <c r="J86" s="11">
        <v>0.04</v>
      </c>
      <c r="K86">
        <f t="shared" si="5"/>
        <v>22.825600000000001</v>
      </c>
      <c r="N86">
        <v>570.64</v>
      </c>
      <c r="O86">
        <v>22.825600000000001</v>
      </c>
      <c r="P86">
        <f t="shared" si="3"/>
        <v>547.81439999999998</v>
      </c>
    </row>
    <row r="87" spans="1:16" x14ac:dyDescent="0.25">
      <c r="A87">
        <v>13</v>
      </c>
      <c r="B87">
        <v>85.65</v>
      </c>
      <c r="C87">
        <f t="shared" si="4"/>
        <v>1113.45</v>
      </c>
      <c r="H87">
        <v>13</v>
      </c>
      <c r="I87">
        <v>85.65</v>
      </c>
      <c r="J87" s="11">
        <v>0.24</v>
      </c>
      <c r="K87">
        <f t="shared" si="5"/>
        <v>267.22800000000001</v>
      </c>
      <c r="N87">
        <v>1113.45</v>
      </c>
      <c r="O87">
        <v>267.22800000000001</v>
      </c>
      <c r="P87">
        <f t="shared" si="3"/>
        <v>846.22199999999998</v>
      </c>
    </row>
    <row r="88" spans="1:16" x14ac:dyDescent="0.25">
      <c r="A88">
        <v>40</v>
      </c>
      <c r="B88">
        <v>53</v>
      </c>
      <c r="C88">
        <f t="shared" si="4"/>
        <v>2120</v>
      </c>
      <c r="H88">
        <v>40</v>
      </c>
      <c r="I88">
        <v>53</v>
      </c>
      <c r="J88" s="11">
        <v>0.37</v>
      </c>
      <c r="K88">
        <f t="shared" si="5"/>
        <v>784.4</v>
      </c>
      <c r="N88">
        <v>2120</v>
      </c>
      <c r="O88">
        <v>784.4</v>
      </c>
      <c r="P88">
        <f t="shared" si="3"/>
        <v>1335.6</v>
      </c>
    </row>
    <row r="89" spans="1:16" x14ac:dyDescent="0.25">
      <c r="A89">
        <v>18</v>
      </c>
      <c r="B89">
        <v>98.2</v>
      </c>
      <c r="C89">
        <f t="shared" si="4"/>
        <v>1767.6000000000001</v>
      </c>
      <c r="H89">
        <v>18</v>
      </c>
      <c r="I89">
        <v>98.2</v>
      </c>
      <c r="J89" s="11">
        <v>0.17</v>
      </c>
      <c r="K89">
        <f t="shared" si="5"/>
        <v>300.49200000000002</v>
      </c>
      <c r="N89">
        <v>1767.6000000000001</v>
      </c>
      <c r="O89">
        <v>300.49200000000002</v>
      </c>
      <c r="P89">
        <f t="shared" si="3"/>
        <v>1467.1080000000002</v>
      </c>
    </row>
    <row r="90" spans="1:16" x14ac:dyDescent="0.25">
      <c r="A90">
        <v>47</v>
      </c>
      <c r="B90">
        <v>79.33</v>
      </c>
      <c r="C90">
        <f t="shared" si="4"/>
        <v>3728.5099999999998</v>
      </c>
      <c r="H90">
        <v>47</v>
      </c>
      <c r="I90">
        <v>79.33</v>
      </c>
      <c r="J90" s="11">
        <v>0.23</v>
      </c>
      <c r="K90">
        <f t="shared" si="5"/>
        <v>857.55729999999994</v>
      </c>
      <c r="N90">
        <v>3728.5099999999998</v>
      </c>
      <c r="O90">
        <v>857.55729999999994</v>
      </c>
      <c r="P90">
        <f t="shared" si="3"/>
        <v>2870.9526999999998</v>
      </c>
    </row>
    <row r="91" spans="1:16" x14ac:dyDescent="0.25">
      <c r="A91">
        <v>43</v>
      </c>
      <c r="B91">
        <v>88.49</v>
      </c>
      <c r="C91">
        <f t="shared" si="4"/>
        <v>3805.0699999999997</v>
      </c>
      <c r="H91">
        <v>43</v>
      </c>
      <c r="I91">
        <v>88.49</v>
      </c>
      <c r="J91" s="11">
        <v>0.33</v>
      </c>
      <c r="K91">
        <f t="shared" si="5"/>
        <v>1255.6731</v>
      </c>
      <c r="N91">
        <v>3805.0699999999997</v>
      </c>
      <c r="O91">
        <v>1255.6731</v>
      </c>
      <c r="P91">
        <f t="shared" si="3"/>
        <v>2549.3968999999997</v>
      </c>
    </row>
    <row r="92" spans="1:16" x14ac:dyDescent="0.25">
      <c r="A92">
        <v>43</v>
      </c>
      <c r="B92">
        <v>48.72</v>
      </c>
      <c r="C92">
        <f t="shared" si="4"/>
        <v>2094.96</v>
      </c>
      <c r="H92">
        <v>43</v>
      </c>
      <c r="I92">
        <v>48.72</v>
      </c>
      <c r="J92" s="11">
        <v>0.05</v>
      </c>
      <c r="K92">
        <f t="shared" si="5"/>
        <v>104.748</v>
      </c>
      <c r="N92">
        <v>2094.96</v>
      </c>
      <c r="O92">
        <v>104.748</v>
      </c>
      <c r="P92">
        <f t="shared" si="3"/>
        <v>1990.212</v>
      </c>
    </row>
    <row r="93" spans="1:16" x14ac:dyDescent="0.25">
      <c r="A93">
        <v>43</v>
      </c>
      <c r="B93">
        <v>61.11</v>
      </c>
      <c r="C93">
        <f t="shared" si="4"/>
        <v>2627.73</v>
      </c>
      <c r="H93">
        <v>43</v>
      </c>
      <c r="I93">
        <v>61.11</v>
      </c>
      <c r="J93" s="11">
        <v>0.25</v>
      </c>
      <c r="K93">
        <f t="shared" si="5"/>
        <v>656.9325</v>
      </c>
      <c r="N93">
        <v>2627.73</v>
      </c>
      <c r="O93">
        <v>656.9325</v>
      </c>
      <c r="P93">
        <f t="shared" si="3"/>
        <v>1970.7975000000001</v>
      </c>
    </row>
    <row r="94" spans="1:16" x14ac:dyDescent="0.25">
      <c r="A94">
        <v>10</v>
      </c>
      <c r="B94">
        <v>16.079999999999998</v>
      </c>
      <c r="C94">
        <f t="shared" si="4"/>
        <v>160.79999999999998</v>
      </c>
      <c r="H94">
        <v>10</v>
      </c>
      <c r="I94">
        <v>16.079999999999998</v>
      </c>
      <c r="J94" s="11">
        <v>0.37</v>
      </c>
      <c r="K94">
        <f t="shared" si="5"/>
        <v>59.495999999999995</v>
      </c>
      <c r="N94">
        <v>160.79999999999998</v>
      </c>
      <c r="O94">
        <v>59.495999999999995</v>
      </c>
      <c r="P94">
        <f t="shared" si="3"/>
        <v>101.30399999999999</v>
      </c>
    </row>
    <row r="95" spans="1:16" x14ac:dyDescent="0.25">
      <c r="A95">
        <v>39</v>
      </c>
      <c r="B95">
        <v>28.42</v>
      </c>
      <c r="C95">
        <f t="shared" si="4"/>
        <v>1108.3800000000001</v>
      </c>
      <c r="H95">
        <v>39</v>
      </c>
      <c r="I95">
        <v>28.42</v>
      </c>
      <c r="J95" s="11">
        <v>0.28999999999999998</v>
      </c>
      <c r="K95">
        <f t="shared" si="5"/>
        <v>321.43020000000001</v>
      </c>
      <c r="N95">
        <v>1108.3800000000001</v>
      </c>
      <c r="O95">
        <v>321.43020000000001</v>
      </c>
      <c r="P95">
        <f t="shared" si="3"/>
        <v>786.9498000000001</v>
      </c>
    </row>
    <row r="96" spans="1:16" x14ac:dyDescent="0.25">
      <c r="A96">
        <v>35</v>
      </c>
      <c r="B96">
        <v>66.760000000000005</v>
      </c>
      <c r="C96">
        <f t="shared" si="4"/>
        <v>2336.6000000000004</v>
      </c>
      <c r="H96">
        <v>35</v>
      </c>
      <c r="I96">
        <v>66.760000000000005</v>
      </c>
      <c r="J96" s="11">
        <v>0.04</v>
      </c>
      <c r="K96">
        <f t="shared" si="5"/>
        <v>93.464000000000013</v>
      </c>
      <c r="N96">
        <v>2336.6000000000004</v>
      </c>
      <c r="O96">
        <v>93.464000000000013</v>
      </c>
      <c r="P96">
        <f t="shared" si="3"/>
        <v>2243.1360000000004</v>
      </c>
    </row>
    <row r="97" spans="1:16" x14ac:dyDescent="0.25">
      <c r="A97">
        <v>14</v>
      </c>
      <c r="B97">
        <v>7.33</v>
      </c>
      <c r="C97">
        <f t="shared" si="4"/>
        <v>102.62</v>
      </c>
      <c r="H97">
        <v>14</v>
      </c>
      <c r="I97">
        <v>7.33</v>
      </c>
      <c r="J97" s="11">
        <v>0.09</v>
      </c>
      <c r="K97">
        <f t="shared" si="5"/>
        <v>9.2357999999999993</v>
      </c>
      <c r="N97">
        <v>102.62</v>
      </c>
      <c r="O97">
        <v>9.2357999999999993</v>
      </c>
      <c r="P97">
        <f t="shared" si="3"/>
        <v>93.384200000000007</v>
      </c>
    </row>
    <row r="98" spans="1:16" x14ac:dyDescent="0.25">
      <c r="A98">
        <v>19</v>
      </c>
      <c r="B98">
        <v>95.06</v>
      </c>
      <c r="C98">
        <f t="shared" si="4"/>
        <v>1806.14</v>
      </c>
      <c r="H98">
        <v>19</v>
      </c>
      <c r="I98">
        <v>95.06</v>
      </c>
      <c r="J98" s="11">
        <v>0.08</v>
      </c>
      <c r="K98">
        <f t="shared" si="5"/>
        <v>144.49120000000002</v>
      </c>
      <c r="N98">
        <v>1806.14</v>
      </c>
      <c r="O98">
        <v>144.49120000000002</v>
      </c>
      <c r="P98">
        <f t="shared" si="3"/>
        <v>1661.6488000000002</v>
      </c>
    </row>
    <row r="99" spans="1:16" x14ac:dyDescent="0.25">
      <c r="A99">
        <v>35</v>
      </c>
      <c r="B99">
        <v>68.569999999999993</v>
      </c>
      <c r="C99">
        <f t="shared" si="4"/>
        <v>2399.9499999999998</v>
      </c>
      <c r="H99">
        <v>35</v>
      </c>
      <c r="I99">
        <v>68.569999999999993</v>
      </c>
      <c r="J99" s="11">
        <v>0.37</v>
      </c>
      <c r="K99">
        <f t="shared" si="5"/>
        <v>887.98149999999987</v>
      </c>
      <c r="N99">
        <v>2399.9499999999998</v>
      </c>
      <c r="O99">
        <v>887.98149999999987</v>
      </c>
      <c r="P99">
        <f t="shared" si="3"/>
        <v>1511.9684999999999</v>
      </c>
    </row>
    <row r="100" spans="1:16" x14ac:dyDescent="0.25">
      <c r="A100">
        <v>34</v>
      </c>
      <c r="B100">
        <v>17.75</v>
      </c>
      <c r="C100">
        <f t="shared" si="4"/>
        <v>603.5</v>
      </c>
      <c r="H100">
        <v>34</v>
      </c>
      <c r="I100">
        <v>17.75</v>
      </c>
      <c r="J100" s="11">
        <v>0.08</v>
      </c>
      <c r="K100">
        <f t="shared" si="5"/>
        <v>48.28</v>
      </c>
      <c r="N100">
        <v>603.5</v>
      </c>
      <c r="O100">
        <v>48.28</v>
      </c>
      <c r="P100">
        <f t="shared" si="3"/>
        <v>555.22</v>
      </c>
    </row>
    <row r="101" spans="1:16" x14ac:dyDescent="0.25">
      <c r="A101">
        <v>8</v>
      </c>
      <c r="B101">
        <v>42.98</v>
      </c>
      <c r="C101">
        <f t="shared" si="4"/>
        <v>343.84</v>
      </c>
      <c r="H101">
        <v>8</v>
      </c>
      <c r="I101">
        <v>42.98</v>
      </c>
      <c r="J101" s="11">
        <v>0.12</v>
      </c>
      <c r="K101">
        <f t="shared" si="5"/>
        <v>41.260799999999996</v>
      </c>
      <c r="N101">
        <v>343.84</v>
      </c>
      <c r="O101">
        <v>41.260799999999996</v>
      </c>
      <c r="P101">
        <f t="shared" si="3"/>
        <v>302.57919999999996</v>
      </c>
    </row>
    <row r="102" spans="1:16" x14ac:dyDescent="0.25">
      <c r="A102">
        <v>13</v>
      </c>
      <c r="B102">
        <v>61.05</v>
      </c>
      <c r="C102">
        <f t="shared" si="4"/>
        <v>793.65</v>
      </c>
      <c r="H102">
        <v>13</v>
      </c>
      <c r="I102">
        <v>61.05</v>
      </c>
      <c r="J102" s="11">
        <v>0.01</v>
      </c>
      <c r="K102">
        <f t="shared" si="5"/>
        <v>7.9364999999999997</v>
      </c>
      <c r="N102">
        <v>793.65</v>
      </c>
      <c r="O102">
        <v>7.9364999999999997</v>
      </c>
      <c r="P102">
        <f t="shared" si="3"/>
        <v>785.71349999999995</v>
      </c>
    </row>
    <row r="103" spans="1:16" x14ac:dyDescent="0.25">
      <c r="A103">
        <v>36</v>
      </c>
      <c r="B103">
        <v>53</v>
      </c>
      <c r="C103">
        <f t="shared" si="4"/>
        <v>1908</v>
      </c>
      <c r="H103">
        <v>36</v>
      </c>
      <c r="I103">
        <v>53</v>
      </c>
      <c r="J103" s="11">
        <v>0.3</v>
      </c>
      <c r="K103">
        <f t="shared" si="5"/>
        <v>572.4</v>
      </c>
      <c r="N103">
        <v>1908</v>
      </c>
      <c r="O103">
        <v>572.4</v>
      </c>
      <c r="P103">
        <f t="shared" si="3"/>
        <v>1335.6</v>
      </c>
    </row>
    <row r="104" spans="1:16" x14ac:dyDescent="0.25">
      <c r="A104">
        <v>41</v>
      </c>
      <c r="B104">
        <v>20.64</v>
      </c>
      <c r="C104">
        <f t="shared" si="4"/>
        <v>846.24</v>
      </c>
      <c r="H104">
        <v>41</v>
      </c>
      <c r="I104">
        <v>20.64</v>
      </c>
      <c r="J104" s="11">
        <v>0.13</v>
      </c>
      <c r="K104">
        <f t="shared" si="5"/>
        <v>110.0112</v>
      </c>
      <c r="N104">
        <v>846.24</v>
      </c>
      <c r="O104">
        <v>110.0112</v>
      </c>
      <c r="P104">
        <f t="shared" si="3"/>
        <v>736.22879999999998</v>
      </c>
    </row>
    <row r="105" spans="1:16" x14ac:dyDescent="0.25">
      <c r="A105">
        <v>26</v>
      </c>
      <c r="B105">
        <v>84.46</v>
      </c>
      <c r="C105">
        <f t="shared" si="4"/>
        <v>2195.96</v>
      </c>
      <c r="H105">
        <v>26</v>
      </c>
      <c r="I105">
        <v>84.46</v>
      </c>
      <c r="J105" s="11">
        <v>0.35</v>
      </c>
      <c r="K105">
        <f t="shared" si="5"/>
        <v>768.58600000000001</v>
      </c>
      <c r="N105">
        <v>2195.96</v>
      </c>
      <c r="O105">
        <v>768.58600000000001</v>
      </c>
      <c r="P105">
        <f t="shared" si="3"/>
        <v>1427.374</v>
      </c>
    </row>
    <row r="106" spans="1:16" x14ac:dyDescent="0.25">
      <c r="A106">
        <v>9</v>
      </c>
      <c r="B106">
        <v>68.72</v>
      </c>
      <c r="C106">
        <f t="shared" si="4"/>
        <v>618.48</v>
      </c>
      <c r="H106">
        <v>9</v>
      </c>
      <c r="I106">
        <v>68.72</v>
      </c>
      <c r="J106" s="11">
        <v>0.21</v>
      </c>
      <c r="K106">
        <f t="shared" si="5"/>
        <v>129.88079999999999</v>
      </c>
      <c r="N106">
        <v>618.48</v>
      </c>
      <c r="O106">
        <v>129.88079999999999</v>
      </c>
      <c r="P106">
        <f t="shared" si="3"/>
        <v>488.5992</v>
      </c>
    </row>
    <row r="107" spans="1:16" x14ac:dyDescent="0.25">
      <c r="A107">
        <v>23</v>
      </c>
      <c r="B107">
        <v>72.98</v>
      </c>
      <c r="C107">
        <f t="shared" si="4"/>
        <v>1678.5400000000002</v>
      </c>
      <c r="H107">
        <v>23</v>
      </c>
      <c r="I107">
        <v>72.98</v>
      </c>
      <c r="J107" s="11">
        <v>0.49</v>
      </c>
      <c r="K107">
        <f t="shared" si="5"/>
        <v>822.48460000000011</v>
      </c>
      <c r="N107">
        <v>1678.5400000000002</v>
      </c>
      <c r="O107">
        <v>822.48460000000011</v>
      </c>
      <c r="P107">
        <f t="shared" si="3"/>
        <v>856.05540000000008</v>
      </c>
    </row>
    <row r="108" spans="1:16" x14ac:dyDescent="0.25">
      <c r="A108">
        <v>26</v>
      </c>
      <c r="B108">
        <v>50.17</v>
      </c>
      <c r="C108">
        <f t="shared" si="4"/>
        <v>1304.42</v>
      </c>
      <c r="H108">
        <v>26</v>
      </c>
      <c r="I108">
        <v>50.17</v>
      </c>
      <c r="J108" s="11">
        <v>0.1</v>
      </c>
      <c r="K108">
        <f t="shared" si="5"/>
        <v>130.44200000000001</v>
      </c>
      <c r="N108">
        <v>1304.42</v>
      </c>
      <c r="O108">
        <v>130.44200000000001</v>
      </c>
      <c r="P108">
        <f t="shared" si="3"/>
        <v>1173.9780000000001</v>
      </c>
    </row>
    <row r="109" spans="1:16" x14ac:dyDescent="0.25">
      <c r="A109">
        <v>1</v>
      </c>
      <c r="B109">
        <v>22.97</v>
      </c>
      <c r="C109">
        <f t="shared" si="4"/>
        <v>22.97</v>
      </c>
      <c r="H109">
        <v>1</v>
      </c>
      <c r="I109">
        <v>22.97</v>
      </c>
      <c r="J109" s="11">
        <v>0.34</v>
      </c>
      <c r="K109">
        <f t="shared" si="5"/>
        <v>7.8098000000000001</v>
      </c>
      <c r="N109">
        <v>22.97</v>
      </c>
      <c r="O109">
        <v>7.8098000000000001</v>
      </c>
      <c r="P109">
        <f t="shared" si="3"/>
        <v>15.1602</v>
      </c>
    </row>
    <row r="110" spans="1:16" x14ac:dyDescent="0.25">
      <c r="A110">
        <v>19</v>
      </c>
      <c r="B110">
        <v>62.79</v>
      </c>
      <c r="C110">
        <f t="shared" si="4"/>
        <v>1193.01</v>
      </c>
      <c r="H110">
        <v>19</v>
      </c>
      <c r="I110">
        <v>62.79</v>
      </c>
      <c r="J110" s="11">
        <v>0.2</v>
      </c>
      <c r="K110">
        <f t="shared" si="5"/>
        <v>238.602</v>
      </c>
      <c r="N110">
        <v>1193.01</v>
      </c>
      <c r="O110">
        <v>238.602</v>
      </c>
      <c r="P110">
        <f t="shared" si="3"/>
        <v>954.40800000000002</v>
      </c>
    </row>
    <row r="111" spans="1:16" x14ac:dyDescent="0.25">
      <c r="A111">
        <v>1</v>
      </c>
      <c r="B111">
        <v>3.09</v>
      </c>
      <c r="C111">
        <f t="shared" si="4"/>
        <v>3.09</v>
      </c>
      <c r="H111">
        <v>1</v>
      </c>
      <c r="I111">
        <v>3.09</v>
      </c>
      <c r="J111" s="11">
        <v>0.06</v>
      </c>
      <c r="K111">
        <f t="shared" si="5"/>
        <v>0.18539999999999998</v>
      </c>
      <c r="N111">
        <v>3.09</v>
      </c>
      <c r="O111">
        <v>0.18539999999999998</v>
      </c>
      <c r="P111">
        <f t="shared" si="3"/>
        <v>2.9045999999999998</v>
      </c>
    </row>
    <row r="112" spans="1:16" x14ac:dyDescent="0.25">
      <c r="A112">
        <v>37</v>
      </c>
      <c r="B112">
        <v>52.3</v>
      </c>
      <c r="C112">
        <f t="shared" si="4"/>
        <v>1935.1</v>
      </c>
      <c r="H112">
        <v>37</v>
      </c>
      <c r="I112">
        <v>52.3</v>
      </c>
      <c r="J112" s="11">
        <v>0.28999999999999998</v>
      </c>
      <c r="K112">
        <f t="shared" si="5"/>
        <v>561.17899999999997</v>
      </c>
      <c r="N112">
        <v>1935.1</v>
      </c>
      <c r="O112">
        <v>561.17899999999997</v>
      </c>
      <c r="P112">
        <f t="shared" si="3"/>
        <v>1373.9209999999998</v>
      </c>
    </row>
    <row r="113" spans="1:16" x14ac:dyDescent="0.25">
      <c r="A113">
        <v>26</v>
      </c>
      <c r="B113">
        <v>91.26</v>
      </c>
      <c r="C113">
        <f t="shared" si="4"/>
        <v>2372.7600000000002</v>
      </c>
      <c r="H113">
        <v>26</v>
      </c>
      <c r="I113">
        <v>91.26</v>
      </c>
      <c r="J113" s="11">
        <v>0.14000000000000001</v>
      </c>
      <c r="K113">
        <f t="shared" si="5"/>
        <v>332.18640000000005</v>
      </c>
      <c r="N113">
        <v>2372.7600000000002</v>
      </c>
      <c r="O113">
        <v>332.18640000000005</v>
      </c>
      <c r="P113">
        <f t="shared" si="3"/>
        <v>2040.5736000000002</v>
      </c>
    </row>
    <row r="114" spans="1:16" x14ac:dyDescent="0.25">
      <c r="A114">
        <v>35</v>
      </c>
      <c r="B114">
        <v>87.47</v>
      </c>
      <c r="C114">
        <f t="shared" si="4"/>
        <v>3061.45</v>
      </c>
      <c r="H114">
        <v>35</v>
      </c>
      <c r="I114">
        <v>87.47</v>
      </c>
      <c r="J114" s="11">
        <v>0.22</v>
      </c>
      <c r="K114">
        <f t="shared" si="5"/>
        <v>673.51900000000001</v>
      </c>
      <c r="N114">
        <v>3061.45</v>
      </c>
      <c r="O114">
        <v>673.51900000000001</v>
      </c>
      <c r="P114">
        <f t="shared" si="3"/>
        <v>2387.9309999999996</v>
      </c>
    </row>
    <row r="115" spans="1:16" x14ac:dyDescent="0.25">
      <c r="A115">
        <v>12</v>
      </c>
      <c r="B115">
        <v>53</v>
      </c>
      <c r="C115">
        <f t="shared" si="4"/>
        <v>636</v>
      </c>
      <c r="H115">
        <v>12</v>
      </c>
      <c r="I115">
        <v>53</v>
      </c>
      <c r="J115" s="11">
        <v>0.37</v>
      </c>
      <c r="K115">
        <f t="shared" si="5"/>
        <v>235.32</v>
      </c>
      <c r="N115">
        <v>636</v>
      </c>
      <c r="O115">
        <v>235.32</v>
      </c>
      <c r="P115">
        <f t="shared" si="3"/>
        <v>400.68</v>
      </c>
    </row>
    <row r="116" spans="1:16" x14ac:dyDescent="0.25">
      <c r="A116">
        <v>2</v>
      </c>
      <c r="B116">
        <v>22.94</v>
      </c>
      <c r="C116">
        <f t="shared" si="4"/>
        <v>45.88</v>
      </c>
      <c r="H116">
        <v>2</v>
      </c>
      <c r="I116">
        <v>22.94</v>
      </c>
      <c r="J116" s="11">
        <v>0.23</v>
      </c>
      <c r="K116">
        <f t="shared" si="5"/>
        <v>10.5524</v>
      </c>
      <c r="N116">
        <v>45.88</v>
      </c>
      <c r="O116">
        <v>10.5524</v>
      </c>
      <c r="P116">
        <f t="shared" si="3"/>
        <v>35.327600000000004</v>
      </c>
    </row>
    <row r="117" spans="1:16" x14ac:dyDescent="0.25">
      <c r="A117">
        <v>38</v>
      </c>
      <c r="B117">
        <v>38.08</v>
      </c>
      <c r="C117">
        <f t="shared" si="4"/>
        <v>1447.04</v>
      </c>
      <c r="H117">
        <v>38</v>
      </c>
      <c r="I117">
        <v>38.08</v>
      </c>
      <c r="J117" s="11">
        <v>0.23</v>
      </c>
      <c r="K117">
        <f t="shared" si="5"/>
        <v>332.81920000000002</v>
      </c>
      <c r="N117">
        <v>1447.04</v>
      </c>
      <c r="O117">
        <v>332.81920000000002</v>
      </c>
      <c r="P117">
        <f t="shared" si="3"/>
        <v>1114.2208000000001</v>
      </c>
    </row>
    <row r="118" spans="1:16" x14ac:dyDescent="0.25">
      <c r="A118">
        <v>4</v>
      </c>
      <c r="B118">
        <v>5.75</v>
      </c>
      <c r="C118">
        <f t="shared" si="4"/>
        <v>23</v>
      </c>
      <c r="H118">
        <v>4</v>
      </c>
      <c r="I118">
        <v>5.75</v>
      </c>
      <c r="J118" s="11">
        <v>0.4</v>
      </c>
      <c r="K118">
        <f t="shared" si="5"/>
        <v>9.2000000000000011</v>
      </c>
      <c r="N118">
        <v>23</v>
      </c>
      <c r="O118">
        <v>9.2000000000000011</v>
      </c>
      <c r="P118">
        <f t="shared" si="3"/>
        <v>13.799999999999999</v>
      </c>
    </row>
    <row r="119" spans="1:16" x14ac:dyDescent="0.25">
      <c r="A119">
        <v>44</v>
      </c>
      <c r="B119">
        <v>45.18</v>
      </c>
      <c r="C119">
        <f t="shared" si="4"/>
        <v>1987.92</v>
      </c>
      <c r="H119">
        <v>44</v>
      </c>
      <c r="I119">
        <v>45.18</v>
      </c>
      <c r="J119" s="11">
        <v>0.1</v>
      </c>
      <c r="K119">
        <f t="shared" si="5"/>
        <v>198.79200000000003</v>
      </c>
      <c r="N119">
        <v>1987.92</v>
      </c>
      <c r="O119">
        <v>198.79200000000003</v>
      </c>
      <c r="P119">
        <f t="shared" si="3"/>
        <v>1789.1280000000002</v>
      </c>
    </row>
    <row r="120" spans="1:16" x14ac:dyDescent="0.25">
      <c r="A120">
        <v>47</v>
      </c>
      <c r="B120">
        <v>45.76</v>
      </c>
      <c r="C120">
        <f t="shared" si="4"/>
        <v>2150.7199999999998</v>
      </c>
      <c r="H120">
        <v>47</v>
      </c>
      <c r="I120">
        <v>45.76</v>
      </c>
      <c r="J120" s="11">
        <v>0.47</v>
      </c>
      <c r="K120">
        <f t="shared" si="5"/>
        <v>1010.8383999999999</v>
      </c>
      <c r="N120">
        <v>2150.7199999999998</v>
      </c>
      <c r="O120">
        <v>1010.8383999999999</v>
      </c>
      <c r="P120">
        <f t="shared" si="3"/>
        <v>1139.8815999999999</v>
      </c>
    </row>
    <row r="121" spans="1:16" x14ac:dyDescent="0.25">
      <c r="A121">
        <v>21</v>
      </c>
      <c r="B121">
        <v>65.760000000000005</v>
      </c>
      <c r="C121">
        <f t="shared" si="4"/>
        <v>1380.96</v>
      </c>
      <c r="H121">
        <v>21</v>
      </c>
      <c r="I121">
        <v>65.760000000000005</v>
      </c>
      <c r="J121" s="11">
        <v>0.11</v>
      </c>
      <c r="K121">
        <f t="shared" si="5"/>
        <v>151.90559999999999</v>
      </c>
      <c r="N121">
        <v>1380.96</v>
      </c>
      <c r="O121">
        <v>151.90559999999999</v>
      </c>
      <c r="P121">
        <f t="shared" si="3"/>
        <v>1229.0544</v>
      </c>
    </row>
    <row r="122" spans="1:16" x14ac:dyDescent="0.25">
      <c r="A122">
        <v>7</v>
      </c>
      <c r="B122">
        <v>53</v>
      </c>
      <c r="C122">
        <f t="shared" si="4"/>
        <v>371</v>
      </c>
      <c r="H122">
        <v>7</v>
      </c>
      <c r="I122">
        <v>53</v>
      </c>
      <c r="J122" s="11">
        <v>0.14000000000000001</v>
      </c>
      <c r="K122">
        <f t="shared" si="5"/>
        <v>51.940000000000005</v>
      </c>
      <c r="N122">
        <v>371</v>
      </c>
      <c r="O122">
        <v>51.940000000000005</v>
      </c>
      <c r="P122">
        <f t="shared" si="3"/>
        <v>319.06</v>
      </c>
    </row>
    <row r="123" spans="1:16" x14ac:dyDescent="0.25">
      <c r="A123">
        <v>42</v>
      </c>
      <c r="B123">
        <v>34.700000000000003</v>
      </c>
      <c r="C123">
        <f t="shared" si="4"/>
        <v>1457.4</v>
      </c>
      <c r="H123">
        <v>42</v>
      </c>
      <c r="I123">
        <v>34.700000000000003</v>
      </c>
      <c r="J123" s="11">
        <v>0.33</v>
      </c>
      <c r="K123">
        <f t="shared" si="5"/>
        <v>480.94200000000006</v>
      </c>
      <c r="N123">
        <v>1457.4</v>
      </c>
      <c r="O123">
        <v>480.94200000000006</v>
      </c>
      <c r="P123">
        <f t="shared" si="3"/>
        <v>976.45800000000008</v>
      </c>
    </row>
    <row r="124" spans="1:16" x14ac:dyDescent="0.25">
      <c r="A124">
        <v>15</v>
      </c>
      <c r="B124">
        <v>79.27</v>
      </c>
      <c r="C124">
        <f t="shared" si="4"/>
        <v>1189.05</v>
      </c>
      <c r="H124">
        <v>15</v>
      </c>
      <c r="I124">
        <v>79.27</v>
      </c>
      <c r="J124" s="11">
        <v>0.44</v>
      </c>
      <c r="K124">
        <f t="shared" si="5"/>
        <v>523.18200000000002</v>
      </c>
      <c r="N124">
        <v>1189.05</v>
      </c>
      <c r="O124">
        <v>523.18200000000002</v>
      </c>
      <c r="P124">
        <f t="shared" si="3"/>
        <v>665.86799999999994</v>
      </c>
    </row>
    <row r="125" spans="1:16" x14ac:dyDescent="0.25">
      <c r="A125">
        <v>26</v>
      </c>
      <c r="B125">
        <v>71.91</v>
      </c>
      <c r="C125">
        <f t="shared" si="4"/>
        <v>1869.6599999999999</v>
      </c>
      <c r="H125">
        <v>26</v>
      </c>
      <c r="I125">
        <v>71.91</v>
      </c>
      <c r="J125" s="11">
        <v>0.24</v>
      </c>
      <c r="K125">
        <f t="shared" si="5"/>
        <v>448.71839999999997</v>
      </c>
      <c r="N125">
        <v>1869.6599999999999</v>
      </c>
      <c r="O125">
        <v>448.71839999999997</v>
      </c>
      <c r="P125">
        <f t="shared" si="3"/>
        <v>1420.9415999999999</v>
      </c>
    </row>
    <row r="126" spans="1:16" x14ac:dyDescent="0.25">
      <c r="A126">
        <v>21</v>
      </c>
      <c r="B126">
        <v>75.41</v>
      </c>
      <c r="C126">
        <f t="shared" si="4"/>
        <v>1583.61</v>
      </c>
      <c r="H126">
        <v>21</v>
      </c>
      <c r="I126">
        <v>75.41</v>
      </c>
      <c r="J126" s="11">
        <v>0.09</v>
      </c>
      <c r="K126">
        <f t="shared" si="5"/>
        <v>142.52489999999997</v>
      </c>
      <c r="N126">
        <v>1583.61</v>
      </c>
      <c r="O126">
        <v>142.52489999999997</v>
      </c>
      <c r="P126">
        <f t="shared" si="3"/>
        <v>1441.0851</v>
      </c>
    </row>
    <row r="127" spans="1:16" x14ac:dyDescent="0.25">
      <c r="A127">
        <v>32</v>
      </c>
      <c r="B127">
        <v>87.88</v>
      </c>
      <c r="C127">
        <f t="shared" si="4"/>
        <v>2812.16</v>
      </c>
      <c r="H127">
        <v>32</v>
      </c>
      <c r="I127">
        <v>87.88</v>
      </c>
      <c r="J127" s="11">
        <v>0.01</v>
      </c>
      <c r="K127">
        <f t="shared" si="5"/>
        <v>28.121600000000001</v>
      </c>
      <c r="N127">
        <v>2812.16</v>
      </c>
      <c r="O127">
        <v>28.121600000000001</v>
      </c>
      <c r="P127">
        <f t="shared" si="3"/>
        <v>2784.0383999999999</v>
      </c>
    </row>
    <row r="128" spans="1:16" x14ac:dyDescent="0.25">
      <c r="A128">
        <v>25</v>
      </c>
      <c r="B128">
        <v>71.66</v>
      </c>
      <c r="C128">
        <f t="shared" si="4"/>
        <v>1791.5</v>
      </c>
      <c r="H128">
        <v>25</v>
      </c>
      <c r="I128">
        <v>71.66</v>
      </c>
      <c r="J128" s="11">
        <v>0.01</v>
      </c>
      <c r="K128">
        <f t="shared" si="5"/>
        <v>17.914999999999999</v>
      </c>
      <c r="N128">
        <v>1791.5</v>
      </c>
      <c r="O128">
        <v>17.914999999999999</v>
      </c>
      <c r="P128">
        <f t="shared" si="3"/>
        <v>1773.585</v>
      </c>
    </row>
    <row r="129" spans="1:16" x14ac:dyDescent="0.25">
      <c r="A129">
        <v>2</v>
      </c>
      <c r="B129">
        <v>22.54</v>
      </c>
      <c r="C129">
        <f t="shared" si="4"/>
        <v>45.08</v>
      </c>
      <c r="H129">
        <v>2</v>
      </c>
      <c r="I129">
        <v>22.54</v>
      </c>
      <c r="J129" s="11">
        <v>0.05</v>
      </c>
      <c r="K129">
        <f t="shared" si="5"/>
        <v>2.254</v>
      </c>
      <c r="N129">
        <v>45.08</v>
      </c>
      <c r="O129">
        <v>2.254</v>
      </c>
      <c r="P129">
        <f t="shared" si="3"/>
        <v>42.826000000000001</v>
      </c>
    </row>
    <row r="130" spans="1:16" x14ac:dyDescent="0.25">
      <c r="A130">
        <v>9</v>
      </c>
      <c r="B130">
        <v>42.51</v>
      </c>
      <c r="C130">
        <f t="shared" si="4"/>
        <v>382.59</v>
      </c>
      <c r="H130">
        <v>9</v>
      </c>
      <c r="I130">
        <v>42.51</v>
      </c>
      <c r="J130" s="11">
        <v>0.41</v>
      </c>
      <c r="K130">
        <f t="shared" si="5"/>
        <v>156.86189999999999</v>
      </c>
      <c r="N130">
        <v>382.59</v>
      </c>
      <c r="O130">
        <v>156.86189999999999</v>
      </c>
      <c r="P130">
        <f t="shared" ref="P130:P193" si="6">N130-O130</f>
        <v>225.72809999999998</v>
      </c>
    </row>
    <row r="131" spans="1:16" x14ac:dyDescent="0.25">
      <c r="A131">
        <v>34</v>
      </c>
      <c r="B131">
        <v>53</v>
      </c>
      <c r="C131">
        <f t="shared" ref="C131:C194" si="7">A131*B131</f>
        <v>1802</v>
      </c>
      <c r="H131">
        <v>34</v>
      </c>
      <c r="I131">
        <v>53</v>
      </c>
      <c r="J131" s="11">
        <v>0.17</v>
      </c>
      <c r="K131">
        <f t="shared" ref="K131:K194" si="8">H131*I131*J131</f>
        <v>306.34000000000003</v>
      </c>
      <c r="N131">
        <v>1802</v>
      </c>
      <c r="O131">
        <v>306.34000000000003</v>
      </c>
      <c r="P131">
        <f t="shared" si="6"/>
        <v>1495.6599999999999</v>
      </c>
    </row>
    <row r="132" spans="1:16" x14ac:dyDescent="0.25">
      <c r="A132">
        <v>16</v>
      </c>
      <c r="B132">
        <v>96.77</v>
      </c>
      <c r="C132">
        <f t="shared" si="7"/>
        <v>1548.32</v>
      </c>
      <c r="H132">
        <v>16</v>
      </c>
      <c r="I132">
        <v>96.77</v>
      </c>
      <c r="J132" s="11">
        <v>0.38</v>
      </c>
      <c r="K132">
        <f t="shared" si="8"/>
        <v>588.36159999999995</v>
      </c>
      <c r="N132">
        <v>1548.32</v>
      </c>
      <c r="O132">
        <v>588.36159999999995</v>
      </c>
      <c r="P132">
        <f t="shared" si="6"/>
        <v>959.95839999999998</v>
      </c>
    </row>
    <row r="133" spans="1:16" x14ac:dyDescent="0.25">
      <c r="A133">
        <v>32</v>
      </c>
      <c r="B133">
        <v>65.23</v>
      </c>
      <c r="C133">
        <f t="shared" si="7"/>
        <v>2087.36</v>
      </c>
      <c r="H133">
        <v>32</v>
      </c>
      <c r="I133">
        <v>65.23</v>
      </c>
      <c r="J133" s="11">
        <v>0.23</v>
      </c>
      <c r="K133">
        <f t="shared" si="8"/>
        <v>480.09280000000007</v>
      </c>
      <c r="N133">
        <v>2087.36</v>
      </c>
      <c r="O133">
        <v>480.09280000000007</v>
      </c>
      <c r="P133">
        <f t="shared" si="6"/>
        <v>1607.2672</v>
      </c>
    </row>
    <row r="134" spans="1:16" x14ac:dyDescent="0.25">
      <c r="A134">
        <v>47</v>
      </c>
      <c r="B134">
        <v>82.16</v>
      </c>
      <c r="C134">
        <f t="shared" si="7"/>
        <v>3861.52</v>
      </c>
      <c r="H134">
        <v>47</v>
      </c>
      <c r="I134">
        <v>82.16</v>
      </c>
      <c r="J134" s="11">
        <v>0.13</v>
      </c>
      <c r="K134">
        <f t="shared" si="8"/>
        <v>501.99760000000003</v>
      </c>
      <c r="N134">
        <v>3861.52</v>
      </c>
      <c r="O134">
        <v>501.99760000000003</v>
      </c>
      <c r="P134">
        <f t="shared" si="6"/>
        <v>3359.5223999999998</v>
      </c>
    </row>
    <row r="135" spans="1:16" x14ac:dyDescent="0.25">
      <c r="A135">
        <v>19</v>
      </c>
      <c r="B135">
        <v>59.26</v>
      </c>
      <c r="C135">
        <f t="shared" si="7"/>
        <v>1125.94</v>
      </c>
      <c r="H135">
        <v>19</v>
      </c>
      <c r="I135">
        <v>59.26</v>
      </c>
      <c r="J135" s="11">
        <v>0.28999999999999998</v>
      </c>
      <c r="K135">
        <f t="shared" si="8"/>
        <v>326.52260000000001</v>
      </c>
      <c r="N135">
        <v>1125.94</v>
      </c>
      <c r="O135">
        <v>326.52260000000001</v>
      </c>
      <c r="P135">
        <f t="shared" si="6"/>
        <v>799.41740000000004</v>
      </c>
    </row>
    <row r="136" spans="1:16" x14ac:dyDescent="0.25">
      <c r="A136">
        <v>47</v>
      </c>
      <c r="B136">
        <v>80.900000000000006</v>
      </c>
      <c r="C136">
        <f t="shared" si="7"/>
        <v>3802.3</v>
      </c>
      <c r="H136">
        <v>47</v>
      </c>
      <c r="I136">
        <v>80.900000000000006</v>
      </c>
      <c r="J136" s="11">
        <v>0.4</v>
      </c>
      <c r="K136">
        <f t="shared" si="8"/>
        <v>1520.92</v>
      </c>
      <c r="N136">
        <v>3802.3</v>
      </c>
      <c r="O136">
        <v>1520.92</v>
      </c>
      <c r="P136">
        <f t="shared" si="6"/>
        <v>2281.38</v>
      </c>
    </row>
    <row r="137" spans="1:16" x14ac:dyDescent="0.25">
      <c r="A137">
        <v>2</v>
      </c>
      <c r="B137">
        <v>59.49</v>
      </c>
      <c r="C137">
        <f t="shared" si="7"/>
        <v>118.98</v>
      </c>
      <c r="H137">
        <v>2</v>
      </c>
      <c r="I137">
        <v>59.49</v>
      </c>
      <c r="J137" s="11">
        <v>0.24</v>
      </c>
      <c r="K137">
        <f t="shared" si="8"/>
        <v>28.555199999999999</v>
      </c>
      <c r="N137">
        <v>118.98</v>
      </c>
      <c r="O137">
        <v>28.555199999999999</v>
      </c>
      <c r="P137">
        <f t="shared" si="6"/>
        <v>90.424800000000005</v>
      </c>
    </row>
    <row r="138" spans="1:16" x14ac:dyDescent="0.25">
      <c r="A138">
        <v>32</v>
      </c>
      <c r="B138">
        <v>2.2200000000000002</v>
      </c>
      <c r="C138">
        <f t="shared" si="7"/>
        <v>71.040000000000006</v>
      </c>
      <c r="H138">
        <v>32</v>
      </c>
      <c r="I138">
        <v>2.2200000000000002</v>
      </c>
      <c r="J138" s="11">
        <v>0.01</v>
      </c>
      <c r="K138">
        <f t="shared" si="8"/>
        <v>0.71040000000000003</v>
      </c>
      <c r="N138">
        <v>71.040000000000006</v>
      </c>
      <c r="O138">
        <v>0.71040000000000003</v>
      </c>
      <c r="P138">
        <f t="shared" si="6"/>
        <v>70.329599999999999</v>
      </c>
    </row>
    <row r="139" spans="1:16" x14ac:dyDescent="0.25">
      <c r="A139">
        <v>33</v>
      </c>
      <c r="B139">
        <v>39.369999999999997</v>
      </c>
      <c r="C139">
        <f t="shared" si="7"/>
        <v>1299.2099999999998</v>
      </c>
      <c r="H139">
        <v>33</v>
      </c>
      <c r="I139">
        <v>39.369999999999997</v>
      </c>
      <c r="J139" s="11">
        <v>0.1</v>
      </c>
      <c r="K139">
        <f t="shared" si="8"/>
        <v>129.92099999999999</v>
      </c>
      <c r="N139">
        <v>1299.2099999999998</v>
      </c>
      <c r="O139">
        <v>129.92099999999999</v>
      </c>
      <c r="P139">
        <f t="shared" si="6"/>
        <v>1169.2889999999998</v>
      </c>
    </row>
    <row r="140" spans="1:16" x14ac:dyDescent="0.25">
      <c r="A140">
        <v>28</v>
      </c>
      <c r="B140">
        <v>36.31</v>
      </c>
      <c r="C140">
        <f t="shared" si="7"/>
        <v>1016.6800000000001</v>
      </c>
      <c r="H140">
        <v>28</v>
      </c>
      <c r="I140">
        <v>36.31</v>
      </c>
      <c r="J140" s="11">
        <v>0.04</v>
      </c>
      <c r="K140">
        <f t="shared" si="8"/>
        <v>40.667200000000001</v>
      </c>
      <c r="N140">
        <v>1016.6800000000001</v>
      </c>
      <c r="O140">
        <v>40.667200000000001</v>
      </c>
      <c r="P140">
        <f t="shared" si="6"/>
        <v>976.01280000000008</v>
      </c>
    </row>
    <row r="141" spans="1:16" x14ac:dyDescent="0.25">
      <c r="A141">
        <v>37</v>
      </c>
      <c r="B141">
        <v>83.84</v>
      </c>
      <c r="C141">
        <f t="shared" si="7"/>
        <v>3102.08</v>
      </c>
      <c r="H141">
        <v>37</v>
      </c>
      <c r="I141">
        <v>83.84</v>
      </c>
      <c r="J141" s="11">
        <v>0.03</v>
      </c>
      <c r="K141">
        <f t="shared" si="8"/>
        <v>93.062399999999997</v>
      </c>
      <c r="N141">
        <v>3102.08</v>
      </c>
      <c r="O141">
        <v>93.062399999999997</v>
      </c>
      <c r="P141">
        <f t="shared" si="6"/>
        <v>3009.0176000000001</v>
      </c>
    </row>
    <row r="142" spans="1:16" x14ac:dyDescent="0.25">
      <c r="A142">
        <v>2</v>
      </c>
      <c r="B142">
        <v>11.9</v>
      </c>
      <c r="C142">
        <f t="shared" si="7"/>
        <v>23.8</v>
      </c>
      <c r="H142">
        <v>2</v>
      </c>
      <c r="I142">
        <v>11.9</v>
      </c>
      <c r="J142" s="11">
        <v>0.21</v>
      </c>
      <c r="K142">
        <f t="shared" si="8"/>
        <v>4.9980000000000002</v>
      </c>
      <c r="N142">
        <v>23.8</v>
      </c>
      <c r="O142">
        <v>4.9980000000000002</v>
      </c>
      <c r="P142">
        <f t="shared" si="6"/>
        <v>18.802</v>
      </c>
    </row>
    <row r="143" spans="1:16" x14ac:dyDescent="0.25">
      <c r="A143">
        <v>22</v>
      </c>
      <c r="B143">
        <v>6.65</v>
      </c>
      <c r="C143">
        <f t="shared" si="7"/>
        <v>146.30000000000001</v>
      </c>
      <c r="H143">
        <v>22</v>
      </c>
      <c r="I143">
        <v>6.65</v>
      </c>
      <c r="J143" s="11">
        <v>0.46</v>
      </c>
      <c r="K143">
        <f t="shared" si="8"/>
        <v>67.298000000000002</v>
      </c>
      <c r="N143">
        <v>146.30000000000001</v>
      </c>
      <c r="O143">
        <v>67.298000000000002</v>
      </c>
      <c r="P143">
        <f t="shared" si="6"/>
        <v>79.00200000000001</v>
      </c>
    </row>
    <row r="144" spans="1:16" x14ac:dyDescent="0.25">
      <c r="A144">
        <v>14</v>
      </c>
      <c r="B144">
        <v>78.7</v>
      </c>
      <c r="C144">
        <f t="shared" si="7"/>
        <v>1101.8</v>
      </c>
      <c r="H144">
        <v>14</v>
      </c>
      <c r="I144">
        <v>78.7</v>
      </c>
      <c r="J144" s="11">
        <v>0.39</v>
      </c>
      <c r="K144">
        <f t="shared" si="8"/>
        <v>429.702</v>
      </c>
      <c r="N144">
        <v>1101.8</v>
      </c>
      <c r="O144">
        <v>429.702</v>
      </c>
      <c r="P144">
        <f t="shared" si="6"/>
        <v>672.09799999999996</v>
      </c>
    </row>
    <row r="145" spans="1:16" x14ac:dyDescent="0.25">
      <c r="A145">
        <v>47</v>
      </c>
      <c r="B145">
        <v>28.54</v>
      </c>
      <c r="C145">
        <f t="shared" si="7"/>
        <v>1341.3799999999999</v>
      </c>
      <c r="H145">
        <v>47</v>
      </c>
      <c r="I145">
        <v>28.54</v>
      </c>
      <c r="J145" s="11">
        <v>0.3</v>
      </c>
      <c r="K145">
        <f t="shared" si="8"/>
        <v>402.41399999999993</v>
      </c>
      <c r="N145">
        <v>1341.3799999999999</v>
      </c>
      <c r="O145">
        <v>402.41399999999993</v>
      </c>
      <c r="P145">
        <f t="shared" si="6"/>
        <v>938.96599999999989</v>
      </c>
    </row>
    <row r="146" spans="1:16" x14ac:dyDescent="0.25">
      <c r="A146">
        <v>18</v>
      </c>
      <c r="B146">
        <v>96.12</v>
      </c>
      <c r="C146">
        <f t="shared" si="7"/>
        <v>1730.16</v>
      </c>
      <c r="H146">
        <v>18</v>
      </c>
      <c r="I146">
        <v>96.12</v>
      </c>
      <c r="J146" s="11">
        <v>0.28999999999999998</v>
      </c>
      <c r="K146">
        <f t="shared" si="8"/>
        <v>501.74639999999999</v>
      </c>
      <c r="N146">
        <v>1730.16</v>
      </c>
      <c r="O146">
        <v>501.74639999999999</v>
      </c>
      <c r="P146">
        <f t="shared" si="6"/>
        <v>1228.4136000000001</v>
      </c>
    </row>
    <row r="147" spans="1:16" x14ac:dyDescent="0.25">
      <c r="A147">
        <v>34</v>
      </c>
      <c r="B147">
        <v>53</v>
      </c>
      <c r="C147">
        <f t="shared" si="7"/>
        <v>1802</v>
      </c>
      <c r="H147">
        <v>34</v>
      </c>
      <c r="I147">
        <v>53</v>
      </c>
      <c r="J147" s="11">
        <v>0.44</v>
      </c>
      <c r="K147">
        <f t="shared" si="8"/>
        <v>792.88</v>
      </c>
      <c r="N147">
        <v>1802</v>
      </c>
      <c r="O147">
        <v>792.88</v>
      </c>
      <c r="P147">
        <f t="shared" si="6"/>
        <v>1009.12</v>
      </c>
    </row>
    <row r="148" spans="1:16" x14ac:dyDescent="0.25">
      <c r="A148">
        <v>36</v>
      </c>
      <c r="B148">
        <v>35.229999999999997</v>
      </c>
      <c r="C148">
        <f t="shared" si="7"/>
        <v>1268.28</v>
      </c>
      <c r="H148">
        <v>36</v>
      </c>
      <c r="I148">
        <v>35.229999999999997</v>
      </c>
      <c r="J148" s="11">
        <v>0.23</v>
      </c>
      <c r="K148">
        <f t="shared" si="8"/>
        <v>291.70440000000002</v>
      </c>
      <c r="N148">
        <v>1268.28</v>
      </c>
      <c r="O148">
        <v>291.70440000000002</v>
      </c>
      <c r="P148">
        <f t="shared" si="6"/>
        <v>976.57559999999989</v>
      </c>
    </row>
    <row r="149" spans="1:16" x14ac:dyDescent="0.25">
      <c r="A149">
        <v>26</v>
      </c>
      <c r="B149">
        <v>94.9</v>
      </c>
      <c r="C149">
        <f t="shared" si="7"/>
        <v>2467.4</v>
      </c>
      <c r="H149">
        <v>26</v>
      </c>
      <c r="I149">
        <v>94.9</v>
      </c>
      <c r="J149" s="11">
        <v>0.39</v>
      </c>
      <c r="K149">
        <f t="shared" si="8"/>
        <v>962.28600000000006</v>
      </c>
      <c r="N149">
        <v>2467.4</v>
      </c>
      <c r="O149">
        <v>962.28600000000006</v>
      </c>
      <c r="P149">
        <f t="shared" si="6"/>
        <v>1505.114</v>
      </c>
    </row>
    <row r="150" spans="1:16" x14ac:dyDescent="0.25">
      <c r="A150">
        <v>41</v>
      </c>
      <c r="B150">
        <v>97.84</v>
      </c>
      <c r="C150">
        <f t="shared" si="7"/>
        <v>4011.44</v>
      </c>
      <c r="H150">
        <v>41</v>
      </c>
      <c r="I150">
        <v>97.84</v>
      </c>
      <c r="J150" s="11">
        <v>0.1</v>
      </c>
      <c r="K150">
        <f t="shared" si="8"/>
        <v>401.14400000000001</v>
      </c>
      <c r="N150">
        <v>4011.44</v>
      </c>
      <c r="O150">
        <v>401.14400000000001</v>
      </c>
      <c r="P150">
        <f t="shared" si="6"/>
        <v>3610.2960000000003</v>
      </c>
    </row>
    <row r="151" spans="1:16" x14ac:dyDescent="0.25">
      <c r="A151">
        <v>36</v>
      </c>
      <c r="B151">
        <v>97.22</v>
      </c>
      <c r="C151">
        <f t="shared" si="7"/>
        <v>3499.92</v>
      </c>
      <c r="H151">
        <v>36</v>
      </c>
      <c r="I151">
        <v>97.22</v>
      </c>
      <c r="J151" s="11">
        <v>0.05</v>
      </c>
      <c r="K151">
        <f t="shared" si="8"/>
        <v>174.99600000000001</v>
      </c>
      <c r="N151">
        <v>3499.92</v>
      </c>
      <c r="O151">
        <v>174.99600000000001</v>
      </c>
      <c r="P151">
        <f t="shared" si="6"/>
        <v>3324.924</v>
      </c>
    </row>
    <row r="152" spans="1:16" x14ac:dyDescent="0.25">
      <c r="A152">
        <v>16</v>
      </c>
      <c r="B152">
        <v>57.75</v>
      </c>
      <c r="C152">
        <f t="shared" si="7"/>
        <v>924</v>
      </c>
      <c r="H152">
        <v>16</v>
      </c>
      <c r="I152">
        <v>57.75</v>
      </c>
      <c r="J152" s="11">
        <v>0.32</v>
      </c>
      <c r="K152">
        <f t="shared" si="8"/>
        <v>295.68</v>
      </c>
      <c r="N152">
        <v>924</v>
      </c>
      <c r="O152">
        <v>295.68</v>
      </c>
      <c r="P152">
        <f t="shared" si="6"/>
        <v>628.31999999999994</v>
      </c>
    </row>
    <row r="153" spans="1:16" x14ac:dyDescent="0.25">
      <c r="A153">
        <v>25</v>
      </c>
      <c r="B153">
        <v>37.71</v>
      </c>
      <c r="C153">
        <f t="shared" si="7"/>
        <v>942.75</v>
      </c>
      <c r="H153">
        <v>25</v>
      </c>
      <c r="I153">
        <v>37.71</v>
      </c>
      <c r="J153" s="11">
        <v>0.11</v>
      </c>
      <c r="K153">
        <f t="shared" si="8"/>
        <v>103.7025</v>
      </c>
      <c r="N153">
        <v>942.75</v>
      </c>
      <c r="O153">
        <v>103.7025</v>
      </c>
      <c r="P153">
        <f t="shared" si="6"/>
        <v>839.04750000000001</v>
      </c>
    </row>
    <row r="154" spans="1:16" x14ac:dyDescent="0.25">
      <c r="A154">
        <v>41</v>
      </c>
      <c r="B154">
        <v>98.23</v>
      </c>
      <c r="C154">
        <f t="shared" si="7"/>
        <v>4027.4300000000003</v>
      </c>
      <c r="H154">
        <v>41</v>
      </c>
      <c r="I154">
        <v>98.23</v>
      </c>
      <c r="J154" s="11">
        <v>0.47</v>
      </c>
      <c r="K154">
        <f t="shared" si="8"/>
        <v>1892.8921</v>
      </c>
      <c r="N154">
        <v>4027.4300000000003</v>
      </c>
      <c r="O154">
        <v>1892.8921</v>
      </c>
      <c r="P154">
        <f t="shared" si="6"/>
        <v>2134.5379000000003</v>
      </c>
    </row>
    <row r="155" spans="1:16" x14ac:dyDescent="0.25">
      <c r="A155">
        <v>32</v>
      </c>
      <c r="B155">
        <v>98.83</v>
      </c>
      <c r="C155">
        <f t="shared" si="7"/>
        <v>3162.56</v>
      </c>
      <c r="H155">
        <v>32</v>
      </c>
      <c r="I155">
        <v>98.83</v>
      </c>
      <c r="J155" s="11">
        <v>0.15</v>
      </c>
      <c r="K155">
        <f t="shared" si="8"/>
        <v>474.38399999999996</v>
      </c>
      <c r="N155">
        <v>3162.56</v>
      </c>
      <c r="O155">
        <v>474.38399999999996</v>
      </c>
      <c r="P155">
        <f t="shared" si="6"/>
        <v>2688.1759999999999</v>
      </c>
    </row>
    <row r="156" spans="1:16" x14ac:dyDescent="0.25">
      <c r="A156">
        <v>30</v>
      </c>
      <c r="B156">
        <v>93.51</v>
      </c>
      <c r="C156">
        <f t="shared" si="7"/>
        <v>2805.3</v>
      </c>
      <c r="H156">
        <v>30</v>
      </c>
      <c r="I156">
        <v>93.51</v>
      </c>
      <c r="J156" s="11">
        <v>0.15</v>
      </c>
      <c r="K156">
        <f t="shared" si="8"/>
        <v>420.79500000000002</v>
      </c>
      <c r="N156">
        <v>2805.3</v>
      </c>
      <c r="O156">
        <v>420.79500000000002</v>
      </c>
      <c r="P156">
        <f t="shared" si="6"/>
        <v>2384.5050000000001</v>
      </c>
    </row>
    <row r="157" spans="1:16" x14ac:dyDescent="0.25">
      <c r="A157">
        <v>42</v>
      </c>
      <c r="B157">
        <v>42.61</v>
      </c>
      <c r="C157">
        <f t="shared" si="7"/>
        <v>1789.62</v>
      </c>
      <c r="H157">
        <v>42</v>
      </c>
      <c r="I157">
        <v>42.61</v>
      </c>
      <c r="J157" s="11">
        <v>0.37</v>
      </c>
      <c r="K157">
        <f t="shared" si="8"/>
        <v>662.15940000000001</v>
      </c>
      <c r="N157">
        <v>1789.62</v>
      </c>
      <c r="O157">
        <v>662.15940000000001</v>
      </c>
      <c r="P157">
        <f t="shared" si="6"/>
        <v>1127.4605999999999</v>
      </c>
    </row>
    <row r="158" spans="1:16" x14ac:dyDescent="0.25">
      <c r="A158">
        <v>22</v>
      </c>
      <c r="B158">
        <v>79.34</v>
      </c>
      <c r="C158">
        <f t="shared" si="7"/>
        <v>1745.48</v>
      </c>
      <c r="H158">
        <v>22</v>
      </c>
      <c r="I158">
        <v>79.34</v>
      </c>
      <c r="J158" s="11">
        <v>0.26</v>
      </c>
      <c r="K158">
        <f t="shared" si="8"/>
        <v>453.82480000000004</v>
      </c>
      <c r="N158">
        <v>1745.48</v>
      </c>
      <c r="O158">
        <v>453.82480000000004</v>
      </c>
      <c r="P158">
        <f t="shared" si="6"/>
        <v>1291.6551999999999</v>
      </c>
    </row>
    <row r="159" spans="1:16" x14ac:dyDescent="0.25">
      <c r="A159">
        <v>28</v>
      </c>
      <c r="B159">
        <v>53</v>
      </c>
      <c r="C159">
        <f t="shared" si="7"/>
        <v>1484</v>
      </c>
      <c r="H159">
        <v>28</v>
      </c>
      <c r="I159">
        <v>53</v>
      </c>
      <c r="J159" s="11">
        <v>0.38</v>
      </c>
      <c r="K159">
        <f t="shared" si="8"/>
        <v>563.91999999999996</v>
      </c>
      <c r="N159">
        <v>1484</v>
      </c>
      <c r="O159">
        <v>563.91999999999996</v>
      </c>
      <c r="P159">
        <f t="shared" si="6"/>
        <v>920.08</v>
      </c>
    </row>
    <row r="160" spans="1:16" x14ac:dyDescent="0.25">
      <c r="A160">
        <v>37</v>
      </c>
      <c r="B160">
        <v>10.96</v>
      </c>
      <c r="C160">
        <f t="shared" si="7"/>
        <v>405.52000000000004</v>
      </c>
      <c r="H160">
        <v>37</v>
      </c>
      <c r="I160">
        <v>10.96</v>
      </c>
      <c r="J160" s="11">
        <v>0.45</v>
      </c>
      <c r="K160">
        <f t="shared" si="8"/>
        <v>182.48400000000001</v>
      </c>
      <c r="N160">
        <v>405.52000000000004</v>
      </c>
      <c r="O160">
        <v>182.48400000000001</v>
      </c>
      <c r="P160">
        <f t="shared" si="6"/>
        <v>223.03600000000003</v>
      </c>
    </row>
    <row r="161" spans="1:16" x14ac:dyDescent="0.25">
      <c r="A161">
        <v>44</v>
      </c>
      <c r="B161">
        <v>17.32</v>
      </c>
      <c r="C161">
        <f t="shared" si="7"/>
        <v>762.08</v>
      </c>
      <c r="H161">
        <v>44</v>
      </c>
      <c r="I161">
        <v>17.32</v>
      </c>
      <c r="J161" s="11">
        <v>0.1</v>
      </c>
      <c r="K161">
        <f t="shared" si="8"/>
        <v>76.208000000000013</v>
      </c>
      <c r="N161">
        <v>762.08</v>
      </c>
      <c r="O161">
        <v>76.208000000000013</v>
      </c>
      <c r="P161">
        <f t="shared" si="6"/>
        <v>685.87200000000007</v>
      </c>
    </row>
    <row r="162" spans="1:16" x14ac:dyDescent="0.25">
      <c r="A162">
        <v>39</v>
      </c>
      <c r="B162">
        <v>14.51</v>
      </c>
      <c r="C162">
        <f t="shared" si="7"/>
        <v>565.89</v>
      </c>
      <c r="H162">
        <v>39</v>
      </c>
      <c r="I162">
        <v>14.51</v>
      </c>
      <c r="J162" s="11">
        <v>0.3</v>
      </c>
      <c r="K162">
        <f t="shared" si="8"/>
        <v>169.767</v>
      </c>
      <c r="N162">
        <v>565.89</v>
      </c>
      <c r="O162">
        <v>169.767</v>
      </c>
      <c r="P162">
        <f t="shared" si="6"/>
        <v>396.12299999999999</v>
      </c>
    </row>
    <row r="163" spans="1:16" x14ac:dyDescent="0.25">
      <c r="A163">
        <v>22</v>
      </c>
      <c r="B163">
        <v>34.31</v>
      </c>
      <c r="C163">
        <f t="shared" si="7"/>
        <v>754.82</v>
      </c>
      <c r="H163">
        <v>22</v>
      </c>
      <c r="I163">
        <v>34.31</v>
      </c>
      <c r="J163" s="11">
        <v>0.15</v>
      </c>
      <c r="K163">
        <f t="shared" si="8"/>
        <v>113.223</v>
      </c>
      <c r="N163">
        <v>754.82</v>
      </c>
      <c r="O163">
        <v>113.223</v>
      </c>
      <c r="P163">
        <f t="shared" si="6"/>
        <v>641.59700000000009</v>
      </c>
    </row>
    <row r="164" spans="1:16" x14ac:dyDescent="0.25">
      <c r="A164">
        <v>8</v>
      </c>
      <c r="B164">
        <v>14.69</v>
      </c>
      <c r="C164">
        <f t="shared" si="7"/>
        <v>117.52</v>
      </c>
      <c r="H164">
        <v>8</v>
      </c>
      <c r="I164">
        <v>14.69</v>
      </c>
      <c r="J164" s="11">
        <v>0.49</v>
      </c>
      <c r="K164">
        <f t="shared" si="8"/>
        <v>57.584799999999994</v>
      </c>
      <c r="N164">
        <v>117.52</v>
      </c>
      <c r="O164">
        <v>57.584799999999994</v>
      </c>
      <c r="P164">
        <f t="shared" si="6"/>
        <v>59.935200000000002</v>
      </c>
    </row>
    <row r="165" spans="1:16" x14ac:dyDescent="0.25">
      <c r="A165">
        <v>7</v>
      </c>
      <c r="B165">
        <v>92.89</v>
      </c>
      <c r="C165">
        <f t="shared" si="7"/>
        <v>650.23</v>
      </c>
      <c r="H165">
        <v>7</v>
      </c>
      <c r="I165">
        <v>92.89</v>
      </c>
      <c r="J165" s="11">
        <v>0.32</v>
      </c>
      <c r="K165">
        <f t="shared" si="8"/>
        <v>208.0736</v>
      </c>
      <c r="N165">
        <v>650.23</v>
      </c>
      <c r="O165">
        <v>208.0736</v>
      </c>
      <c r="P165">
        <f t="shared" si="6"/>
        <v>442.15640000000002</v>
      </c>
    </row>
    <row r="166" spans="1:16" x14ac:dyDescent="0.25">
      <c r="A166">
        <v>47</v>
      </c>
      <c r="B166">
        <v>49.95</v>
      </c>
      <c r="C166">
        <f t="shared" si="7"/>
        <v>2347.65</v>
      </c>
      <c r="H166">
        <v>47</v>
      </c>
      <c r="I166">
        <v>49.95</v>
      </c>
      <c r="J166" s="11">
        <v>0.06</v>
      </c>
      <c r="K166">
        <f t="shared" si="8"/>
        <v>140.85900000000001</v>
      </c>
      <c r="N166">
        <v>2347.65</v>
      </c>
      <c r="O166">
        <v>140.85900000000001</v>
      </c>
      <c r="P166">
        <f t="shared" si="6"/>
        <v>2206.7910000000002</v>
      </c>
    </row>
    <row r="167" spans="1:16" x14ac:dyDescent="0.25">
      <c r="A167">
        <v>10</v>
      </c>
      <c r="B167">
        <v>50.57</v>
      </c>
      <c r="C167">
        <f t="shared" si="7"/>
        <v>505.7</v>
      </c>
      <c r="H167">
        <v>10</v>
      </c>
      <c r="I167">
        <v>50.57</v>
      </c>
      <c r="J167" s="11">
        <v>0.23</v>
      </c>
      <c r="K167">
        <f t="shared" si="8"/>
        <v>116.31100000000001</v>
      </c>
      <c r="N167">
        <v>505.7</v>
      </c>
      <c r="O167">
        <v>116.31100000000001</v>
      </c>
      <c r="P167">
        <f t="shared" si="6"/>
        <v>389.38900000000001</v>
      </c>
    </row>
    <row r="168" spans="1:16" x14ac:dyDescent="0.25">
      <c r="A168">
        <v>26</v>
      </c>
      <c r="B168">
        <v>72</v>
      </c>
      <c r="C168">
        <f t="shared" si="7"/>
        <v>1872</v>
      </c>
      <c r="H168">
        <v>26</v>
      </c>
      <c r="I168">
        <v>72</v>
      </c>
      <c r="J168" s="11">
        <v>0.28999999999999998</v>
      </c>
      <c r="K168">
        <f t="shared" si="8"/>
        <v>542.88</v>
      </c>
      <c r="N168">
        <v>1872</v>
      </c>
      <c r="O168">
        <v>542.88</v>
      </c>
      <c r="P168">
        <f t="shared" si="6"/>
        <v>1329.12</v>
      </c>
    </row>
    <row r="169" spans="1:16" x14ac:dyDescent="0.25">
      <c r="A169">
        <v>34</v>
      </c>
      <c r="B169">
        <v>92.63</v>
      </c>
      <c r="C169">
        <f t="shared" si="7"/>
        <v>3149.42</v>
      </c>
      <c r="H169">
        <v>34</v>
      </c>
      <c r="I169">
        <v>92.63</v>
      </c>
      <c r="J169" s="11">
        <v>0.39</v>
      </c>
      <c r="K169">
        <f t="shared" si="8"/>
        <v>1228.2738000000002</v>
      </c>
      <c r="N169">
        <v>3149.42</v>
      </c>
      <c r="O169">
        <v>1228.2738000000002</v>
      </c>
      <c r="P169">
        <f t="shared" si="6"/>
        <v>1921.1461999999999</v>
      </c>
    </row>
    <row r="170" spans="1:16" x14ac:dyDescent="0.25">
      <c r="A170">
        <v>7</v>
      </c>
      <c r="B170">
        <v>31.91</v>
      </c>
      <c r="C170">
        <f t="shared" si="7"/>
        <v>223.37</v>
      </c>
      <c r="H170">
        <v>7</v>
      </c>
      <c r="I170">
        <v>31.91</v>
      </c>
      <c r="J170" s="11">
        <v>0.41</v>
      </c>
      <c r="K170">
        <f t="shared" si="8"/>
        <v>91.581699999999998</v>
      </c>
      <c r="N170">
        <v>223.37</v>
      </c>
      <c r="O170">
        <v>91.581699999999998</v>
      </c>
      <c r="P170">
        <f t="shared" si="6"/>
        <v>131.78829999999999</v>
      </c>
    </row>
    <row r="171" spans="1:16" x14ac:dyDescent="0.25">
      <c r="A171">
        <v>24</v>
      </c>
      <c r="B171">
        <v>46.02</v>
      </c>
      <c r="C171">
        <f t="shared" si="7"/>
        <v>1104.48</v>
      </c>
      <c r="H171">
        <v>24</v>
      </c>
      <c r="I171">
        <v>46.02</v>
      </c>
      <c r="J171" s="11">
        <v>0.09</v>
      </c>
      <c r="K171">
        <f t="shared" si="8"/>
        <v>99.403199999999998</v>
      </c>
      <c r="N171">
        <v>1104.48</v>
      </c>
      <c r="O171">
        <v>99.403199999999998</v>
      </c>
      <c r="P171">
        <f t="shared" si="6"/>
        <v>1005.0768</v>
      </c>
    </row>
    <row r="172" spans="1:16" x14ac:dyDescent="0.25">
      <c r="A172">
        <v>12</v>
      </c>
      <c r="B172">
        <v>61.98</v>
      </c>
      <c r="C172">
        <f t="shared" si="7"/>
        <v>743.76</v>
      </c>
      <c r="H172">
        <v>12</v>
      </c>
      <c r="I172">
        <v>61.98</v>
      </c>
      <c r="J172" s="11">
        <v>0.15</v>
      </c>
      <c r="K172">
        <f t="shared" si="8"/>
        <v>111.56399999999999</v>
      </c>
      <c r="N172">
        <v>743.76</v>
      </c>
      <c r="O172">
        <v>111.56399999999999</v>
      </c>
      <c r="P172">
        <f t="shared" si="6"/>
        <v>632.19600000000003</v>
      </c>
    </row>
    <row r="173" spans="1:16" x14ac:dyDescent="0.25">
      <c r="A173">
        <v>47</v>
      </c>
      <c r="B173">
        <v>53</v>
      </c>
      <c r="C173">
        <f t="shared" si="7"/>
        <v>2491</v>
      </c>
      <c r="H173">
        <v>47</v>
      </c>
      <c r="I173">
        <v>53</v>
      </c>
      <c r="J173" s="11">
        <v>0.45</v>
      </c>
      <c r="K173">
        <f t="shared" si="8"/>
        <v>1120.95</v>
      </c>
      <c r="N173">
        <v>2491</v>
      </c>
      <c r="O173">
        <v>1120.95</v>
      </c>
      <c r="P173">
        <f t="shared" si="6"/>
        <v>1370.05</v>
      </c>
    </row>
    <row r="174" spans="1:16" x14ac:dyDescent="0.25">
      <c r="A174">
        <v>2</v>
      </c>
      <c r="B174">
        <v>78.72</v>
      </c>
      <c r="C174">
        <f t="shared" si="7"/>
        <v>157.44</v>
      </c>
      <c r="H174">
        <v>2</v>
      </c>
      <c r="I174">
        <v>78.72</v>
      </c>
      <c r="J174" s="11">
        <v>0.18</v>
      </c>
      <c r="K174">
        <f t="shared" si="8"/>
        <v>28.339199999999998</v>
      </c>
      <c r="N174">
        <v>157.44</v>
      </c>
      <c r="O174">
        <v>28.339199999999998</v>
      </c>
      <c r="P174">
        <f t="shared" si="6"/>
        <v>129.10079999999999</v>
      </c>
    </row>
    <row r="175" spans="1:16" x14ac:dyDescent="0.25">
      <c r="A175">
        <v>8</v>
      </c>
      <c r="B175">
        <v>56.75</v>
      </c>
      <c r="C175">
        <f t="shared" si="7"/>
        <v>454</v>
      </c>
      <c r="H175">
        <v>8</v>
      </c>
      <c r="I175">
        <v>56.75</v>
      </c>
      <c r="J175" s="11">
        <v>0.38</v>
      </c>
      <c r="K175">
        <f t="shared" si="8"/>
        <v>172.52</v>
      </c>
      <c r="N175">
        <v>454</v>
      </c>
      <c r="O175">
        <v>172.52</v>
      </c>
      <c r="P175">
        <f t="shared" si="6"/>
        <v>281.48</v>
      </c>
    </row>
    <row r="176" spans="1:16" x14ac:dyDescent="0.25">
      <c r="A176">
        <v>41</v>
      </c>
      <c r="B176">
        <v>77.45</v>
      </c>
      <c r="C176">
        <f t="shared" si="7"/>
        <v>3175.4500000000003</v>
      </c>
      <c r="H176">
        <v>41</v>
      </c>
      <c r="I176">
        <v>77.45</v>
      </c>
      <c r="J176" s="11">
        <v>0.15</v>
      </c>
      <c r="K176">
        <f t="shared" si="8"/>
        <v>476.3175</v>
      </c>
      <c r="N176">
        <v>3175.4500000000003</v>
      </c>
      <c r="O176">
        <v>476.3175</v>
      </c>
      <c r="P176">
        <f t="shared" si="6"/>
        <v>2699.1325000000002</v>
      </c>
    </row>
    <row r="177" spans="1:16" x14ac:dyDescent="0.25">
      <c r="A177">
        <v>18</v>
      </c>
      <c r="B177">
        <v>36.99</v>
      </c>
      <c r="C177">
        <f t="shared" si="7"/>
        <v>665.82</v>
      </c>
      <c r="H177">
        <v>18</v>
      </c>
      <c r="I177">
        <v>36.99</v>
      </c>
      <c r="J177" s="11">
        <v>0.33</v>
      </c>
      <c r="K177">
        <f t="shared" si="8"/>
        <v>219.72060000000002</v>
      </c>
      <c r="N177">
        <v>665.82</v>
      </c>
      <c r="O177">
        <v>219.72060000000002</v>
      </c>
      <c r="P177">
        <f t="shared" si="6"/>
        <v>446.09940000000006</v>
      </c>
    </row>
    <row r="178" spans="1:16" x14ac:dyDescent="0.25">
      <c r="A178">
        <v>31</v>
      </c>
      <c r="B178">
        <v>43.72</v>
      </c>
      <c r="C178">
        <f t="shared" si="7"/>
        <v>1355.32</v>
      </c>
      <c r="H178">
        <v>31</v>
      </c>
      <c r="I178">
        <v>43.72</v>
      </c>
      <c r="J178" s="11">
        <v>0.33</v>
      </c>
      <c r="K178">
        <f t="shared" si="8"/>
        <v>447.25560000000002</v>
      </c>
      <c r="N178">
        <v>1355.32</v>
      </c>
      <c r="O178">
        <v>447.25560000000002</v>
      </c>
      <c r="P178">
        <f t="shared" si="6"/>
        <v>908.06439999999998</v>
      </c>
    </row>
    <row r="179" spans="1:16" x14ac:dyDescent="0.25">
      <c r="A179">
        <v>43</v>
      </c>
      <c r="B179">
        <v>49.97</v>
      </c>
      <c r="C179">
        <f t="shared" si="7"/>
        <v>2148.71</v>
      </c>
      <c r="H179">
        <v>43</v>
      </c>
      <c r="I179">
        <v>49.97</v>
      </c>
      <c r="J179" s="11">
        <v>0.05</v>
      </c>
      <c r="K179">
        <f t="shared" si="8"/>
        <v>107.4355</v>
      </c>
      <c r="N179">
        <v>2148.71</v>
      </c>
      <c r="O179">
        <v>107.4355</v>
      </c>
      <c r="P179">
        <f t="shared" si="6"/>
        <v>2041.2745</v>
      </c>
    </row>
    <row r="180" spans="1:16" x14ac:dyDescent="0.25">
      <c r="A180">
        <v>20</v>
      </c>
      <c r="B180">
        <v>91.39</v>
      </c>
      <c r="C180">
        <f t="shared" si="7"/>
        <v>1827.8</v>
      </c>
      <c r="H180">
        <v>20</v>
      </c>
      <c r="I180">
        <v>91.39</v>
      </c>
      <c r="J180" s="11">
        <v>0.43</v>
      </c>
      <c r="K180">
        <f t="shared" si="8"/>
        <v>785.95399999999995</v>
      </c>
      <c r="N180">
        <v>1827.8</v>
      </c>
      <c r="O180">
        <v>785.95399999999995</v>
      </c>
      <c r="P180">
        <f t="shared" si="6"/>
        <v>1041.846</v>
      </c>
    </row>
    <row r="181" spans="1:16" x14ac:dyDescent="0.25">
      <c r="A181">
        <v>20</v>
      </c>
      <c r="B181">
        <v>23.44</v>
      </c>
      <c r="C181">
        <f t="shared" si="7"/>
        <v>468.8</v>
      </c>
      <c r="H181">
        <v>20</v>
      </c>
      <c r="I181">
        <v>23.44</v>
      </c>
      <c r="J181" s="11">
        <v>0.35</v>
      </c>
      <c r="K181">
        <f t="shared" si="8"/>
        <v>164.07999999999998</v>
      </c>
      <c r="N181">
        <v>468.8</v>
      </c>
      <c r="O181">
        <v>164.07999999999998</v>
      </c>
      <c r="P181">
        <f t="shared" si="6"/>
        <v>304.72000000000003</v>
      </c>
    </row>
    <row r="182" spans="1:16" x14ac:dyDescent="0.25">
      <c r="A182">
        <v>12</v>
      </c>
      <c r="B182">
        <v>66.099999999999994</v>
      </c>
      <c r="C182">
        <f t="shared" si="7"/>
        <v>793.19999999999993</v>
      </c>
      <c r="H182">
        <v>12</v>
      </c>
      <c r="I182">
        <v>66.099999999999994</v>
      </c>
      <c r="J182" s="11">
        <v>0.02</v>
      </c>
      <c r="K182">
        <f t="shared" si="8"/>
        <v>15.863999999999999</v>
      </c>
      <c r="N182">
        <v>793.19999999999993</v>
      </c>
      <c r="O182">
        <v>15.863999999999999</v>
      </c>
      <c r="P182">
        <f t="shared" si="6"/>
        <v>777.3359999999999</v>
      </c>
    </row>
    <row r="183" spans="1:16" x14ac:dyDescent="0.25">
      <c r="A183">
        <v>6</v>
      </c>
      <c r="B183">
        <v>75.98</v>
      </c>
      <c r="C183">
        <f t="shared" si="7"/>
        <v>455.88</v>
      </c>
      <c r="H183">
        <v>6</v>
      </c>
      <c r="I183">
        <v>75.98</v>
      </c>
      <c r="J183" s="11">
        <v>0.34</v>
      </c>
      <c r="K183">
        <f t="shared" si="8"/>
        <v>154.9992</v>
      </c>
      <c r="N183">
        <v>455.88</v>
      </c>
      <c r="O183">
        <v>154.9992</v>
      </c>
      <c r="P183">
        <f t="shared" si="6"/>
        <v>300.88080000000002</v>
      </c>
    </row>
    <row r="184" spans="1:16" x14ac:dyDescent="0.25">
      <c r="A184">
        <v>3</v>
      </c>
      <c r="B184">
        <v>87.15</v>
      </c>
      <c r="C184">
        <f t="shared" si="7"/>
        <v>261.45000000000005</v>
      </c>
      <c r="H184">
        <v>3</v>
      </c>
      <c r="I184">
        <v>87.15</v>
      </c>
      <c r="J184" s="11">
        <v>0.49</v>
      </c>
      <c r="K184">
        <f t="shared" si="8"/>
        <v>128.11050000000003</v>
      </c>
      <c r="N184">
        <v>261.45000000000005</v>
      </c>
      <c r="O184">
        <v>128.11050000000003</v>
      </c>
      <c r="P184">
        <f t="shared" si="6"/>
        <v>133.33950000000002</v>
      </c>
    </row>
    <row r="185" spans="1:16" x14ac:dyDescent="0.25">
      <c r="A185">
        <v>30</v>
      </c>
      <c r="B185">
        <v>2.57</v>
      </c>
      <c r="C185">
        <f t="shared" si="7"/>
        <v>77.099999999999994</v>
      </c>
      <c r="H185">
        <v>30</v>
      </c>
      <c r="I185">
        <v>2.57</v>
      </c>
      <c r="J185" s="11">
        <v>0.08</v>
      </c>
      <c r="K185">
        <f t="shared" si="8"/>
        <v>6.1679999999999993</v>
      </c>
      <c r="N185">
        <v>77.099999999999994</v>
      </c>
      <c r="O185">
        <v>6.1679999999999993</v>
      </c>
      <c r="P185">
        <f t="shared" si="6"/>
        <v>70.931999999999988</v>
      </c>
    </row>
    <row r="186" spans="1:16" x14ac:dyDescent="0.25">
      <c r="A186">
        <v>24</v>
      </c>
      <c r="B186">
        <v>36.69</v>
      </c>
      <c r="C186">
        <f t="shared" si="7"/>
        <v>880.56</v>
      </c>
      <c r="H186">
        <v>24</v>
      </c>
      <c r="I186">
        <v>36.69</v>
      </c>
      <c r="J186" s="11">
        <v>0.19</v>
      </c>
      <c r="K186">
        <f t="shared" si="8"/>
        <v>167.3064</v>
      </c>
      <c r="N186">
        <v>880.56</v>
      </c>
      <c r="O186">
        <v>167.3064</v>
      </c>
      <c r="P186">
        <f t="shared" si="6"/>
        <v>713.25360000000001</v>
      </c>
    </row>
    <row r="187" spans="1:16" x14ac:dyDescent="0.25">
      <c r="A187">
        <v>48</v>
      </c>
      <c r="B187">
        <v>53</v>
      </c>
      <c r="C187">
        <f t="shared" si="7"/>
        <v>2544</v>
      </c>
      <c r="H187">
        <v>48</v>
      </c>
      <c r="I187">
        <v>53</v>
      </c>
      <c r="J187" s="11">
        <v>0.46</v>
      </c>
      <c r="K187">
        <f t="shared" si="8"/>
        <v>1170.24</v>
      </c>
      <c r="N187">
        <v>2544</v>
      </c>
      <c r="O187">
        <v>1170.24</v>
      </c>
      <c r="P187">
        <f t="shared" si="6"/>
        <v>1373.76</v>
      </c>
    </row>
    <row r="188" spans="1:16" x14ac:dyDescent="0.25">
      <c r="A188">
        <v>14</v>
      </c>
      <c r="B188">
        <v>88.21</v>
      </c>
      <c r="C188">
        <f t="shared" si="7"/>
        <v>1234.9399999999998</v>
      </c>
      <c r="H188">
        <v>14</v>
      </c>
      <c r="I188">
        <v>88.21</v>
      </c>
      <c r="J188" s="11">
        <v>0.44</v>
      </c>
      <c r="K188">
        <f t="shared" si="8"/>
        <v>543.3735999999999</v>
      </c>
      <c r="N188">
        <v>1234.9399999999998</v>
      </c>
      <c r="O188">
        <v>543.3735999999999</v>
      </c>
      <c r="P188">
        <f t="shared" si="6"/>
        <v>691.56639999999993</v>
      </c>
    </row>
    <row r="189" spans="1:16" x14ac:dyDescent="0.25">
      <c r="A189">
        <v>26</v>
      </c>
      <c r="B189">
        <v>46.28</v>
      </c>
      <c r="C189">
        <f t="shared" si="7"/>
        <v>1203.28</v>
      </c>
      <c r="H189">
        <v>26</v>
      </c>
      <c r="I189">
        <v>46.28</v>
      </c>
      <c r="J189" s="11">
        <v>0.05</v>
      </c>
      <c r="K189">
        <f t="shared" si="8"/>
        <v>60.164000000000001</v>
      </c>
      <c r="N189">
        <v>1203.28</v>
      </c>
      <c r="O189">
        <v>60.164000000000001</v>
      </c>
      <c r="P189">
        <f t="shared" si="6"/>
        <v>1143.116</v>
      </c>
    </row>
    <row r="190" spans="1:16" x14ac:dyDescent="0.25">
      <c r="A190">
        <v>29</v>
      </c>
      <c r="B190">
        <v>36.270000000000003</v>
      </c>
      <c r="C190">
        <f t="shared" si="7"/>
        <v>1051.8300000000002</v>
      </c>
      <c r="H190">
        <v>29</v>
      </c>
      <c r="I190">
        <v>36.270000000000003</v>
      </c>
      <c r="J190" s="11">
        <v>0.14000000000000001</v>
      </c>
      <c r="K190">
        <f t="shared" si="8"/>
        <v>147.25620000000004</v>
      </c>
      <c r="N190">
        <v>1051.8300000000002</v>
      </c>
      <c r="O190">
        <v>147.25620000000004</v>
      </c>
      <c r="P190">
        <f t="shared" si="6"/>
        <v>904.57380000000012</v>
      </c>
    </row>
    <row r="191" spans="1:16" x14ac:dyDescent="0.25">
      <c r="A191">
        <v>29</v>
      </c>
      <c r="B191">
        <v>30.48</v>
      </c>
      <c r="C191">
        <f t="shared" si="7"/>
        <v>883.92</v>
      </c>
      <c r="H191">
        <v>29</v>
      </c>
      <c r="I191">
        <v>30.48</v>
      </c>
      <c r="J191" s="11">
        <v>0.4</v>
      </c>
      <c r="K191">
        <f t="shared" si="8"/>
        <v>353.56799999999998</v>
      </c>
      <c r="N191">
        <v>883.92</v>
      </c>
      <c r="O191">
        <v>353.56799999999998</v>
      </c>
      <c r="P191">
        <f t="shared" si="6"/>
        <v>530.35199999999998</v>
      </c>
    </row>
    <row r="192" spans="1:16" x14ac:dyDescent="0.25">
      <c r="A192">
        <v>10</v>
      </c>
      <c r="B192">
        <v>88.14</v>
      </c>
      <c r="C192">
        <f t="shared" si="7"/>
        <v>881.4</v>
      </c>
      <c r="H192">
        <v>10</v>
      </c>
      <c r="I192">
        <v>88.14</v>
      </c>
      <c r="J192" s="11">
        <v>0.31</v>
      </c>
      <c r="K192">
        <f t="shared" si="8"/>
        <v>273.23399999999998</v>
      </c>
      <c r="N192">
        <v>881.4</v>
      </c>
      <c r="O192">
        <v>273.23399999999998</v>
      </c>
      <c r="P192">
        <f t="shared" si="6"/>
        <v>608.16599999999994</v>
      </c>
    </row>
    <row r="193" spans="1:16" x14ac:dyDescent="0.25">
      <c r="A193">
        <v>42</v>
      </c>
      <c r="B193">
        <v>64.37</v>
      </c>
      <c r="C193">
        <f t="shared" si="7"/>
        <v>2703.54</v>
      </c>
      <c r="H193">
        <v>42</v>
      </c>
      <c r="I193">
        <v>64.37</v>
      </c>
      <c r="J193" s="11">
        <v>0.38</v>
      </c>
      <c r="K193">
        <f t="shared" si="8"/>
        <v>1027.3452</v>
      </c>
      <c r="N193">
        <v>2703.54</v>
      </c>
      <c r="O193">
        <v>1027.3452</v>
      </c>
      <c r="P193">
        <f t="shared" si="6"/>
        <v>1676.1948</v>
      </c>
    </row>
    <row r="194" spans="1:16" x14ac:dyDescent="0.25">
      <c r="A194">
        <v>41</v>
      </c>
      <c r="B194">
        <v>37.5</v>
      </c>
      <c r="C194">
        <f t="shared" si="7"/>
        <v>1537.5</v>
      </c>
      <c r="H194">
        <v>41</v>
      </c>
      <c r="I194">
        <v>37.5</v>
      </c>
      <c r="J194" s="11">
        <v>0.44</v>
      </c>
      <c r="K194">
        <f t="shared" si="8"/>
        <v>676.5</v>
      </c>
      <c r="N194">
        <v>1537.5</v>
      </c>
      <c r="O194">
        <v>676.5</v>
      </c>
      <c r="P194">
        <f t="shared" ref="P194:P257" si="9">N194-O194</f>
        <v>861</v>
      </c>
    </row>
    <row r="195" spans="1:16" x14ac:dyDescent="0.25">
      <c r="A195">
        <v>39</v>
      </c>
      <c r="B195">
        <v>48.69</v>
      </c>
      <c r="C195">
        <f t="shared" ref="C195:C258" si="10">A195*B195</f>
        <v>1898.9099999999999</v>
      </c>
      <c r="H195">
        <v>39</v>
      </c>
      <c r="I195">
        <v>48.69</v>
      </c>
      <c r="J195" s="11">
        <v>7.0000000000000007E-2</v>
      </c>
      <c r="K195">
        <f t="shared" ref="K195:K258" si="11">H195*I195*J195</f>
        <v>132.9237</v>
      </c>
      <c r="N195">
        <v>1898.9099999999999</v>
      </c>
      <c r="O195">
        <v>132.9237</v>
      </c>
      <c r="P195">
        <f t="shared" si="9"/>
        <v>1765.9862999999998</v>
      </c>
    </row>
    <row r="196" spans="1:16" x14ac:dyDescent="0.25">
      <c r="A196">
        <v>33</v>
      </c>
      <c r="B196">
        <v>12.47</v>
      </c>
      <c r="C196">
        <f t="shared" si="10"/>
        <v>411.51000000000005</v>
      </c>
      <c r="H196">
        <v>33</v>
      </c>
      <c r="I196">
        <v>12.47</v>
      </c>
      <c r="J196" s="11">
        <v>0.46</v>
      </c>
      <c r="K196">
        <f t="shared" si="11"/>
        <v>189.29460000000003</v>
      </c>
      <c r="N196">
        <v>411.51000000000005</v>
      </c>
      <c r="O196">
        <v>189.29460000000003</v>
      </c>
      <c r="P196">
        <f t="shared" si="9"/>
        <v>222.21540000000002</v>
      </c>
    </row>
    <row r="197" spans="1:16" x14ac:dyDescent="0.25">
      <c r="A197">
        <v>8</v>
      </c>
      <c r="B197">
        <v>89.83</v>
      </c>
      <c r="C197">
        <f t="shared" si="10"/>
        <v>718.64</v>
      </c>
      <c r="H197">
        <v>8</v>
      </c>
      <c r="I197">
        <v>89.83</v>
      </c>
      <c r="J197" s="11">
        <v>0.1</v>
      </c>
      <c r="K197">
        <f t="shared" si="11"/>
        <v>71.864000000000004</v>
      </c>
      <c r="N197">
        <v>718.64</v>
      </c>
      <c r="O197">
        <v>71.864000000000004</v>
      </c>
      <c r="P197">
        <f t="shared" si="9"/>
        <v>646.77599999999995</v>
      </c>
    </row>
    <row r="198" spans="1:16" x14ac:dyDescent="0.25">
      <c r="A198">
        <v>42</v>
      </c>
      <c r="B198">
        <v>56.96</v>
      </c>
      <c r="C198">
        <f t="shared" si="10"/>
        <v>2392.3200000000002</v>
      </c>
      <c r="H198">
        <v>42</v>
      </c>
      <c r="I198">
        <v>56.96</v>
      </c>
      <c r="J198" s="11">
        <v>0.37</v>
      </c>
      <c r="K198">
        <f t="shared" si="11"/>
        <v>885.15840000000003</v>
      </c>
      <c r="N198">
        <v>2392.3200000000002</v>
      </c>
      <c r="O198">
        <v>885.15840000000003</v>
      </c>
      <c r="P198">
        <f t="shared" si="9"/>
        <v>1507.1616000000001</v>
      </c>
    </row>
    <row r="199" spans="1:16" x14ac:dyDescent="0.25">
      <c r="A199">
        <v>13</v>
      </c>
      <c r="B199">
        <v>60.12</v>
      </c>
      <c r="C199">
        <f t="shared" si="10"/>
        <v>781.56</v>
      </c>
      <c r="H199">
        <v>13</v>
      </c>
      <c r="I199">
        <v>60.12</v>
      </c>
      <c r="J199" s="11">
        <v>0.19</v>
      </c>
      <c r="K199">
        <f t="shared" si="11"/>
        <v>148.49639999999999</v>
      </c>
      <c r="N199">
        <v>781.56</v>
      </c>
      <c r="O199">
        <v>148.49639999999999</v>
      </c>
      <c r="P199">
        <f t="shared" si="9"/>
        <v>633.06359999999995</v>
      </c>
    </row>
    <row r="200" spans="1:16" x14ac:dyDescent="0.25">
      <c r="A200">
        <v>28</v>
      </c>
      <c r="B200">
        <v>41.86</v>
      </c>
      <c r="C200">
        <f t="shared" si="10"/>
        <v>1172.08</v>
      </c>
      <c r="H200">
        <v>28</v>
      </c>
      <c r="I200">
        <v>41.86</v>
      </c>
      <c r="J200" s="11">
        <v>0.34</v>
      </c>
      <c r="K200">
        <f t="shared" si="11"/>
        <v>398.50720000000001</v>
      </c>
      <c r="N200">
        <v>1172.08</v>
      </c>
      <c r="O200">
        <v>398.50720000000001</v>
      </c>
      <c r="P200">
        <f t="shared" si="9"/>
        <v>773.57279999999992</v>
      </c>
    </row>
    <row r="201" spans="1:16" x14ac:dyDescent="0.25">
      <c r="A201">
        <v>48</v>
      </c>
      <c r="B201">
        <v>30.52</v>
      </c>
      <c r="C201">
        <f t="shared" si="10"/>
        <v>1464.96</v>
      </c>
      <c r="H201">
        <v>48</v>
      </c>
      <c r="I201">
        <v>30.52</v>
      </c>
      <c r="J201" s="11">
        <v>0.26</v>
      </c>
      <c r="K201">
        <f t="shared" si="11"/>
        <v>380.88960000000003</v>
      </c>
      <c r="N201">
        <v>1464.96</v>
      </c>
      <c r="O201">
        <v>380.88960000000003</v>
      </c>
      <c r="P201">
        <f t="shared" si="9"/>
        <v>1084.0704000000001</v>
      </c>
    </row>
    <row r="202" spans="1:16" x14ac:dyDescent="0.25">
      <c r="A202">
        <v>11</v>
      </c>
      <c r="B202">
        <v>68.78</v>
      </c>
      <c r="C202">
        <f t="shared" si="10"/>
        <v>756.58</v>
      </c>
      <c r="H202">
        <v>11</v>
      </c>
      <c r="I202">
        <v>68.78</v>
      </c>
      <c r="J202" s="11">
        <v>0.45</v>
      </c>
      <c r="K202">
        <f t="shared" si="11"/>
        <v>340.46100000000001</v>
      </c>
      <c r="N202">
        <v>756.58</v>
      </c>
      <c r="O202">
        <v>340.46100000000001</v>
      </c>
      <c r="P202">
        <f t="shared" si="9"/>
        <v>416.11900000000003</v>
      </c>
    </row>
    <row r="203" spans="1:16" x14ac:dyDescent="0.25">
      <c r="A203">
        <v>17</v>
      </c>
      <c r="B203">
        <v>29.47</v>
      </c>
      <c r="C203">
        <f t="shared" si="10"/>
        <v>500.99</v>
      </c>
      <c r="H203">
        <v>17</v>
      </c>
      <c r="I203">
        <v>29.47</v>
      </c>
      <c r="J203" s="11">
        <v>0.47</v>
      </c>
      <c r="K203">
        <f t="shared" si="11"/>
        <v>235.46529999999998</v>
      </c>
      <c r="N203">
        <v>500.99</v>
      </c>
      <c r="O203">
        <v>235.46529999999998</v>
      </c>
      <c r="P203">
        <f t="shared" si="9"/>
        <v>265.52470000000005</v>
      </c>
    </row>
    <row r="204" spans="1:16" x14ac:dyDescent="0.25">
      <c r="A204">
        <v>16</v>
      </c>
      <c r="B204">
        <v>38.85</v>
      </c>
      <c r="C204">
        <f t="shared" si="10"/>
        <v>621.6</v>
      </c>
      <c r="H204">
        <v>16</v>
      </c>
      <c r="I204">
        <v>38.85</v>
      </c>
      <c r="J204" s="11">
        <v>0.14000000000000001</v>
      </c>
      <c r="K204">
        <f t="shared" si="11"/>
        <v>87.024000000000015</v>
      </c>
      <c r="N204">
        <v>621.6</v>
      </c>
      <c r="O204">
        <v>87.024000000000015</v>
      </c>
      <c r="P204">
        <f t="shared" si="9"/>
        <v>534.57600000000002</v>
      </c>
    </row>
    <row r="205" spans="1:16" x14ac:dyDescent="0.25">
      <c r="A205">
        <v>24</v>
      </c>
      <c r="B205">
        <v>54.91</v>
      </c>
      <c r="C205">
        <f t="shared" si="10"/>
        <v>1317.84</v>
      </c>
      <c r="H205">
        <v>24</v>
      </c>
      <c r="I205">
        <v>54.91</v>
      </c>
      <c r="J205" s="11">
        <v>0.17</v>
      </c>
      <c r="K205">
        <f t="shared" si="11"/>
        <v>224.03280000000001</v>
      </c>
      <c r="N205">
        <v>1317.84</v>
      </c>
      <c r="O205">
        <v>224.03280000000001</v>
      </c>
      <c r="P205">
        <f t="shared" si="9"/>
        <v>1093.8072</v>
      </c>
    </row>
    <row r="206" spans="1:16" x14ac:dyDescent="0.25">
      <c r="A206">
        <v>33</v>
      </c>
      <c r="B206">
        <v>41.98</v>
      </c>
      <c r="C206">
        <f t="shared" si="10"/>
        <v>1385.34</v>
      </c>
      <c r="H206">
        <v>33</v>
      </c>
      <c r="I206">
        <v>41.98</v>
      </c>
      <c r="J206" s="11">
        <v>0.33</v>
      </c>
      <c r="K206">
        <f t="shared" si="11"/>
        <v>457.16219999999998</v>
      </c>
      <c r="N206">
        <v>1385.34</v>
      </c>
      <c r="O206">
        <v>457.16219999999998</v>
      </c>
      <c r="P206">
        <f t="shared" si="9"/>
        <v>928.17779999999993</v>
      </c>
    </row>
    <row r="207" spans="1:16" x14ac:dyDescent="0.25">
      <c r="A207">
        <v>26</v>
      </c>
      <c r="B207">
        <v>99.06</v>
      </c>
      <c r="C207">
        <f t="shared" si="10"/>
        <v>2575.56</v>
      </c>
      <c r="H207">
        <v>26</v>
      </c>
      <c r="I207">
        <v>99.06</v>
      </c>
      <c r="J207" s="11">
        <v>7.0000000000000007E-2</v>
      </c>
      <c r="K207">
        <f t="shared" si="11"/>
        <v>180.28920000000002</v>
      </c>
      <c r="N207">
        <v>2575.56</v>
      </c>
      <c r="O207">
        <v>180.28920000000002</v>
      </c>
      <c r="P207">
        <f t="shared" si="9"/>
        <v>2395.2707999999998</v>
      </c>
    </row>
    <row r="208" spans="1:16" x14ac:dyDescent="0.25">
      <c r="A208">
        <v>42</v>
      </c>
      <c r="B208">
        <v>53</v>
      </c>
      <c r="C208">
        <f t="shared" si="10"/>
        <v>2226</v>
      </c>
      <c r="H208">
        <v>42</v>
      </c>
      <c r="I208">
        <v>53</v>
      </c>
      <c r="J208" s="11">
        <v>0.49</v>
      </c>
      <c r="K208">
        <f t="shared" si="11"/>
        <v>1090.74</v>
      </c>
      <c r="N208">
        <v>2226</v>
      </c>
      <c r="O208">
        <v>1090.74</v>
      </c>
      <c r="P208">
        <f t="shared" si="9"/>
        <v>1135.26</v>
      </c>
    </row>
    <row r="209" spans="1:16" x14ac:dyDescent="0.25">
      <c r="A209">
        <v>13</v>
      </c>
      <c r="B209">
        <v>56.57</v>
      </c>
      <c r="C209">
        <f t="shared" si="10"/>
        <v>735.41</v>
      </c>
      <c r="H209">
        <v>13</v>
      </c>
      <c r="I209">
        <v>56.57</v>
      </c>
      <c r="J209" s="11">
        <v>0.21</v>
      </c>
      <c r="K209">
        <f t="shared" si="11"/>
        <v>154.43609999999998</v>
      </c>
      <c r="N209">
        <v>735.41</v>
      </c>
      <c r="O209">
        <v>154.43609999999998</v>
      </c>
      <c r="P209">
        <f t="shared" si="9"/>
        <v>580.97389999999996</v>
      </c>
    </row>
    <row r="210" spans="1:16" x14ac:dyDescent="0.25">
      <c r="A210">
        <v>2</v>
      </c>
      <c r="B210">
        <v>33.200000000000003</v>
      </c>
      <c r="C210">
        <f t="shared" si="10"/>
        <v>66.400000000000006</v>
      </c>
      <c r="H210">
        <v>2</v>
      </c>
      <c r="I210">
        <v>33.200000000000003</v>
      </c>
      <c r="J210" s="11">
        <v>0.41</v>
      </c>
      <c r="K210">
        <f t="shared" si="11"/>
        <v>27.224</v>
      </c>
      <c r="N210">
        <v>66.400000000000006</v>
      </c>
      <c r="O210">
        <v>27.224</v>
      </c>
      <c r="P210">
        <f t="shared" si="9"/>
        <v>39.176000000000002</v>
      </c>
    </row>
    <row r="211" spans="1:16" x14ac:dyDescent="0.25">
      <c r="A211">
        <v>26</v>
      </c>
      <c r="B211">
        <v>36.200000000000003</v>
      </c>
      <c r="C211">
        <f t="shared" si="10"/>
        <v>941.2</v>
      </c>
      <c r="H211">
        <v>26</v>
      </c>
      <c r="I211">
        <v>36.200000000000003</v>
      </c>
      <c r="J211" s="11">
        <v>0.19</v>
      </c>
      <c r="K211">
        <f t="shared" si="11"/>
        <v>178.828</v>
      </c>
      <c r="N211">
        <v>941.2</v>
      </c>
      <c r="O211">
        <v>178.828</v>
      </c>
      <c r="P211">
        <f t="shared" si="9"/>
        <v>762.37200000000007</v>
      </c>
    </row>
    <row r="212" spans="1:16" x14ac:dyDescent="0.25">
      <c r="A212">
        <v>29</v>
      </c>
      <c r="B212">
        <v>32.47</v>
      </c>
      <c r="C212">
        <f t="shared" si="10"/>
        <v>941.63</v>
      </c>
      <c r="H212">
        <v>29</v>
      </c>
      <c r="I212">
        <v>32.47</v>
      </c>
      <c r="J212" s="11">
        <v>0.45</v>
      </c>
      <c r="K212">
        <f t="shared" si="11"/>
        <v>423.73349999999999</v>
      </c>
      <c r="N212">
        <v>941.63</v>
      </c>
      <c r="O212">
        <v>423.73349999999999</v>
      </c>
      <c r="P212">
        <f t="shared" si="9"/>
        <v>517.89650000000006</v>
      </c>
    </row>
    <row r="213" spans="1:16" x14ac:dyDescent="0.25">
      <c r="A213">
        <v>12</v>
      </c>
      <c r="B213">
        <v>78.94</v>
      </c>
      <c r="C213">
        <f t="shared" si="10"/>
        <v>947.28</v>
      </c>
      <c r="H213">
        <v>12</v>
      </c>
      <c r="I213">
        <v>78.94</v>
      </c>
      <c r="J213" s="11">
        <v>0.41</v>
      </c>
      <c r="K213">
        <f t="shared" si="11"/>
        <v>388.38479999999998</v>
      </c>
      <c r="N213">
        <v>947.28</v>
      </c>
      <c r="O213">
        <v>388.38479999999998</v>
      </c>
      <c r="P213">
        <f t="shared" si="9"/>
        <v>558.89519999999993</v>
      </c>
    </row>
    <row r="214" spans="1:16" x14ac:dyDescent="0.25">
      <c r="A214">
        <v>3</v>
      </c>
      <c r="B214">
        <v>20</v>
      </c>
      <c r="C214">
        <f t="shared" si="10"/>
        <v>60</v>
      </c>
      <c r="H214">
        <v>3</v>
      </c>
      <c r="I214">
        <v>20</v>
      </c>
      <c r="J214" s="11">
        <v>0.5</v>
      </c>
      <c r="K214">
        <f t="shared" si="11"/>
        <v>30</v>
      </c>
      <c r="N214">
        <v>60</v>
      </c>
      <c r="O214">
        <v>30</v>
      </c>
      <c r="P214">
        <f t="shared" si="9"/>
        <v>30</v>
      </c>
    </row>
    <row r="215" spans="1:16" x14ac:dyDescent="0.25">
      <c r="A215">
        <v>18</v>
      </c>
      <c r="B215">
        <v>16.899999999999999</v>
      </c>
      <c r="C215">
        <f t="shared" si="10"/>
        <v>304.2</v>
      </c>
      <c r="H215">
        <v>18</v>
      </c>
      <c r="I215">
        <v>16.899999999999999</v>
      </c>
      <c r="J215" s="11">
        <v>0.19</v>
      </c>
      <c r="K215">
        <f t="shared" si="11"/>
        <v>57.798000000000002</v>
      </c>
      <c r="N215">
        <v>304.2</v>
      </c>
      <c r="O215">
        <v>57.798000000000002</v>
      </c>
      <c r="P215">
        <f t="shared" si="9"/>
        <v>246.40199999999999</v>
      </c>
    </row>
    <row r="216" spans="1:16" x14ac:dyDescent="0.25">
      <c r="A216">
        <v>40</v>
      </c>
      <c r="B216">
        <v>46.19</v>
      </c>
      <c r="C216">
        <f t="shared" si="10"/>
        <v>1847.6</v>
      </c>
      <c r="H216">
        <v>40</v>
      </c>
      <c r="I216">
        <v>46.19</v>
      </c>
      <c r="J216" s="11">
        <v>0.15</v>
      </c>
      <c r="K216">
        <f t="shared" si="11"/>
        <v>277.14</v>
      </c>
      <c r="N216">
        <v>1847.6</v>
      </c>
      <c r="O216">
        <v>277.14</v>
      </c>
      <c r="P216">
        <f t="shared" si="9"/>
        <v>1570.46</v>
      </c>
    </row>
    <row r="217" spans="1:16" x14ac:dyDescent="0.25">
      <c r="A217">
        <v>30</v>
      </c>
      <c r="B217">
        <v>66.69</v>
      </c>
      <c r="C217">
        <f t="shared" si="10"/>
        <v>2000.6999999999998</v>
      </c>
      <c r="H217">
        <v>30</v>
      </c>
      <c r="I217">
        <v>66.69</v>
      </c>
      <c r="J217" s="11">
        <v>7.0000000000000007E-2</v>
      </c>
      <c r="K217">
        <f t="shared" si="11"/>
        <v>140.04900000000001</v>
      </c>
      <c r="N217">
        <v>2000.6999999999998</v>
      </c>
      <c r="O217">
        <v>140.04900000000001</v>
      </c>
      <c r="P217">
        <f t="shared" si="9"/>
        <v>1860.6509999999998</v>
      </c>
    </row>
    <row r="218" spans="1:16" x14ac:dyDescent="0.25">
      <c r="A218">
        <v>39</v>
      </c>
      <c r="B218">
        <v>62.01</v>
      </c>
      <c r="C218">
        <f t="shared" si="10"/>
        <v>2418.39</v>
      </c>
      <c r="H218">
        <v>39</v>
      </c>
      <c r="I218">
        <v>62.01</v>
      </c>
      <c r="J218" s="11">
        <v>0.38</v>
      </c>
      <c r="K218">
        <f t="shared" si="11"/>
        <v>918.98820000000001</v>
      </c>
      <c r="N218">
        <v>2418.39</v>
      </c>
      <c r="O218">
        <v>918.98820000000001</v>
      </c>
      <c r="P218">
        <f t="shared" si="9"/>
        <v>1499.4017999999999</v>
      </c>
    </row>
    <row r="219" spans="1:16" x14ac:dyDescent="0.25">
      <c r="A219">
        <v>42</v>
      </c>
      <c r="B219">
        <v>26.85</v>
      </c>
      <c r="C219">
        <f t="shared" si="10"/>
        <v>1127.7</v>
      </c>
      <c r="H219">
        <v>42</v>
      </c>
      <c r="I219">
        <v>26.85</v>
      </c>
      <c r="J219" s="11">
        <v>0.08</v>
      </c>
      <c r="K219">
        <f t="shared" si="11"/>
        <v>90.216000000000008</v>
      </c>
      <c r="N219">
        <v>1127.7</v>
      </c>
      <c r="O219">
        <v>90.216000000000008</v>
      </c>
      <c r="P219">
        <f t="shared" si="9"/>
        <v>1037.4839999999999</v>
      </c>
    </row>
    <row r="220" spans="1:16" x14ac:dyDescent="0.25">
      <c r="A220">
        <v>35</v>
      </c>
      <c r="B220">
        <v>44.46</v>
      </c>
      <c r="C220">
        <f t="shared" si="10"/>
        <v>1556.1000000000001</v>
      </c>
      <c r="H220">
        <v>35</v>
      </c>
      <c r="I220">
        <v>44.46</v>
      </c>
      <c r="J220" s="11">
        <v>0.35</v>
      </c>
      <c r="K220">
        <f t="shared" si="11"/>
        <v>544.63499999999999</v>
      </c>
      <c r="N220">
        <v>1556.1000000000001</v>
      </c>
      <c r="O220">
        <v>544.63499999999999</v>
      </c>
      <c r="P220">
        <f t="shared" si="9"/>
        <v>1011.4650000000001</v>
      </c>
    </row>
    <row r="221" spans="1:16" x14ac:dyDescent="0.25">
      <c r="A221">
        <v>49</v>
      </c>
      <c r="B221">
        <v>33.6</v>
      </c>
      <c r="C221">
        <f t="shared" si="10"/>
        <v>1646.4</v>
      </c>
      <c r="H221">
        <v>49</v>
      </c>
      <c r="I221">
        <v>33.6</v>
      </c>
      <c r="J221" s="11">
        <v>0.3</v>
      </c>
      <c r="K221">
        <f t="shared" si="11"/>
        <v>493.92</v>
      </c>
      <c r="N221">
        <v>1646.4</v>
      </c>
      <c r="O221">
        <v>493.92</v>
      </c>
      <c r="P221">
        <f t="shared" si="9"/>
        <v>1152.48</v>
      </c>
    </row>
    <row r="222" spans="1:16" x14ac:dyDescent="0.25">
      <c r="A222">
        <v>9</v>
      </c>
      <c r="B222">
        <v>69.45</v>
      </c>
      <c r="C222">
        <f t="shared" si="10"/>
        <v>625.05000000000007</v>
      </c>
      <c r="H222">
        <v>9</v>
      </c>
      <c r="I222">
        <v>69.45</v>
      </c>
      <c r="J222" s="11">
        <v>0.49</v>
      </c>
      <c r="K222">
        <f t="shared" si="11"/>
        <v>306.27450000000005</v>
      </c>
      <c r="N222">
        <v>625.05000000000007</v>
      </c>
      <c r="O222">
        <v>306.27450000000005</v>
      </c>
      <c r="P222">
        <f t="shared" si="9"/>
        <v>318.77550000000002</v>
      </c>
    </row>
    <row r="223" spans="1:16" x14ac:dyDescent="0.25">
      <c r="A223">
        <v>46</v>
      </c>
      <c r="B223">
        <v>5.37</v>
      </c>
      <c r="C223">
        <f t="shared" si="10"/>
        <v>247.02</v>
      </c>
      <c r="H223">
        <v>46</v>
      </c>
      <c r="I223">
        <v>5.37</v>
      </c>
      <c r="J223" s="11">
        <v>0.28999999999999998</v>
      </c>
      <c r="K223">
        <f t="shared" si="11"/>
        <v>71.635800000000003</v>
      </c>
      <c r="N223">
        <v>247.02</v>
      </c>
      <c r="O223">
        <v>71.635800000000003</v>
      </c>
      <c r="P223">
        <f t="shared" si="9"/>
        <v>175.38420000000002</v>
      </c>
    </row>
    <row r="224" spans="1:16" x14ac:dyDescent="0.25">
      <c r="A224">
        <v>9</v>
      </c>
      <c r="B224">
        <v>53</v>
      </c>
      <c r="C224">
        <f t="shared" si="10"/>
        <v>477</v>
      </c>
      <c r="H224">
        <v>9</v>
      </c>
      <c r="I224">
        <v>53</v>
      </c>
      <c r="J224" s="11">
        <v>0.21</v>
      </c>
      <c r="K224">
        <f t="shared" si="11"/>
        <v>100.17</v>
      </c>
      <c r="N224">
        <v>477</v>
      </c>
      <c r="O224">
        <v>100.17</v>
      </c>
      <c r="P224">
        <f t="shared" si="9"/>
        <v>376.83</v>
      </c>
    </row>
    <row r="225" spans="1:16" x14ac:dyDescent="0.25">
      <c r="A225">
        <v>42</v>
      </c>
      <c r="B225">
        <v>86.71</v>
      </c>
      <c r="C225">
        <f t="shared" si="10"/>
        <v>3641.8199999999997</v>
      </c>
      <c r="H225">
        <v>42</v>
      </c>
      <c r="I225">
        <v>86.71</v>
      </c>
      <c r="J225" s="11">
        <v>0.26</v>
      </c>
      <c r="K225">
        <f t="shared" si="11"/>
        <v>946.8732</v>
      </c>
      <c r="N225">
        <v>3641.8199999999997</v>
      </c>
      <c r="O225">
        <v>946.8732</v>
      </c>
      <c r="P225">
        <f t="shared" si="9"/>
        <v>2694.9467999999997</v>
      </c>
    </row>
    <row r="226" spans="1:16" x14ac:dyDescent="0.25">
      <c r="A226">
        <v>41</v>
      </c>
      <c r="B226">
        <v>49.11</v>
      </c>
      <c r="C226">
        <f t="shared" si="10"/>
        <v>2013.51</v>
      </c>
      <c r="H226">
        <v>41</v>
      </c>
      <c r="I226">
        <v>49.11</v>
      </c>
      <c r="J226" s="11">
        <v>0.02</v>
      </c>
      <c r="K226">
        <f t="shared" si="11"/>
        <v>40.270200000000003</v>
      </c>
      <c r="N226">
        <v>2013.51</v>
      </c>
      <c r="O226">
        <v>40.270200000000003</v>
      </c>
      <c r="P226">
        <f t="shared" si="9"/>
        <v>1973.2398000000001</v>
      </c>
    </row>
    <row r="227" spans="1:16" x14ac:dyDescent="0.25">
      <c r="A227">
        <v>26</v>
      </c>
      <c r="B227">
        <v>54.42</v>
      </c>
      <c r="C227">
        <f t="shared" si="10"/>
        <v>1414.92</v>
      </c>
      <c r="H227">
        <v>26</v>
      </c>
      <c r="I227">
        <v>54.42</v>
      </c>
      <c r="J227" s="11">
        <v>0.11</v>
      </c>
      <c r="K227">
        <f t="shared" si="11"/>
        <v>155.6412</v>
      </c>
      <c r="N227">
        <v>1414.92</v>
      </c>
      <c r="O227">
        <v>155.6412</v>
      </c>
      <c r="P227">
        <f t="shared" si="9"/>
        <v>1259.2788</v>
      </c>
    </row>
    <row r="228" spans="1:16" x14ac:dyDescent="0.25">
      <c r="A228">
        <v>20</v>
      </c>
      <c r="B228">
        <v>11.97</v>
      </c>
      <c r="C228">
        <f t="shared" si="10"/>
        <v>239.4</v>
      </c>
      <c r="H228">
        <v>20</v>
      </c>
      <c r="I228">
        <v>11.97</v>
      </c>
      <c r="J228" s="11">
        <v>0.14000000000000001</v>
      </c>
      <c r="K228">
        <f t="shared" si="11"/>
        <v>33.516000000000005</v>
      </c>
      <c r="N228">
        <v>239.4</v>
      </c>
      <c r="O228">
        <v>33.516000000000005</v>
      </c>
      <c r="P228">
        <f t="shared" si="9"/>
        <v>205.88400000000001</v>
      </c>
    </row>
    <row r="229" spans="1:16" x14ac:dyDescent="0.25">
      <c r="A229">
        <v>48</v>
      </c>
      <c r="B229">
        <v>62.19</v>
      </c>
      <c r="C229">
        <f t="shared" si="10"/>
        <v>2985.12</v>
      </c>
      <c r="H229">
        <v>48</v>
      </c>
      <c r="I229">
        <v>62.19</v>
      </c>
      <c r="J229" s="11">
        <v>0.47</v>
      </c>
      <c r="K229">
        <f t="shared" si="11"/>
        <v>1403.0063999999998</v>
      </c>
      <c r="N229">
        <v>2985.12</v>
      </c>
      <c r="O229">
        <v>1403.0063999999998</v>
      </c>
      <c r="P229">
        <f t="shared" si="9"/>
        <v>1582.1136000000001</v>
      </c>
    </row>
    <row r="230" spans="1:16" x14ac:dyDescent="0.25">
      <c r="A230">
        <v>17</v>
      </c>
      <c r="B230">
        <v>76.97</v>
      </c>
      <c r="C230">
        <f t="shared" si="10"/>
        <v>1308.49</v>
      </c>
      <c r="H230">
        <v>17</v>
      </c>
      <c r="I230">
        <v>76.97</v>
      </c>
      <c r="J230" s="11">
        <v>0.3</v>
      </c>
      <c r="K230">
        <f t="shared" si="11"/>
        <v>392.54699999999997</v>
      </c>
      <c r="N230">
        <v>1308.49</v>
      </c>
      <c r="O230">
        <v>392.54699999999997</v>
      </c>
      <c r="P230">
        <f t="shared" si="9"/>
        <v>915.94299999999998</v>
      </c>
    </row>
    <row r="231" spans="1:16" x14ac:dyDescent="0.25">
      <c r="A231">
        <v>12</v>
      </c>
      <c r="B231">
        <v>73.87</v>
      </c>
      <c r="C231">
        <f t="shared" si="10"/>
        <v>886.44</v>
      </c>
      <c r="H231">
        <v>12</v>
      </c>
      <c r="I231">
        <v>73.87</v>
      </c>
      <c r="J231" s="11">
        <v>0.09</v>
      </c>
      <c r="K231">
        <f t="shared" si="11"/>
        <v>79.779600000000002</v>
      </c>
      <c r="N231">
        <v>886.44</v>
      </c>
      <c r="O231">
        <v>79.779600000000002</v>
      </c>
      <c r="P231">
        <f t="shared" si="9"/>
        <v>806.6604000000001</v>
      </c>
    </row>
    <row r="232" spans="1:16" x14ac:dyDescent="0.25">
      <c r="A232">
        <v>2</v>
      </c>
      <c r="B232">
        <v>72.89</v>
      </c>
      <c r="C232">
        <f t="shared" si="10"/>
        <v>145.78</v>
      </c>
      <c r="H232">
        <v>2</v>
      </c>
      <c r="I232">
        <v>72.89</v>
      </c>
      <c r="J232" s="11">
        <v>0.31</v>
      </c>
      <c r="K232">
        <f t="shared" si="11"/>
        <v>45.191800000000001</v>
      </c>
      <c r="N232">
        <v>145.78</v>
      </c>
      <c r="O232">
        <v>45.191800000000001</v>
      </c>
      <c r="P232">
        <f t="shared" si="9"/>
        <v>100.5882</v>
      </c>
    </row>
    <row r="233" spans="1:16" x14ac:dyDescent="0.25">
      <c r="A233">
        <v>31</v>
      </c>
      <c r="B233">
        <v>4.28</v>
      </c>
      <c r="C233">
        <f t="shared" si="10"/>
        <v>132.68</v>
      </c>
      <c r="H233">
        <v>31</v>
      </c>
      <c r="I233">
        <v>4.28</v>
      </c>
      <c r="J233" s="11">
        <v>0.02</v>
      </c>
      <c r="K233">
        <f t="shared" si="11"/>
        <v>2.6536000000000004</v>
      </c>
      <c r="N233">
        <v>132.68</v>
      </c>
      <c r="O233">
        <v>2.6536000000000004</v>
      </c>
      <c r="P233">
        <f t="shared" si="9"/>
        <v>130.0264</v>
      </c>
    </row>
    <row r="234" spans="1:16" x14ac:dyDescent="0.25">
      <c r="A234">
        <v>15</v>
      </c>
      <c r="B234">
        <v>43.87</v>
      </c>
      <c r="C234">
        <f t="shared" si="10"/>
        <v>658.05</v>
      </c>
      <c r="H234">
        <v>15</v>
      </c>
      <c r="I234">
        <v>43.87</v>
      </c>
      <c r="J234" s="11">
        <v>0.41</v>
      </c>
      <c r="K234">
        <f t="shared" si="11"/>
        <v>269.80049999999994</v>
      </c>
      <c r="N234">
        <v>658.05</v>
      </c>
      <c r="O234">
        <v>269.80049999999994</v>
      </c>
      <c r="P234">
        <f t="shared" si="9"/>
        <v>388.24950000000001</v>
      </c>
    </row>
    <row r="235" spans="1:16" x14ac:dyDescent="0.25">
      <c r="A235">
        <v>7</v>
      </c>
      <c r="B235">
        <v>51.84</v>
      </c>
      <c r="C235">
        <f t="shared" si="10"/>
        <v>362.88</v>
      </c>
      <c r="H235">
        <v>7</v>
      </c>
      <c r="I235">
        <v>51.84</v>
      </c>
      <c r="J235" s="11">
        <v>0.36</v>
      </c>
      <c r="K235">
        <f t="shared" si="11"/>
        <v>130.63679999999999</v>
      </c>
      <c r="N235">
        <v>362.88</v>
      </c>
      <c r="O235">
        <v>130.63679999999999</v>
      </c>
      <c r="P235">
        <f t="shared" si="9"/>
        <v>232.2432</v>
      </c>
    </row>
    <row r="236" spans="1:16" x14ac:dyDescent="0.25">
      <c r="A236">
        <v>34</v>
      </c>
      <c r="B236">
        <v>29.09</v>
      </c>
      <c r="C236">
        <f t="shared" si="10"/>
        <v>989.06</v>
      </c>
      <c r="H236">
        <v>34</v>
      </c>
      <c r="I236">
        <v>29.09</v>
      </c>
      <c r="J236" s="11">
        <v>0.4</v>
      </c>
      <c r="K236">
        <f t="shared" si="11"/>
        <v>395.62400000000002</v>
      </c>
      <c r="N236">
        <v>989.06</v>
      </c>
      <c r="O236">
        <v>395.62400000000002</v>
      </c>
      <c r="P236">
        <f t="shared" si="9"/>
        <v>593.43599999999992</v>
      </c>
    </row>
    <row r="237" spans="1:16" x14ac:dyDescent="0.25">
      <c r="A237">
        <v>40</v>
      </c>
      <c r="B237">
        <v>56.88</v>
      </c>
      <c r="C237">
        <f t="shared" si="10"/>
        <v>2275.2000000000003</v>
      </c>
      <c r="H237">
        <v>40</v>
      </c>
      <c r="I237">
        <v>56.88</v>
      </c>
      <c r="J237" s="11">
        <v>0.05</v>
      </c>
      <c r="K237">
        <f t="shared" si="11"/>
        <v>113.76000000000002</v>
      </c>
      <c r="N237">
        <v>2275.2000000000003</v>
      </c>
      <c r="O237">
        <v>113.76000000000002</v>
      </c>
      <c r="P237">
        <f t="shared" si="9"/>
        <v>2161.44</v>
      </c>
    </row>
    <row r="238" spans="1:16" x14ac:dyDescent="0.25">
      <c r="A238">
        <v>21</v>
      </c>
      <c r="B238">
        <v>96.69</v>
      </c>
      <c r="C238">
        <f t="shared" si="10"/>
        <v>2030.49</v>
      </c>
      <c r="H238">
        <v>21</v>
      </c>
      <c r="I238">
        <v>96.69</v>
      </c>
      <c r="J238" s="11">
        <v>0.1</v>
      </c>
      <c r="K238">
        <f t="shared" si="11"/>
        <v>203.04900000000001</v>
      </c>
      <c r="N238">
        <v>2030.49</v>
      </c>
      <c r="O238">
        <v>203.04900000000001</v>
      </c>
      <c r="P238">
        <f t="shared" si="9"/>
        <v>1827.441</v>
      </c>
    </row>
    <row r="239" spans="1:16" x14ac:dyDescent="0.25">
      <c r="A239">
        <v>13</v>
      </c>
      <c r="B239">
        <v>87.62</v>
      </c>
      <c r="C239">
        <f t="shared" si="10"/>
        <v>1139.06</v>
      </c>
      <c r="H239">
        <v>13</v>
      </c>
      <c r="I239">
        <v>87.62</v>
      </c>
      <c r="J239" s="11">
        <v>0.44</v>
      </c>
      <c r="K239">
        <f t="shared" si="11"/>
        <v>501.18639999999999</v>
      </c>
      <c r="N239">
        <v>1139.06</v>
      </c>
      <c r="O239">
        <v>501.18639999999999</v>
      </c>
      <c r="P239">
        <f t="shared" si="9"/>
        <v>637.8735999999999</v>
      </c>
    </row>
    <row r="240" spans="1:16" x14ac:dyDescent="0.25">
      <c r="A240">
        <v>49</v>
      </c>
      <c r="B240">
        <v>26.86</v>
      </c>
      <c r="C240">
        <f t="shared" si="10"/>
        <v>1316.1399999999999</v>
      </c>
      <c r="H240">
        <v>49</v>
      </c>
      <c r="I240">
        <v>26.86</v>
      </c>
      <c r="J240" s="11">
        <v>0.27</v>
      </c>
      <c r="K240">
        <f t="shared" si="11"/>
        <v>355.3578</v>
      </c>
      <c r="N240">
        <v>1316.1399999999999</v>
      </c>
      <c r="O240">
        <v>355.3578</v>
      </c>
      <c r="P240">
        <f t="shared" si="9"/>
        <v>960.78219999999988</v>
      </c>
    </row>
    <row r="241" spans="1:16" x14ac:dyDescent="0.25">
      <c r="A241">
        <v>2</v>
      </c>
      <c r="B241">
        <v>82.39</v>
      </c>
      <c r="C241">
        <f t="shared" si="10"/>
        <v>164.78</v>
      </c>
      <c r="H241">
        <v>2</v>
      </c>
      <c r="I241">
        <v>82.39</v>
      </c>
      <c r="J241" s="11">
        <v>0.42</v>
      </c>
      <c r="K241">
        <f t="shared" si="11"/>
        <v>69.207599999999999</v>
      </c>
      <c r="N241">
        <v>164.78</v>
      </c>
      <c r="O241">
        <v>69.207599999999999</v>
      </c>
      <c r="P241">
        <f t="shared" si="9"/>
        <v>95.572400000000002</v>
      </c>
    </row>
    <row r="242" spans="1:16" x14ac:dyDescent="0.25">
      <c r="A242">
        <v>8</v>
      </c>
      <c r="B242">
        <v>53</v>
      </c>
      <c r="C242">
        <f t="shared" si="10"/>
        <v>424</v>
      </c>
      <c r="H242">
        <v>8</v>
      </c>
      <c r="I242">
        <v>53</v>
      </c>
      <c r="J242" s="11">
        <v>0.43</v>
      </c>
      <c r="K242">
        <f t="shared" si="11"/>
        <v>182.32</v>
      </c>
      <c r="N242">
        <v>424</v>
      </c>
      <c r="O242">
        <v>182.32</v>
      </c>
      <c r="P242">
        <f t="shared" si="9"/>
        <v>241.68</v>
      </c>
    </row>
    <row r="243" spans="1:16" x14ac:dyDescent="0.25">
      <c r="A243">
        <v>20</v>
      </c>
      <c r="B243">
        <v>90.13</v>
      </c>
      <c r="C243">
        <f t="shared" si="10"/>
        <v>1802.6</v>
      </c>
      <c r="H243">
        <v>20</v>
      </c>
      <c r="I243">
        <v>90.13</v>
      </c>
      <c r="J243" s="11">
        <v>0.12</v>
      </c>
      <c r="K243">
        <f t="shared" si="11"/>
        <v>216.31199999999998</v>
      </c>
      <c r="N243">
        <v>1802.6</v>
      </c>
      <c r="O243">
        <v>216.31199999999998</v>
      </c>
      <c r="P243">
        <f t="shared" si="9"/>
        <v>1586.288</v>
      </c>
    </row>
    <row r="244" spans="1:16" x14ac:dyDescent="0.25">
      <c r="A244">
        <v>19</v>
      </c>
      <c r="B244">
        <v>66.959999999999994</v>
      </c>
      <c r="C244">
        <f t="shared" si="10"/>
        <v>1272.2399999999998</v>
      </c>
      <c r="H244">
        <v>19</v>
      </c>
      <c r="I244">
        <v>66.959999999999994</v>
      </c>
      <c r="J244" s="11">
        <v>0.18</v>
      </c>
      <c r="K244">
        <f t="shared" si="11"/>
        <v>229.00319999999996</v>
      </c>
      <c r="N244">
        <v>1272.2399999999998</v>
      </c>
      <c r="O244">
        <v>229.00319999999996</v>
      </c>
      <c r="P244">
        <f t="shared" si="9"/>
        <v>1043.2367999999999</v>
      </c>
    </row>
    <row r="245" spans="1:16" x14ac:dyDescent="0.25">
      <c r="A245">
        <v>25</v>
      </c>
      <c r="B245">
        <v>83.53</v>
      </c>
      <c r="C245">
        <f t="shared" si="10"/>
        <v>2088.25</v>
      </c>
      <c r="H245">
        <v>25</v>
      </c>
      <c r="I245">
        <v>83.53</v>
      </c>
      <c r="J245" s="11">
        <v>0.18</v>
      </c>
      <c r="K245">
        <f t="shared" si="11"/>
        <v>375.88499999999999</v>
      </c>
      <c r="N245">
        <v>2088.25</v>
      </c>
      <c r="O245">
        <v>375.88499999999999</v>
      </c>
      <c r="P245">
        <f t="shared" si="9"/>
        <v>1712.365</v>
      </c>
    </row>
    <row r="246" spans="1:16" x14ac:dyDescent="0.25">
      <c r="A246">
        <v>49</v>
      </c>
      <c r="B246">
        <v>51.85</v>
      </c>
      <c r="C246">
        <f t="shared" si="10"/>
        <v>2540.65</v>
      </c>
      <c r="H246">
        <v>49</v>
      </c>
      <c r="I246">
        <v>51.85</v>
      </c>
      <c r="J246" s="11">
        <v>0.39</v>
      </c>
      <c r="K246">
        <f t="shared" si="11"/>
        <v>990.85350000000005</v>
      </c>
      <c r="N246">
        <v>2540.65</v>
      </c>
      <c r="O246">
        <v>990.85350000000005</v>
      </c>
      <c r="P246">
        <f t="shared" si="9"/>
        <v>1549.7964999999999</v>
      </c>
    </row>
    <row r="247" spans="1:16" x14ac:dyDescent="0.25">
      <c r="A247">
        <v>26</v>
      </c>
      <c r="B247">
        <v>96.93</v>
      </c>
      <c r="C247">
        <f t="shared" si="10"/>
        <v>2520.1800000000003</v>
      </c>
      <c r="H247">
        <v>26</v>
      </c>
      <c r="I247">
        <v>96.93</v>
      </c>
      <c r="J247" s="11">
        <v>0.13</v>
      </c>
      <c r="K247">
        <f t="shared" si="11"/>
        <v>327.62340000000006</v>
      </c>
      <c r="N247">
        <v>2520.1800000000003</v>
      </c>
      <c r="O247">
        <v>327.62340000000006</v>
      </c>
      <c r="P247">
        <f t="shared" si="9"/>
        <v>2192.5566000000003</v>
      </c>
    </row>
    <row r="248" spans="1:16" x14ac:dyDescent="0.25">
      <c r="A248">
        <v>20</v>
      </c>
      <c r="B248">
        <v>76.11</v>
      </c>
      <c r="C248">
        <f t="shared" si="10"/>
        <v>1522.2</v>
      </c>
      <c r="H248">
        <v>20</v>
      </c>
      <c r="I248">
        <v>76.11</v>
      </c>
      <c r="J248" s="11">
        <v>0.33</v>
      </c>
      <c r="K248">
        <f t="shared" si="11"/>
        <v>502.32600000000002</v>
      </c>
      <c r="N248">
        <v>1522.2</v>
      </c>
      <c r="O248">
        <v>502.32600000000002</v>
      </c>
      <c r="P248">
        <f t="shared" si="9"/>
        <v>1019.874</v>
      </c>
    </row>
    <row r="249" spans="1:16" x14ac:dyDescent="0.25">
      <c r="A249">
        <v>31</v>
      </c>
      <c r="B249">
        <v>24.02</v>
      </c>
      <c r="C249">
        <f t="shared" si="10"/>
        <v>744.62</v>
      </c>
      <c r="H249">
        <v>31</v>
      </c>
      <c r="I249">
        <v>24.02</v>
      </c>
      <c r="J249" s="11">
        <v>0.26</v>
      </c>
      <c r="K249">
        <f t="shared" si="11"/>
        <v>193.60120000000001</v>
      </c>
      <c r="N249">
        <v>744.62</v>
      </c>
      <c r="O249">
        <v>193.60120000000001</v>
      </c>
      <c r="P249">
        <f t="shared" si="9"/>
        <v>551.01880000000006</v>
      </c>
    </row>
    <row r="250" spans="1:16" x14ac:dyDescent="0.25">
      <c r="A250">
        <v>17</v>
      </c>
      <c r="B250">
        <v>94.43</v>
      </c>
      <c r="C250">
        <f t="shared" si="10"/>
        <v>1605.3100000000002</v>
      </c>
      <c r="H250">
        <v>17</v>
      </c>
      <c r="I250">
        <v>94.43</v>
      </c>
      <c r="J250" s="11">
        <v>0.24</v>
      </c>
      <c r="K250">
        <f t="shared" si="11"/>
        <v>385.27440000000001</v>
      </c>
      <c r="N250">
        <v>1605.3100000000002</v>
      </c>
      <c r="O250">
        <v>385.27440000000001</v>
      </c>
      <c r="P250">
        <f t="shared" si="9"/>
        <v>1220.0356000000002</v>
      </c>
    </row>
    <row r="251" spans="1:16" x14ac:dyDescent="0.25">
      <c r="A251">
        <v>23</v>
      </c>
      <c r="B251">
        <v>62.26</v>
      </c>
      <c r="C251">
        <f t="shared" si="10"/>
        <v>1431.98</v>
      </c>
      <c r="H251">
        <v>23</v>
      </c>
      <c r="I251">
        <v>62.26</v>
      </c>
      <c r="J251" s="11">
        <v>0.16</v>
      </c>
      <c r="K251">
        <f t="shared" si="11"/>
        <v>229.11680000000001</v>
      </c>
      <c r="N251">
        <v>1431.98</v>
      </c>
      <c r="O251">
        <v>229.11680000000001</v>
      </c>
      <c r="P251">
        <f t="shared" si="9"/>
        <v>1202.8632</v>
      </c>
    </row>
    <row r="252" spans="1:16" x14ac:dyDescent="0.25">
      <c r="A252">
        <v>49</v>
      </c>
      <c r="B252">
        <v>46.58</v>
      </c>
      <c r="C252">
        <f t="shared" si="10"/>
        <v>2282.42</v>
      </c>
      <c r="H252">
        <v>49</v>
      </c>
      <c r="I252">
        <v>46.58</v>
      </c>
      <c r="J252" s="11">
        <v>0.08</v>
      </c>
      <c r="K252">
        <f t="shared" si="11"/>
        <v>182.59360000000001</v>
      </c>
      <c r="N252">
        <v>2282.42</v>
      </c>
      <c r="O252">
        <v>182.59360000000001</v>
      </c>
      <c r="P252">
        <f t="shared" si="9"/>
        <v>2099.8263999999999</v>
      </c>
    </row>
    <row r="253" spans="1:16" x14ac:dyDescent="0.25">
      <c r="A253">
        <v>37</v>
      </c>
      <c r="B253">
        <v>53.13</v>
      </c>
      <c r="C253">
        <f t="shared" si="10"/>
        <v>1965.8100000000002</v>
      </c>
      <c r="H253">
        <v>37</v>
      </c>
      <c r="I253">
        <v>53.13</v>
      </c>
      <c r="J253" s="11">
        <v>0.2</v>
      </c>
      <c r="K253">
        <f t="shared" si="11"/>
        <v>393.16200000000003</v>
      </c>
      <c r="N253">
        <v>1965.8100000000002</v>
      </c>
      <c r="O253">
        <v>393.16200000000003</v>
      </c>
      <c r="P253">
        <f t="shared" si="9"/>
        <v>1572.6480000000001</v>
      </c>
    </row>
    <row r="254" spans="1:16" x14ac:dyDescent="0.25">
      <c r="A254">
        <v>3</v>
      </c>
      <c r="B254">
        <v>14.21</v>
      </c>
      <c r="C254">
        <f t="shared" si="10"/>
        <v>42.63</v>
      </c>
      <c r="H254">
        <v>3</v>
      </c>
      <c r="I254">
        <v>14.21</v>
      </c>
      <c r="J254" s="11">
        <v>0.14000000000000001</v>
      </c>
      <c r="K254">
        <f t="shared" si="11"/>
        <v>5.9682000000000013</v>
      </c>
      <c r="N254">
        <v>42.63</v>
      </c>
      <c r="O254">
        <v>5.9682000000000013</v>
      </c>
      <c r="P254">
        <f t="shared" si="9"/>
        <v>36.661799999999999</v>
      </c>
    </row>
    <row r="255" spans="1:16" x14ac:dyDescent="0.25">
      <c r="A255">
        <v>22</v>
      </c>
      <c r="B255">
        <v>87</v>
      </c>
      <c r="C255">
        <f t="shared" si="10"/>
        <v>1914</v>
      </c>
      <c r="H255">
        <v>22</v>
      </c>
      <c r="I255">
        <v>87</v>
      </c>
      <c r="J255" s="11">
        <v>0.37</v>
      </c>
      <c r="K255">
        <f t="shared" si="11"/>
        <v>708.18</v>
      </c>
      <c r="N255">
        <v>1914</v>
      </c>
      <c r="O255">
        <v>708.18</v>
      </c>
      <c r="P255">
        <f t="shared" si="9"/>
        <v>1205.8200000000002</v>
      </c>
    </row>
    <row r="256" spans="1:16" x14ac:dyDescent="0.25">
      <c r="A256">
        <v>11</v>
      </c>
      <c r="B256">
        <v>23.17</v>
      </c>
      <c r="C256">
        <f t="shared" si="10"/>
        <v>254.87</v>
      </c>
      <c r="H256">
        <v>11</v>
      </c>
      <c r="I256">
        <v>23.17</v>
      </c>
      <c r="J256" s="11">
        <v>0.11</v>
      </c>
      <c r="K256">
        <f t="shared" si="11"/>
        <v>28.035700000000002</v>
      </c>
      <c r="N256">
        <v>254.87</v>
      </c>
      <c r="O256">
        <v>28.035700000000002</v>
      </c>
      <c r="P256">
        <f t="shared" si="9"/>
        <v>226.83430000000001</v>
      </c>
    </row>
    <row r="257" spans="1:16" x14ac:dyDescent="0.25">
      <c r="A257">
        <v>3</v>
      </c>
      <c r="B257">
        <v>76.599999999999994</v>
      </c>
      <c r="C257">
        <f t="shared" si="10"/>
        <v>229.79999999999998</v>
      </c>
      <c r="H257">
        <v>3</v>
      </c>
      <c r="I257">
        <v>76.599999999999994</v>
      </c>
      <c r="J257" s="11">
        <v>0.13</v>
      </c>
      <c r="K257">
        <f t="shared" si="11"/>
        <v>29.873999999999999</v>
      </c>
      <c r="N257">
        <v>229.79999999999998</v>
      </c>
      <c r="O257">
        <v>29.873999999999999</v>
      </c>
      <c r="P257">
        <f t="shared" si="9"/>
        <v>199.92599999999999</v>
      </c>
    </row>
    <row r="258" spans="1:16" x14ac:dyDescent="0.25">
      <c r="A258">
        <v>45</v>
      </c>
      <c r="B258">
        <v>76.03</v>
      </c>
      <c r="C258">
        <f t="shared" si="10"/>
        <v>3421.35</v>
      </c>
      <c r="H258">
        <v>45</v>
      </c>
      <c r="I258">
        <v>76.03</v>
      </c>
      <c r="J258" s="11">
        <v>0.33</v>
      </c>
      <c r="K258">
        <f t="shared" si="11"/>
        <v>1129.0454999999999</v>
      </c>
      <c r="N258">
        <v>3421.35</v>
      </c>
      <c r="O258">
        <v>1129.0454999999999</v>
      </c>
      <c r="P258">
        <f t="shared" ref="P258:P321" si="12">N258-O258</f>
        <v>2292.3045000000002</v>
      </c>
    </row>
    <row r="259" spans="1:16" x14ac:dyDescent="0.25">
      <c r="A259">
        <v>49</v>
      </c>
      <c r="B259">
        <v>90.06</v>
      </c>
      <c r="C259">
        <f t="shared" ref="C259:C322" si="13">A259*B259</f>
        <v>4412.9400000000005</v>
      </c>
      <c r="H259">
        <v>49</v>
      </c>
      <c r="I259">
        <v>90.06</v>
      </c>
      <c r="J259" s="11">
        <v>0.24</v>
      </c>
      <c r="K259">
        <f t="shared" ref="K259:K322" si="14">H259*I259*J259</f>
        <v>1059.1056000000001</v>
      </c>
      <c r="N259">
        <v>4412.9400000000005</v>
      </c>
      <c r="O259">
        <v>1059.1056000000001</v>
      </c>
      <c r="P259">
        <f t="shared" si="12"/>
        <v>3353.8344000000006</v>
      </c>
    </row>
    <row r="260" spans="1:16" x14ac:dyDescent="0.25">
      <c r="A260">
        <v>40</v>
      </c>
      <c r="B260">
        <v>77.95</v>
      </c>
      <c r="C260">
        <f t="shared" si="13"/>
        <v>3118</v>
      </c>
      <c r="H260">
        <v>40</v>
      </c>
      <c r="I260">
        <v>77.95</v>
      </c>
      <c r="J260" s="11">
        <v>0.06</v>
      </c>
      <c r="K260">
        <f t="shared" si="14"/>
        <v>187.07999999999998</v>
      </c>
      <c r="N260">
        <v>3118</v>
      </c>
      <c r="O260">
        <v>187.07999999999998</v>
      </c>
      <c r="P260">
        <f t="shared" si="12"/>
        <v>2930.92</v>
      </c>
    </row>
    <row r="261" spans="1:16" x14ac:dyDescent="0.25">
      <c r="A261">
        <v>27</v>
      </c>
      <c r="B261">
        <v>46.25</v>
      </c>
      <c r="C261">
        <f t="shared" si="13"/>
        <v>1248.75</v>
      </c>
      <c r="H261">
        <v>27</v>
      </c>
      <c r="I261">
        <v>46.25</v>
      </c>
      <c r="J261" s="11">
        <v>0.38</v>
      </c>
      <c r="K261">
        <f t="shared" si="14"/>
        <v>474.52499999999998</v>
      </c>
      <c r="N261">
        <v>1248.75</v>
      </c>
      <c r="O261">
        <v>474.52499999999998</v>
      </c>
      <c r="P261">
        <f t="shared" si="12"/>
        <v>774.22500000000002</v>
      </c>
    </row>
    <row r="262" spans="1:16" x14ac:dyDescent="0.25">
      <c r="A262">
        <v>1</v>
      </c>
      <c r="B262">
        <v>53</v>
      </c>
      <c r="C262">
        <f t="shared" si="13"/>
        <v>53</v>
      </c>
      <c r="H262">
        <v>1</v>
      </c>
      <c r="I262">
        <v>53</v>
      </c>
      <c r="J262" s="11">
        <v>0.2</v>
      </c>
      <c r="K262">
        <f t="shared" si="14"/>
        <v>10.600000000000001</v>
      </c>
      <c r="N262">
        <v>53</v>
      </c>
      <c r="O262">
        <v>10.600000000000001</v>
      </c>
      <c r="P262">
        <f t="shared" si="12"/>
        <v>42.4</v>
      </c>
    </row>
    <row r="263" spans="1:16" x14ac:dyDescent="0.25">
      <c r="A263">
        <v>7</v>
      </c>
      <c r="B263">
        <v>73.52</v>
      </c>
      <c r="C263">
        <f t="shared" si="13"/>
        <v>514.64</v>
      </c>
      <c r="H263">
        <v>7</v>
      </c>
      <c r="I263">
        <v>73.52</v>
      </c>
      <c r="J263" s="11">
        <v>0.15</v>
      </c>
      <c r="K263">
        <f t="shared" si="14"/>
        <v>77.195999999999998</v>
      </c>
      <c r="N263">
        <v>514.64</v>
      </c>
      <c r="O263">
        <v>77.195999999999998</v>
      </c>
      <c r="P263">
        <f t="shared" si="12"/>
        <v>437.44399999999996</v>
      </c>
    </row>
    <row r="264" spans="1:16" x14ac:dyDescent="0.25">
      <c r="A264">
        <v>5</v>
      </c>
      <c r="B264">
        <v>46.35</v>
      </c>
      <c r="C264">
        <f t="shared" si="13"/>
        <v>231.75</v>
      </c>
      <c r="H264">
        <v>5</v>
      </c>
      <c r="I264">
        <v>46.35</v>
      </c>
      <c r="J264" s="11">
        <v>0.19</v>
      </c>
      <c r="K264">
        <f t="shared" si="14"/>
        <v>44.032499999999999</v>
      </c>
      <c r="N264">
        <v>231.75</v>
      </c>
      <c r="O264">
        <v>44.032499999999999</v>
      </c>
      <c r="P264">
        <f t="shared" si="12"/>
        <v>187.7175</v>
      </c>
    </row>
    <row r="265" spans="1:16" x14ac:dyDescent="0.25">
      <c r="A265">
        <v>26</v>
      </c>
      <c r="B265">
        <v>53.04</v>
      </c>
      <c r="C265">
        <f t="shared" si="13"/>
        <v>1379.04</v>
      </c>
      <c r="H265">
        <v>26</v>
      </c>
      <c r="I265">
        <v>53.04</v>
      </c>
      <c r="J265" s="11">
        <v>0.09</v>
      </c>
      <c r="K265">
        <f t="shared" si="14"/>
        <v>124.11359999999999</v>
      </c>
      <c r="N265">
        <v>1379.04</v>
      </c>
      <c r="O265">
        <v>124.11359999999999</v>
      </c>
      <c r="P265">
        <f t="shared" si="12"/>
        <v>1254.9264000000001</v>
      </c>
    </row>
    <row r="266" spans="1:16" x14ac:dyDescent="0.25">
      <c r="A266">
        <v>20</v>
      </c>
      <c r="B266">
        <v>13.83</v>
      </c>
      <c r="C266">
        <f t="shared" si="13"/>
        <v>276.60000000000002</v>
      </c>
      <c r="H266">
        <v>20</v>
      </c>
      <c r="I266">
        <v>13.83</v>
      </c>
      <c r="J266" s="11">
        <v>0.06</v>
      </c>
      <c r="K266">
        <f t="shared" si="14"/>
        <v>16.596</v>
      </c>
      <c r="N266">
        <v>276.60000000000002</v>
      </c>
      <c r="O266">
        <v>16.596</v>
      </c>
      <c r="P266">
        <f t="shared" si="12"/>
        <v>260.00400000000002</v>
      </c>
    </row>
    <row r="267" spans="1:16" x14ac:dyDescent="0.25">
      <c r="A267">
        <v>4</v>
      </c>
      <c r="B267">
        <v>93.61</v>
      </c>
      <c r="C267">
        <f t="shared" si="13"/>
        <v>374.44</v>
      </c>
      <c r="H267">
        <v>4</v>
      </c>
      <c r="I267">
        <v>93.61</v>
      </c>
      <c r="J267" s="11">
        <v>0.32</v>
      </c>
      <c r="K267">
        <f t="shared" si="14"/>
        <v>119.82080000000001</v>
      </c>
      <c r="N267">
        <v>374.44</v>
      </c>
      <c r="O267">
        <v>119.82080000000001</v>
      </c>
      <c r="P267">
        <f t="shared" si="12"/>
        <v>254.61919999999998</v>
      </c>
    </row>
    <row r="268" spans="1:16" x14ac:dyDescent="0.25">
      <c r="A268">
        <v>42</v>
      </c>
      <c r="B268">
        <v>61.64</v>
      </c>
      <c r="C268">
        <f t="shared" si="13"/>
        <v>2588.88</v>
      </c>
      <c r="H268">
        <v>42</v>
      </c>
      <c r="I268">
        <v>61.64</v>
      </c>
      <c r="J268" s="11">
        <v>0.24</v>
      </c>
      <c r="K268">
        <f t="shared" si="14"/>
        <v>621.33119999999997</v>
      </c>
      <c r="N268">
        <v>2588.88</v>
      </c>
      <c r="O268">
        <v>621.33119999999997</v>
      </c>
      <c r="P268">
        <f t="shared" si="12"/>
        <v>1967.5488</v>
      </c>
    </row>
    <row r="269" spans="1:16" x14ac:dyDescent="0.25">
      <c r="A269">
        <v>41</v>
      </c>
      <c r="B269">
        <v>1.4</v>
      </c>
      <c r="C269">
        <f t="shared" si="13"/>
        <v>57.4</v>
      </c>
      <c r="H269">
        <v>41</v>
      </c>
      <c r="I269">
        <v>1.4</v>
      </c>
      <c r="J269" s="11">
        <v>0.22</v>
      </c>
      <c r="K269">
        <f t="shared" si="14"/>
        <v>12.628</v>
      </c>
      <c r="N269">
        <v>57.4</v>
      </c>
      <c r="O269">
        <v>12.628</v>
      </c>
      <c r="P269">
        <f t="shared" si="12"/>
        <v>44.771999999999998</v>
      </c>
    </row>
    <row r="270" spans="1:16" x14ac:dyDescent="0.25">
      <c r="A270">
        <v>19</v>
      </c>
      <c r="B270">
        <v>6.91</v>
      </c>
      <c r="C270">
        <f t="shared" si="13"/>
        <v>131.29</v>
      </c>
      <c r="H270">
        <v>19</v>
      </c>
      <c r="I270">
        <v>6.91</v>
      </c>
      <c r="J270" s="11">
        <v>0.37</v>
      </c>
      <c r="K270">
        <f t="shared" si="14"/>
        <v>48.577299999999994</v>
      </c>
      <c r="N270">
        <v>131.29</v>
      </c>
      <c r="O270">
        <v>48.577299999999994</v>
      </c>
      <c r="P270">
        <f t="shared" si="12"/>
        <v>82.712699999999998</v>
      </c>
    </row>
    <row r="271" spans="1:16" x14ac:dyDescent="0.25">
      <c r="A271">
        <v>25</v>
      </c>
      <c r="B271">
        <v>12.29</v>
      </c>
      <c r="C271">
        <f t="shared" si="13"/>
        <v>307.25</v>
      </c>
      <c r="H271">
        <v>25</v>
      </c>
      <c r="I271">
        <v>12.29</v>
      </c>
      <c r="J271" s="11">
        <v>0.06</v>
      </c>
      <c r="K271">
        <f t="shared" si="14"/>
        <v>18.434999999999999</v>
      </c>
      <c r="N271">
        <v>307.25</v>
      </c>
      <c r="O271">
        <v>18.434999999999999</v>
      </c>
      <c r="P271">
        <f t="shared" si="12"/>
        <v>288.815</v>
      </c>
    </row>
    <row r="272" spans="1:16" x14ac:dyDescent="0.25">
      <c r="A272">
        <v>17</v>
      </c>
      <c r="B272">
        <v>5.9</v>
      </c>
      <c r="C272">
        <f t="shared" si="13"/>
        <v>100.30000000000001</v>
      </c>
      <c r="H272">
        <v>17</v>
      </c>
      <c r="I272">
        <v>5.9</v>
      </c>
      <c r="J272" s="11">
        <v>0.01</v>
      </c>
      <c r="K272">
        <f t="shared" si="14"/>
        <v>1.0030000000000001</v>
      </c>
      <c r="N272">
        <v>100.30000000000001</v>
      </c>
      <c r="O272">
        <v>1.0030000000000001</v>
      </c>
      <c r="P272">
        <f t="shared" si="12"/>
        <v>99.297000000000011</v>
      </c>
    </row>
    <row r="273" spans="1:16" x14ac:dyDescent="0.25">
      <c r="A273">
        <v>40</v>
      </c>
      <c r="B273">
        <v>18.100000000000001</v>
      </c>
      <c r="C273">
        <f t="shared" si="13"/>
        <v>724</v>
      </c>
      <c r="H273">
        <v>40</v>
      </c>
      <c r="I273">
        <v>18.100000000000001</v>
      </c>
      <c r="J273" s="11">
        <v>0.38</v>
      </c>
      <c r="K273">
        <f t="shared" si="14"/>
        <v>275.12</v>
      </c>
      <c r="N273">
        <v>724</v>
      </c>
      <c r="O273">
        <v>275.12</v>
      </c>
      <c r="P273">
        <f t="shared" si="12"/>
        <v>448.88</v>
      </c>
    </row>
    <row r="274" spans="1:16" x14ac:dyDescent="0.25">
      <c r="A274">
        <v>33</v>
      </c>
      <c r="B274">
        <v>40.43</v>
      </c>
      <c r="C274">
        <f t="shared" si="13"/>
        <v>1334.19</v>
      </c>
      <c r="H274">
        <v>33</v>
      </c>
      <c r="I274">
        <v>40.43</v>
      </c>
      <c r="J274" s="11">
        <v>0.46</v>
      </c>
      <c r="K274">
        <f t="shared" si="14"/>
        <v>613.7274000000001</v>
      </c>
      <c r="N274">
        <v>1334.19</v>
      </c>
      <c r="O274">
        <v>613.7274000000001</v>
      </c>
      <c r="P274">
        <f t="shared" si="12"/>
        <v>720.46259999999995</v>
      </c>
    </row>
    <row r="275" spans="1:16" x14ac:dyDescent="0.25">
      <c r="A275">
        <v>33</v>
      </c>
      <c r="B275">
        <v>45.47</v>
      </c>
      <c r="C275">
        <f t="shared" si="13"/>
        <v>1500.51</v>
      </c>
      <c r="H275">
        <v>33</v>
      </c>
      <c r="I275">
        <v>45.47</v>
      </c>
      <c r="J275" s="11">
        <v>0.25</v>
      </c>
      <c r="K275">
        <f t="shared" si="14"/>
        <v>375.1275</v>
      </c>
      <c r="N275">
        <v>1500.51</v>
      </c>
      <c r="O275">
        <v>375.1275</v>
      </c>
      <c r="P275">
        <f t="shared" si="12"/>
        <v>1125.3824999999999</v>
      </c>
    </row>
    <row r="276" spans="1:16" x14ac:dyDescent="0.25">
      <c r="A276">
        <v>46</v>
      </c>
      <c r="B276">
        <v>33.26</v>
      </c>
      <c r="C276">
        <f t="shared" si="13"/>
        <v>1529.9599999999998</v>
      </c>
      <c r="H276">
        <v>46</v>
      </c>
      <c r="I276">
        <v>33.26</v>
      </c>
      <c r="J276" s="11">
        <v>0.28000000000000003</v>
      </c>
      <c r="K276">
        <f t="shared" si="14"/>
        <v>428.3888</v>
      </c>
      <c r="N276">
        <v>1529.9599999999998</v>
      </c>
      <c r="O276">
        <v>428.3888</v>
      </c>
      <c r="P276">
        <f t="shared" si="12"/>
        <v>1101.5711999999999</v>
      </c>
    </row>
    <row r="277" spans="1:16" x14ac:dyDescent="0.25">
      <c r="A277">
        <v>28</v>
      </c>
      <c r="B277">
        <v>63.37</v>
      </c>
      <c r="C277">
        <f t="shared" si="13"/>
        <v>1774.36</v>
      </c>
      <c r="H277">
        <v>28</v>
      </c>
      <c r="I277">
        <v>63.37</v>
      </c>
      <c r="J277" s="11">
        <v>0.35</v>
      </c>
      <c r="K277">
        <f t="shared" si="14"/>
        <v>621.02599999999995</v>
      </c>
      <c r="N277">
        <v>1774.36</v>
      </c>
      <c r="O277">
        <v>621.02599999999995</v>
      </c>
      <c r="P277">
        <f t="shared" si="12"/>
        <v>1153.3339999999998</v>
      </c>
    </row>
    <row r="278" spans="1:16" x14ac:dyDescent="0.25">
      <c r="A278">
        <v>17</v>
      </c>
      <c r="B278">
        <v>68.94</v>
      </c>
      <c r="C278">
        <f t="shared" si="13"/>
        <v>1171.98</v>
      </c>
      <c r="H278">
        <v>17</v>
      </c>
      <c r="I278">
        <v>68.94</v>
      </c>
      <c r="J278" s="11">
        <v>0.16</v>
      </c>
      <c r="K278">
        <f t="shared" si="14"/>
        <v>187.51680000000002</v>
      </c>
      <c r="N278">
        <v>1171.98</v>
      </c>
      <c r="O278">
        <v>187.51680000000002</v>
      </c>
      <c r="P278">
        <f t="shared" si="12"/>
        <v>984.46320000000003</v>
      </c>
    </row>
    <row r="279" spans="1:16" x14ac:dyDescent="0.25">
      <c r="A279">
        <v>48</v>
      </c>
      <c r="B279">
        <v>5.04</v>
      </c>
      <c r="C279">
        <f t="shared" si="13"/>
        <v>241.92000000000002</v>
      </c>
      <c r="H279">
        <v>48</v>
      </c>
      <c r="I279">
        <v>5.04</v>
      </c>
      <c r="J279" s="11">
        <v>0.23</v>
      </c>
      <c r="K279">
        <f t="shared" si="14"/>
        <v>55.641600000000004</v>
      </c>
      <c r="N279">
        <v>241.92000000000002</v>
      </c>
      <c r="O279">
        <v>55.641600000000004</v>
      </c>
      <c r="P279">
        <f t="shared" si="12"/>
        <v>186.2784</v>
      </c>
    </row>
    <row r="280" spans="1:16" x14ac:dyDescent="0.25">
      <c r="A280">
        <v>31</v>
      </c>
      <c r="B280">
        <v>49.19</v>
      </c>
      <c r="C280">
        <f t="shared" si="13"/>
        <v>1524.8899999999999</v>
      </c>
      <c r="H280">
        <v>31</v>
      </c>
      <c r="I280">
        <v>49.19</v>
      </c>
      <c r="J280" s="11">
        <v>0.27</v>
      </c>
      <c r="K280">
        <f t="shared" si="14"/>
        <v>411.72030000000001</v>
      </c>
      <c r="N280">
        <v>1524.8899999999999</v>
      </c>
      <c r="O280">
        <v>411.72030000000001</v>
      </c>
      <c r="P280">
        <f t="shared" si="12"/>
        <v>1113.1696999999999</v>
      </c>
    </row>
    <row r="281" spans="1:16" x14ac:dyDescent="0.25">
      <c r="A281">
        <v>12</v>
      </c>
      <c r="B281">
        <v>81.52</v>
      </c>
      <c r="C281">
        <f t="shared" si="13"/>
        <v>978.24</v>
      </c>
      <c r="H281">
        <v>12</v>
      </c>
      <c r="I281">
        <v>81.52</v>
      </c>
      <c r="J281" s="11">
        <v>0.24</v>
      </c>
      <c r="K281">
        <f t="shared" si="14"/>
        <v>234.77760000000001</v>
      </c>
      <c r="N281">
        <v>978.24</v>
      </c>
      <c r="O281">
        <v>234.77760000000001</v>
      </c>
      <c r="P281">
        <f t="shared" si="12"/>
        <v>743.4624</v>
      </c>
    </row>
    <row r="282" spans="1:16" x14ac:dyDescent="0.25">
      <c r="A282">
        <v>26</v>
      </c>
      <c r="B282">
        <v>53</v>
      </c>
      <c r="C282">
        <f t="shared" si="13"/>
        <v>1378</v>
      </c>
      <c r="H282">
        <v>26</v>
      </c>
      <c r="I282">
        <v>53</v>
      </c>
      <c r="J282" s="11">
        <v>0.15</v>
      </c>
      <c r="K282">
        <f t="shared" si="14"/>
        <v>206.7</v>
      </c>
      <c r="N282">
        <v>1378</v>
      </c>
      <c r="O282">
        <v>206.7</v>
      </c>
      <c r="P282">
        <f t="shared" si="12"/>
        <v>1171.3</v>
      </c>
    </row>
    <row r="283" spans="1:16" x14ac:dyDescent="0.25">
      <c r="A283">
        <v>3</v>
      </c>
      <c r="B283">
        <v>4.26</v>
      </c>
      <c r="C283">
        <f t="shared" si="13"/>
        <v>12.78</v>
      </c>
      <c r="H283">
        <v>3</v>
      </c>
      <c r="I283">
        <v>4.26</v>
      </c>
      <c r="J283" s="11">
        <v>0.21</v>
      </c>
      <c r="K283">
        <f t="shared" si="14"/>
        <v>2.6837999999999997</v>
      </c>
      <c r="N283">
        <v>12.78</v>
      </c>
      <c r="O283">
        <v>2.6837999999999997</v>
      </c>
      <c r="P283">
        <f t="shared" si="12"/>
        <v>10.0962</v>
      </c>
    </row>
    <row r="284" spans="1:16" x14ac:dyDescent="0.25">
      <c r="A284">
        <v>2</v>
      </c>
      <c r="B284">
        <v>72.489999999999995</v>
      </c>
      <c r="C284">
        <f t="shared" si="13"/>
        <v>144.97999999999999</v>
      </c>
      <c r="H284">
        <v>2</v>
      </c>
      <c r="I284">
        <v>72.489999999999995</v>
      </c>
      <c r="J284" s="11">
        <v>0.31</v>
      </c>
      <c r="K284">
        <f t="shared" si="14"/>
        <v>44.943799999999996</v>
      </c>
      <c r="N284">
        <v>144.97999999999999</v>
      </c>
      <c r="O284">
        <v>44.943799999999996</v>
      </c>
      <c r="P284">
        <f t="shared" si="12"/>
        <v>100.03619999999999</v>
      </c>
    </row>
    <row r="285" spans="1:16" x14ac:dyDescent="0.25">
      <c r="A285">
        <v>16</v>
      </c>
      <c r="B285">
        <v>51.29</v>
      </c>
      <c r="C285">
        <f t="shared" si="13"/>
        <v>820.64</v>
      </c>
      <c r="H285">
        <v>16</v>
      </c>
      <c r="I285">
        <v>51.29</v>
      </c>
      <c r="J285" s="11">
        <v>0.1</v>
      </c>
      <c r="K285">
        <f t="shared" si="14"/>
        <v>82.064000000000007</v>
      </c>
      <c r="N285">
        <v>820.64</v>
      </c>
      <c r="O285">
        <v>82.064000000000007</v>
      </c>
      <c r="P285">
        <f t="shared" si="12"/>
        <v>738.57600000000002</v>
      </c>
    </row>
    <row r="286" spans="1:16" x14ac:dyDescent="0.25">
      <c r="A286">
        <v>12</v>
      </c>
      <c r="B286">
        <v>54.63</v>
      </c>
      <c r="C286">
        <f t="shared" si="13"/>
        <v>655.56000000000006</v>
      </c>
      <c r="H286">
        <v>12</v>
      </c>
      <c r="I286">
        <v>54.63</v>
      </c>
      <c r="J286" s="11">
        <v>0.17</v>
      </c>
      <c r="K286">
        <f t="shared" si="14"/>
        <v>111.44520000000001</v>
      </c>
      <c r="N286">
        <v>655.56000000000006</v>
      </c>
      <c r="O286">
        <v>111.44520000000001</v>
      </c>
      <c r="P286">
        <f t="shared" si="12"/>
        <v>544.11480000000006</v>
      </c>
    </row>
    <row r="287" spans="1:16" x14ac:dyDescent="0.25">
      <c r="A287">
        <v>14</v>
      </c>
      <c r="B287">
        <v>39.64</v>
      </c>
      <c r="C287">
        <f t="shared" si="13"/>
        <v>554.96</v>
      </c>
      <c r="H287">
        <v>14</v>
      </c>
      <c r="I287">
        <v>39.64</v>
      </c>
      <c r="J287" s="11">
        <v>0.1</v>
      </c>
      <c r="K287">
        <f t="shared" si="14"/>
        <v>55.496000000000009</v>
      </c>
      <c r="N287">
        <v>554.96</v>
      </c>
      <c r="O287">
        <v>55.496000000000009</v>
      </c>
      <c r="P287">
        <f t="shared" si="12"/>
        <v>499.46400000000006</v>
      </c>
    </row>
    <row r="288" spans="1:16" x14ac:dyDescent="0.25">
      <c r="A288">
        <v>14</v>
      </c>
      <c r="B288">
        <v>80.05</v>
      </c>
      <c r="C288">
        <f t="shared" si="13"/>
        <v>1120.7</v>
      </c>
      <c r="H288">
        <v>14</v>
      </c>
      <c r="I288">
        <v>80.05</v>
      </c>
      <c r="J288" s="11">
        <v>0.06</v>
      </c>
      <c r="K288">
        <f t="shared" si="14"/>
        <v>67.242000000000004</v>
      </c>
      <c r="N288">
        <v>1120.7</v>
      </c>
      <c r="O288">
        <v>67.242000000000004</v>
      </c>
      <c r="P288">
        <f t="shared" si="12"/>
        <v>1053.4580000000001</v>
      </c>
    </row>
    <row r="289" spans="1:16" x14ac:dyDescent="0.25">
      <c r="A289">
        <v>3</v>
      </c>
      <c r="B289">
        <v>31.9</v>
      </c>
      <c r="C289">
        <f t="shared" si="13"/>
        <v>95.699999999999989</v>
      </c>
      <c r="H289">
        <v>3</v>
      </c>
      <c r="I289">
        <v>31.9</v>
      </c>
      <c r="J289" s="11">
        <v>0.06</v>
      </c>
      <c r="K289">
        <f t="shared" si="14"/>
        <v>5.7419999999999991</v>
      </c>
      <c r="N289">
        <v>95.699999999999989</v>
      </c>
      <c r="O289">
        <v>5.7419999999999991</v>
      </c>
      <c r="P289">
        <f t="shared" si="12"/>
        <v>89.957999999999984</v>
      </c>
    </row>
    <row r="290" spans="1:16" x14ac:dyDescent="0.25">
      <c r="A290">
        <v>5</v>
      </c>
      <c r="B290">
        <v>45.88</v>
      </c>
      <c r="C290">
        <f t="shared" si="13"/>
        <v>229.4</v>
      </c>
      <c r="H290">
        <v>5</v>
      </c>
      <c r="I290">
        <v>45.88</v>
      </c>
      <c r="J290" s="11">
        <v>0.01</v>
      </c>
      <c r="K290">
        <f t="shared" si="14"/>
        <v>2.294</v>
      </c>
      <c r="N290">
        <v>229.4</v>
      </c>
      <c r="O290">
        <v>2.294</v>
      </c>
      <c r="P290">
        <f t="shared" si="12"/>
        <v>227.10599999999999</v>
      </c>
    </row>
    <row r="291" spans="1:16" x14ac:dyDescent="0.25">
      <c r="A291">
        <v>9</v>
      </c>
      <c r="B291">
        <v>88.95</v>
      </c>
      <c r="C291">
        <f t="shared" si="13"/>
        <v>800.55000000000007</v>
      </c>
      <c r="H291">
        <v>9</v>
      </c>
      <c r="I291">
        <v>88.95</v>
      </c>
      <c r="J291" s="11">
        <v>0.37</v>
      </c>
      <c r="K291">
        <f t="shared" si="14"/>
        <v>296.20350000000002</v>
      </c>
      <c r="N291">
        <v>800.55000000000007</v>
      </c>
      <c r="O291">
        <v>296.20350000000002</v>
      </c>
      <c r="P291">
        <f t="shared" si="12"/>
        <v>504.34650000000005</v>
      </c>
    </row>
    <row r="292" spans="1:16" x14ac:dyDescent="0.25">
      <c r="A292">
        <v>14</v>
      </c>
      <c r="B292">
        <v>73.95</v>
      </c>
      <c r="C292">
        <f t="shared" si="13"/>
        <v>1035.3</v>
      </c>
      <c r="H292">
        <v>14</v>
      </c>
      <c r="I292">
        <v>73.95</v>
      </c>
      <c r="J292" s="11">
        <v>0.28000000000000003</v>
      </c>
      <c r="K292">
        <f t="shared" si="14"/>
        <v>289.88400000000001</v>
      </c>
      <c r="N292">
        <v>1035.3</v>
      </c>
      <c r="O292">
        <v>289.88400000000001</v>
      </c>
      <c r="P292">
        <f t="shared" si="12"/>
        <v>745.41599999999994</v>
      </c>
    </row>
    <row r="293" spans="1:16" x14ac:dyDescent="0.25">
      <c r="A293">
        <v>44</v>
      </c>
      <c r="B293">
        <v>78.5</v>
      </c>
      <c r="C293">
        <f t="shared" si="13"/>
        <v>3454</v>
      </c>
      <c r="H293">
        <v>44</v>
      </c>
      <c r="I293">
        <v>78.5</v>
      </c>
      <c r="J293" s="11">
        <v>0.13</v>
      </c>
      <c r="K293">
        <f t="shared" si="14"/>
        <v>449.02000000000004</v>
      </c>
      <c r="N293">
        <v>3454</v>
      </c>
      <c r="O293">
        <v>449.02000000000004</v>
      </c>
      <c r="P293">
        <f t="shared" si="12"/>
        <v>3004.98</v>
      </c>
    </row>
    <row r="294" spans="1:16" x14ac:dyDescent="0.25">
      <c r="A294">
        <v>39</v>
      </c>
      <c r="B294">
        <v>77.400000000000006</v>
      </c>
      <c r="C294">
        <f t="shared" si="13"/>
        <v>3018.6000000000004</v>
      </c>
      <c r="H294">
        <v>39</v>
      </c>
      <c r="I294">
        <v>77.400000000000006</v>
      </c>
      <c r="J294" s="11">
        <v>0.22</v>
      </c>
      <c r="K294">
        <f t="shared" si="14"/>
        <v>664.0920000000001</v>
      </c>
      <c r="N294">
        <v>3018.6000000000004</v>
      </c>
      <c r="O294">
        <v>664.0920000000001</v>
      </c>
      <c r="P294">
        <f t="shared" si="12"/>
        <v>2354.5080000000003</v>
      </c>
    </row>
    <row r="295" spans="1:16" x14ac:dyDescent="0.25">
      <c r="A295">
        <v>48</v>
      </c>
      <c r="B295">
        <v>69.64</v>
      </c>
      <c r="C295">
        <f t="shared" si="13"/>
        <v>3342.7200000000003</v>
      </c>
      <c r="H295">
        <v>48</v>
      </c>
      <c r="I295">
        <v>69.64</v>
      </c>
      <c r="J295" s="11">
        <v>0.41</v>
      </c>
      <c r="K295">
        <f t="shared" si="14"/>
        <v>1370.5152</v>
      </c>
      <c r="N295">
        <v>3342.7200000000003</v>
      </c>
      <c r="O295">
        <v>1370.5152</v>
      </c>
      <c r="P295">
        <f t="shared" si="12"/>
        <v>1972.2048000000002</v>
      </c>
    </row>
    <row r="296" spans="1:16" x14ac:dyDescent="0.25">
      <c r="A296">
        <v>49</v>
      </c>
      <c r="B296">
        <v>66.69</v>
      </c>
      <c r="C296">
        <f t="shared" si="13"/>
        <v>3267.81</v>
      </c>
      <c r="H296">
        <v>49</v>
      </c>
      <c r="I296">
        <v>66.69</v>
      </c>
      <c r="J296" s="11">
        <v>0.16</v>
      </c>
      <c r="K296">
        <f t="shared" si="14"/>
        <v>522.84960000000001</v>
      </c>
      <c r="N296">
        <v>3267.81</v>
      </c>
      <c r="O296">
        <v>522.84960000000001</v>
      </c>
      <c r="P296">
        <f t="shared" si="12"/>
        <v>2744.9603999999999</v>
      </c>
    </row>
    <row r="297" spans="1:16" x14ac:dyDescent="0.25">
      <c r="A297">
        <v>8</v>
      </c>
      <c r="B297">
        <v>33.61</v>
      </c>
      <c r="C297">
        <f t="shared" si="13"/>
        <v>268.88</v>
      </c>
      <c r="H297">
        <v>8</v>
      </c>
      <c r="I297">
        <v>33.61</v>
      </c>
      <c r="J297" s="11">
        <v>0.5</v>
      </c>
      <c r="K297">
        <f t="shared" si="14"/>
        <v>134.44</v>
      </c>
      <c r="N297">
        <v>268.88</v>
      </c>
      <c r="O297">
        <v>134.44</v>
      </c>
      <c r="P297">
        <f t="shared" si="12"/>
        <v>134.44</v>
      </c>
    </row>
    <row r="298" spans="1:16" x14ac:dyDescent="0.25">
      <c r="A298">
        <v>10</v>
      </c>
      <c r="B298">
        <v>21.96</v>
      </c>
      <c r="C298">
        <f t="shared" si="13"/>
        <v>219.60000000000002</v>
      </c>
      <c r="H298">
        <v>10</v>
      </c>
      <c r="I298">
        <v>21.96</v>
      </c>
      <c r="J298" s="11">
        <v>0.2</v>
      </c>
      <c r="K298">
        <f t="shared" si="14"/>
        <v>43.920000000000009</v>
      </c>
      <c r="N298">
        <v>219.60000000000002</v>
      </c>
      <c r="O298">
        <v>43.920000000000009</v>
      </c>
      <c r="P298">
        <f t="shared" si="12"/>
        <v>175.68</v>
      </c>
    </row>
    <row r="299" spans="1:16" x14ac:dyDescent="0.25">
      <c r="A299">
        <v>27</v>
      </c>
      <c r="B299">
        <v>46.31</v>
      </c>
      <c r="C299">
        <f t="shared" si="13"/>
        <v>1250.3700000000001</v>
      </c>
      <c r="H299">
        <v>27</v>
      </c>
      <c r="I299">
        <v>46.31</v>
      </c>
      <c r="J299" s="11">
        <v>0.17</v>
      </c>
      <c r="K299">
        <f t="shared" si="14"/>
        <v>212.56290000000004</v>
      </c>
      <c r="N299">
        <v>1250.3700000000001</v>
      </c>
      <c r="O299">
        <v>212.56290000000004</v>
      </c>
      <c r="P299">
        <f t="shared" si="12"/>
        <v>1037.8071</v>
      </c>
    </row>
    <row r="300" spans="1:16" x14ac:dyDescent="0.25">
      <c r="A300">
        <v>14</v>
      </c>
      <c r="B300">
        <v>93.01</v>
      </c>
      <c r="C300">
        <f t="shared" si="13"/>
        <v>1302.1400000000001</v>
      </c>
      <c r="H300">
        <v>14</v>
      </c>
      <c r="I300">
        <v>93.01</v>
      </c>
      <c r="J300" s="11">
        <v>0.41</v>
      </c>
      <c r="K300">
        <f t="shared" si="14"/>
        <v>533.87739999999997</v>
      </c>
      <c r="N300">
        <v>1302.1400000000001</v>
      </c>
      <c r="O300">
        <v>533.87739999999997</v>
      </c>
      <c r="P300">
        <f t="shared" si="12"/>
        <v>768.26260000000013</v>
      </c>
    </row>
    <row r="301" spans="1:16" x14ac:dyDescent="0.25">
      <c r="A301">
        <v>7</v>
      </c>
      <c r="B301">
        <v>81.41</v>
      </c>
      <c r="C301">
        <f t="shared" si="13"/>
        <v>569.87</v>
      </c>
      <c r="H301">
        <v>7</v>
      </c>
      <c r="I301">
        <v>81.41</v>
      </c>
      <c r="J301" s="11">
        <v>0.03</v>
      </c>
      <c r="K301">
        <f t="shared" si="14"/>
        <v>17.0961</v>
      </c>
      <c r="N301">
        <v>569.87</v>
      </c>
      <c r="O301">
        <v>17.0961</v>
      </c>
      <c r="P301">
        <f t="shared" si="12"/>
        <v>552.77390000000003</v>
      </c>
    </row>
    <row r="302" spans="1:16" x14ac:dyDescent="0.25">
      <c r="A302">
        <v>5</v>
      </c>
      <c r="B302">
        <v>57.61</v>
      </c>
      <c r="C302">
        <f t="shared" si="13"/>
        <v>288.05</v>
      </c>
      <c r="H302">
        <v>5</v>
      </c>
      <c r="I302">
        <v>57.61</v>
      </c>
      <c r="J302" s="11">
        <v>0.44</v>
      </c>
      <c r="K302">
        <f t="shared" si="14"/>
        <v>126.742</v>
      </c>
      <c r="N302">
        <v>288.05</v>
      </c>
      <c r="O302">
        <v>126.742</v>
      </c>
      <c r="P302">
        <f t="shared" si="12"/>
        <v>161.30799999999999</v>
      </c>
    </row>
    <row r="303" spans="1:16" x14ac:dyDescent="0.25">
      <c r="A303">
        <v>34</v>
      </c>
      <c r="B303">
        <v>53</v>
      </c>
      <c r="C303">
        <f t="shared" si="13"/>
        <v>1802</v>
      </c>
      <c r="H303">
        <v>34</v>
      </c>
      <c r="I303">
        <v>53</v>
      </c>
      <c r="J303" s="11">
        <v>0.15</v>
      </c>
      <c r="K303">
        <f t="shared" si="14"/>
        <v>270.3</v>
      </c>
      <c r="N303">
        <v>1802</v>
      </c>
      <c r="O303">
        <v>270.3</v>
      </c>
      <c r="P303">
        <f t="shared" si="12"/>
        <v>1531.7</v>
      </c>
    </row>
    <row r="304" spans="1:16" x14ac:dyDescent="0.25">
      <c r="A304">
        <v>32</v>
      </c>
      <c r="B304">
        <v>47.95</v>
      </c>
      <c r="C304">
        <f t="shared" si="13"/>
        <v>1534.4</v>
      </c>
      <c r="H304">
        <v>32</v>
      </c>
      <c r="I304">
        <v>47.95</v>
      </c>
      <c r="J304" s="11">
        <v>0.1</v>
      </c>
      <c r="K304">
        <f t="shared" si="14"/>
        <v>153.44000000000003</v>
      </c>
      <c r="N304">
        <v>1534.4</v>
      </c>
      <c r="O304">
        <v>153.44000000000003</v>
      </c>
      <c r="P304">
        <f t="shared" si="12"/>
        <v>1380.96</v>
      </c>
    </row>
    <row r="305" spans="1:16" x14ac:dyDescent="0.25">
      <c r="A305">
        <v>26</v>
      </c>
      <c r="B305">
        <v>67.739999999999995</v>
      </c>
      <c r="C305">
        <f t="shared" si="13"/>
        <v>1761.2399999999998</v>
      </c>
      <c r="H305">
        <v>26</v>
      </c>
      <c r="I305">
        <v>67.739999999999995</v>
      </c>
      <c r="J305" s="11">
        <v>0.28000000000000003</v>
      </c>
      <c r="K305">
        <f t="shared" si="14"/>
        <v>493.1472</v>
      </c>
      <c r="N305">
        <v>1761.2399999999998</v>
      </c>
      <c r="O305">
        <v>493.1472</v>
      </c>
      <c r="P305">
        <f t="shared" si="12"/>
        <v>1268.0927999999999</v>
      </c>
    </row>
    <row r="306" spans="1:16" x14ac:dyDescent="0.25">
      <c r="A306">
        <v>30</v>
      </c>
      <c r="B306">
        <v>12.03</v>
      </c>
      <c r="C306">
        <f t="shared" si="13"/>
        <v>360.9</v>
      </c>
      <c r="H306">
        <v>30</v>
      </c>
      <c r="I306">
        <v>12.03</v>
      </c>
      <c r="J306" s="11">
        <v>0.44</v>
      </c>
      <c r="K306">
        <f t="shared" si="14"/>
        <v>158.79599999999999</v>
      </c>
      <c r="N306">
        <v>360.9</v>
      </c>
      <c r="O306">
        <v>158.79599999999999</v>
      </c>
      <c r="P306">
        <f t="shared" si="12"/>
        <v>202.10399999999998</v>
      </c>
    </row>
    <row r="307" spans="1:16" x14ac:dyDescent="0.25">
      <c r="A307">
        <v>19</v>
      </c>
      <c r="B307">
        <v>36.200000000000003</v>
      </c>
      <c r="C307">
        <f t="shared" si="13"/>
        <v>687.80000000000007</v>
      </c>
      <c r="H307">
        <v>19</v>
      </c>
      <c r="I307">
        <v>36.200000000000003</v>
      </c>
      <c r="J307" s="11">
        <v>0.01</v>
      </c>
      <c r="K307">
        <f t="shared" si="14"/>
        <v>6.878000000000001</v>
      </c>
      <c r="N307">
        <v>687.80000000000007</v>
      </c>
      <c r="O307">
        <v>6.878000000000001</v>
      </c>
      <c r="P307">
        <f t="shared" si="12"/>
        <v>680.92200000000003</v>
      </c>
    </row>
    <row r="308" spans="1:16" x14ac:dyDescent="0.25">
      <c r="A308">
        <v>12</v>
      </c>
      <c r="B308">
        <v>19.48</v>
      </c>
      <c r="C308">
        <f t="shared" si="13"/>
        <v>233.76</v>
      </c>
      <c r="H308">
        <v>12</v>
      </c>
      <c r="I308">
        <v>19.48</v>
      </c>
      <c r="J308" s="11">
        <v>0.14000000000000001</v>
      </c>
      <c r="K308">
        <f t="shared" si="14"/>
        <v>32.726400000000005</v>
      </c>
      <c r="N308">
        <v>233.76</v>
      </c>
      <c r="O308">
        <v>32.726400000000005</v>
      </c>
      <c r="P308">
        <f t="shared" si="12"/>
        <v>201.03359999999998</v>
      </c>
    </row>
    <row r="309" spans="1:16" x14ac:dyDescent="0.25">
      <c r="A309">
        <v>17</v>
      </c>
      <c r="B309">
        <v>34.42</v>
      </c>
      <c r="C309">
        <f t="shared" si="13"/>
        <v>585.14</v>
      </c>
      <c r="H309">
        <v>17</v>
      </c>
      <c r="I309">
        <v>34.42</v>
      </c>
      <c r="J309" s="11">
        <v>0.02</v>
      </c>
      <c r="K309">
        <f t="shared" si="14"/>
        <v>11.7028</v>
      </c>
      <c r="N309">
        <v>585.14</v>
      </c>
      <c r="O309">
        <v>11.7028</v>
      </c>
      <c r="P309">
        <f t="shared" si="12"/>
        <v>573.43719999999996</v>
      </c>
    </row>
    <row r="310" spans="1:16" x14ac:dyDescent="0.25">
      <c r="A310">
        <v>11</v>
      </c>
      <c r="B310">
        <v>15.52</v>
      </c>
      <c r="C310">
        <f t="shared" si="13"/>
        <v>170.72</v>
      </c>
      <c r="H310">
        <v>11</v>
      </c>
      <c r="I310">
        <v>15.52</v>
      </c>
      <c r="J310" s="11">
        <v>0.14000000000000001</v>
      </c>
      <c r="K310">
        <f t="shared" si="14"/>
        <v>23.900800000000004</v>
      </c>
      <c r="N310">
        <v>170.72</v>
      </c>
      <c r="O310">
        <v>23.900800000000004</v>
      </c>
      <c r="P310">
        <f t="shared" si="12"/>
        <v>146.8192</v>
      </c>
    </row>
    <row r="311" spans="1:16" x14ac:dyDescent="0.25">
      <c r="A311">
        <v>27</v>
      </c>
      <c r="B311">
        <v>89.48</v>
      </c>
      <c r="C311">
        <f t="shared" si="13"/>
        <v>2415.96</v>
      </c>
      <c r="H311">
        <v>27</v>
      </c>
      <c r="I311">
        <v>89.48</v>
      </c>
      <c r="J311" s="11">
        <v>0.5</v>
      </c>
      <c r="K311">
        <f t="shared" si="14"/>
        <v>1207.98</v>
      </c>
      <c r="N311">
        <v>2415.96</v>
      </c>
      <c r="O311">
        <v>1207.98</v>
      </c>
      <c r="P311">
        <f t="shared" si="12"/>
        <v>1207.98</v>
      </c>
    </row>
    <row r="312" spans="1:16" x14ac:dyDescent="0.25">
      <c r="A312">
        <v>22</v>
      </c>
      <c r="B312">
        <v>88.39</v>
      </c>
      <c r="C312">
        <f t="shared" si="13"/>
        <v>1944.58</v>
      </c>
      <c r="H312">
        <v>22</v>
      </c>
      <c r="I312">
        <v>88.39</v>
      </c>
      <c r="J312" s="11">
        <v>0.18</v>
      </c>
      <c r="K312">
        <f t="shared" si="14"/>
        <v>350.02439999999996</v>
      </c>
      <c r="N312">
        <v>1944.58</v>
      </c>
      <c r="O312">
        <v>350.02439999999996</v>
      </c>
      <c r="P312">
        <f t="shared" si="12"/>
        <v>1594.5555999999999</v>
      </c>
    </row>
    <row r="313" spans="1:16" x14ac:dyDescent="0.25">
      <c r="A313">
        <v>25</v>
      </c>
      <c r="B313">
        <v>19.27</v>
      </c>
      <c r="C313">
        <f t="shared" si="13"/>
        <v>481.75</v>
      </c>
      <c r="H313">
        <v>25</v>
      </c>
      <c r="I313">
        <v>19.27</v>
      </c>
      <c r="J313" s="11">
        <v>0.28999999999999998</v>
      </c>
      <c r="K313">
        <f t="shared" si="14"/>
        <v>139.70749999999998</v>
      </c>
      <c r="N313">
        <v>481.75</v>
      </c>
      <c r="O313">
        <v>139.70749999999998</v>
      </c>
      <c r="P313">
        <f t="shared" si="12"/>
        <v>342.04250000000002</v>
      </c>
    </row>
    <row r="314" spans="1:16" x14ac:dyDescent="0.25">
      <c r="A314">
        <v>45</v>
      </c>
      <c r="B314">
        <v>20.91</v>
      </c>
      <c r="C314">
        <f t="shared" si="13"/>
        <v>940.95</v>
      </c>
      <c r="H314">
        <v>45</v>
      </c>
      <c r="I314">
        <v>20.91</v>
      </c>
      <c r="J314" s="11">
        <v>0.41</v>
      </c>
      <c r="K314">
        <f t="shared" si="14"/>
        <v>385.78949999999998</v>
      </c>
      <c r="N314">
        <v>940.95</v>
      </c>
      <c r="O314">
        <v>385.78949999999998</v>
      </c>
      <c r="P314">
        <f t="shared" si="12"/>
        <v>555.16050000000007</v>
      </c>
    </row>
    <row r="315" spans="1:16" x14ac:dyDescent="0.25">
      <c r="A315">
        <v>11</v>
      </c>
      <c r="B315">
        <v>53</v>
      </c>
      <c r="C315">
        <f t="shared" si="13"/>
        <v>583</v>
      </c>
      <c r="H315">
        <v>11</v>
      </c>
      <c r="I315">
        <v>53</v>
      </c>
      <c r="J315" s="11">
        <v>0.42</v>
      </c>
      <c r="K315">
        <f t="shared" si="14"/>
        <v>244.85999999999999</v>
      </c>
      <c r="N315">
        <v>583</v>
      </c>
      <c r="O315">
        <v>244.85999999999999</v>
      </c>
      <c r="P315">
        <f t="shared" si="12"/>
        <v>338.14</v>
      </c>
    </row>
    <row r="316" spans="1:16" x14ac:dyDescent="0.25">
      <c r="A316">
        <v>44</v>
      </c>
      <c r="B316">
        <v>99.94</v>
      </c>
      <c r="C316">
        <f t="shared" si="13"/>
        <v>4397.3599999999997</v>
      </c>
      <c r="H316">
        <v>44</v>
      </c>
      <c r="I316">
        <v>99.94</v>
      </c>
      <c r="J316" s="11">
        <v>0.33</v>
      </c>
      <c r="K316">
        <f t="shared" si="14"/>
        <v>1451.1288</v>
      </c>
      <c r="N316">
        <v>4397.3599999999997</v>
      </c>
      <c r="O316">
        <v>1451.1288</v>
      </c>
      <c r="P316">
        <f t="shared" si="12"/>
        <v>2946.2311999999997</v>
      </c>
    </row>
    <row r="317" spans="1:16" x14ac:dyDescent="0.25">
      <c r="A317">
        <v>24</v>
      </c>
      <c r="B317">
        <v>14.89</v>
      </c>
      <c r="C317">
        <f t="shared" si="13"/>
        <v>357.36</v>
      </c>
      <c r="H317">
        <v>24</v>
      </c>
      <c r="I317">
        <v>14.89</v>
      </c>
      <c r="J317" s="11">
        <v>0.19</v>
      </c>
      <c r="K317">
        <f t="shared" si="14"/>
        <v>67.898400000000009</v>
      </c>
      <c r="N317">
        <v>357.36</v>
      </c>
      <c r="O317">
        <v>67.898400000000009</v>
      </c>
      <c r="P317">
        <f t="shared" si="12"/>
        <v>289.46159999999998</v>
      </c>
    </row>
    <row r="318" spans="1:16" x14ac:dyDescent="0.25">
      <c r="A318">
        <v>37</v>
      </c>
      <c r="B318">
        <v>8.94</v>
      </c>
      <c r="C318">
        <f t="shared" si="13"/>
        <v>330.78</v>
      </c>
      <c r="H318">
        <v>37</v>
      </c>
      <c r="I318">
        <v>8.94</v>
      </c>
      <c r="J318" s="11">
        <v>0.49</v>
      </c>
      <c r="K318">
        <f t="shared" si="14"/>
        <v>162.08219999999997</v>
      </c>
      <c r="N318">
        <v>330.78</v>
      </c>
      <c r="O318">
        <v>162.08219999999997</v>
      </c>
      <c r="P318">
        <f t="shared" si="12"/>
        <v>168.6978</v>
      </c>
    </row>
    <row r="319" spans="1:16" x14ac:dyDescent="0.25">
      <c r="A319">
        <v>42</v>
      </c>
      <c r="B319">
        <v>79.45</v>
      </c>
      <c r="C319">
        <f t="shared" si="13"/>
        <v>3336.9</v>
      </c>
      <c r="H319">
        <v>42</v>
      </c>
      <c r="I319">
        <v>79.45</v>
      </c>
      <c r="J319" s="11">
        <v>0.06</v>
      </c>
      <c r="K319">
        <f t="shared" si="14"/>
        <v>200.214</v>
      </c>
      <c r="N319">
        <v>3336.9</v>
      </c>
      <c r="O319">
        <v>200.214</v>
      </c>
      <c r="P319">
        <f t="shared" si="12"/>
        <v>3136.6860000000001</v>
      </c>
    </row>
    <row r="320" spans="1:16" x14ac:dyDescent="0.25">
      <c r="A320">
        <v>19</v>
      </c>
      <c r="B320">
        <v>79.94</v>
      </c>
      <c r="C320">
        <f t="shared" si="13"/>
        <v>1518.86</v>
      </c>
      <c r="H320">
        <v>19</v>
      </c>
      <c r="I320">
        <v>79.94</v>
      </c>
      <c r="J320" s="11">
        <v>0.43</v>
      </c>
      <c r="K320">
        <f t="shared" si="14"/>
        <v>653.10979999999995</v>
      </c>
      <c r="N320">
        <v>1518.86</v>
      </c>
      <c r="O320">
        <v>653.10979999999995</v>
      </c>
      <c r="P320">
        <f t="shared" si="12"/>
        <v>865.75019999999995</v>
      </c>
    </row>
    <row r="321" spans="1:16" x14ac:dyDescent="0.25">
      <c r="A321">
        <v>27</v>
      </c>
      <c r="B321">
        <v>9.49</v>
      </c>
      <c r="C321">
        <f t="shared" si="13"/>
        <v>256.23</v>
      </c>
      <c r="H321">
        <v>27</v>
      </c>
      <c r="I321">
        <v>9.49</v>
      </c>
      <c r="J321" s="11">
        <v>0.05</v>
      </c>
      <c r="K321">
        <f t="shared" si="14"/>
        <v>12.811500000000002</v>
      </c>
      <c r="N321">
        <v>256.23</v>
      </c>
      <c r="O321">
        <v>12.811500000000002</v>
      </c>
      <c r="P321">
        <f t="shared" si="12"/>
        <v>243.41850000000002</v>
      </c>
    </row>
    <row r="322" spans="1:16" x14ac:dyDescent="0.25">
      <c r="A322">
        <v>43</v>
      </c>
      <c r="B322">
        <v>82.53</v>
      </c>
      <c r="C322">
        <f t="shared" si="13"/>
        <v>3548.79</v>
      </c>
      <c r="H322">
        <v>43</v>
      </c>
      <c r="I322">
        <v>82.53</v>
      </c>
      <c r="J322" s="11">
        <v>0.43</v>
      </c>
      <c r="K322">
        <f t="shared" si="14"/>
        <v>1525.9796999999999</v>
      </c>
      <c r="N322">
        <v>3548.79</v>
      </c>
      <c r="O322">
        <v>1525.9796999999999</v>
      </c>
      <c r="P322">
        <f t="shared" ref="P322:P385" si="15">N322-O322</f>
        <v>2022.8103000000001</v>
      </c>
    </row>
    <row r="323" spans="1:16" x14ac:dyDescent="0.25">
      <c r="A323">
        <v>2</v>
      </c>
      <c r="B323">
        <v>77.459999999999994</v>
      </c>
      <c r="C323">
        <f t="shared" ref="C323:C386" si="16">A323*B323</f>
        <v>154.91999999999999</v>
      </c>
      <c r="H323">
        <v>2</v>
      </c>
      <c r="I323">
        <v>77.459999999999994</v>
      </c>
      <c r="J323" s="11">
        <v>0.05</v>
      </c>
      <c r="K323">
        <f t="shared" ref="K323:K386" si="17">H323*I323*J323</f>
        <v>7.7459999999999996</v>
      </c>
      <c r="N323">
        <v>154.91999999999999</v>
      </c>
      <c r="O323">
        <v>7.7459999999999996</v>
      </c>
      <c r="P323">
        <f t="shared" si="15"/>
        <v>147.17399999999998</v>
      </c>
    </row>
    <row r="324" spans="1:16" x14ac:dyDescent="0.25">
      <c r="A324">
        <v>18</v>
      </c>
      <c r="B324">
        <v>59.33</v>
      </c>
      <c r="C324">
        <f t="shared" si="16"/>
        <v>1067.94</v>
      </c>
      <c r="H324">
        <v>18</v>
      </c>
      <c r="I324">
        <v>59.33</v>
      </c>
      <c r="J324" s="11">
        <v>0.13</v>
      </c>
      <c r="K324">
        <f t="shared" si="17"/>
        <v>138.8322</v>
      </c>
      <c r="N324">
        <v>1067.94</v>
      </c>
      <c r="O324">
        <v>138.8322</v>
      </c>
      <c r="P324">
        <f t="shared" si="15"/>
        <v>929.1078</v>
      </c>
    </row>
    <row r="325" spans="1:16" x14ac:dyDescent="0.25">
      <c r="A325">
        <v>33</v>
      </c>
      <c r="B325">
        <v>40.340000000000003</v>
      </c>
      <c r="C325">
        <f t="shared" si="16"/>
        <v>1331.22</v>
      </c>
      <c r="H325">
        <v>33</v>
      </c>
      <c r="I325">
        <v>40.340000000000003</v>
      </c>
      <c r="J325" s="11">
        <v>0.49</v>
      </c>
      <c r="K325">
        <f t="shared" si="17"/>
        <v>652.29780000000005</v>
      </c>
      <c r="N325">
        <v>1331.22</v>
      </c>
      <c r="O325">
        <v>652.29780000000005</v>
      </c>
      <c r="P325">
        <f t="shared" si="15"/>
        <v>678.92219999999998</v>
      </c>
    </row>
    <row r="326" spans="1:16" x14ac:dyDescent="0.25">
      <c r="A326">
        <v>2</v>
      </c>
      <c r="B326">
        <v>84.15</v>
      </c>
      <c r="C326">
        <f t="shared" si="16"/>
        <v>168.3</v>
      </c>
      <c r="H326">
        <v>2</v>
      </c>
      <c r="I326">
        <v>84.15</v>
      </c>
      <c r="J326" s="11">
        <v>0.34</v>
      </c>
      <c r="K326">
        <f t="shared" si="17"/>
        <v>57.222000000000008</v>
      </c>
      <c r="N326">
        <v>168.3</v>
      </c>
      <c r="O326">
        <v>57.222000000000008</v>
      </c>
      <c r="P326">
        <f t="shared" si="15"/>
        <v>111.078</v>
      </c>
    </row>
    <row r="327" spans="1:16" x14ac:dyDescent="0.25">
      <c r="A327">
        <v>26</v>
      </c>
      <c r="B327">
        <v>24.23</v>
      </c>
      <c r="C327">
        <f t="shared" si="16"/>
        <v>629.98</v>
      </c>
      <c r="H327">
        <v>26</v>
      </c>
      <c r="I327">
        <v>24.23</v>
      </c>
      <c r="J327" s="11">
        <v>7.0000000000000007E-2</v>
      </c>
      <c r="K327">
        <f t="shared" si="17"/>
        <v>44.098600000000005</v>
      </c>
      <c r="N327">
        <v>629.98</v>
      </c>
      <c r="O327">
        <v>44.098600000000005</v>
      </c>
      <c r="P327">
        <f t="shared" si="15"/>
        <v>585.88139999999999</v>
      </c>
    </row>
    <row r="328" spans="1:16" x14ac:dyDescent="0.25">
      <c r="A328">
        <v>5</v>
      </c>
      <c r="B328">
        <v>82.85</v>
      </c>
      <c r="C328">
        <f t="shared" si="16"/>
        <v>414.25</v>
      </c>
      <c r="H328">
        <v>5</v>
      </c>
      <c r="I328">
        <v>82.85</v>
      </c>
      <c r="J328" s="11">
        <v>0.23</v>
      </c>
      <c r="K328">
        <f t="shared" si="17"/>
        <v>95.277500000000003</v>
      </c>
      <c r="N328">
        <v>414.25</v>
      </c>
      <c r="O328">
        <v>95.277500000000003</v>
      </c>
      <c r="P328">
        <f t="shared" si="15"/>
        <v>318.97249999999997</v>
      </c>
    </row>
    <row r="329" spans="1:16" x14ac:dyDescent="0.25">
      <c r="A329">
        <v>46</v>
      </c>
      <c r="B329">
        <v>65.930000000000007</v>
      </c>
      <c r="C329">
        <f t="shared" si="16"/>
        <v>3032.78</v>
      </c>
      <c r="H329">
        <v>46</v>
      </c>
      <c r="I329">
        <v>65.930000000000007</v>
      </c>
      <c r="J329" s="11">
        <v>0.13</v>
      </c>
      <c r="K329">
        <f t="shared" si="17"/>
        <v>394.26140000000004</v>
      </c>
      <c r="N329">
        <v>3032.78</v>
      </c>
      <c r="O329">
        <v>394.26140000000004</v>
      </c>
      <c r="P329">
        <f t="shared" si="15"/>
        <v>2638.5186000000003</v>
      </c>
    </row>
    <row r="330" spans="1:16" x14ac:dyDescent="0.25">
      <c r="A330">
        <v>41</v>
      </c>
      <c r="B330">
        <v>37.1</v>
      </c>
      <c r="C330">
        <f t="shared" si="16"/>
        <v>1521.1000000000001</v>
      </c>
      <c r="H330">
        <v>41</v>
      </c>
      <c r="I330">
        <v>37.1</v>
      </c>
      <c r="J330" s="11">
        <v>0.08</v>
      </c>
      <c r="K330">
        <f t="shared" si="17"/>
        <v>121.68800000000002</v>
      </c>
      <c r="N330">
        <v>1521.1000000000001</v>
      </c>
      <c r="O330">
        <v>121.68800000000002</v>
      </c>
      <c r="P330">
        <f t="shared" si="15"/>
        <v>1399.412</v>
      </c>
    </row>
    <row r="331" spans="1:16" x14ac:dyDescent="0.25">
      <c r="A331">
        <v>35</v>
      </c>
      <c r="B331">
        <v>78.3</v>
      </c>
      <c r="C331">
        <f t="shared" si="16"/>
        <v>2740.5</v>
      </c>
      <c r="H331">
        <v>35</v>
      </c>
      <c r="I331">
        <v>78.3</v>
      </c>
      <c r="J331" s="11">
        <v>0.12</v>
      </c>
      <c r="K331">
        <f t="shared" si="17"/>
        <v>328.86</v>
      </c>
      <c r="N331">
        <v>2740.5</v>
      </c>
      <c r="O331">
        <v>328.86</v>
      </c>
      <c r="P331">
        <f t="shared" si="15"/>
        <v>2411.64</v>
      </c>
    </row>
    <row r="332" spans="1:16" x14ac:dyDescent="0.25">
      <c r="A332">
        <v>24</v>
      </c>
      <c r="B332">
        <v>84.63</v>
      </c>
      <c r="C332">
        <f t="shared" si="16"/>
        <v>2031.12</v>
      </c>
      <c r="H332">
        <v>24</v>
      </c>
      <c r="I332">
        <v>84.63</v>
      </c>
      <c r="J332" s="11">
        <v>0.2</v>
      </c>
      <c r="K332">
        <f t="shared" si="17"/>
        <v>406.22399999999999</v>
      </c>
      <c r="N332">
        <v>2031.12</v>
      </c>
      <c r="O332">
        <v>406.22399999999999</v>
      </c>
      <c r="P332">
        <f t="shared" si="15"/>
        <v>1624.896</v>
      </c>
    </row>
    <row r="333" spans="1:16" x14ac:dyDescent="0.25">
      <c r="A333">
        <v>18</v>
      </c>
      <c r="B333">
        <v>6.19</v>
      </c>
      <c r="C333">
        <f t="shared" si="16"/>
        <v>111.42</v>
      </c>
      <c r="H333">
        <v>18</v>
      </c>
      <c r="I333">
        <v>6.19</v>
      </c>
      <c r="J333" s="11">
        <v>0.15</v>
      </c>
      <c r="K333">
        <f t="shared" si="17"/>
        <v>16.713000000000001</v>
      </c>
      <c r="N333">
        <v>111.42</v>
      </c>
      <c r="O333">
        <v>16.713000000000001</v>
      </c>
      <c r="P333">
        <f t="shared" si="15"/>
        <v>94.706999999999994</v>
      </c>
    </row>
    <row r="334" spans="1:16" x14ac:dyDescent="0.25">
      <c r="A334">
        <v>12</v>
      </c>
      <c r="B334">
        <v>24.21</v>
      </c>
      <c r="C334">
        <f t="shared" si="16"/>
        <v>290.52</v>
      </c>
      <c r="H334">
        <v>12</v>
      </c>
      <c r="I334">
        <v>24.21</v>
      </c>
      <c r="J334" s="11">
        <v>0.34</v>
      </c>
      <c r="K334">
        <f t="shared" si="17"/>
        <v>98.776799999999994</v>
      </c>
      <c r="N334">
        <v>290.52</v>
      </c>
      <c r="O334">
        <v>98.776799999999994</v>
      </c>
      <c r="P334">
        <f t="shared" si="15"/>
        <v>191.7432</v>
      </c>
    </row>
    <row r="335" spans="1:16" x14ac:dyDescent="0.25">
      <c r="A335">
        <v>8</v>
      </c>
      <c r="B335">
        <v>40.72</v>
      </c>
      <c r="C335">
        <f t="shared" si="16"/>
        <v>325.76</v>
      </c>
      <c r="H335">
        <v>8</v>
      </c>
      <c r="I335">
        <v>40.72</v>
      </c>
      <c r="J335" s="11">
        <v>0.18</v>
      </c>
      <c r="K335">
        <f t="shared" si="17"/>
        <v>58.636799999999994</v>
      </c>
      <c r="N335">
        <v>325.76</v>
      </c>
      <c r="O335">
        <v>58.636799999999994</v>
      </c>
      <c r="P335">
        <f t="shared" si="15"/>
        <v>267.1232</v>
      </c>
    </row>
    <row r="336" spans="1:16" x14ac:dyDescent="0.25">
      <c r="A336">
        <v>1</v>
      </c>
      <c r="B336">
        <v>95.33</v>
      </c>
      <c r="C336">
        <f t="shared" si="16"/>
        <v>95.33</v>
      </c>
      <c r="H336">
        <v>1</v>
      </c>
      <c r="I336">
        <v>95.33</v>
      </c>
      <c r="J336" s="11">
        <v>0.47</v>
      </c>
      <c r="K336">
        <f t="shared" si="17"/>
        <v>44.805099999999996</v>
      </c>
      <c r="N336">
        <v>95.33</v>
      </c>
      <c r="O336">
        <v>44.805099999999996</v>
      </c>
      <c r="P336">
        <f t="shared" si="15"/>
        <v>50.524900000000002</v>
      </c>
    </row>
    <row r="337" spans="1:16" x14ac:dyDescent="0.25">
      <c r="A337">
        <v>31</v>
      </c>
      <c r="B337">
        <v>43.81</v>
      </c>
      <c r="C337">
        <f t="shared" si="16"/>
        <v>1358.1100000000001</v>
      </c>
      <c r="H337">
        <v>31</v>
      </c>
      <c r="I337">
        <v>43.81</v>
      </c>
      <c r="J337" s="11">
        <v>0.35</v>
      </c>
      <c r="K337">
        <f t="shared" si="17"/>
        <v>475.33850000000001</v>
      </c>
      <c r="N337">
        <v>1358.1100000000001</v>
      </c>
      <c r="O337">
        <v>475.33850000000001</v>
      </c>
      <c r="P337">
        <f t="shared" si="15"/>
        <v>882.77150000000006</v>
      </c>
    </row>
    <row r="338" spans="1:16" x14ac:dyDescent="0.25">
      <c r="A338">
        <v>26</v>
      </c>
      <c r="B338">
        <v>18.47</v>
      </c>
      <c r="C338">
        <f t="shared" si="16"/>
        <v>480.21999999999997</v>
      </c>
      <c r="H338">
        <v>26</v>
      </c>
      <c r="I338">
        <v>18.47</v>
      </c>
      <c r="J338" s="11">
        <v>0.32</v>
      </c>
      <c r="K338">
        <f t="shared" si="17"/>
        <v>153.6704</v>
      </c>
      <c r="N338">
        <v>480.21999999999997</v>
      </c>
      <c r="O338">
        <v>153.6704</v>
      </c>
      <c r="P338">
        <f t="shared" si="15"/>
        <v>326.54959999999994</v>
      </c>
    </row>
    <row r="339" spans="1:16" x14ac:dyDescent="0.25">
      <c r="A339">
        <v>35</v>
      </c>
      <c r="B339">
        <v>71.150000000000006</v>
      </c>
      <c r="C339">
        <f t="shared" si="16"/>
        <v>2490.25</v>
      </c>
      <c r="H339">
        <v>35</v>
      </c>
      <c r="I339">
        <v>71.150000000000006</v>
      </c>
      <c r="J339" s="11">
        <v>0.26</v>
      </c>
      <c r="K339">
        <f t="shared" si="17"/>
        <v>647.46500000000003</v>
      </c>
      <c r="N339">
        <v>2490.25</v>
      </c>
      <c r="O339">
        <v>647.46500000000003</v>
      </c>
      <c r="P339">
        <f t="shared" si="15"/>
        <v>1842.7849999999999</v>
      </c>
    </row>
    <row r="340" spans="1:16" x14ac:dyDescent="0.25">
      <c r="A340">
        <v>17</v>
      </c>
      <c r="B340">
        <v>56.33</v>
      </c>
      <c r="C340">
        <f t="shared" si="16"/>
        <v>957.61</v>
      </c>
      <c r="H340">
        <v>17</v>
      </c>
      <c r="I340">
        <v>56.33</v>
      </c>
      <c r="J340" s="11">
        <v>0.44</v>
      </c>
      <c r="K340">
        <f t="shared" si="17"/>
        <v>421.34840000000003</v>
      </c>
      <c r="N340">
        <v>957.61</v>
      </c>
      <c r="O340">
        <v>421.34840000000003</v>
      </c>
      <c r="P340">
        <f t="shared" si="15"/>
        <v>536.26160000000004</v>
      </c>
    </row>
    <row r="341" spans="1:16" x14ac:dyDescent="0.25">
      <c r="A341">
        <v>27</v>
      </c>
      <c r="B341">
        <v>94.45</v>
      </c>
      <c r="C341">
        <f t="shared" si="16"/>
        <v>2550.15</v>
      </c>
      <c r="H341">
        <v>27</v>
      </c>
      <c r="I341">
        <v>94.45</v>
      </c>
      <c r="J341" s="11">
        <v>0.02</v>
      </c>
      <c r="K341">
        <f t="shared" si="17"/>
        <v>51.003</v>
      </c>
      <c r="N341">
        <v>2550.15</v>
      </c>
      <c r="O341">
        <v>51.003</v>
      </c>
      <c r="P341">
        <f t="shared" si="15"/>
        <v>2499.1469999999999</v>
      </c>
    </row>
    <row r="342" spans="1:16" x14ac:dyDescent="0.25">
      <c r="A342">
        <v>20</v>
      </c>
      <c r="B342">
        <v>48.63</v>
      </c>
      <c r="C342">
        <f t="shared" si="16"/>
        <v>972.6</v>
      </c>
      <c r="H342">
        <v>20</v>
      </c>
      <c r="I342">
        <v>48.63</v>
      </c>
      <c r="J342" s="11">
        <v>0.24</v>
      </c>
      <c r="K342">
        <f t="shared" si="17"/>
        <v>233.42400000000001</v>
      </c>
      <c r="N342">
        <v>972.6</v>
      </c>
      <c r="O342">
        <v>233.42400000000001</v>
      </c>
      <c r="P342">
        <f t="shared" si="15"/>
        <v>739.17600000000004</v>
      </c>
    </row>
    <row r="343" spans="1:16" x14ac:dyDescent="0.25">
      <c r="A343">
        <v>40</v>
      </c>
      <c r="B343">
        <v>26.06</v>
      </c>
      <c r="C343">
        <f t="shared" si="16"/>
        <v>1042.3999999999999</v>
      </c>
      <c r="H343">
        <v>40</v>
      </c>
      <c r="I343">
        <v>26.06</v>
      </c>
      <c r="J343" s="11">
        <v>0.28000000000000003</v>
      </c>
      <c r="K343">
        <f t="shared" si="17"/>
        <v>291.87200000000001</v>
      </c>
      <c r="N343">
        <v>1042.3999999999999</v>
      </c>
      <c r="O343">
        <v>291.87200000000001</v>
      </c>
      <c r="P343">
        <f t="shared" si="15"/>
        <v>750.52799999999979</v>
      </c>
    </row>
    <row r="344" spans="1:16" x14ac:dyDescent="0.25">
      <c r="A344">
        <v>28</v>
      </c>
      <c r="B344">
        <v>20.440000000000001</v>
      </c>
      <c r="C344">
        <f t="shared" si="16"/>
        <v>572.32000000000005</v>
      </c>
      <c r="H344">
        <v>28</v>
      </c>
      <c r="I344">
        <v>20.440000000000001</v>
      </c>
      <c r="J344" s="11">
        <v>0.32</v>
      </c>
      <c r="K344">
        <f t="shared" si="17"/>
        <v>183.14240000000001</v>
      </c>
      <c r="N344">
        <v>572.32000000000005</v>
      </c>
      <c r="O344">
        <v>183.14240000000001</v>
      </c>
      <c r="P344">
        <f t="shared" si="15"/>
        <v>389.17760000000004</v>
      </c>
    </row>
    <row r="345" spans="1:16" x14ac:dyDescent="0.25">
      <c r="A345">
        <v>43</v>
      </c>
      <c r="B345">
        <v>47.74</v>
      </c>
      <c r="C345">
        <f t="shared" si="16"/>
        <v>2052.8200000000002</v>
      </c>
      <c r="H345">
        <v>43</v>
      </c>
      <c r="I345">
        <v>47.74</v>
      </c>
      <c r="J345" s="11">
        <v>0.43</v>
      </c>
      <c r="K345">
        <f t="shared" si="17"/>
        <v>882.71260000000007</v>
      </c>
      <c r="N345">
        <v>2052.8200000000002</v>
      </c>
      <c r="O345">
        <v>882.71260000000007</v>
      </c>
      <c r="P345">
        <f t="shared" si="15"/>
        <v>1170.1074000000001</v>
      </c>
    </row>
    <row r="346" spans="1:16" x14ac:dyDescent="0.25">
      <c r="A346">
        <v>46</v>
      </c>
      <c r="B346">
        <v>38.770000000000003</v>
      </c>
      <c r="C346">
        <f t="shared" si="16"/>
        <v>1783.42</v>
      </c>
      <c r="H346">
        <v>46</v>
      </c>
      <c r="I346">
        <v>38.770000000000003</v>
      </c>
      <c r="J346" s="11">
        <v>0.09</v>
      </c>
      <c r="K346">
        <f t="shared" si="17"/>
        <v>160.5078</v>
      </c>
      <c r="N346">
        <v>1783.42</v>
      </c>
      <c r="O346">
        <v>160.5078</v>
      </c>
      <c r="P346">
        <f t="shared" si="15"/>
        <v>1622.9122</v>
      </c>
    </row>
    <row r="347" spans="1:16" x14ac:dyDescent="0.25">
      <c r="A347">
        <v>12</v>
      </c>
      <c r="B347">
        <v>87.11</v>
      </c>
      <c r="C347">
        <f t="shared" si="16"/>
        <v>1045.32</v>
      </c>
      <c r="H347">
        <v>12</v>
      </c>
      <c r="I347">
        <v>87.11</v>
      </c>
      <c r="J347" s="11">
        <v>0.12</v>
      </c>
      <c r="K347">
        <f t="shared" si="17"/>
        <v>125.43839999999999</v>
      </c>
      <c r="N347">
        <v>1045.32</v>
      </c>
      <c r="O347">
        <v>125.43839999999999</v>
      </c>
      <c r="P347">
        <f t="shared" si="15"/>
        <v>919.88159999999993</v>
      </c>
    </row>
    <row r="348" spans="1:16" x14ac:dyDescent="0.25">
      <c r="A348">
        <v>5</v>
      </c>
      <c r="B348">
        <v>58.6</v>
      </c>
      <c r="C348">
        <f t="shared" si="16"/>
        <v>293</v>
      </c>
      <c r="H348">
        <v>5</v>
      </c>
      <c r="I348">
        <v>58.6</v>
      </c>
      <c r="J348" s="11">
        <v>0.02</v>
      </c>
      <c r="K348">
        <f t="shared" si="17"/>
        <v>5.86</v>
      </c>
      <c r="N348">
        <v>293</v>
      </c>
      <c r="O348">
        <v>5.86</v>
      </c>
      <c r="P348">
        <f t="shared" si="15"/>
        <v>287.14</v>
      </c>
    </row>
    <row r="349" spans="1:16" x14ac:dyDescent="0.25">
      <c r="A349">
        <v>24</v>
      </c>
      <c r="B349">
        <v>74.239999999999995</v>
      </c>
      <c r="C349">
        <f t="shared" si="16"/>
        <v>1781.7599999999998</v>
      </c>
      <c r="H349">
        <v>24</v>
      </c>
      <c r="I349">
        <v>74.239999999999995</v>
      </c>
      <c r="J349" s="11">
        <v>0.4</v>
      </c>
      <c r="K349">
        <f t="shared" si="17"/>
        <v>712.70399999999995</v>
      </c>
      <c r="N349">
        <v>1781.7599999999998</v>
      </c>
      <c r="O349">
        <v>712.70399999999995</v>
      </c>
      <c r="P349">
        <f t="shared" si="15"/>
        <v>1069.0559999999998</v>
      </c>
    </row>
    <row r="350" spans="1:16" x14ac:dyDescent="0.25">
      <c r="A350">
        <v>31</v>
      </c>
      <c r="B350">
        <v>65.989999999999995</v>
      </c>
      <c r="C350">
        <f t="shared" si="16"/>
        <v>2045.6899999999998</v>
      </c>
      <c r="H350">
        <v>31</v>
      </c>
      <c r="I350">
        <v>65.989999999999995</v>
      </c>
      <c r="J350" s="11">
        <v>0.26</v>
      </c>
      <c r="K350">
        <f t="shared" si="17"/>
        <v>531.87939999999992</v>
      </c>
      <c r="N350">
        <v>2045.6899999999998</v>
      </c>
      <c r="O350">
        <v>531.87939999999992</v>
      </c>
      <c r="P350">
        <f t="shared" si="15"/>
        <v>1513.8105999999998</v>
      </c>
    </row>
    <row r="351" spans="1:16" x14ac:dyDescent="0.25">
      <c r="A351">
        <v>32</v>
      </c>
      <c r="B351">
        <v>44.47</v>
      </c>
      <c r="C351">
        <f t="shared" si="16"/>
        <v>1423.04</v>
      </c>
      <c r="H351">
        <v>32</v>
      </c>
      <c r="I351">
        <v>44.47</v>
      </c>
      <c r="J351" s="11">
        <v>0.42</v>
      </c>
      <c r="K351">
        <f t="shared" si="17"/>
        <v>597.67679999999996</v>
      </c>
      <c r="N351">
        <v>1423.04</v>
      </c>
      <c r="O351">
        <v>597.67679999999996</v>
      </c>
      <c r="P351">
        <f t="shared" si="15"/>
        <v>825.36320000000001</v>
      </c>
    </row>
    <row r="352" spans="1:16" x14ac:dyDescent="0.25">
      <c r="A352">
        <v>17</v>
      </c>
      <c r="B352">
        <v>76.8</v>
      </c>
      <c r="C352">
        <f t="shared" si="16"/>
        <v>1305.5999999999999</v>
      </c>
      <c r="H352">
        <v>17</v>
      </c>
      <c r="I352">
        <v>76.8</v>
      </c>
      <c r="J352" s="11">
        <v>0.4</v>
      </c>
      <c r="K352">
        <f t="shared" si="17"/>
        <v>522.24</v>
      </c>
      <c r="N352">
        <v>1305.5999999999999</v>
      </c>
      <c r="O352">
        <v>522.24</v>
      </c>
      <c r="P352">
        <f t="shared" si="15"/>
        <v>783.3599999999999</v>
      </c>
    </row>
    <row r="353" spans="1:16" x14ac:dyDescent="0.25">
      <c r="A353">
        <v>49</v>
      </c>
      <c r="B353">
        <v>21.93</v>
      </c>
      <c r="C353">
        <f t="shared" si="16"/>
        <v>1074.57</v>
      </c>
      <c r="H353">
        <v>49</v>
      </c>
      <c r="I353">
        <v>21.93</v>
      </c>
      <c r="J353" s="11">
        <v>0.04</v>
      </c>
      <c r="K353">
        <f t="shared" si="17"/>
        <v>42.982799999999997</v>
      </c>
      <c r="N353">
        <v>1074.57</v>
      </c>
      <c r="O353">
        <v>42.982799999999997</v>
      </c>
      <c r="P353">
        <f t="shared" si="15"/>
        <v>1031.5871999999999</v>
      </c>
    </row>
    <row r="354" spans="1:16" x14ac:dyDescent="0.25">
      <c r="A354">
        <v>45</v>
      </c>
      <c r="B354">
        <v>47.57</v>
      </c>
      <c r="C354">
        <f t="shared" si="16"/>
        <v>2140.65</v>
      </c>
      <c r="H354">
        <v>45</v>
      </c>
      <c r="I354">
        <v>47.57</v>
      </c>
      <c r="J354" s="11">
        <v>0.03</v>
      </c>
      <c r="K354">
        <f t="shared" si="17"/>
        <v>64.219499999999996</v>
      </c>
      <c r="N354">
        <v>2140.65</v>
      </c>
      <c r="O354">
        <v>64.219499999999996</v>
      </c>
      <c r="P354">
        <f t="shared" si="15"/>
        <v>2076.4304999999999</v>
      </c>
    </row>
    <row r="355" spans="1:16" x14ac:dyDescent="0.25">
      <c r="A355">
        <v>43</v>
      </c>
      <c r="B355">
        <v>41.29</v>
      </c>
      <c r="C355">
        <f t="shared" si="16"/>
        <v>1775.47</v>
      </c>
      <c r="H355">
        <v>43</v>
      </c>
      <c r="I355">
        <v>41.29</v>
      </c>
      <c r="J355" s="11">
        <v>0.38</v>
      </c>
      <c r="K355">
        <f t="shared" si="17"/>
        <v>674.67860000000007</v>
      </c>
      <c r="N355">
        <v>1775.47</v>
      </c>
      <c r="O355">
        <v>674.67860000000007</v>
      </c>
      <c r="P355">
        <f t="shared" si="15"/>
        <v>1100.7914000000001</v>
      </c>
    </row>
    <row r="356" spans="1:16" x14ac:dyDescent="0.25">
      <c r="A356">
        <v>22</v>
      </c>
      <c r="B356">
        <v>30.83</v>
      </c>
      <c r="C356">
        <f t="shared" si="16"/>
        <v>678.26</v>
      </c>
      <c r="H356">
        <v>22</v>
      </c>
      <c r="I356">
        <v>30.83</v>
      </c>
      <c r="J356" s="11">
        <v>0.5</v>
      </c>
      <c r="K356">
        <f t="shared" si="17"/>
        <v>339.13</v>
      </c>
      <c r="N356">
        <v>678.26</v>
      </c>
      <c r="O356">
        <v>339.13</v>
      </c>
      <c r="P356">
        <f t="shared" si="15"/>
        <v>339.13</v>
      </c>
    </row>
    <row r="357" spans="1:16" x14ac:dyDescent="0.25">
      <c r="A357">
        <v>31</v>
      </c>
      <c r="B357">
        <v>43.34</v>
      </c>
      <c r="C357">
        <f t="shared" si="16"/>
        <v>1343.5400000000002</v>
      </c>
      <c r="H357">
        <v>31</v>
      </c>
      <c r="I357">
        <v>43.34</v>
      </c>
      <c r="J357" s="11">
        <v>0.23</v>
      </c>
      <c r="K357">
        <f t="shared" si="17"/>
        <v>309.01420000000007</v>
      </c>
      <c r="N357">
        <v>1343.5400000000002</v>
      </c>
      <c r="O357">
        <v>309.01420000000007</v>
      </c>
      <c r="P357">
        <f t="shared" si="15"/>
        <v>1034.5258000000001</v>
      </c>
    </row>
    <row r="358" spans="1:16" x14ac:dyDescent="0.25">
      <c r="A358">
        <v>47</v>
      </c>
      <c r="B358">
        <v>58.01</v>
      </c>
      <c r="C358">
        <f t="shared" si="16"/>
        <v>2726.47</v>
      </c>
      <c r="H358">
        <v>47</v>
      </c>
      <c r="I358">
        <v>58.01</v>
      </c>
      <c r="J358" s="11">
        <v>0.38</v>
      </c>
      <c r="K358">
        <f t="shared" si="17"/>
        <v>1036.0585999999998</v>
      </c>
      <c r="N358">
        <v>2726.47</v>
      </c>
      <c r="O358">
        <v>1036.0585999999998</v>
      </c>
      <c r="P358">
        <f t="shared" si="15"/>
        <v>1690.4114</v>
      </c>
    </row>
    <row r="359" spans="1:16" x14ac:dyDescent="0.25">
      <c r="A359">
        <v>38</v>
      </c>
      <c r="B359">
        <v>53</v>
      </c>
      <c r="C359">
        <f t="shared" si="16"/>
        <v>2014</v>
      </c>
      <c r="H359">
        <v>38</v>
      </c>
      <c r="I359">
        <v>53</v>
      </c>
      <c r="J359" s="11">
        <v>0.19</v>
      </c>
      <c r="K359">
        <f t="shared" si="17"/>
        <v>382.66</v>
      </c>
      <c r="N359">
        <v>2014</v>
      </c>
      <c r="O359">
        <v>382.66</v>
      </c>
      <c r="P359">
        <f t="shared" si="15"/>
        <v>1631.34</v>
      </c>
    </row>
    <row r="360" spans="1:16" x14ac:dyDescent="0.25">
      <c r="A360">
        <v>33</v>
      </c>
      <c r="B360">
        <v>31.32</v>
      </c>
      <c r="C360">
        <f t="shared" si="16"/>
        <v>1033.56</v>
      </c>
      <c r="H360">
        <v>33</v>
      </c>
      <c r="I360">
        <v>31.32</v>
      </c>
      <c r="J360" s="11">
        <v>0.18</v>
      </c>
      <c r="K360">
        <f t="shared" si="17"/>
        <v>186.04079999999999</v>
      </c>
      <c r="N360">
        <v>1033.56</v>
      </c>
      <c r="O360">
        <v>186.04079999999999</v>
      </c>
      <c r="P360">
        <f t="shared" si="15"/>
        <v>847.51919999999996</v>
      </c>
    </row>
    <row r="361" spans="1:16" x14ac:dyDescent="0.25">
      <c r="A361">
        <v>44</v>
      </c>
      <c r="B361">
        <v>3.73</v>
      </c>
      <c r="C361">
        <f t="shared" si="16"/>
        <v>164.12</v>
      </c>
      <c r="H361">
        <v>44</v>
      </c>
      <c r="I361">
        <v>3.73</v>
      </c>
      <c r="J361" s="11">
        <v>0.37</v>
      </c>
      <c r="K361">
        <f t="shared" si="17"/>
        <v>60.724400000000003</v>
      </c>
      <c r="N361">
        <v>164.12</v>
      </c>
      <c r="O361">
        <v>60.724400000000003</v>
      </c>
      <c r="P361">
        <f t="shared" si="15"/>
        <v>103.3956</v>
      </c>
    </row>
    <row r="362" spans="1:16" x14ac:dyDescent="0.25">
      <c r="A362">
        <v>13</v>
      </c>
      <c r="B362">
        <v>61.67</v>
      </c>
      <c r="C362">
        <f t="shared" si="16"/>
        <v>801.71</v>
      </c>
      <c r="H362">
        <v>13</v>
      </c>
      <c r="I362">
        <v>61.67</v>
      </c>
      <c r="J362" s="11">
        <v>0.25</v>
      </c>
      <c r="K362">
        <f t="shared" si="17"/>
        <v>200.42750000000001</v>
      </c>
      <c r="N362">
        <v>801.71</v>
      </c>
      <c r="O362">
        <v>200.42750000000001</v>
      </c>
      <c r="P362">
        <f t="shared" si="15"/>
        <v>601.28250000000003</v>
      </c>
    </row>
    <row r="363" spans="1:16" x14ac:dyDescent="0.25">
      <c r="A363">
        <v>49</v>
      </c>
      <c r="B363">
        <v>18.239999999999998</v>
      </c>
      <c r="C363">
        <f t="shared" si="16"/>
        <v>893.75999999999988</v>
      </c>
      <c r="H363">
        <v>49</v>
      </c>
      <c r="I363">
        <v>18.239999999999998</v>
      </c>
      <c r="J363" s="11">
        <v>0.25</v>
      </c>
      <c r="K363">
        <f t="shared" si="17"/>
        <v>223.43999999999997</v>
      </c>
      <c r="N363">
        <v>893.75999999999988</v>
      </c>
      <c r="O363">
        <v>223.43999999999997</v>
      </c>
      <c r="P363">
        <f t="shared" si="15"/>
        <v>670.31999999999994</v>
      </c>
    </row>
    <row r="364" spans="1:16" x14ac:dyDescent="0.25">
      <c r="A364">
        <v>33</v>
      </c>
      <c r="B364">
        <v>69.319999999999993</v>
      </c>
      <c r="C364">
        <f t="shared" si="16"/>
        <v>2287.56</v>
      </c>
      <c r="H364">
        <v>33</v>
      </c>
      <c r="I364">
        <v>69.319999999999993</v>
      </c>
      <c r="J364" s="11">
        <v>0.06</v>
      </c>
      <c r="K364">
        <f t="shared" si="17"/>
        <v>137.25360000000001</v>
      </c>
      <c r="N364">
        <v>2287.56</v>
      </c>
      <c r="O364">
        <v>137.25360000000001</v>
      </c>
      <c r="P364">
        <f t="shared" si="15"/>
        <v>2150.3063999999999</v>
      </c>
    </row>
    <row r="365" spans="1:16" x14ac:dyDescent="0.25">
      <c r="A365">
        <v>29</v>
      </c>
      <c r="B365">
        <v>50.6</v>
      </c>
      <c r="C365">
        <f t="shared" si="16"/>
        <v>1467.4</v>
      </c>
      <c r="H365">
        <v>29</v>
      </c>
      <c r="I365">
        <v>50.6</v>
      </c>
      <c r="J365" s="11">
        <v>0.11</v>
      </c>
      <c r="K365">
        <f t="shared" si="17"/>
        <v>161.41400000000002</v>
      </c>
      <c r="N365">
        <v>1467.4</v>
      </c>
      <c r="O365">
        <v>161.41400000000002</v>
      </c>
      <c r="P365">
        <f t="shared" si="15"/>
        <v>1305.9860000000001</v>
      </c>
    </row>
    <row r="366" spans="1:16" x14ac:dyDescent="0.25">
      <c r="A366">
        <v>10</v>
      </c>
      <c r="B366">
        <v>11.15</v>
      </c>
      <c r="C366">
        <f t="shared" si="16"/>
        <v>111.5</v>
      </c>
      <c r="H366">
        <v>10</v>
      </c>
      <c r="I366">
        <v>11.15</v>
      </c>
      <c r="J366" s="11">
        <v>0.36</v>
      </c>
      <c r="K366">
        <f t="shared" si="17"/>
        <v>40.14</v>
      </c>
      <c r="N366">
        <v>111.5</v>
      </c>
      <c r="O366">
        <v>40.14</v>
      </c>
      <c r="P366">
        <f t="shared" si="15"/>
        <v>71.36</v>
      </c>
    </row>
    <row r="367" spans="1:16" x14ac:dyDescent="0.25">
      <c r="A367">
        <v>11</v>
      </c>
      <c r="B367">
        <v>53.06</v>
      </c>
      <c r="C367">
        <f t="shared" si="16"/>
        <v>583.66000000000008</v>
      </c>
      <c r="H367">
        <v>11</v>
      </c>
      <c r="I367">
        <v>53.06</v>
      </c>
      <c r="J367" s="11">
        <v>0.5</v>
      </c>
      <c r="K367">
        <f t="shared" si="17"/>
        <v>291.83000000000004</v>
      </c>
      <c r="N367">
        <v>583.66000000000008</v>
      </c>
      <c r="O367">
        <v>291.83000000000004</v>
      </c>
      <c r="P367">
        <f t="shared" si="15"/>
        <v>291.83000000000004</v>
      </c>
    </row>
    <row r="368" spans="1:16" x14ac:dyDescent="0.25">
      <c r="A368">
        <v>48</v>
      </c>
      <c r="B368">
        <v>53.97</v>
      </c>
      <c r="C368">
        <f t="shared" si="16"/>
        <v>2590.56</v>
      </c>
      <c r="H368">
        <v>48</v>
      </c>
      <c r="I368">
        <v>53.97</v>
      </c>
      <c r="J368" s="11">
        <v>0.41</v>
      </c>
      <c r="K368">
        <f t="shared" si="17"/>
        <v>1062.1296</v>
      </c>
      <c r="N368">
        <v>2590.56</v>
      </c>
      <c r="O368">
        <v>1062.1296</v>
      </c>
      <c r="P368">
        <f t="shared" si="15"/>
        <v>1528.4304</v>
      </c>
    </row>
    <row r="369" spans="1:16" x14ac:dyDescent="0.25">
      <c r="A369">
        <v>2</v>
      </c>
      <c r="B369">
        <v>53.14</v>
      </c>
      <c r="C369">
        <f t="shared" si="16"/>
        <v>106.28</v>
      </c>
      <c r="H369">
        <v>2</v>
      </c>
      <c r="I369">
        <v>53.14</v>
      </c>
      <c r="J369" s="11">
        <v>0.47</v>
      </c>
      <c r="K369">
        <f t="shared" si="17"/>
        <v>49.951599999999999</v>
      </c>
      <c r="N369">
        <v>106.28</v>
      </c>
      <c r="O369">
        <v>49.951599999999999</v>
      </c>
      <c r="P369">
        <f t="shared" si="15"/>
        <v>56.328400000000002</v>
      </c>
    </row>
    <row r="370" spans="1:16" x14ac:dyDescent="0.25">
      <c r="A370">
        <v>13</v>
      </c>
      <c r="B370">
        <v>72.45</v>
      </c>
      <c r="C370">
        <f t="shared" si="16"/>
        <v>941.85</v>
      </c>
      <c r="H370">
        <v>13</v>
      </c>
      <c r="I370">
        <v>72.45</v>
      </c>
      <c r="J370" s="11">
        <v>0.32</v>
      </c>
      <c r="K370">
        <f t="shared" si="17"/>
        <v>301.392</v>
      </c>
      <c r="N370">
        <v>941.85</v>
      </c>
      <c r="O370">
        <v>301.392</v>
      </c>
      <c r="P370">
        <f t="shared" si="15"/>
        <v>640.45800000000008</v>
      </c>
    </row>
    <row r="371" spans="1:16" x14ac:dyDescent="0.25">
      <c r="A371">
        <v>15</v>
      </c>
      <c r="B371">
        <v>51.51</v>
      </c>
      <c r="C371">
        <f t="shared" si="16"/>
        <v>772.65</v>
      </c>
      <c r="H371">
        <v>15</v>
      </c>
      <c r="I371">
        <v>51.51</v>
      </c>
      <c r="J371" s="11">
        <v>0.42</v>
      </c>
      <c r="K371">
        <f t="shared" si="17"/>
        <v>324.51299999999998</v>
      </c>
      <c r="N371">
        <v>772.65</v>
      </c>
      <c r="O371">
        <v>324.51299999999998</v>
      </c>
      <c r="P371">
        <f t="shared" si="15"/>
        <v>448.137</v>
      </c>
    </row>
    <row r="372" spans="1:16" x14ac:dyDescent="0.25">
      <c r="A372">
        <v>46</v>
      </c>
      <c r="B372">
        <v>4.9800000000000004</v>
      </c>
      <c r="C372">
        <f t="shared" si="16"/>
        <v>229.08</v>
      </c>
      <c r="H372">
        <v>46</v>
      </c>
      <c r="I372">
        <v>4.9800000000000004</v>
      </c>
      <c r="J372" s="11">
        <v>0.46</v>
      </c>
      <c r="K372">
        <f t="shared" si="17"/>
        <v>105.37680000000002</v>
      </c>
      <c r="N372">
        <v>229.08</v>
      </c>
      <c r="O372">
        <v>105.37680000000002</v>
      </c>
      <c r="P372">
        <f t="shared" si="15"/>
        <v>123.7032</v>
      </c>
    </row>
    <row r="373" spans="1:16" x14ac:dyDescent="0.25">
      <c r="A373">
        <v>42</v>
      </c>
      <c r="B373">
        <v>12.61</v>
      </c>
      <c r="C373">
        <f t="shared" si="16"/>
        <v>529.62</v>
      </c>
      <c r="H373">
        <v>42</v>
      </c>
      <c r="I373">
        <v>12.61</v>
      </c>
      <c r="J373" s="11">
        <v>0.05</v>
      </c>
      <c r="K373">
        <f t="shared" si="17"/>
        <v>26.481000000000002</v>
      </c>
      <c r="N373">
        <v>529.62</v>
      </c>
      <c r="O373">
        <v>26.481000000000002</v>
      </c>
      <c r="P373">
        <f t="shared" si="15"/>
        <v>503.13900000000001</v>
      </c>
    </row>
    <row r="374" spans="1:16" x14ac:dyDescent="0.25">
      <c r="A374">
        <v>9</v>
      </c>
      <c r="B374">
        <v>53.55</v>
      </c>
      <c r="C374">
        <f t="shared" si="16"/>
        <v>481.95</v>
      </c>
      <c r="H374">
        <v>9</v>
      </c>
      <c r="I374">
        <v>53.55</v>
      </c>
      <c r="J374" s="11">
        <v>0.12</v>
      </c>
      <c r="K374">
        <f t="shared" si="17"/>
        <v>57.833999999999996</v>
      </c>
      <c r="N374">
        <v>481.95</v>
      </c>
      <c r="O374">
        <v>57.833999999999996</v>
      </c>
      <c r="P374">
        <f t="shared" si="15"/>
        <v>424.11599999999999</v>
      </c>
    </row>
    <row r="375" spans="1:16" x14ac:dyDescent="0.25">
      <c r="A375">
        <v>44</v>
      </c>
      <c r="B375">
        <v>14.29</v>
      </c>
      <c r="C375">
        <f t="shared" si="16"/>
        <v>628.76</v>
      </c>
      <c r="H375">
        <v>44</v>
      </c>
      <c r="I375">
        <v>14.29</v>
      </c>
      <c r="J375" s="11">
        <v>0.11</v>
      </c>
      <c r="K375">
        <f t="shared" si="17"/>
        <v>69.163600000000002</v>
      </c>
      <c r="N375">
        <v>628.76</v>
      </c>
      <c r="O375">
        <v>69.163600000000002</v>
      </c>
      <c r="P375">
        <f t="shared" si="15"/>
        <v>559.59640000000002</v>
      </c>
    </row>
    <row r="376" spans="1:16" x14ac:dyDescent="0.25">
      <c r="A376">
        <v>19</v>
      </c>
      <c r="B376">
        <v>59.18</v>
      </c>
      <c r="C376">
        <f t="shared" si="16"/>
        <v>1124.42</v>
      </c>
      <c r="H376">
        <v>19</v>
      </c>
      <c r="I376">
        <v>59.18</v>
      </c>
      <c r="J376" s="11">
        <v>0.48</v>
      </c>
      <c r="K376">
        <f t="shared" si="17"/>
        <v>539.72159999999997</v>
      </c>
      <c r="N376">
        <v>1124.42</v>
      </c>
      <c r="O376">
        <v>539.72159999999997</v>
      </c>
      <c r="P376">
        <f t="shared" si="15"/>
        <v>584.69840000000011</v>
      </c>
    </row>
    <row r="377" spans="1:16" x14ac:dyDescent="0.25">
      <c r="A377">
        <v>36</v>
      </c>
      <c r="B377">
        <v>59.62</v>
      </c>
      <c r="C377">
        <f t="shared" si="16"/>
        <v>2146.3199999999997</v>
      </c>
      <c r="H377">
        <v>36</v>
      </c>
      <c r="I377">
        <v>59.62</v>
      </c>
      <c r="J377" s="11">
        <v>0.37</v>
      </c>
      <c r="K377">
        <f t="shared" si="17"/>
        <v>794.13839999999993</v>
      </c>
      <c r="N377">
        <v>2146.3199999999997</v>
      </c>
      <c r="O377">
        <v>794.13839999999993</v>
      </c>
      <c r="P377">
        <f t="shared" si="15"/>
        <v>1352.1815999999999</v>
      </c>
    </row>
    <row r="378" spans="1:16" x14ac:dyDescent="0.25">
      <c r="A378">
        <v>38</v>
      </c>
      <c r="B378">
        <v>39.29</v>
      </c>
      <c r="C378">
        <f t="shared" si="16"/>
        <v>1493.02</v>
      </c>
      <c r="H378">
        <v>38</v>
      </c>
      <c r="I378">
        <v>39.29</v>
      </c>
      <c r="J378" s="11">
        <v>0.31</v>
      </c>
      <c r="K378">
        <f t="shared" si="17"/>
        <v>462.83620000000002</v>
      </c>
      <c r="N378">
        <v>1493.02</v>
      </c>
      <c r="O378">
        <v>462.83620000000002</v>
      </c>
      <c r="P378">
        <f t="shared" si="15"/>
        <v>1030.1838</v>
      </c>
    </row>
    <row r="379" spans="1:16" x14ac:dyDescent="0.25">
      <c r="A379">
        <v>8</v>
      </c>
      <c r="B379">
        <v>92.97</v>
      </c>
      <c r="C379">
        <f t="shared" si="16"/>
        <v>743.76</v>
      </c>
      <c r="H379">
        <v>8</v>
      </c>
      <c r="I379">
        <v>92.97</v>
      </c>
      <c r="J379" s="11">
        <v>0.49</v>
      </c>
      <c r="K379">
        <f t="shared" si="17"/>
        <v>364.44239999999996</v>
      </c>
      <c r="N379">
        <v>743.76</v>
      </c>
      <c r="O379">
        <v>364.44239999999996</v>
      </c>
      <c r="P379">
        <f t="shared" si="15"/>
        <v>379.31760000000003</v>
      </c>
    </row>
    <row r="380" spans="1:16" x14ac:dyDescent="0.25">
      <c r="A380">
        <v>28</v>
      </c>
      <c r="B380">
        <v>21.66</v>
      </c>
      <c r="C380">
        <f t="shared" si="16"/>
        <v>606.48</v>
      </c>
      <c r="H380">
        <v>28</v>
      </c>
      <c r="I380">
        <v>21.66</v>
      </c>
      <c r="J380" s="11">
        <v>0.31</v>
      </c>
      <c r="K380">
        <f t="shared" si="17"/>
        <v>188.00880000000001</v>
      </c>
      <c r="N380">
        <v>606.48</v>
      </c>
      <c r="O380">
        <v>188.00880000000001</v>
      </c>
      <c r="P380">
        <f t="shared" si="15"/>
        <v>418.47120000000001</v>
      </c>
    </row>
    <row r="381" spans="1:16" x14ac:dyDescent="0.25">
      <c r="A381">
        <v>36</v>
      </c>
      <c r="B381">
        <v>1.4</v>
      </c>
      <c r="C381">
        <f t="shared" si="16"/>
        <v>50.4</v>
      </c>
      <c r="H381">
        <v>36</v>
      </c>
      <c r="I381">
        <v>1.4</v>
      </c>
      <c r="J381" s="11">
        <v>0.22</v>
      </c>
      <c r="K381">
        <f t="shared" si="17"/>
        <v>11.087999999999999</v>
      </c>
      <c r="N381">
        <v>50.4</v>
      </c>
      <c r="O381">
        <v>11.087999999999999</v>
      </c>
      <c r="P381">
        <f t="shared" si="15"/>
        <v>39.311999999999998</v>
      </c>
    </row>
    <row r="382" spans="1:16" x14ac:dyDescent="0.25">
      <c r="A382">
        <v>18</v>
      </c>
      <c r="B382">
        <v>73.900000000000006</v>
      </c>
      <c r="C382">
        <f t="shared" si="16"/>
        <v>1330.2</v>
      </c>
      <c r="H382">
        <v>18</v>
      </c>
      <c r="I382">
        <v>73.900000000000006</v>
      </c>
      <c r="J382" s="11">
        <v>0.35</v>
      </c>
      <c r="K382">
        <f t="shared" si="17"/>
        <v>465.57</v>
      </c>
      <c r="N382">
        <v>1330.2</v>
      </c>
      <c r="O382">
        <v>465.57</v>
      </c>
      <c r="P382">
        <f t="shared" si="15"/>
        <v>864.63000000000011</v>
      </c>
    </row>
    <row r="383" spans="1:16" x14ac:dyDescent="0.25">
      <c r="A383">
        <v>34</v>
      </c>
      <c r="B383">
        <v>11.26</v>
      </c>
      <c r="C383">
        <f t="shared" si="16"/>
        <v>382.84</v>
      </c>
      <c r="H383">
        <v>34</v>
      </c>
      <c r="I383">
        <v>11.26</v>
      </c>
      <c r="J383" s="11">
        <v>0.19</v>
      </c>
      <c r="K383">
        <f t="shared" si="17"/>
        <v>72.739599999999996</v>
      </c>
      <c r="N383">
        <v>382.84</v>
      </c>
      <c r="O383">
        <v>72.739599999999996</v>
      </c>
      <c r="P383">
        <f t="shared" si="15"/>
        <v>310.10039999999998</v>
      </c>
    </row>
    <row r="384" spans="1:16" x14ac:dyDescent="0.25">
      <c r="A384">
        <v>48</v>
      </c>
      <c r="B384">
        <v>71.349999999999994</v>
      </c>
      <c r="C384">
        <f t="shared" si="16"/>
        <v>3424.7999999999997</v>
      </c>
      <c r="H384">
        <v>48</v>
      </c>
      <c r="I384">
        <v>71.349999999999994</v>
      </c>
      <c r="J384" s="11">
        <v>0.12</v>
      </c>
      <c r="K384">
        <f t="shared" si="17"/>
        <v>410.97599999999994</v>
      </c>
      <c r="N384">
        <v>3424.7999999999997</v>
      </c>
      <c r="O384">
        <v>410.97599999999994</v>
      </c>
      <c r="P384">
        <f t="shared" si="15"/>
        <v>3013.8239999999996</v>
      </c>
    </row>
    <row r="385" spans="1:16" x14ac:dyDescent="0.25">
      <c r="A385">
        <v>18</v>
      </c>
      <c r="B385">
        <v>12.33</v>
      </c>
      <c r="C385">
        <f t="shared" si="16"/>
        <v>221.94</v>
      </c>
      <c r="H385">
        <v>18</v>
      </c>
      <c r="I385">
        <v>12.33</v>
      </c>
      <c r="J385" s="11">
        <v>0.08</v>
      </c>
      <c r="K385">
        <f t="shared" si="17"/>
        <v>17.755199999999999</v>
      </c>
      <c r="N385">
        <v>221.94</v>
      </c>
      <c r="O385">
        <v>17.755199999999999</v>
      </c>
      <c r="P385">
        <f t="shared" si="15"/>
        <v>204.1848</v>
      </c>
    </row>
    <row r="386" spans="1:16" x14ac:dyDescent="0.25">
      <c r="A386">
        <v>17</v>
      </c>
      <c r="B386">
        <v>53</v>
      </c>
      <c r="C386">
        <f t="shared" si="16"/>
        <v>901</v>
      </c>
      <c r="H386">
        <v>17</v>
      </c>
      <c r="I386">
        <v>53</v>
      </c>
      <c r="J386" s="11">
        <v>0.24</v>
      </c>
      <c r="K386">
        <f t="shared" si="17"/>
        <v>216.23999999999998</v>
      </c>
      <c r="N386">
        <v>901</v>
      </c>
      <c r="O386">
        <v>216.23999999999998</v>
      </c>
      <c r="P386">
        <f t="shared" ref="P386:P449" si="18">N386-O386</f>
        <v>684.76</v>
      </c>
    </row>
    <row r="387" spans="1:16" x14ac:dyDescent="0.25">
      <c r="A387">
        <v>47</v>
      </c>
      <c r="B387">
        <v>9.1</v>
      </c>
      <c r="C387">
        <f t="shared" ref="C387:C450" si="19">A387*B387</f>
        <v>427.7</v>
      </c>
      <c r="H387">
        <v>47</v>
      </c>
      <c r="I387">
        <v>9.1</v>
      </c>
      <c r="J387" s="11">
        <v>0.38</v>
      </c>
      <c r="K387">
        <f t="shared" ref="K387:K450" si="20">H387*I387*J387</f>
        <v>162.52600000000001</v>
      </c>
      <c r="N387">
        <v>427.7</v>
      </c>
      <c r="O387">
        <v>162.52600000000001</v>
      </c>
      <c r="P387">
        <f t="shared" si="18"/>
        <v>265.17399999999998</v>
      </c>
    </row>
    <row r="388" spans="1:16" x14ac:dyDescent="0.25">
      <c r="A388">
        <v>8</v>
      </c>
      <c r="B388">
        <v>69.680000000000007</v>
      </c>
      <c r="C388">
        <f t="shared" si="19"/>
        <v>557.44000000000005</v>
      </c>
      <c r="H388">
        <v>8</v>
      </c>
      <c r="I388">
        <v>69.680000000000007</v>
      </c>
      <c r="J388" s="11">
        <v>0.37</v>
      </c>
      <c r="K388">
        <f t="shared" si="20"/>
        <v>206.25280000000001</v>
      </c>
      <c r="N388">
        <v>557.44000000000005</v>
      </c>
      <c r="O388">
        <v>206.25280000000001</v>
      </c>
      <c r="P388">
        <f t="shared" si="18"/>
        <v>351.18720000000008</v>
      </c>
    </row>
    <row r="389" spans="1:16" x14ac:dyDescent="0.25">
      <c r="A389">
        <v>19</v>
      </c>
      <c r="B389">
        <v>86.1</v>
      </c>
      <c r="C389">
        <f t="shared" si="19"/>
        <v>1635.8999999999999</v>
      </c>
      <c r="H389">
        <v>19</v>
      </c>
      <c r="I389">
        <v>86.1</v>
      </c>
      <c r="J389" s="11">
        <v>0.34</v>
      </c>
      <c r="K389">
        <f t="shared" si="20"/>
        <v>556.20600000000002</v>
      </c>
      <c r="N389">
        <v>1635.8999999999999</v>
      </c>
      <c r="O389">
        <v>556.20600000000002</v>
      </c>
      <c r="P389">
        <f t="shared" si="18"/>
        <v>1079.694</v>
      </c>
    </row>
    <row r="390" spans="1:16" x14ac:dyDescent="0.25">
      <c r="A390">
        <v>34</v>
      </c>
      <c r="B390">
        <v>85.2</v>
      </c>
      <c r="C390">
        <f t="shared" si="19"/>
        <v>2896.8</v>
      </c>
      <c r="H390">
        <v>34</v>
      </c>
      <c r="I390">
        <v>85.2</v>
      </c>
      <c r="J390" s="11">
        <v>0.08</v>
      </c>
      <c r="K390">
        <f t="shared" si="20"/>
        <v>231.74400000000003</v>
      </c>
      <c r="N390">
        <v>2896.8</v>
      </c>
      <c r="O390">
        <v>231.74400000000003</v>
      </c>
      <c r="P390">
        <f t="shared" si="18"/>
        <v>2665.056</v>
      </c>
    </row>
    <row r="391" spans="1:16" x14ac:dyDescent="0.25">
      <c r="A391">
        <v>12</v>
      </c>
      <c r="B391">
        <v>79.790000000000006</v>
      </c>
      <c r="C391">
        <f t="shared" si="19"/>
        <v>957.48</v>
      </c>
      <c r="H391">
        <v>12</v>
      </c>
      <c r="I391">
        <v>79.790000000000006</v>
      </c>
      <c r="J391" s="11">
        <v>0.04</v>
      </c>
      <c r="K391">
        <f t="shared" si="20"/>
        <v>38.299199999999999</v>
      </c>
      <c r="N391">
        <v>957.48</v>
      </c>
      <c r="O391">
        <v>38.299199999999999</v>
      </c>
      <c r="P391">
        <f t="shared" si="18"/>
        <v>919.18079999999998</v>
      </c>
    </row>
    <row r="392" spans="1:16" x14ac:dyDescent="0.25">
      <c r="A392">
        <v>44</v>
      </c>
      <c r="B392">
        <v>58.71</v>
      </c>
      <c r="C392">
        <f t="shared" si="19"/>
        <v>2583.2400000000002</v>
      </c>
      <c r="H392">
        <v>44</v>
      </c>
      <c r="I392">
        <v>58.71</v>
      </c>
      <c r="J392" s="11">
        <v>0.37</v>
      </c>
      <c r="K392">
        <f t="shared" si="20"/>
        <v>955.79880000000003</v>
      </c>
      <c r="N392">
        <v>2583.2400000000002</v>
      </c>
      <c r="O392">
        <v>955.79880000000003</v>
      </c>
      <c r="P392">
        <f t="shared" si="18"/>
        <v>1627.4412000000002</v>
      </c>
    </row>
    <row r="393" spans="1:16" x14ac:dyDescent="0.25">
      <c r="A393">
        <v>23</v>
      </c>
      <c r="B393">
        <v>17.27</v>
      </c>
      <c r="C393">
        <f t="shared" si="19"/>
        <v>397.21</v>
      </c>
      <c r="H393">
        <v>23</v>
      </c>
      <c r="I393">
        <v>17.27</v>
      </c>
      <c r="J393" s="11">
        <v>0.17</v>
      </c>
      <c r="K393">
        <f t="shared" si="20"/>
        <v>67.525700000000001</v>
      </c>
      <c r="N393">
        <v>397.21</v>
      </c>
      <c r="O393">
        <v>67.525700000000001</v>
      </c>
      <c r="P393">
        <f t="shared" si="18"/>
        <v>329.68430000000001</v>
      </c>
    </row>
    <row r="394" spans="1:16" x14ac:dyDescent="0.25">
      <c r="A394">
        <v>26</v>
      </c>
      <c r="B394">
        <v>31.24</v>
      </c>
      <c r="C394">
        <f t="shared" si="19"/>
        <v>812.24</v>
      </c>
      <c r="H394">
        <v>26</v>
      </c>
      <c r="I394">
        <v>31.24</v>
      </c>
      <c r="J394" s="11">
        <v>0.13</v>
      </c>
      <c r="K394">
        <f t="shared" si="20"/>
        <v>105.5912</v>
      </c>
      <c r="N394">
        <v>812.24</v>
      </c>
      <c r="O394">
        <v>105.5912</v>
      </c>
      <c r="P394">
        <f t="shared" si="18"/>
        <v>706.64880000000005</v>
      </c>
    </row>
    <row r="395" spans="1:16" x14ac:dyDescent="0.25">
      <c r="A395">
        <v>37</v>
      </c>
      <c r="B395">
        <v>81.61</v>
      </c>
      <c r="C395">
        <f t="shared" si="19"/>
        <v>3019.57</v>
      </c>
      <c r="H395">
        <v>37</v>
      </c>
      <c r="I395">
        <v>81.61</v>
      </c>
      <c r="J395" s="11">
        <v>0.41</v>
      </c>
      <c r="K395">
        <f t="shared" si="20"/>
        <v>1238.0237</v>
      </c>
      <c r="N395">
        <v>3019.57</v>
      </c>
      <c r="O395">
        <v>1238.0237</v>
      </c>
      <c r="P395">
        <f t="shared" si="18"/>
        <v>1781.5463000000002</v>
      </c>
    </row>
    <row r="396" spans="1:16" x14ac:dyDescent="0.25">
      <c r="A396">
        <v>1</v>
      </c>
      <c r="B396">
        <v>95.64</v>
      </c>
      <c r="C396">
        <f t="shared" si="19"/>
        <v>95.64</v>
      </c>
      <c r="H396">
        <v>1</v>
      </c>
      <c r="I396">
        <v>95.64</v>
      </c>
      <c r="J396" s="11">
        <v>0.28999999999999998</v>
      </c>
      <c r="K396">
        <f t="shared" si="20"/>
        <v>27.735599999999998</v>
      </c>
      <c r="N396">
        <v>95.64</v>
      </c>
      <c r="O396">
        <v>27.735599999999998</v>
      </c>
      <c r="P396">
        <f t="shared" si="18"/>
        <v>67.90440000000001</v>
      </c>
    </row>
    <row r="397" spans="1:16" x14ac:dyDescent="0.25">
      <c r="A397">
        <v>39</v>
      </c>
      <c r="B397">
        <v>75.13</v>
      </c>
      <c r="C397">
        <f t="shared" si="19"/>
        <v>2930.0699999999997</v>
      </c>
      <c r="H397">
        <v>39</v>
      </c>
      <c r="I397">
        <v>75.13</v>
      </c>
      <c r="J397" s="11">
        <v>0.36</v>
      </c>
      <c r="K397">
        <f t="shared" si="20"/>
        <v>1054.8251999999998</v>
      </c>
      <c r="N397">
        <v>2930.0699999999997</v>
      </c>
      <c r="O397">
        <v>1054.8251999999998</v>
      </c>
      <c r="P397">
        <f t="shared" si="18"/>
        <v>1875.2447999999999</v>
      </c>
    </row>
    <row r="398" spans="1:16" x14ac:dyDescent="0.25">
      <c r="A398">
        <v>43</v>
      </c>
      <c r="B398">
        <v>96.41</v>
      </c>
      <c r="C398">
        <f t="shared" si="19"/>
        <v>4145.63</v>
      </c>
      <c r="H398">
        <v>43</v>
      </c>
      <c r="I398">
        <v>96.41</v>
      </c>
      <c r="J398" s="11">
        <v>0</v>
      </c>
      <c r="K398">
        <f t="shared" si="20"/>
        <v>0</v>
      </c>
      <c r="N398">
        <v>4145.63</v>
      </c>
      <c r="O398">
        <v>0</v>
      </c>
      <c r="P398">
        <f t="shared" si="18"/>
        <v>4145.63</v>
      </c>
    </row>
    <row r="399" spans="1:16" x14ac:dyDescent="0.25">
      <c r="A399">
        <v>10</v>
      </c>
      <c r="B399">
        <v>53</v>
      </c>
      <c r="C399">
        <f t="shared" si="19"/>
        <v>530</v>
      </c>
      <c r="H399">
        <v>10</v>
      </c>
      <c r="I399">
        <v>53</v>
      </c>
      <c r="J399" s="11">
        <v>0.15</v>
      </c>
      <c r="K399">
        <f t="shared" si="20"/>
        <v>79.5</v>
      </c>
      <c r="N399">
        <v>530</v>
      </c>
      <c r="O399">
        <v>79.5</v>
      </c>
      <c r="P399">
        <f t="shared" si="18"/>
        <v>450.5</v>
      </c>
    </row>
    <row r="400" spans="1:16" x14ac:dyDescent="0.25">
      <c r="A400">
        <v>25</v>
      </c>
      <c r="B400">
        <v>90.66</v>
      </c>
      <c r="C400">
        <f t="shared" si="19"/>
        <v>2266.5</v>
      </c>
      <c r="H400">
        <v>25</v>
      </c>
      <c r="I400">
        <v>90.66</v>
      </c>
      <c r="J400" s="11">
        <v>0.28999999999999998</v>
      </c>
      <c r="K400">
        <f t="shared" si="20"/>
        <v>657.28499999999997</v>
      </c>
      <c r="N400">
        <v>2266.5</v>
      </c>
      <c r="O400">
        <v>657.28499999999997</v>
      </c>
      <c r="P400">
        <f t="shared" si="18"/>
        <v>1609.2150000000001</v>
      </c>
    </row>
    <row r="401" spans="1:16" x14ac:dyDescent="0.25">
      <c r="A401">
        <v>33</v>
      </c>
      <c r="B401">
        <v>89.2</v>
      </c>
      <c r="C401">
        <f t="shared" si="19"/>
        <v>2943.6</v>
      </c>
      <c r="H401">
        <v>33</v>
      </c>
      <c r="I401">
        <v>89.2</v>
      </c>
      <c r="J401" s="11">
        <v>0.37</v>
      </c>
      <c r="K401">
        <f t="shared" si="20"/>
        <v>1089.1320000000001</v>
      </c>
      <c r="N401">
        <v>2943.6</v>
      </c>
      <c r="O401">
        <v>1089.1320000000001</v>
      </c>
      <c r="P401">
        <f t="shared" si="18"/>
        <v>1854.4679999999998</v>
      </c>
    </row>
    <row r="402" spans="1:16" x14ac:dyDescent="0.25">
      <c r="A402">
        <v>27</v>
      </c>
      <c r="B402">
        <v>31.33</v>
      </c>
      <c r="C402">
        <f t="shared" si="19"/>
        <v>845.91</v>
      </c>
      <c r="H402">
        <v>27</v>
      </c>
      <c r="I402">
        <v>31.33</v>
      </c>
      <c r="J402" s="11">
        <v>0.25</v>
      </c>
      <c r="K402">
        <f t="shared" si="20"/>
        <v>211.47749999999999</v>
      </c>
      <c r="N402">
        <v>845.91</v>
      </c>
      <c r="O402">
        <v>211.47749999999999</v>
      </c>
      <c r="P402">
        <f t="shared" si="18"/>
        <v>634.4325</v>
      </c>
    </row>
    <row r="403" spans="1:16" x14ac:dyDescent="0.25">
      <c r="A403">
        <v>8</v>
      </c>
      <c r="B403">
        <v>53</v>
      </c>
      <c r="C403">
        <f t="shared" si="19"/>
        <v>424</v>
      </c>
      <c r="H403">
        <v>8</v>
      </c>
      <c r="I403">
        <v>53</v>
      </c>
      <c r="J403" s="11">
        <v>0.37</v>
      </c>
      <c r="K403">
        <f t="shared" si="20"/>
        <v>156.88</v>
      </c>
      <c r="N403">
        <v>424</v>
      </c>
      <c r="O403">
        <v>156.88</v>
      </c>
      <c r="P403">
        <f t="shared" si="18"/>
        <v>267.12</v>
      </c>
    </row>
    <row r="404" spans="1:16" x14ac:dyDescent="0.25">
      <c r="A404">
        <v>23</v>
      </c>
      <c r="B404">
        <v>69.45</v>
      </c>
      <c r="C404">
        <f t="shared" si="19"/>
        <v>1597.3500000000001</v>
      </c>
      <c r="H404">
        <v>23</v>
      </c>
      <c r="I404">
        <v>69.45</v>
      </c>
      <c r="J404" s="11">
        <v>0.32</v>
      </c>
      <c r="K404">
        <f t="shared" si="20"/>
        <v>511.15200000000004</v>
      </c>
      <c r="N404">
        <v>1597.3500000000001</v>
      </c>
      <c r="O404">
        <v>511.15200000000004</v>
      </c>
      <c r="P404">
        <f t="shared" si="18"/>
        <v>1086.1980000000001</v>
      </c>
    </row>
    <row r="405" spans="1:16" x14ac:dyDescent="0.25">
      <c r="A405">
        <v>40</v>
      </c>
      <c r="B405">
        <v>78.73</v>
      </c>
      <c r="C405">
        <f t="shared" si="19"/>
        <v>3149.2000000000003</v>
      </c>
      <c r="H405">
        <v>40</v>
      </c>
      <c r="I405">
        <v>78.73</v>
      </c>
      <c r="J405" s="11">
        <v>0.26</v>
      </c>
      <c r="K405">
        <f t="shared" si="20"/>
        <v>818.79200000000014</v>
      </c>
      <c r="N405">
        <v>3149.2000000000003</v>
      </c>
      <c r="O405">
        <v>818.79200000000014</v>
      </c>
      <c r="P405">
        <f t="shared" si="18"/>
        <v>2330.4080000000004</v>
      </c>
    </row>
    <row r="406" spans="1:16" x14ac:dyDescent="0.25">
      <c r="A406">
        <v>26</v>
      </c>
      <c r="B406">
        <v>45.21</v>
      </c>
      <c r="C406">
        <f t="shared" si="19"/>
        <v>1175.46</v>
      </c>
      <c r="H406">
        <v>26</v>
      </c>
      <c r="I406">
        <v>45.21</v>
      </c>
      <c r="J406" s="11">
        <v>0.16</v>
      </c>
      <c r="K406">
        <f t="shared" si="20"/>
        <v>188.0736</v>
      </c>
      <c r="N406">
        <v>1175.46</v>
      </c>
      <c r="O406">
        <v>188.0736</v>
      </c>
      <c r="P406">
        <f t="shared" si="18"/>
        <v>987.38640000000009</v>
      </c>
    </row>
    <row r="407" spans="1:16" x14ac:dyDescent="0.25">
      <c r="A407">
        <v>7</v>
      </c>
      <c r="B407">
        <v>73.92</v>
      </c>
      <c r="C407">
        <f t="shared" si="19"/>
        <v>517.44000000000005</v>
      </c>
      <c r="H407">
        <v>7</v>
      </c>
      <c r="I407">
        <v>73.92</v>
      </c>
      <c r="J407" s="11">
        <v>0.38</v>
      </c>
      <c r="K407">
        <f t="shared" si="20"/>
        <v>196.62720000000002</v>
      </c>
      <c r="N407">
        <v>517.44000000000005</v>
      </c>
      <c r="O407">
        <v>196.62720000000002</v>
      </c>
      <c r="P407">
        <f t="shared" si="18"/>
        <v>320.81280000000004</v>
      </c>
    </row>
    <row r="408" spans="1:16" x14ac:dyDescent="0.25">
      <c r="A408">
        <v>23</v>
      </c>
      <c r="B408">
        <v>66.16</v>
      </c>
      <c r="C408">
        <f t="shared" si="19"/>
        <v>1521.6799999999998</v>
      </c>
      <c r="H408">
        <v>23</v>
      </c>
      <c r="I408">
        <v>66.16</v>
      </c>
      <c r="J408" s="11">
        <v>0.35</v>
      </c>
      <c r="K408">
        <f t="shared" si="20"/>
        <v>532.58799999999997</v>
      </c>
      <c r="N408">
        <v>1521.6799999999998</v>
      </c>
      <c r="O408">
        <v>532.58799999999997</v>
      </c>
      <c r="P408">
        <f t="shared" si="18"/>
        <v>989.09199999999987</v>
      </c>
    </row>
    <row r="409" spans="1:16" x14ac:dyDescent="0.25">
      <c r="A409">
        <v>41</v>
      </c>
      <c r="B409">
        <v>65.09</v>
      </c>
      <c r="C409">
        <f t="shared" si="19"/>
        <v>2668.69</v>
      </c>
      <c r="H409">
        <v>41</v>
      </c>
      <c r="I409">
        <v>65.09</v>
      </c>
      <c r="J409" s="11">
        <v>0.12</v>
      </c>
      <c r="K409">
        <f t="shared" si="20"/>
        <v>320.24279999999999</v>
      </c>
      <c r="N409">
        <v>2668.69</v>
      </c>
      <c r="O409">
        <v>320.24279999999999</v>
      </c>
      <c r="P409">
        <f t="shared" si="18"/>
        <v>2348.4472000000001</v>
      </c>
    </row>
    <row r="410" spans="1:16" x14ac:dyDescent="0.25">
      <c r="A410">
        <v>37</v>
      </c>
      <c r="B410">
        <v>33.869999999999997</v>
      </c>
      <c r="C410">
        <f t="shared" si="19"/>
        <v>1253.1899999999998</v>
      </c>
      <c r="H410">
        <v>37</v>
      </c>
      <c r="I410">
        <v>33.869999999999997</v>
      </c>
      <c r="J410" s="11">
        <v>0.05</v>
      </c>
      <c r="K410">
        <f t="shared" si="20"/>
        <v>62.659499999999994</v>
      </c>
      <c r="N410">
        <v>1253.1899999999998</v>
      </c>
      <c r="O410">
        <v>62.659499999999994</v>
      </c>
      <c r="P410">
        <f t="shared" si="18"/>
        <v>1190.5304999999998</v>
      </c>
    </row>
    <row r="411" spans="1:16" x14ac:dyDescent="0.25">
      <c r="A411">
        <v>2</v>
      </c>
      <c r="B411">
        <v>53.33</v>
      </c>
      <c r="C411">
        <f t="shared" si="19"/>
        <v>106.66</v>
      </c>
      <c r="H411">
        <v>2</v>
      </c>
      <c r="I411">
        <v>53.33</v>
      </c>
      <c r="J411" s="11">
        <v>0.3</v>
      </c>
      <c r="K411">
        <f t="shared" si="20"/>
        <v>31.997999999999998</v>
      </c>
      <c r="N411">
        <v>106.66</v>
      </c>
      <c r="O411">
        <v>31.997999999999998</v>
      </c>
      <c r="P411">
        <f t="shared" si="18"/>
        <v>74.662000000000006</v>
      </c>
    </row>
    <row r="412" spans="1:16" x14ac:dyDescent="0.25">
      <c r="A412">
        <v>4</v>
      </c>
      <c r="B412">
        <v>48.07</v>
      </c>
      <c r="C412">
        <f t="shared" si="19"/>
        <v>192.28</v>
      </c>
      <c r="H412">
        <v>4</v>
      </c>
      <c r="I412">
        <v>48.07</v>
      </c>
      <c r="J412" s="11">
        <v>0.34</v>
      </c>
      <c r="K412">
        <f t="shared" si="20"/>
        <v>65.375200000000007</v>
      </c>
      <c r="N412">
        <v>192.28</v>
      </c>
      <c r="O412">
        <v>65.375200000000007</v>
      </c>
      <c r="P412">
        <f t="shared" si="18"/>
        <v>126.90479999999999</v>
      </c>
    </row>
    <row r="413" spans="1:16" x14ac:dyDescent="0.25">
      <c r="A413">
        <v>42</v>
      </c>
      <c r="B413">
        <v>76.63</v>
      </c>
      <c r="C413">
        <f t="shared" si="19"/>
        <v>3218.46</v>
      </c>
      <c r="H413">
        <v>42</v>
      </c>
      <c r="I413">
        <v>76.63</v>
      </c>
      <c r="J413" s="11">
        <v>0.16</v>
      </c>
      <c r="K413">
        <f t="shared" si="20"/>
        <v>514.95360000000005</v>
      </c>
      <c r="N413">
        <v>3218.46</v>
      </c>
      <c r="O413">
        <v>514.95360000000005</v>
      </c>
      <c r="P413">
        <f t="shared" si="18"/>
        <v>2703.5064000000002</v>
      </c>
    </row>
    <row r="414" spans="1:16" x14ac:dyDescent="0.25">
      <c r="A414">
        <v>1</v>
      </c>
      <c r="B414">
        <v>87.79</v>
      </c>
      <c r="C414">
        <f t="shared" si="19"/>
        <v>87.79</v>
      </c>
      <c r="H414">
        <v>1</v>
      </c>
      <c r="I414">
        <v>87.79</v>
      </c>
      <c r="J414" s="11">
        <v>0.42</v>
      </c>
      <c r="K414">
        <f t="shared" si="20"/>
        <v>36.8718</v>
      </c>
      <c r="N414">
        <v>87.79</v>
      </c>
      <c r="O414">
        <v>36.8718</v>
      </c>
      <c r="P414">
        <f t="shared" si="18"/>
        <v>50.918200000000006</v>
      </c>
    </row>
    <row r="415" spans="1:16" x14ac:dyDescent="0.25">
      <c r="A415">
        <v>22</v>
      </c>
      <c r="B415">
        <v>50.81</v>
      </c>
      <c r="C415">
        <f t="shared" si="19"/>
        <v>1117.8200000000002</v>
      </c>
      <c r="H415">
        <v>22</v>
      </c>
      <c r="I415">
        <v>50.81</v>
      </c>
      <c r="J415" s="11">
        <v>0.5</v>
      </c>
      <c r="K415">
        <f t="shared" si="20"/>
        <v>558.91000000000008</v>
      </c>
      <c r="N415">
        <v>1117.8200000000002</v>
      </c>
      <c r="O415">
        <v>558.91000000000008</v>
      </c>
      <c r="P415">
        <f t="shared" si="18"/>
        <v>558.91000000000008</v>
      </c>
    </row>
    <row r="416" spans="1:16" x14ac:dyDescent="0.25">
      <c r="A416">
        <v>17</v>
      </c>
      <c r="B416">
        <v>53.65</v>
      </c>
      <c r="C416">
        <f t="shared" si="19"/>
        <v>912.05</v>
      </c>
      <c r="H416">
        <v>17</v>
      </c>
      <c r="I416">
        <v>53.65</v>
      </c>
      <c r="J416" s="11">
        <v>0.35</v>
      </c>
      <c r="K416">
        <f t="shared" si="20"/>
        <v>319.21749999999997</v>
      </c>
      <c r="N416">
        <v>912.05</v>
      </c>
      <c r="O416">
        <v>319.21749999999997</v>
      </c>
      <c r="P416">
        <f t="shared" si="18"/>
        <v>592.83249999999998</v>
      </c>
    </row>
    <row r="417" spans="1:16" x14ac:dyDescent="0.25">
      <c r="A417">
        <v>5</v>
      </c>
      <c r="B417">
        <v>51.5</v>
      </c>
      <c r="C417">
        <f t="shared" si="19"/>
        <v>257.5</v>
      </c>
      <c r="H417">
        <v>5</v>
      </c>
      <c r="I417">
        <v>51.5</v>
      </c>
      <c r="J417" s="11">
        <v>0.16</v>
      </c>
      <c r="K417">
        <f t="shared" si="20"/>
        <v>41.2</v>
      </c>
      <c r="N417">
        <v>257.5</v>
      </c>
      <c r="O417">
        <v>41.2</v>
      </c>
      <c r="P417">
        <f t="shared" si="18"/>
        <v>216.3</v>
      </c>
    </row>
    <row r="418" spans="1:16" x14ac:dyDescent="0.25">
      <c r="A418">
        <v>23</v>
      </c>
      <c r="B418">
        <v>79.92</v>
      </c>
      <c r="C418">
        <f t="shared" si="19"/>
        <v>1838.16</v>
      </c>
      <c r="H418">
        <v>23</v>
      </c>
      <c r="I418">
        <v>79.92</v>
      </c>
      <c r="J418" s="11">
        <v>0.12</v>
      </c>
      <c r="K418">
        <f t="shared" si="20"/>
        <v>220.57920000000001</v>
      </c>
      <c r="N418">
        <v>1838.16</v>
      </c>
      <c r="O418">
        <v>220.57920000000001</v>
      </c>
      <c r="P418">
        <f t="shared" si="18"/>
        <v>1617.5808000000002</v>
      </c>
    </row>
    <row r="419" spans="1:16" x14ac:dyDescent="0.25">
      <c r="A419">
        <v>26</v>
      </c>
      <c r="B419">
        <v>33.99</v>
      </c>
      <c r="C419">
        <f t="shared" si="19"/>
        <v>883.74</v>
      </c>
      <c r="H419">
        <v>26</v>
      </c>
      <c r="I419">
        <v>33.99</v>
      </c>
      <c r="J419" s="11">
        <v>0.2</v>
      </c>
      <c r="K419">
        <f t="shared" si="20"/>
        <v>176.74800000000002</v>
      </c>
      <c r="N419">
        <v>883.74</v>
      </c>
      <c r="O419">
        <v>176.74800000000002</v>
      </c>
      <c r="P419">
        <f t="shared" si="18"/>
        <v>706.99199999999996</v>
      </c>
    </row>
    <row r="420" spans="1:16" x14ac:dyDescent="0.25">
      <c r="A420">
        <v>5</v>
      </c>
      <c r="B420">
        <v>57.94</v>
      </c>
      <c r="C420">
        <f t="shared" si="19"/>
        <v>289.7</v>
      </c>
      <c r="H420">
        <v>5</v>
      </c>
      <c r="I420">
        <v>57.94</v>
      </c>
      <c r="J420" s="11">
        <v>0.26</v>
      </c>
      <c r="K420">
        <f t="shared" si="20"/>
        <v>75.322000000000003</v>
      </c>
      <c r="N420">
        <v>289.7</v>
      </c>
      <c r="O420">
        <v>75.322000000000003</v>
      </c>
      <c r="P420">
        <f t="shared" si="18"/>
        <v>214.37799999999999</v>
      </c>
    </row>
    <row r="421" spans="1:16" x14ac:dyDescent="0.25">
      <c r="A421">
        <v>46</v>
      </c>
      <c r="B421">
        <v>97.73</v>
      </c>
      <c r="C421">
        <f t="shared" si="19"/>
        <v>4495.58</v>
      </c>
      <c r="H421">
        <v>46</v>
      </c>
      <c r="I421">
        <v>97.73</v>
      </c>
      <c r="J421" s="11">
        <v>0.28000000000000003</v>
      </c>
      <c r="K421">
        <f t="shared" si="20"/>
        <v>1258.7624000000001</v>
      </c>
      <c r="N421">
        <v>4495.58</v>
      </c>
      <c r="O421">
        <v>1258.7624000000001</v>
      </c>
      <c r="P421">
        <f t="shared" si="18"/>
        <v>3236.8175999999999</v>
      </c>
    </row>
    <row r="422" spans="1:16" x14ac:dyDescent="0.25">
      <c r="A422">
        <v>38</v>
      </c>
      <c r="B422">
        <v>73.459999999999994</v>
      </c>
      <c r="C422">
        <f t="shared" si="19"/>
        <v>2791.4799999999996</v>
      </c>
      <c r="H422">
        <v>38</v>
      </c>
      <c r="I422">
        <v>73.459999999999994</v>
      </c>
      <c r="J422" s="11">
        <v>0.36</v>
      </c>
      <c r="K422">
        <f t="shared" si="20"/>
        <v>1004.9327999999998</v>
      </c>
      <c r="N422">
        <v>2791.4799999999996</v>
      </c>
      <c r="O422">
        <v>1004.9327999999998</v>
      </c>
      <c r="P422">
        <f t="shared" si="18"/>
        <v>1786.5471999999997</v>
      </c>
    </row>
    <row r="423" spans="1:16" x14ac:dyDescent="0.25">
      <c r="A423">
        <v>9</v>
      </c>
      <c r="B423">
        <v>82.33</v>
      </c>
      <c r="C423">
        <f t="shared" si="19"/>
        <v>740.97</v>
      </c>
      <c r="H423">
        <v>9</v>
      </c>
      <c r="I423">
        <v>82.33</v>
      </c>
      <c r="J423" s="11">
        <v>0.18</v>
      </c>
      <c r="K423">
        <f t="shared" si="20"/>
        <v>133.37459999999999</v>
      </c>
      <c r="N423">
        <v>740.97</v>
      </c>
      <c r="O423">
        <v>133.37459999999999</v>
      </c>
      <c r="P423">
        <f t="shared" si="18"/>
        <v>607.59540000000004</v>
      </c>
    </row>
    <row r="424" spans="1:16" x14ac:dyDescent="0.25">
      <c r="A424">
        <v>14</v>
      </c>
      <c r="B424">
        <v>36.200000000000003</v>
      </c>
      <c r="C424">
        <f t="shared" si="19"/>
        <v>506.80000000000007</v>
      </c>
      <c r="H424">
        <v>14</v>
      </c>
      <c r="I424">
        <v>36.200000000000003</v>
      </c>
      <c r="J424" s="11">
        <v>0.36</v>
      </c>
      <c r="K424">
        <f t="shared" si="20"/>
        <v>182.44800000000001</v>
      </c>
      <c r="N424">
        <v>506.80000000000007</v>
      </c>
      <c r="O424">
        <v>182.44800000000001</v>
      </c>
      <c r="P424">
        <f t="shared" si="18"/>
        <v>324.35200000000009</v>
      </c>
    </row>
    <row r="425" spans="1:16" x14ac:dyDescent="0.25">
      <c r="A425">
        <v>32</v>
      </c>
      <c r="B425">
        <v>62.13</v>
      </c>
      <c r="C425">
        <f t="shared" si="19"/>
        <v>1988.16</v>
      </c>
      <c r="H425">
        <v>32</v>
      </c>
      <c r="I425">
        <v>62.13</v>
      </c>
      <c r="J425" s="11">
        <v>0.36</v>
      </c>
      <c r="K425">
        <f t="shared" si="20"/>
        <v>715.73760000000004</v>
      </c>
      <c r="N425">
        <v>1988.16</v>
      </c>
      <c r="O425">
        <v>715.73760000000004</v>
      </c>
      <c r="P425">
        <f t="shared" si="18"/>
        <v>1272.4223999999999</v>
      </c>
    </row>
    <row r="426" spans="1:16" x14ac:dyDescent="0.25">
      <c r="A426">
        <v>2</v>
      </c>
      <c r="B426">
        <v>26.52</v>
      </c>
      <c r="C426">
        <f t="shared" si="19"/>
        <v>53.04</v>
      </c>
      <c r="H426">
        <v>2</v>
      </c>
      <c r="I426">
        <v>26.52</v>
      </c>
      <c r="J426" s="11">
        <v>0.18</v>
      </c>
      <c r="K426">
        <f t="shared" si="20"/>
        <v>9.5472000000000001</v>
      </c>
      <c r="N426">
        <v>53.04</v>
      </c>
      <c r="O426">
        <v>9.5472000000000001</v>
      </c>
      <c r="P426">
        <f t="shared" si="18"/>
        <v>43.492800000000003</v>
      </c>
    </row>
    <row r="427" spans="1:16" x14ac:dyDescent="0.25">
      <c r="A427">
        <v>3</v>
      </c>
      <c r="B427">
        <v>53</v>
      </c>
      <c r="C427">
        <f t="shared" si="19"/>
        <v>159</v>
      </c>
      <c r="H427">
        <v>3</v>
      </c>
      <c r="I427">
        <v>53</v>
      </c>
      <c r="J427" s="11">
        <v>0.02</v>
      </c>
      <c r="K427">
        <f t="shared" si="20"/>
        <v>3.18</v>
      </c>
      <c r="N427">
        <v>159</v>
      </c>
      <c r="O427">
        <v>3.18</v>
      </c>
      <c r="P427">
        <f t="shared" si="18"/>
        <v>155.82</v>
      </c>
    </row>
    <row r="428" spans="1:16" x14ac:dyDescent="0.25">
      <c r="A428">
        <v>44</v>
      </c>
      <c r="B428">
        <v>66.83</v>
      </c>
      <c r="C428">
        <f t="shared" si="19"/>
        <v>2940.52</v>
      </c>
      <c r="H428">
        <v>44</v>
      </c>
      <c r="I428">
        <v>66.83</v>
      </c>
      <c r="J428" s="11">
        <v>0</v>
      </c>
      <c r="K428">
        <f t="shared" si="20"/>
        <v>0</v>
      </c>
      <c r="N428">
        <v>2940.52</v>
      </c>
      <c r="O428">
        <v>0</v>
      </c>
      <c r="P428">
        <f t="shared" si="18"/>
        <v>2940.52</v>
      </c>
    </row>
    <row r="429" spans="1:16" x14ac:dyDescent="0.25">
      <c r="A429">
        <v>42</v>
      </c>
      <c r="B429">
        <v>17.05</v>
      </c>
      <c r="C429">
        <f t="shared" si="19"/>
        <v>716.1</v>
      </c>
      <c r="H429">
        <v>42</v>
      </c>
      <c r="I429">
        <v>17.05</v>
      </c>
      <c r="J429" s="11">
        <v>0.01</v>
      </c>
      <c r="K429">
        <f t="shared" si="20"/>
        <v>7.1610000000000005</v>
      </c>
      <c r="N429">
        <v>716.1</v>
      </c>
      <c r="O429">
        <v>7.1610000000000005</v>
      </c>
      <c r="P429">
        <f t="shared" si="18"/>
        <v>708.93900000000008</v>
      </c>
    </row>
    <row r="430" spans="1:16" x14ac:dyDescent="0.25">
      <c r="A430">
        <v>37</v>
      </c>
      <c r="B430">
        <v>2.42</v>
      </c>
      <c r="C430">
        <f t="shared" si="19"/>
        <v>89.539999999999992</v>
      </c>
      <c r="H430">
        <v>37</v>
      </c>
      <c r="I430">
        <v>2.42</v>
      </c>
      <c r="J430" s="11">
        <v>0.02</v>
      </c>
      <c r="K430">
        <f t="shared" si="20"/>
        <v>1.7907999999999999</v>
      </c>
      <c r="N430">
        <v>89.539999999999992</v>
      </c>
      <c r="O430">
        <v>1.7907999999999999</v>
      </c>
      <c r="P430">
        <f t="shared" si="18"/>
        <v>87.749199999999988</v>
      </c>
    </row>
    <row r="431" spans="1:16" x14ac:dyDescent="0.25">
      <c r="A431">
        <v>49</v>
      </c>
      <c r="B431">
        <v>55.96</v>
      </c>
      <c r="C431">
        <f t="shared" si="19"/>
        <v>2742.04</v>
      </c>
      <c r="H431">
        <v>49</v>
      </c>
      <c r="I431">
        <v>55.96</v>
      </c>
      <c r="J431" s="11">
        <v>0.39</v>
      </c>
      <c r="K431">
        <f t="shared" si="20"/>
        <v>1069.3956000000001</v>
      </c>
      <c r="N431">
        <v>2742.04</v>
      </c>
      <c r="O431">
        <v>1069.3956000000001</v>
      </c>
      <c r="P431">
        <f t="shared" si="18"/>
        <v>1672.6443999999999</v>
      </c>
    </row>
    <row r="432" spans="1:16" x14ac:dyDescent="0.25">
      <c r="A432">
        <v>23</v>
      </c>
      <c r="B432">
        <v>53.54</v>
      </c>
      <c r="C432">
        <f t="shared" si="19"/>
        <v>1231.42</v>
      </c>
      <c r="H432">
        <v>23</v>
      </c>
      <c r="I432">
        <v>53.54</v>
      </c>
      <c r="J432" s="11">
        <v>0.34</v>
      </c>
      <c r="K432">
        <f t="shared" si="20"/>
        <v>418.68280000000004</v>
      </c>
      <c r="N432">
        <v>1231.42</v>
      </c>
      <c r="O432">
        <v>418.68280000000004</v>
      </c>
      <c r="P432">
        <f t="shared" si="18"/>
        <v>812.73720000000003</v>
      </c>
    </row>
    <row r="433" spans="1:16" x14ac:dyDescent="0.25">
      <c r="A433">
        <v>27</v>
      </c>
      <c r="B433">
        <v>66.599999999999994</v>
      </c>
      <c r="C433">
        <f t="shared" si="19"/>
        <v>1798.1999999999998</v>
      </c>
      <c r="H433">
        <v>27</v>
      </c>
      <c r="I433">
        <v>66.599999999999994</v>
      </c>
      <c r="J433" s="11">
        <v>0.48</v>
      </c>
      <c r="K433">
        <f t="shared" si="20"/>
        <v>863.13599999999985</v>
      </c>
      <c r="N433">
        <v>1798.1999999999998</v>
      </c>
      <c r="O433">
        <v>863.13599999999985</v>
      </c>
      <c r="P433">
        <f t="shared" si="18"/>
        <v>935.06399999999996</v>
      </c>
    </row>
    <row r="434" spans="1:16" x14ac:dyDescent="0.25">
      <c r="A434">
        <v>7</v>
      </c>
      <c r="B434">
        <v>54.12</v>
      </c>
      <c r="C434">
        <f t="shared" si="19"/>
        <v>378.84</v>
      </c>
      <c r="H434">
        <v>7</v>
      </c>
      <c r="I434">
        <v>54.12</v>
      </c>
      <c r="J434" s="11">
        <v>0.11</v>
      </c>
      <c r="K434">
        <f t="shared" si="20"/>
        <v>41.672399999999996</v>
      </c>
      <c r="N434">
        <v>378.84</v>
      </c>
      <c r="O434">
        <v>41.672399999999996</v>
      </c>
      <c r="P434">
        <f t="shared" si="18"/>
        <v>337.16759999999999</v>
      </c>
    </row>
    <row r="435" spans="1:16" x14ac:dyDescent="0.25">
      <c r="A435">
        <v>2</v>
      </c>
      <c r="B435">
        <v>12.1</v>
      </c>
      <c r="C435">
        <f t="shared" si="19"/>
        <v>24.2</v>
      </c>
      <c r="H435">
        <v>2</v>
      </c>
      <c r="I435">
        <v>12.1</v>
      </c>
      <c r="J435" s="11">
        <v>0.14000000000000001</v>
      </c>
      <c r="K435">
        <f t="shared" si="20"/>
        <v>3.3880000000000003</v>
      </c>
      <c r="N435">
        <v>24.2</v>
      </c>
      <c r="O435">
        <v>3.3880000000000003</v>
      </c>
      <c r="P435">
        <f t="shared" si="18"/>
        <v>20.811999999999998</v>
      </c>
    </row>
    <row r="436" spans="1:16" x14ac:dyDescent="0.25">
      <c r="A436">
        <v>4</v>
      </c>
      <c r="B436">
        <v>65.64</v>
      </c>
      <c r="C436">
        <f t="shared" si="19"/>
        <v>262.56</v>
      </c>
      <c r="H436">
        <v>4</v>
      </c>
      <c r="I436">
        <v>65.64</v>
      </c>
      <c r="J436" s="11">
        <v>0.23</v>
      </c>
      <c r="K436">
        <f t="shared" si="20"/>
        <v>60.388800000000003</v>
      </c>
      <c r="N436">
        <v>262.56</v>
      </c>
      <c r="O436">
        <v>60.388800000000003</v>
      </c>
      <c r="P436">
        <f t="shared" si="18"/>
        <v>202.1712</v>
      </c>
    </row>
    <row r="437" spans="1:16" x14ac:dyDescent="0.25">
      <c r="A437">
        <v>10</v>
      </c>
      <c r="B437">
        <v>94.31</v>
      </c>
      <c r="C437">
        <f t="shared" si="19"/>
        <v>943.1</v>
      </c>
      <c r="H437">
        <v>10</v>
      </c>
      <c r="I437">
        <v>94.31</v>
      </c>
      <c r="J437" s="11">
        <v>0.28000000000000003</v>
      </c>
      <c r="K437">
        <f t="shared" si="20"/>
        <v>264.06800000000004</v>
      </c>
      <c r="N437">
        <v>943.1</v>
      </c>
      <c r="O437">
        <v>264.06800000000004</v>
      </c>
      <c r="P437">
        <f t="shared" si="18"/>
        <v>679.03199999999993</v>
      </c>
    </row>
    <row r="438" spans="1:16" x14ac:dyDescent="0.25">
      <c r="A438">
        <v>24</v>
      </c>
      <c r="B438">
        <v>71.25</v>
      </c>
      <c r="C438">
        <f t="shared" si="19"/>
        <v>1710</v>
      </c>
      <c r="H438">
        <v>24</v>
      </c>
      <c r="I438">
        <v>71.25</v>
      </c>
      <c r="J438" s="11">
        <v>0.35</v>
      </c>
      <c r="K438">
        <f t="shared" si="20"/>
        <v>598.5</v>
      </c>
      <c r="N438">
        <v>1710</v>
      </c>
      <c r="O438">
        <v>598.5</v>
      </c>
      <c r="P438">
        <f t="shared" si="18"/>
        <v>1111.5</v>
      </c>
    </row>
    <row r="439" spans="1:16" x14ac:dyDescent="0.25">
      <c r="A439">
        <v>28</v>
      </c>
      <c r="B439">
        <v>63.09</v>
      </c>
      <c r="C439">
        <f t="shared" si="19"/>
        <v>1766.52</v>
      </c>
      <c r="H439">
        <v>28</v>
      </c>
      <c r="I439">
        <v>63.09</v>
      </c>
      <c r="J439" s="11">
        <v>0.28000000000000003</v>
      </c>
      <c r="K439">
        <f t="shared" si="20"/>
        <v>494.62560000000002</v>
      </c>
      <c r="N439">
        <v>1766.52</v>
      </c>
      <c r="O439">
        <v>494.62560000000002</v>
      </c>
      <c r="P439">
        <f t="shared" si="18"/>
        <v>1271.8943999999999</v>
      </c>
    </row>
    <row r="440" spans="1:16" x14ac:dyDescent="0.25">
      <c r="A440">
        <v>19</v>
      </c>
      <c r="B440">
        <v>96.2</v>
      </c>
      <c r="C440">
        <f t="shared" si="19"/>
        <v>1827.8</v>
      </c>
      <c r="H440">
        <v>19</v>
      </c>
      <c r="I440">
        <v>96.2</v>
      </c>
      <c r="J440" s="11">
        <v>0.25</v>
      </c>
      <c r="K440">
        <f t="shared" si="20"/>
        <v>456.95</v>
      </c>
      <c r="N440">
        <v>1827.8</v>
      </c>
      <c r="O440">
        <v>456.95</v>
      </c>
      <c r="P440">
        <f t="shared" si="18"/>
        <v>1370.85</v>
      </c>
    </row>
    <row r="441" spans="1:16" x14ac:dyDescent="0.25">
      <c r="A441">
        <v>19</v>
      </c>
      <c r="B441">
        <v>96.5</v>
      </c>
      <c r="C441">
        <f t="shared" si="19"/>
        <v>1833.5</v>
      </c>
      <c r="H441">
        <v>19</v>
      </c>
      <c r="I441">
        <v>96.5</v>
      </c>
      <c r="J441" s="11">
        <v>0.37</v>
      </c>
      <c r="K441">
        <f t="shared" si="20"/>
        <v>678.39499999999998</v>
      </c>
      <c r="N441">
        <v>1833.5</v>
      </c>
      <c r="O441">
        <v>678.39499999999998</v>
      </c>
      <c r="P441">
        <f t="shared" si="18"/>
        <v>1155.105</v>
      </c>
    </row>
    <row r="442" spans="1:16" x14ac:dyDescent="0.25">
      <c r="A442">
        <v>44</v>
      </c>
      <c r="B442">
        <v>72.16</v>
      </c>
      <c r="C442">
        <f t="shared" si="19"/>
        <v>3175.04</v>
      </c>
      <c r="H442">
        <v>44</v>
      </c>
      <c r="I442">
        <v>72.16</v>
      </c>
      <c r="J442" s="11">
        <v>0.46</v>
      </c>
      <c r="K442">
        <f t="shared" si="20"/>
        <v>1460.5184000000002</v>
      </c>
      <c r="N442">
        <v>3175.04</v>
      </c>
      <c r="O442">
        <v>1460.5184000000002</v>
      </c>
      <c r="P442">
        <f t="shared" si="18"/>
        <v>1714.5215999999998</v>
      </c>
    </row>
    <row r="443" spans="1:16" x14ac:dyDescent="0.25">
      <c r="A443">
        <v>26</v>
      </c>
      <c r="B443">
        <v>78.81</v>
      </c>
      <c r="C443">
        <f t="shared" si="19"/>
        <v>2049.06</v>
      </c>
      <c r="H443">
        <v>26</v>
      </c>
      <c r="I443">
        <v>78.81</v>
      </c>
      <c r="J443" s="11">
        <v>0.14000000000000001</v>
      </c>
      <c r="K443">
        <f t="shared" si="20"/>
        <v>286.86840000000001</v>
      </c>
      <c r="N443">
        <v>2049.06</v>
      </c>
      <c r="O443">
        <v>286.86840000000001</v>
      </c>
      <c r="P443">
        <f t="shared" si="18"/>
        <v>1762.1915999999999</v>
      </c>
    </row>
    <row r="444" spans="1:16" x14ac:dyDescent="0.25">
      <c r="A444">
        <v>40</v>
      </c>
      <c r="B444">
        <v>87.93</v>
      </c>
      <c r="C444">
        <f t="shared" si="19"/>
        <v>3517.2000000000003</v>
      </c>
      <c r="H444">
        <v>40</v>
      </c>
      <c r="I444">
        <v>87.93</v>
      </c>
      <c r="J444" s="11">
        <v>7.0000000000000007E-2</v>
      </c>
      <c r="K444">
        <f t="shared" si="20"/>
        <v>246.20400000000004</v>
      </c>
      <c r="N444">
        <v>3517.2000000000003</v>
      </c>
      <c r="O444">
        <v>246.20400000000004</v>
      </c>
      <c r="P444">
        <f t="shared" si="18"/>
        <v>3270.9960000000001</v>
      </c>
    </row>
    <row r="445" spans="1:16" x14ac:dyDescent="0.25">
      <c r="A445">
        <v>21</v>
      </c>
      <c r="B445">
        <v>90.85</v>
      </c>
      <c r="C445">
        <f t="shared" si="19"/>
        <v>1907.85</v>
      </c>
      <c r="H445">
        <v>21</v>
      </c>
      <c r="I445">
        <v>90.85</v>
      </c>
      <c r="J445" s="11">
        <v>0.4</v>
      </c>
      <c r="K445">
        <f t="shared" si="20"/>
        <v>763.14</v>
      </c>
      <c r="N445">
        <v>1907.85</v>
      </c>
      <c r="O445">
        <v>763.14</v>
      </c>
      <c r="P445">
        <f t="shared" si="18"/>
        <v>1144.71</v>
      </c>
    </row>
    <row r="446" spans="1:16" x14ac:dyDescent="0.25">
      <c r="A446">
        <v>47</v>
      </c>
      <c r="B446">
        <v>38.04</v>
      </c>
      <c r="C446">
        <f t="shared" si="19"/>
        <v>1787.8799999999999</v>
      </c>
      <c r="H446">
        <v>47</v>
      </c>
      <c r="I446">
        <v>38.04</v>
      </c>
      <c r="J446" s="11">
        <v>0.11</v>
      </c>
      <c r="K446">
        <f t="shared" si="20"/>
        <v>196.66679999999999</v>
      </c>
      <c r="N446">
        <v>1787.8799999999999</v>
      </c>
      <c r="O446">
        <v>196.66679999999999</v>
      </c>
      <c r="P446">
        <f t="shared" si="18"/>
        <v>1591.2131999999999</v>
      </c>
    </row>
    <row r="447" spans="1:16" x14ac:dyDescent="0.25">
      <c r="A447">
        <v>22</v>
      </c>
      <c r="B447">
        <v>80.38</v>
      </c>
      <c r="C447">
        <f t="shared" si="19"/>
        <v>1768.36</v>
      </c>
      <c r="H447">
        <v>22</v>
      </c>
      <c r="I447">
        <v>80.38</v>
      </c>
      <c r="J447" s="11">
        <v>0.08</v>
      </c>
      <c r="K447">
        <f t="shared" si="20"/>
        <v>141.46879999999999</v>
      </c>
      <c r="N447">
        <v>1768.36</v>
      </c>
      <c r="O447">
        <v>141.46879999999999</v>
      </c>
      <c r="P447">
        <f t="shared" si="18"/>
        <v>1626.8912</v>
      </c>
    </row>
    <row r="448" spans="1:16" x14ac:dyDescent="0.25">
      <c r="A448">
        <v>40</v>
      </c>
      <c r="B448">
        <v>23.38</v>
      </c>
      <c r="C448">
        <f t="shared" si="19"/>
        <v>935.19999999999993</v>
      </c>
      <c r="H448">
        <v>40</v>
      </c>
      <c r="I448">
        <v>23.38</v>
      </c>
      <c r="J448" s="11">
        <v>0.4</v>
      </c>
      <c r="K448">
        <f t="shared" si="20"/>
        <v>374.08</v>
      </c>
      <c r="N448">
        <v>935.19999999999993</v>
      </c>
      <c r="O448">
        <v>374.08</v>
      </c>
      <c r="P448">
        <f t="shared" si="18"/>
        <v>561.11999999999989</v>
      </c>
    </row>
    <row r="449" spans="1:16" x14ac:dyDescent="0.25">
      <c r="A449">
        <v>15</v>
      </c>
      <c r="B449">
        <v>53</v>
      </c>
      <c r="C449">
        <f t="shared" si="19"/>
        <v>795</v>
      </c>
      <c r="H449">
        <v>15</v>
      </c>
      <c r="I449">
        <v>53</v>
      </c>
      <c r="J449" s="11">
        <v>0.16</v>
      </c>
      <c r="K449">
        <f t="shared" si="20"/>
        <v>127.2</v>
      </c>
      <c r="N449">
        <v>795</v>
      </c>
      <c r="O449">
        <v>127.2</v>
      </c>
      <c r="P449">
        <f t="shared" si="18"/>
        <v>667.8</v>
      </c>
    </row>
    <row r="450" spans="1:16" x14ac:dyDescent="0.25">
      <c r="A450">
        <v>8</v>
      </c>
      <c r="B450">
        <v>38.450000000000003</v>
      </c>
      <c r="C450">
        <f t="shared" si="19"/>
        <v>307.60000000000002</v>
      </c>
      <c r="H450">
        <v>8</v>
      </c>
      <c r="I450">
        <v>38.450000000000003</v>
      </c>
      <c r="J450" s="11">
        <v>0.32</v>
      </c>
      <c r="K450">
        <f t="shared" si="20"/>
        <v>98.432000000000016</v>
      </c>
      <c r="N450">
        <v>307.60000000000002</v>
      </c>
      <c r="O450">
        <v>98.432000000000016</v>
      </c>
      <c r="P450">
        <f t="shared" ref="P450:P513" si="21">N450-O450</f>
        <v>209.16800000000001</v>
      </c>
    </row>
    <row r="451" spans="1:16" x14ac:dyDescent="0.25">
      <c r="A451">
        <v>9</v>
      </c>
      <c r="B451">
        <v>70.7</v>
      </c>
      <c r="C451">
        <f t="shared" ref="C451:C514" si="22">A451*B451</f>
        <v>636.30000000000007</v>
      </c>
      <c r="H451">
        <v>9</v>
      </c>
      <c r="I451">
        <v>70.7</v>
      </c>
      <c r="J451" s="11">
        <v>0.46</v>
      </c>
      <c r="K451">
        <f t="shared" ref="K451:K514" si="23">H451*I451*J451</f>
        <v>292.69800000000004</v>
      </c>
      <c r="N451">
        <v>636.30000000000007</v>
      </c>
      <c r="O451">
        <v>292.69800000000004</v>
      </c>
      <c r="P451">
        <f t="shared" si="21"/>
        <v>343.60200000000003</v>
      </c>
    </row>
    <row r="452" spans="1:16" x14ac:dyDescent="0.25">
      <c r="A452">
        <v>38</v>
      </c>
      <c r="B452">
        <v>81.010000000000005</v>
      </c>
      <c r="C452">
        <f t="shared" si="22"/>
        <v>3078.38</v>
      </c>
      <c r="H452">
        <v>38</v>
      </c>
      <c r="I452">
        <v>81.010000000000005</v>
      </c>
      <c r="J452" s="11">
        <v>0.14000000000000001</v>
      </c>
      <c r="K452">
        <f t="shared" si="23"/>
        <v>430.97320000000008</v>
      </c>
      <c r="N452">
        <v>3078.38</v>
      </c>
      <c r="O452">
        <v>430.97320000000008</v>
      </c>
      <c r="P452">
        <f t="shared" si="21"/>
        <v>2647.4068000000002</v>
      </c>
    </row>
    <row r="453" spans="1:16" x14ac:dyDescent="0.25">
      <c r="A453">
        <v>46</v>
      </c>
      <c r="B453">
        <v>29.69</v>
      </c>
      <c r="C453">
        <f t="shared" si="22"/>
        <v>1365.74</v>
      </c>
      <c r="H453">
        <v>46</v>
      </c>
      <c r="I453">
        <v>29.69</v>
      </c>
      <c r="J453" s="11">
        <v>0.04</v>
      </c>
      <c r="K453">
        <f t="shared" si="23"/>
        <v>54.629600000000003</v>
      </c>
      <c r="N453">
        <v>1365.74</v>
      </c>
      <c r="O453">
        <v>54.629600000000003</v>
      </c>
      <c r="P453">
        <f t="shared" si="21"/>
        <v>1311.1104</v>
      </c>
    </row>
    <row r="454" spans="1:16" x14ac:dyDescent="0.25">
      <c r="A454">
        <v>7</v>
      </c>
      <c r="B454">
        <v>84.77</v>
      </c>
      <c r="C454">
        <f t="shared" si="22"/>
        <v>593.39</v>
      </c>
      <c r="H454">
        <v>7</v>
      </c>
      <c r="I454">
        <v>84.77</v>
      </c>
      <c r="J454" s="11">
        <v>0.44</v>
      </c>
      <c r="K454">
        <f t="shared" si="23"/>
        <v>261.09159999999997</v>
      </c>
      <c r="N454">
        <v>593.39</v>
      </c>
      <c r="O454">
        <v>261.09159999999997</v>
      </c>
      <c r="P454">
        <f t="shared" si="21"/>
        <v>332.29840000000002</v>
      </c>
    </row>
    <row r="455" spans="1:16" x14ac:dyDescent="0.25">
      <c r="A455">
        <v>3</v>
      </c>
      <c r="B455">
        <v>45.21</v>
      </c>
      <c r="C455">
        <f t="shared" si="22"/>
        <v>135.63</v>
      </c>
      <c r="H455">
        <v>3</v>
      </c>
      <c r="I455">
        <v>45.21</v>
      </c>
      <c r="J455" s="11">
        <v>0</v>
      </c>
      <c r="K455">
        <f t="shared" si="23"/>
        <v>0</v>
      </c>
      <c r="N455">
        <v>135.63</v>
      </c>
      <c r="O455">
        <v>0</v>
      </c>
      <c r="P455">
        <f t="shared" si="21"/>
        <v>135.63</v>
      </c>
    </row>
    <row r="456" spans="1:16" x14ac:dyDescent="0.25">
      <c r="A456">
        <v>49</v>
      </c>
      <c r="B456">
        <v>17.03</v>
      </c>
      <c r="C456">
        <f t="shared" si="22"/>
        <v>834.47</v>
      </c>
      <c r="H456">
        <v>49</v>
      </c>
      <c r="I456">
        <v>17.03</v>
      </c>
      <c r="J456" s="11">
        <v>0.1</v>
      </c>
      <c r="K456">
        <f t="shared" si="23"/>
        <v>83.447000000000003</v>
      </c>
      <c r="N456">
        <v>834.47</v>
      </c>
      <c r="O456">
        <v>83.447000000000003</v>
      </c>
      <c r="P456">
        <f t="shared" si="21"/>
        <v>751.02300000000002</v>
      </c>
    </row>
    <row r="457" spans="1:16" x14ac:dyDescent="0.25">
      <c r="A457">
        <v>49</v>
      </c>
      <c r="B457">
        <v>49.05</v>
      </c>
      <c r="C457">
        <f t="shared" si="22"/>
        <v>2403.4499999999998</v>
      </c>
      <c r="H457">
        <v>49</v>
      </c>
      <c r="I457">
        <v>49.05</v>
      </c>
      <c r="J457" s="11">
        <v>0.28999999999999998</v>
      </c>
      <c r="K457">
        <f t="shared" si="23"/>
        <v>697.00049999999987</v>
      </c>
      <c r="N457">
        <v>2403.4499999999998</v>
      </c>
      <c r="O457">
        <v>697.00049999999987</v>
      </c>
      <c r="P457">
        <f t="shared" si="21"/>
        <v>1706.4494999999999</v>
      </c>
    </row>
    <row r="458" spans="1:16" x14ac:dyDescent="0.25">
      <c r="A458">
        <v>8</v>
      </c>
      <c r="B458">
        <v>96.98</v>
      </c>
      <c r="C458">
        <f t="shared" si="22"/>
        <v>775.84</v>
      </c>
      <c r="H458">
        <v>8</v>
      </c>
      <c r="I458">
        <v>96.98</v>
      </c>
      <c r="J458" s="11">
        <v>0.3</v>
      </c>
      <c r="K458">
        <f t="shared" si="23"/>
        <v>232.75200000000001</v>
      </c>
      <c r="N458">
        <v>775.84</v>
      </c>
      <c r="O458">
        <v>232.75200000000001</v>
      </c>
      <c r="P458">
        <f t="shared" si="21"/>
        <v>543.08799999999997</v>
      </c>
    </row>
    <row r="459" spans="1:16" x14ac:dyDescent="0.25">
      <c r="A459">
        <v>23</v>
      </c>
      <c r="B459">
        <v>64.84</v>
      </c>
      <c r="C459">
        <f t="shared" si="22"/>
        <v>1491.3200000000002</v>
      </c>
      <c r="H459">
        <v>23</v>
      </c>
      <c r="I459">
        <v>64.84</v>
      </c>
      <c r="J459" s="11">
        <v>0.49</v>
      </c>
      <c r="K459">
        <f t="shared" si="23"/>
        <v>730.74680000000012</v>
      </c>
      <c r="N459">
        <v>1491.3200000000002</v>
      </c>
      <c r="O459">
        <v>730.74680000000012</v>
      </c>
      <c r="P459">
        <f t="shared" si="21"/>
        <v>760.57320000000004</v>
      </c>
    </row>
    <row r="460" spans="1:16" x14ac:dyDescent="0.25">
      <c r="A460">
        <v>22</v>
      </c>
      <c r="B460">
        <v>33.36</v>
      </c>
      <c r="C460">
        <f t="shared" si="22"/>
        <v>733.92</v>
      </c>
      <c r="H460">
        <v>22</v>
      </c>
      <c r="I460">
        <v>33.36</v>
      </c>
      <c r="J460" s="11">
        <v>0.34</v>
      </c>
      <c r="K460">
        <f t="shared" si="23"/>
        <v>249.53280000000001</v>
      </c>
      <c r="N460">
        <v>733.92</v>
      </c>
      <c r="O460">
        <v>249.53280000000001</v>
      </c>
      <c r="P460">
        <f t="shared" si="21"/>
        <v>484.38719999999995</v>
      </c>
    </row>
    <row r="461" spans="1:16" x14ac:dyDescent="0.25">
      <c r="A461">
        <v>20</v>
      </c>
      <c r="B461">
        <v>27.62</v>
      </c>
      <c r="C461">
        <f t="shared" si="22"/>
        <v>552.4</v>
      </c>
      <c r="H461">
        <v>20</v>
      </c>
      <c r="I461">
        <v>27.62</v>
      </c>
      <c r="J461" s="11">
        <v>0.12</v>
      </c>
      <c r="K461">
        <f t="shared" si="23"/>
        <v>66.287999999999997</v>
      </c>
      <c r="N461">
        <v>552.4</v>
      </c>
      <c r="O461">
        <v>66.287999999999997</v>
      </c>
      <c r="P461">
        <f t="shared" si="21"/>
        <v>486.11199999999997</v>
      </c>
    </row>
    <row r="462" spans="1:16" x14ac:dyDescent="0.25">
      <c r="A462">
        <v>3</v>
      </c>
      <c r="B462">
        <v>44.82</v>
      </c>
      <c r="C462">
        <f t="shared" si="22"/>
        <v>134.46</v>
      </c>
      <c r="H462">
        <v>3</v>
      </c>
      <c r="I462">
        <v>44.82</v>
      </c>
      <c r="J462" s="11">
        <v>0.31</v>
      </c>
      <c r="K462">
        <f t="shared" si="23"/>
        <v>41.682600000000001</v>
      </c>
      <c r="N462">
        <v>134.46</v>
      </c>
      <c r="O462">
        <v>41.682600000000001</v>
      </c>
      <c r="P462">
        <f t="shared" si="21"/>
        <v>92.7774</v>
      </c>
    </row>
    <row r="463" spans="1:16" x14ac:dyDescent="0.25">
      <c r="A463">
        <v>22</v>
      </c>
      <c r="B463">
        <v>63.3</v>
      </c>
      <c r="C463">
        <f t="shared" si="22"/>
        <v>1392.6</v>
      </c>
      <c r="H463">
        <v>22</v>
      </c>
      <c r="I463">
        <v>63.3</v>
      </c>
      <c r="J463" s="11">
        <v>0.42</v>
      </c>
      <c r="K463">
        <f t="shared" si="23"/>
        <v>584.89199999999994</v>
      </c>
      <c r="N463">
        <v>1392.6</v>
      </c>
      <c r="O463">
        <v>584.89199999999994</v>
      </c>
      <c r="P463">
        <f t="shared" si="21"/>
        <v>807.70799999999997</v>
      </c>
    </row>
    <row r="464" spans="1:16" x14ac:dyDescent="0.25">
      <c r="A464">
        <v>49</v>
      </c>
      <c r="B464">
        <v>34.47</v>
      </c>
      <c r="C464">
        <f t="shared" si="22"/>
        <v>1689.03</v>
      </c>
      <c r="H464">
        <v>49</v>
      </c>
      <c r="I464">
        <v>34.47</v>
      </c>
      <c r="J464" s="11">
        <v>0.42</v>
      </c>
      <c r="K464">
        <f t="shared" si="23"/>
        <v>709.39260000000002</v>
      </c>
      <c r="N464">
        <v>1689.03</v>
      </c>
      <c r="O464">
        <v>709.39260000000002</v>
      </c>
      <c r="P464">
        <f t="shared" si="21"/>
        <v>979.63739999999996</v>
      </c>
    </row>
    <row r="465" spans="1:16" x14ac:dyDescent="0.25">
      <c r="A465">
        <v>48</v>
      </c>
      <c r="B465">
        <v>19.61</v>
      </c>
      <c r="C465">
        <f t="shared" si="22"/>
        <v>941.28</v>
      </c>
      <c r="H465">
        <v>48</v>
      </c>
      <c r="I465">
        <v>19.61</v>
      </c>
      <c r="J465" s="11">
        <v>0.37</v>
      </c>
      <c r="K465">
        <f t="shared" si="23"/>
        <v>348.27359999999999</v>
      </c>
      <c r="N465">
        <v>941.28</v>
      </c>
      <c r="O465">
        <v>348.27359999999999</v>
      </c>
      <c r="P465">
        <f t="shared" si="21"/>
        <v>593.00639999999999</v>
      </c>
    </row>
    <row r="466" spans="1:16" x14ac:dyDescent="0.25">
      <c r="A466">
        <v>38</v>
      </c>
      <c r="B466">
        <v>2.63</v>
      </c>
      <c r="C466">
        <f t="shared" si="22"/>
        <v>99.94</v>
      </c>
      <c r="H466">
        <v>38</v>
      </c>
      <c r="I466">
        <v>2.63</v>
      </c>
      <c r="J466" s="11">
        <v>0.28000000000000003</v>
      </c>
      <c r="K466">
        <f t="shared" si="23"/>
        <v>27.983200000000004</v>
      </c>
      <c r="N466">
        <v>99.94</v>
      </c>
      <c r="O466">
        <v>27.983200000000004</v>
      </c>
      <c r="P466">
        <f t="shared" si="21"/>
        <v>71.956799999999987</v>
      </c>
    </row>
    <row r="467" spans="1:16" x14ac:dyDescent="0.25">
      <c r="A467">
        <v>38</v>
      </c>
      <c r="B467">
        <v>10.16</v>
      </c>
      <c r="C467">
        <f t="shared" si="22"/>
        <v>386.08</v>
      </c>
      <c r="H467">
        <v>38</v>
      </c>
      <c r="I467">
        <v>10.16</v>
      </c>
      <c r="J467" s="11">
        <v>0.02</v>
      </c>
      <c r="K467">
        <f t="shared" si="23"/>
        <v>7.7215999999999996</v>
      </c>
      <c r="N467">
        <v>386.08</v>
      </c>
      <c r="O467">
        <v>7.7215999999999996</v>
      </c>
      <c r="P467">
        <f t="shared" si="21"/>
        <v>378.35839999999996</v>
      </c>
    </row>
    <row r="468" spans="1:16" x14ac:dyDescent="0.25">
      <c r="A468">
        <v>19</v>
      </c>
      <c r="B468">
        <v>41.94</v>
      </c>
      <c r="C468">
        <f t="shared" si="22"/>
        <v>796.8599999999999</v>
      </c>
      <c r="H468">
        <v>19</v>
      </c>
      <c r="I468">
        <v>41.94</v>
      </c>
      <c r="J468" s="11">
        <v>0.4</v>
      </c>
      <c r="K468">
        <f t="shared" si="23"/>
        <v>318.74399999999997</v>
      </c>
      <c r="N468">
        <v>796.8599999999999</v>
      </c>
      <c r="O468">
        <v>318.74399999999997</v>
      </c>
      <c r="P468">
        <f t="shared" si="21"/>
        <v>478.11599999999993</v>
      </c>
    </row>
    <row r="469" spans="1:16" x14ac:dyDescent="0.25">
      <c r="A469">
        <v>29</v>
      </c>
      <c r="B469">
        <v>87.3</v>
      </c>
      <c r="C469">
        <f t="shared" si="22"/>
        <v>2531.6999999999998</v>
      </c>
      <c r="H469">
        <v>29</v>
      </c>
      <c r="I469">
        <v>87.3</v>
      </c>
      <c r="J469" s="11">
        <v>0.19</v>
      </c>
      <c r="K469">
        <f t="shared" si="23"/>
        <v>481.02299999999997</v>
      </c>
      <c r="N469">
        <v>2531.6999999999998</v>
      </c>
      <c r="O469">
        <v>481.02299999999997</v>
      </c>
      <c r="P469">
        <f t="shared" si="21"/>
        <v>2050.6769999999997</v>
      </c>
    </row>
    <row r="470" spans="1:16" x14ac:dyDescent="0.25">
      <c r="A470">
        <v>17</v>
      </c>
      <c r="B470">
        <v>16.22</v>
      </c>
      <c r="C470">
        <f t="shared" si="22"/>
        <v>275.74</v>
      </c>
      <c r="H470">
        <v>17</v>
      </c>
      <c r="I470">
        <v>16.22</v>
      </c>
      <c r="J470" s="11">
        <v>0.31</v>
      </c>
      <c r="K470">
        <f t="shared" si="23"/>
        <v>85.479399999999998</v>
      </c>
      <c r="N470">
        <v>275.74</v>
      </c>
      <c r="O470">
        <v>85.479399999999998</v>
      </c>
      <c r="P470">
        <f t="shared" si="21"/>
        <v>190.26060000000001</v>
      </c>
    </row>
    <row r="471" spans="1:16" x14ac:dyDescent="0.25">
      <c r="A471">
        <v>12</v>
      </c>
      <c r="B471">
        <v>37.729999999999997</v>
      </c>
      <c r="C471">
        <f t="shared" si="22"/>
        <v>452.76</v>
      </c>
      <c r="H471">
        <v>12</v>
      </c>
      <c r="I471">
        <v>37.729999999999997</v>
      </c>
      <c r="J471" s="11">
        <v>0.04</v>
      </c>
      <c r="K471">
        <f t="shared" si="23"/>
        <v>18.110399999999998</v>
      </c>
      <c r="N471">
        <v>452.76</v>
      </c>
      <c r="O471">
        <v>18.110399999999998</v>
      </c>
      <c r="P471">
        <f t="shared" si="21"/>
        <v>434.64959999999996</v>
      </c>
    </row>
    <row r="472" spans="1:16" x14ac:dyDescent="0.25">
      <c r="A472">
        <v>14</v>
      </c>
      <c r="B472">
        <v>58.94</v>
      </c>
      <c r="C472">
        <f t="shared" si="22"/>
        <v>825.16</v>
      </c>
      <c r="H472">
        <v>14</v>
      </c>
      <c r="I472">
        <v>58.94</v>
      </c>
      <c r="J472" s="11">
        <v>0.19</v>
      </c>
      <c r="K472">
        <f t="shared" si="23"/>
        <v>156.78039999999999</v>
      </c>
      <c r="N472">
        <v>825.16</v>
      </c>
      <c r="O472">
        <v>156.78039999999999</v>
      </c>
      <c r="P472">
        <f t="shared" si="21"/>
        <v>668.37959999999998</v>
      </c>
    </row>
    <row r="473" spans="1:16" x14ac:dyDescent="0.25">
      <c r="A473">
        <v>48</v>
      </c>
      <c r="B473">
        <v>36.04</v>
      </c>
      <c r="C473">
        <f t="shared" si="22"/>
        <v>1729.92</v>
      </c>
      <c r="H473">
        <v>48</v>
      </c>
      <c r="I473">
        <v>36.04</v>
      </c>
      <c r="J473" s="11">
        <v>0.15</v>
      </c>
      <c r="K473">
        <f t="shared" si="23"/>
        <v>259.488</v>
      </c>
      <c r="N473">
        <v>1729.92</v>
      </c>
      <c r="O473">
        <v>259.488</v>
      </c>
      <c r="P473">
        <f t="shared" si="21"/>
        <v>1470.432</v>
      </c>
    </row>
    <row r="474" spans="1:16" x14ac:dyDescent="0.25">
      <c r="A474">
        <v>42</v>
      </c>
      <c r="B474">
        <v>37.64</v>
      </c>
      <c r="C474">
        <f t="shared" si="22"/>
        <v>1580.88</v>
      </c>
      <c r="H474">
        <v>42</v>
      </c>
      <c r="I474">
        <v>37.64</v>
      </c>
      <c r="J474" s="11">
        <v>0.37</v>
      </c>
      <c r="K474">
        <f t="shared" si="23"/>
        <v>584.92560000000003</v>
      </c>
      <c r="N474">
        <v>1580.88</v>
      </c>
      <c r="O474">
        <v>584.92560000000003</v>
      </c>
      <c r="P474">
        <f t="shared" si="21"/>
        <v>995.95440000000008</v>
      </c>
    </row>
    <row r="475" spans="1:16" x14ac:dyDescent="0.25">
      <c r="A475">
        <v>18</v>
      </c>
      <c r="B475">
        <v>47.6</v>
      </c>
      <c r="C475">
        <f t="shared" si="22"/>
        <v>856.80000000000007</v>
      </c>
      <c r="H475">
        <v>18</v>
      </c>
      <c r="I475">
        <v>47.6</v>
      </c>
      <c r="J475" s="11">
        <v>0.19</v>
      </c>
      <c r="K475">
        <f t="shared" si="23"/>
        <v>162.792</v>
      </c>
      <c r="N475">
        <v>856.80000000000007</v>
      </c>
      <c r="O475">
        <v>162.792</v>
      </c>
      <c r="P475">
        <f t="shared" si="21"/>
        <v>694.00800000000004</v>
      </c>
    </row>
    <row r="476" spans="1:16" x14ac:dyDescent="0.25">
      <c r="A476">
        <v>23</v>
      </c>
      <c r="B476">
        <v>70.55</v>
      </c>
      <c r="C476">
        <f t="shared" si="22"/>
        <v>1622.6499999999999</v>
      </c>
      <c r="H476">
        <v>23</v>
      </c>
      <c r="I476">
        <v>70.55</v>
      </c>
      <c r="J476" s="11">
        <v>0.32</v>
      </c>
      <c r="K476">
        <f t="shared" si="23"/>
        <v>519.24799999999993</v>
      </c>
      <c r="N476">
        <v>1622.6499999999999</v>
      </c>
      <c r="O476">
        <v>519.24799999999993</v>
      </c>
      <c r="P476">
        <f t="shared" si="21"/>
        <v>1103.402</v>
      </c>
    </row>
    <row r="477" spans="1:16" x14ac:dyDescent="0.25">
      <c r="A477">
        <v>44</v>
      </c>
      <c r="B477">
        <v>86.03</v>
      </c>
      <c r="C477">
        <f t="shared" si="22"/>
        <v>3785.32</v>
      </c>
      <c r="H477">
        <v>44</v>
      </c>
      <c r="I477">
        <v>86.03</v>
      </c>
      <c r="J477" s="11">
        <v>0.26</v>
      </c>
      <c r="K477">
        <f t="shared" si="23"/>
        <v>984.18320000000006</v>
      </c>
      <c r="N477">
        <v>3785.32</v>
      </c>
      <c r="O477">
        <v>984.18320000000006</v>
      </c>
      <c r="P477">
        <f t="shared" si="21"/>
        <v>2801.1368000000002</v>
      </c>
    </row>
    <row r="478" spans="1:16" x14ac:dyDescent="0.25">
      <c r="A478">
        <v>31</v>
      </c>
      <c r="B478">
        <v>50.91</v>
      </c>
      <c r="C478">
        <f t="shared" si="22"/>
        <v>1578.2099999999998</v>
      </c>
      <c r="H478">
        <v>31</v>
      </c>
      <c r="I478">
        <v>50.91</v>
      </c>
      <c r="J478" s="11">
        <v>0.01</v>
      </c>
      <c r="K478">
        <f t="shared" si="23"/>
        <v>15.782099999999998</v>
      </c>
      <c r="N478">
        <v>1578.2099999999998</v>
      </c>
      <c r="O478">
        <v>15.782099999999998</v>
      </c>
      <c r="P478">
        <f t="shared" si="21"/>
        <v>1562.4278999999999</v>
      </c>
    </row>
    <row r="479" spans="1:16" x14ac:dyDescent="0.25">
      <c r="A479">
        <v>13</v>
      </c>
      <c r="B479">
        <v>49.05</v>
      </c>
      <c r="C479">
        <f t="shared" si="22"/>
        <v>637.65</v>
      </c>
      <c r="H479">
        <v>13</v>
      </c>
      <c r="I479">
        <v>49.05</v>
      </c>
      <c r="J479" s="11">
        <v>0.05</v>
      </c>
      <c r="K479">
        <f t="shared" si="23"/>
        <v>31.8825</v>
      </c>
      <c r="N479">
        <v>637.65</v>
      </c>
      <c r="O479">
        <v>31.8825</v>
      </c>
      <c r="P479">
        <f t="shared" si="21"/>
        <v>605.76749999999993</v>
      </c>
    </row>
    <row r="480" spans="1:16" x14ac:dyDescent="0.25">
      <c r="A480">
        <v>1</v>
      </c>
      <c r="B480">
        <v>74.2</v>
      </c>
      <c r="C480">
        <f t="shared" si="22"/>
        <v>74.2</v>
      </c>
      <c r="H480">
        <v>1</v>
      </c>
      <c r="I480">
        <v>74.2</v>
      </c>
      <c r="J480" s="11">
        <v>0.2</v>
      </c>
      <c r="K480">
        <f t="shared" si="23"/>
        <v>14.840000000000002</v>
      </c>
      <c r="N480">
        <v>74.2</v>
      </c>
      <c r="O480">
        <v>14.840000000000002</v>
      </c>
      <c r="P480">
        <f t="shared" si="21"/>
        <v>59.36</v>
      </c>
    </row>
    <row r="481" spans="1:16" x14ac:dyDescent="0.25">
      <c r="A481">
        <v>24</v>
      </c>
      <c r="B481">
        <v>76.8</v>
      </c>
      <c r="C481">
        <f t="shared" si="22"/>
        <v>1843.1999999999998</v>
      </c>
      <c r="H481">
        <v>24</v>
      </c>
      <c r="I481">
        <v>76.8</v>
      </c>
      <c r="J481" s="11">
        <v>0.15</v>
      </c>
      <c r="K481">
        <f t="shared" si="23"/>
        <v>276.47999999999996</v>
      </c>
      <c r="N481">
        <v>1843.1999999999998</v>
      </c>
      <c r="O481">
        <v>276.47999999999996</v>
      </c>
      <c r="P481">
        <f t="shared" si="21"/>
        <v>1566.7199999999998</v>
      </c>
    </row>
    <row r="482" spans="1:16" x14ac:dyDescent="0.25">
      <c r="A482">
        <v>4</v>
      </c>
      <c r="B482">
        <v>5.37</v>
      </c>
      <c r="C482">
        <f t="shared" si="22"/>
        <v>21.48</v>
      </c>
      <c r="H482">
        <v>4</v>
      </c>
      <c r="I482">
        <v>5.37</v>
      </c>
      <c r="J482" s="11">
        <v>0.03</v>
      </c>
      <c r="K482">
        <f t="shared" si="23"/>
        <v>0.64439999999999997</v>
      </c>
      <c r="N482">
        <v>21.48</v>
      </c>
      <c r="O482">
        <v>0.64439999999999997</v>
      </c>
      <c r="P482">
        <f t="shared" si="21"/>
        <v>20.835599999999999</v>
      </c>
    </row>
    <row r="483" spans="1:16" x14ac:dyDescent="0.25">
      <c r="A483">
        <v>29</v>
      </c>
      <c r="B483">
        <v>26.6</v>
      </c>
      <c r="C483">
        <f t="shared" si="22"/>
        <v>771.40000000000009</v>
      </c>
      <c r="H483">
        <v>29</v>
      </c>
      <c r="I483">
        <v>26.6</v>
      </c>
      <c r="J483" s="11">
        <v>0.2</v>
      </c>
      <c r="K483">
        <f t="shared" si="23"/>
        <v>154.28000000000003</v>
      </c>
      <c r="N483">
        <v>771.40000000000009</v>
      </c>
      <c r="O483">
        <v>154.28000000000003</v>
      </c>
      <c r="P483">
        <f t="shared" si="21"/>
        <v>617.12000000000012</v>
      </c>
    </row>
    <row r="484" spans="1:16" x14ac:dyDescent="0.25">
      <c r="A484">
        <v>34</v>
      </c>
      <c r="B484">
        <v>41.27</v>
      </c>
      <c r="C484">
        <f t="shared" si="22"/>
        <v>1403.18</v>
      </c>
      <c r="H484">
        <v>34</v>
      </c>
      <c r="I484">
        <v>41.27</v>
      </c>
      <c r="J484" s="11">
        <v>0.31</v>
      </c>
      <c r="K484">
        <f t="shared" si="23"/>
        <v>434.98580000000004</v>
      </c>
      <c r="N484">
        <v>1403.18</v>
      </c>
      <c r="O484">
        <v>434.98580000000004</v>
      </c>
      <c r="P484">
        <f t="shared" si="21"/>
        <v>968.19420000000002</v>
      </c>
    </row>
    <row r="485" spans="1:16" x14ac:dyDescent="0.25">
      <c r="A485">
        <v>16</v>
      </c>
      <c r="B485">
        <v>15.33</v>
      </c>
      <c r="C485">
        <f t="shared" si="22"/>
        <v>245.28</v>
      </c>
      <c r="H485">
        <v>16</v>
      </c>
      <c r="I485">
        <v>15.33</v>
      </c>
      <c r="J485" s="11">
        <v>0.31</v>
      </c>
      <c r="K485">
        <f t="shared" si="23"/>
        <v>76.036799999999999</v>
      </c>
      <c r="N485">
        <v>245.28</v>
      </c>
      <c r="O485">
        <v>76.036799999999999</v>
      </c>
      <c r="P485">
        <f t="shared" si="21"/>
        <v>169.2432</v>
      </c>
    </row>
    <row r="486" spans="1:16" x14ac:dyDescent="0.25">
      <c r="A486">
        <v>5</v>
      </c>
      <c r="B486">
        <v>61.83</v>
      </c>
      <c r="C486">
        <f t="shared" si="22"/>
        <v>309.14999999999998</v>
      </c>
      <c r="H486">
        <v>5</v>
      </c>
      <c r="I486">
        <v>61.83</v>
      </c>
      <c r="J486" s="11">
        <v>0.34</v>
      </c>
      <c r="K486">
        <f t="shared" si="23"/>
        <v>105.111</v>
      </c>
      <c r="N486">
        <v>309.14999999999998</v>
      </c>
      <c r="O486">
        <v>105.111</v>
      </c>
      <c r="P486">
        <f t="shared" si="21"/>
        <v>204.03899999999999</v>
      </c>
    </row>
    <row r="487" spans="1:16" x14ac:dyDescent="0.25">
      <c r="A487">
        <v>17</v>
      </c>
      <c r="B487">
        <v>52.21</v>
      </c>
      <c r="C487">
        <f t="shared" si="22"/>
        <v>887.57</v>
      </c>
      <c r="H487">
        <v>17</v>
      </c>
      <c r="I487">
        <v>52.21</v>
      </c>
      <c r="J487" s="11">
        <v>0.48</v>
      </c>
      <c r="K487">
        <f t="shared" si="23"/>
        <v>426.03360000000004</v>
      </c>
      <c r="N487">
        <v>887.57</v>
      </c>
      <c r="O487">
        <v>426.03360000000004</v>
      </c>
      <c r="P487">
        <f t="shared" si="21"/>
        <v>461.53640000000001</v>
      </c>
    </row>
    <row r="488" spans="1:16" x14ac:dyDescent="0.25">
      <c r="A488">
        <v>16</v>
      </c>
      <c r="B488">
        <v>9.5299999999999994</v>
      </c>
      <c r="C488">
        <f t="shared" si="22"/>
        <v>152.47999999999999</v>
      </c>
      <c r="H488">
        <v>16</v>
      </c>
      <c r="I488">
        <v>9.5299999999999994</v>
      </c>
      <c r="J488" s="11">
        <v>0.39</v>
      </c>
      <c r="K488">
        <f t="shared" si="23"/>
        <v>59.467199999999998</v>
      </c>
      <c r="N488">
        <v>152.47999999999999</v>
      </c>
      <c r="O488">
        <v>59.467199999999998</v>
      </c>
      <c r="P488">
        <f t="shared" si="21"/>
        <v>93.012799999999999</v>
      </c>
    </row>
    <row r="489" spans="1:16" x14ac:dyDescent="0.25">
      <c r="A489">
        <v>25</v>
      </c>
      <c r="B489">
        <v>83.03</v>
      </c>
      <c r="C489">
        <f t="shared" si="22"/>
        <v>2075.75</v>
      </c>
      <c r="H489">
        <v>25</v>
      </c>
      <c r="I489">
        <v>83.03</v>
      </c>
      <c r="J489" s="11">
        <v>0.14000000000000001</v>
      </c>
      <c r="K489">
        <f t="shared" si="23"/>
        <v>290.60500000000002</v>
      </c>
      <c r="N489">
        <v>2075.75</v>
      </c>
      <c r="O489">
        <v>290.60500000000002</v>
      </c>
      <c r="P489">
        <f t="shared" si="21"/>
        <v>1785.145</v>
      </c>
    </row>
    <row r="490" spans="1:16" x14ac:dyDescent="0.25">
      <c r="A490">
        <v>31</v>
      </c>
      <c r="B490">
        <v>54.61</v>
      </c>
      <c r="C490">
        <f t="shared" si="22"/>
        <v>1692.91</v>
      </c>
      <c r="H490">
        <v>31</v>
      </c>
      <c r="I490">
        <v>54.61</v>
      </c>
      <c r="J490" s="11">
        <v>0.33</v>
      </c>
      <c r="K490">
        <f t="shared" si="23"/>
        <v>558.66030000000001</v>
      </c>
      <c r="N490">
        <v>1692.91</v>
      </c>
      <c r="O490">
        <v>558.66030000000001</v>
      </c>
      <c r="P490">
        <f t="shared" si="21"/>
        <v>1134.2497000000001</v>
      </c>
    </row>
    <row r="491" spans="1:16" x14ac:dyDescent="0.25">
      <c r="A491">
        <v>26</v>
      </c>
      <c r="B491">
        <v>54.36</v>
      </c>
      <c r="C491">
        <f t="shared" si="22"/>
        <v>1413.36</v>
      </c>
      <c r="H491">
        <v>26</v>
      </c>
      <c r="I491">
        <v>54.36</v>
      </c>
      <c r="J491" s="11">
        <v>0.01</v>
      </c>
      <c r="K491">
        <f t="shared" si="23"/>
        <v>14.133599999999999</v>
      </c>
      <c r="N491">
        <v>1413.36</v>
      </c>
      <c r="O491">
        <v>14.133599999999999</v>
      </c>
      <c r="P491">
        <f t="shared" si="21"/>
        <v>1399.2264</v>
      </c>
    </row>
    <row r="492" spans="1:16" x14ac:dyDescent="0.25">
      <c r="A492">
        <v>24</v>
      </c>
      <c r="B492">
        <v>2.21</v>
      </c>
      <c r="C492">
        <f t="shared" si="22"/>
        <v>53.04</v>
      </c>
      <c r="H492">
        <v>24</v>
      </c>
      <c r="I492">
        <v>2.21</v>
      </c>
      <c r="J492" s="11">
        <v>0.28000000000000003</v>
      </c>
      <c r="K492">
        <f t="shared" si="23"/>
        <v>14.8512</v>
      </c>
      <c r="N492">
        <v>53.04</v>
      </c>
      <c r="O492">
        <v>14.8512</v>
      </c>
      <c r="P492">
        <f t="shared" si="21"/>
        <v>38.188800000000001</v>
      </c>
    </row>
    <row r="493" spans="1:16" x14ac:dyDescent="0.25">
      <c r="A493">
        <v>36</v>
      </c>
      <c r="B493">
        <v>29.42</v>
      </c>
      <c r="C493">
        <f t="shared" si="22"/>
        <v>1059.1200000000001</v>
      </c>
      <c r="H493">
        <v>36</v>
      </c>
      <c r="I493">
        <v>29.42</v>
      </c>
      <c r="J493" s="11">
        <v>0.38</v>
      </c>
      <c r="K493">
        <f t="shared" si="23"/>
        <v>402.46560000000005</v>
      </c>
      <c r="N493">
        <v>1059.1200000000001</v>
      </c>
      <c r="O493">
        <v>402.46560000000005</v>
      </c>
      <c r="P493">
        <f t="shared" si="21"/>
        <v>656.65440000000012</v>
      </c>
    </row>
    <row r="494" spans="1:16" x14ac:dyDescent="0.25">
      <c r="A494">
        <v>35</v>
      </c>
      <c r="B494">
        <v>1.31</v>
      </c>
      <c r="C494">
        <f t="shared" si="22"/>
        <v>45.85</v>
      </c>
      <c r="H494">
        <v>35</v>
      </c>
      <c r="I494">
        <v>1.31</v>
      </c>
      <c r="J494" s="11">
        <v>0.31</v>
      </c>
      <c r="K494">
        <f t="shared" si="23"/>
        <v>14.2135</v>
      </c>
      <c r="N494">
        <v>45.85</v>
      </c>
      <c r="O494">
        <v>14.2135</v>
      </c>
      <c r="P494">
        <f t="shared" si="21"/>
        <v>31.636500000000002</v>
      </c>
    </row>
    <row r="495" spans="1:16" x14ac:dyDescent="0.25">
      <c r="A495">
        <v>21</v>
      </c>
      <c r="B495">
        <v>28.27</v>
      </c>
      <c r="C495">
        <f t="shared" si="22"/>
        <v>593.66999999999996</v>
      </c>
      <c r="H495">
        <v>21</v>
      </c>
      <c r="I495">
        <v>28.27</v>
      </c>
      <c r="J495" s="11">
        <v>0.27</v>
      </c>
      <c r="K495">
        <f t="shared" si="23"/>
        <v>160.29089999999999</v>
      </c>
      <c r="N495">
        <v>593.66999999999996</v>
      </c>
      <c r="O495">
        <v>160.29089999999999</v>
      </c>
      <c r="P495">
        <f t="shared" si="21"/>
        <v>433.37909999999999</v>
      </c>
    </row>
    <row r="496" spans="1:16" x14ac:dyDescent="0.25">
      <c r="A496">
        <v>5</v>
      </c>
      <c r="B496">
        <v>57.05</v>
      </c>
      <c r="C496">
        <f t="shared" si="22"/>
        <v>285.25</v>
      </c>
      <c r="H496">
        <v>5</v>
      </c>
      <c r="I496">
        <v>57.05</v>
      </c>
      <c r="J496" s="11">
        <v>0.46</v>
      </c>
      <c r="K496">
        <f t="shared" si="23"/>
        <v>131.215</v>
      </c>
      <c r="N496">
        <v>285.25</v>
      </c>
      <c r="O496">
        <v>131.215</v>
      </c>
      <c r="P496">
        <f t="shared" si="21"/>
        <v>154.035</v>
      </c>
    </row>
    <row r="497" spans="1:16" x14ac:dyDescent="0.25">
      <c r="A497">
        <v>28</v>
      </c>
      <c r="B497">
        <v>40.479999999999997</v>
      </c>
      <c r="C497">
        <f t="shared" si="22"/>
        <v>1133.4399999999998</v>
      </c>
      <c r="H497">
        <v>28</v>
      </c>
      <c r="I497">
        <v>40.479999999999997</v>
      </c>
      <c r="J497" s="11">
        <v>0.45</v>
      </c>
      <c r="K497">
        <f t="shared" si="23"/>
        <v>510.04799999999994</v>
      </c>
      <c r="N497">
        <v>1133.4399999999998</v>
      </c>
      <c r="O497">
        <v>510.04799999999994</v>
      </c>
      <c r="P497">
        <f t="shared" si="21"/>
        <v>623.39199999999983</v>
      </c>
    </row>
    <row r="498" spans="1:16" x14ac:dyDescent="0.25">
      <c r="A498">
        <v>15</v>
      </c>
      <c r="B498">
        <v>87.4</v>
      </c>
      <c r="C498">
        <f t="shared" si="22"/>
        <v>1311</v>
      </c>
      <c r="H498">
        <v>15</v>
      </c>
      <c r="I498">
        <v>87.4</v>
      </c>
      <c r="J498" s="11">
        <v>0.28999999999999998</v>
      </c>
      <c r="K498">
        <f t="shared" si="23"/>
        <v>380.19</v>
      </c>
      <c r="N498">
        <v>1311</v>
      </c>
      <c r="O498">
        <v>380.19</v>
      </c>
      <c r="P498">
        <f t="shared" si="21"/>
        <v>930.81</v>
      </c>
    </row>
    <row r="499" spans="1:16" x14ac:dyDescent="0.25">
      <c r="A499">
        <v>35</v>
      </c>
      <c r="B499">
        <v>57.97</v>
      </c>
      <c r="C499">
        <f t="shared" si="22"/>
        <v>2028.95</v>
      </c>
      <c r="H499">
        <v>35</v>
      </c>
      <c r="I499">
        <v>57.97</v>
      </c>
      <c r="J499" s="11">
        <v>0.4</v>
      </c>
      <c r="K499">
        <f t="shared" si="23"/>
        <v>811.58</v>
      </c>
      <c r="N499">
        <v>2028.95</v>
      </c>
      <c r="O499">
        <v>811.58</v>
      </c>
      <c r="P499">
        <f t="shared" si="21"/>
        <v>1217.3699999999999</v>
      </c>
    </row>
    <row r="500" spans="1:16" x14ac:dyDescent="0.25">
      <c r="A500">
        <v>17</v>
      </c>
      <c r="B500">
        <v>30.82</v>
      </c>
      <c r="C500">
        <f t="shared" si="22"/>
        <v>523.94000000000005</v>
      </c>
      <c r="H500">
        <v>17</v>
      </c>
      <c r="I500">
        <v>30.82</v>
      </c>
      <c r="J500" s="11">
        <v>0.31</v>
      </c>
      <c r="K500">
        <f t="shared" si="23"/>
        <v>162.42140000000001</v>
      </c>
      <c r="N500">
        <v>523.94000000000005</v>
      </c>
      <c r="O500">
        <v>162.42140000000001</v>
      </c>
      <c r="P500">
        <f t="shared" si="21"/>
        <v>361.51860000000005</v>
      </c>
    </row>
    <row r="501" spans="1:16" x14ac:dyDescent="0.25">
      <c r="A501">
        <v>31</v>
      </c>
      <c r="B501">
        <v>33.020000000000003</v>
      </c>
      <c r="C501">
        <f t="shared" si="22"/>
        <v>1023.6200000000001</v>
      </c>
      <c r="H501">
        <v>31</v>
      </c>
      <c r="I501">
        <v>33.020000000000003</v>
      </c>
      <c r="J501" s="11">
        <v>0</v>
      </c>
      <c r="K501">
        <f t="shared" si="23"/>
        <v>0</v>
      </c>
      <c r="N501">
        <v>1023.6200000000001</v>
      </c>
      <c r="O501">
        <v>0</v>
      </c>
      <c r="P501">
        <f t="shared" si="21"/>
        <v>1023.6200000000001</v>
      </c>
    </row>
    <row r="502" spans="1:16" x14ac:dyDescent="0.25">
      <c r="A502">
        <v>40</v>
      </c>
      <c r="B502">
        <v>13.84</v>
      </c>
      <c r="C502">
        <f t="shared" si="22"/>
        <v>553.6</v>
      </c>
      <c r="H502">
        <v>40</v>
      </c>
      <c r="I502">
        <v>13.84</v>
      </c>
      <c r="J502" s="11">
        <v>0.5</v>
      </c>
      <c r="K502">
        <f t="shared" si="23"/>
        <v>276.8</v>
      </c>
      <c r="N502">
        <v>553.6</v>
      </c>
      <c r="O502">
        <v>276.8</v>
      </c>
      <c r="P502">
        <f t="shared" si="21"/>
        <v>276.8</v>
      </c>
    </row>
    <row r="503" spans="1:16" x14ac:dyDescent="0.25">
      <c r="A503">
        <v>44</v>
      </c>
      <c r="B503">
        <v>33.229999999999997</v>
      </c>
      <c r="C503">
        <f t="shared" si="22"/>
        <v>1462.12</v>
      </c>
      <c r="H503">
        <v>44</v>
      </c>
      <c r="I503">
        <v>33.229999999999997</v>
      </c>
      <c r="J503" s="11">
        <v>0.12</v>
      </c>
      <c r="K503">
        <f t="shared" si="23"/>
        <v>175.45439999999999</v>
      </c>
      <c r="N503">
        <v>1462.12</v>
      </c>
      <c r="O503">
        <v>175.45439999999999</v>
      </c>
      <c r="P503">
        <f t="shared" si="21"/>
        <v>1286.6655999999998</v>
      </c>
    </row>
    <row r="504" spans="1:16" x14ac:dyDescent="0.25">
      <c r="A504">
        <v>14</v>
      </c>
      <c r="B504">
        <v>74.97</v>
      </c>
      <c r="C504">
        <f t="shared" si="22"/>
        <v>1049.58</v>
      </c>
      <c r="H504">
        <v>14</v>
      </c>
      <c r="I504">
        <v>74.97</v>
      </c>
      <c r="J504" s="11">
        <v>0.1</v>
      </c>
      <c r="K504">
        <f t="shared" si="23"/>
        <v>104.958</v>
      </c>
      <c r="N504">
        <v>1049.58</v>
      </c>
      <c r="O504">
        <v>104.958</v>
      </c>
      <c r="P504">
        <f t="shared" si="21"/>
        <v>944.62199999999996</v>
      </c>
    </row>
    <row r="505" spans="1:16" x14ac:dyDescent="0.25">
      <c r="A505">
        <v>12</v>
      </c>
      <c r="B505">
        <v>44.34</v>
      </c>
      <c r="C505">
        <f t="shared" si="22"/>
        <v>532.08000000000004</v>
      </c>
      <c r="H505">
        <v>12</v>
      </c>
      <c r="I505">
        <v>44.34</v>
      </c>
      <c r="J505" s="11">
        <v>0.14000000000000001</v>
      </c>
      <c r="K505">
        <f t="shared" si="23"/>
        <v>74.491200000000006</v>
      </c>
      <c r="N505">
        <v>532.08000000000004</v>
      </c>
      <c r="O505">
        <v>74.491200000000006</v>
      </c>
      <c r="P505">
        <f t="shared" si="21"/>
        <v>457.58880000000005</v>
      </c>
    </row>
    <row r="506" spans="1:16" x14ac:dyDescent="0.25">
      <c r="A506">
        <v>5</v>
      </c>
      <c r="B506">
        <v>11.92</v>
      </c>
      <c r="C506">
        <f t="shared" si="22"/>
        <v>59.6</v>
      </c>
      <c r="H506">
        <v>5</v>
      </c>
      <c r="I506">
        <v>11.92</v>
      </c>
      <c r="J506" s="11">
        <v>0.08</v>
      </c>
      <c r="K506">
        <f t="shared" si="23"/>
        <v>4.7679999999999998</v>
      </c>
      <c r="N506">
        <v>59.6</v>
      </c>
      <c r="O506">
        <v>4.7679999999999998</v>
      </c>
      <c r="P506">
        <f t="shared" si="21"/>
        <v>54.832000000000001</v>
      </c>
    </row>
    <row r="507" spans="1:16" x14ac:dyDescent="0.25">
      <c r="A507">
        <v>10</v>
      </c>
      <c r="B507">
        <v>76.69</v>
      </c>
      <c r="C507">
        <f t="shared" si="22"/>
        <v>766.9</v>
      </c>
      <c r="H507">
        <v>10</v>
      </c>
      <c r="I507">
        <v>76.69</v>
      </c>
      <c r="J507" s="11">
        <v>0.35</v>
      </c>
      <c r="K507">
        <f t="shared" si="23"/>
        <v>268.41499999999996</v>
      </c>
      <c r="N507">
        <v>766.9</v>
      </c>
      <c r="O507">
        <v>268.41499999999996</v>
      </c>
      <c r="P507">
        <f t="shared" si="21"/>
        <v>498.48500000000001</v>
      </c>
    </row>
    <row r="508" spans="1:16" x14ac:dyDescent="0.25">
      <c r="A508">
        <v>38</v>
      </c>
      <c r="B508">
        <v>19.420000000000002</v>
      </c>
      <c r="C508">
        <f t="shared" si="22"/>
        <v>737.96</v>
      </c>
      <c r="H508">
        <v>38</v>
      </c>
      <c r="I508">
        <v>19.420000000000002</v>
      </c>
      <c r="J508" s="11">
        <v>0.22</v>
      </c>
      <c r="K508">
        <f t="shared" si="23"/>
        <v>162.35120000000001</v>
      </c>
      <c r="N508">
        <v>737.96</v>
      </c>
      <c r="O508">
        <v>162.35120000000001</v>
      </c>
      <c r="P508">
        <f t="shared" si="21"/>
        <v>575.60879999999997</v>
      </c>
    </row>
    <row r="509" spans="1:16" x14ac:dyDescent="0.25">
      <c r="A509">
        <v>17</v>
      </c>
      <c r="B509">
        <v>61.08</v>
      </c>
      <c r="C509">
        <f t="shared" si="22"/>
        <v>1038.3599999999999</v>
      </c>
      <c r="H509">
        <v>17</v>
      </c>
      <c r="I509">
        <v>61.08</v>
      </c>
      <c r="J509" s="11">
        <v>0.48</v>
      </c>
      <c r="K509">
        <f t="shared" si="23"/>
        <v>498.41279999999995</v>
      </c>
      <c r="N509">
        <v>1038.3599999999999</v>
      </c>
      <c r="O509">
        <v>498.41279999999995</v>
      </c>
      <c r="P509">
        <f t="shared" si="21"/>
        <v>539.94719999999995</v>
      </c>
    </row>
    <row r="510" spans="1:16" x14ac:dyDescent="0.25">
      <c r="A510">
        <v>49</v>
      </c>
      <c r="B510">
        <v>3.51</v>
      </c>
      <c r="C510">
        <f t="shared" si="22"/>
        <v>171.98999999999998</v>
      </c>
      <c r="H510">
        <v>49</v>
      </c>
      <c r="I510">
        <v>3.51</v>
      </c>
      <c r="J510" s="11">
        <v>0.49</v>
      </c>
      <c r="K510">
        <f t="shared" si="23"/>
        <v>84.275099999999995</v>
      </c>
      <c r="N510">
        <v>171.98999999999998</v>
      </c>
      <c r="O510">
        <v>84.275099999999995</v>
      </c>
      <c r="P510">
        <f t="shared" si="21"/>
        <v>87.714899999999986</v>
      </c>
    </row>
    <row r="511" spans="1:16" x14ac:dyDescent="0.25">
      <c r="A511">
        <v>42</v>
      </c>
      <c r="B511">
        <v>55.62</v>
      </c>
      <c r="C511">
        <f t="shared" si="22"/>
        <v>2336.04</v>
      </c>
      <c r="H511">
        <v>42</v>
      </c>
      <c r="I511">
        <v>55.62</v>
      </c>
      <c r="J511" s="11">
        <v>0.12</v>
      </c>
      <c r="K511">
        <f t="shared" si="23"/>
        <v>280.32479999999998</v>
      </c>
      <c r="N511">
        <v>2336.04</v>
      </c>
      <c r="O511">
        <v>280.32479999999998</v>
      </c>
      <c r="P511">
        <f t="shared" si="21"/>
        <v>2055.7152000000001</v>
      </c>
    </row>
    <row r="512" spans="1:16" x14ac:dyDescent="0.25">
      <c r="A512">
        <v>29</v>
      </c>
      <c r="B512">
        <v>3.82</v>
      </c>
      <c r="C512">
        <f t="shared" si="22"/>
        <v>110.78</v>
      </c>
      <c r="H512">
        <v>29</v>
      </c>
      <c r="I512">
        <v>3.82</v>
      </c>
      <c r="J512" s="11">
        <v>0.03</v>
      </c>
      <c r="K512">
        <f t="shared" si="23"/>
        <v>3.3233999999999999</v>
      </c>
      <c r="N512">
        <v>110.78</v>
      </c>
      <c r="O512">
        <v>3.3233999999999999</v>
      </c>
      <c r="P512">
        <f t="shared" si="21"/>
        <v>107.45659999999999</v>
      </c>
    </row>
    <row r="513" spans="1:16" x14ac:dyDescent="0.25">
      <c r="A513">
        <v>48</v>
      </c>
      <c r="B513">
        <v>53.96</v>
      </c>
      <c r="C513">
        <f t="shared" si="22"/>
        <v>2590.08</v>
      </c>
      <c r="H513">
        <v>48</v>
      </c>
      <c r="I513">
        <v>53.96</v>
      </c>
      <c r="J513" s="11">
        <v>0.25</v>
      </c>
      <c r="K513">
        <f t="shared" si="23"/>
        <v>647.52</v>
      </c>
      <c r="N513">
        <v>2590.08</v>
      </c>
      <c r="O513">
        <v>647.52</v>
      </c>
      <c r="P513">
        <f t="shared" si="21"/>
        <v>1942.56</v>
      </c>
    </row>
    <row r="514" spans="1:16" x14ac:dyDescent="0.25">
      <c r="A514">
        <v>21</v>
      </c>
      <c r="B514">
        <v>89.01</v>
      </c>
      <c r="C514">
        <f t="shared" si="22"/>
        <v>1869.21</v>
      </c>
      <c r="H514">
        <v>21</v>
      </c>
      <c r="I514">
        <v>89.01</v>
      </c>
      <c r="J514" s="11">
        <v>0.08</v>
      </c>
      <c r="K514">
        <f t="shared" si="23"/>
        <v>149.5368</v>
      </c>
      <c r="N514">
        <v>1869.21</v>
      </c>
      <c r="O514">
        <v>149.5368</v>
      </c>
      <c r="P514">
        <f t="shared" ref="P514:P577" si="24">N514-O514</f>
        <v>1719.6732</v>
      </c>
    </row>
    <row r="515" spans="1:16" x14ac:dyDescent="0.25">
      <c r="A515">
        <v>47</v>
      </c>
      <c r="B515">
        <v>33.94</v>
      </c>
      <c r="C515">
        <f t="shared" ref="C515:C578" si="25">A515*B515</f>
        <v>1595.1799999999998</v>
      </c>
      <c r="H515">
        <v>47</v>
      </c>
      <c r="I515">
        <v>33.94</v>
      </c>
      <c r="J515" s="11">
        <v>0.21</v>
      </c>
      <c r="K515">
        <f t="shared" ref="K515:K578" si="26">H515*I515*J515</f>
        <v>334.98779999999994</v>
      </c>
      <c r="N515">
        <v>1595.1799999999998</v>
      </c>
      <c r="O515">
        <v>334.98779999999994</v>
      </c>
      <c r="P515">
        <f t="shared" si="24"/>
        <v>1260.1922</v>
      </c>
    </row>
    <row r="516" spans="1:16" x14ac:dyDescent="0.25">
      <c r="A516">
        <v>2</v>
      </c>
      <c r="B516">
        <v>72.84</v>
      </c>
      <c r="C516">
        <f t="shared" si="25"/>
        <v>145.68</v>
      </c>
      <c r="H516">
        <v>2</v>
      </c>
      <c r="I516">
        <v>72.84</v>
      </c>
      <c r="J516" s="11">
        <v>0.13</v>
      </c>
      <c r="K516">
        <f t="shared" si="26"/>
        <v>18.938400000000001</v>
      </c>
      <c r="N516">
        <v>145.68</v>
      </c>
      <c r="O516">
        <v>18.938400000000001</v>
      </c>
      <c r="P516">
        <f t="shared" si="24"/>
        <v>126.74160000000001</v>
      </c>
    </row>
    <row r="517" spans="1:16" x14ac:dyDescent="0.25">
      <c r="A517">
        <v>22</v>
      </c>
      <c r="B517">
        <v>45.43</v>
      </c>
      <c r="C517">
        <f t="shared" si="25"/>
        <v>999.46</v>
      </c>
      <c r="H517">
        <v>22</v>
      </c>
      <c r="I517">
        <v>45.43</v>
      </c>
      <c r="J517" s="11">
        <v>0.46</v>
      </c>
      <c r="K517">
        <f t="shared" si="26"/>
        <v>459.75160000000005</v>
      </c>
      <c r="N517">
        <v>999.46</v>
      </c>
      <c r="O517">
        <v>459.75160000000005</v>
      </c>
      <c r="P517">
        <f t="shared" si="24"/>
        <v>539.70839999999998</v>
      </c>
    </row>
    <row r="518" spans="1:16" x14ac:dyDescent="0.25">
      <c r="A518">
        <v>12</v>
      </c>
      <c r="B518">
        <v>36.85</v>
      </c>
      <c r="C518">
        <f t="shared" si="25"/>
        <v>442.20000000000005</v>
      </c>
      <c r="H518">
        <v>12</v>
      </c>
      <c r="I518">
        <v>36.85</v>
      </c>
      <c r="J518" s="11">
        <v>0.3</v>
      </c>
      <c r="K518">
        <f t="shared" si="26"/>
        <v>132.66</v>
      </c>
      <c r="N518">
        <v>442.20000000000005</v>
      </c>
      <c r="O518">
        <v>132.66</v>
      </c>
      <c r="P518">
        <f t="shared" si="24"/>
        <v>309.54000000000008</v>
      </c>
    </row>
    <row r="519" spans="1:16" x14ac:dyDescent="0.25">
      <c r="A519">
        <v>26</v>
      </c>
      <c r="B519">
        <v>58.36</v>
      </c>
      <c r="C519">
        <f t="shared" si="25"/>
        <v>1517.36</v>
      </c>
      <c r="H519">
        <v>26</v>
      </c>
      <c r="I519">
        <v>58.36</v>
      </c>
      <c r="J519" s="11">
        <v>0.44</v>
      </c>
      <c r="K519">
        <f t="shared" si="26"/>
        <v>667.63839999999993</v>
      </c>
      <c r="N519">
        <v>1517.36</v>
      </c>
      <c r="O519">
        <v>667.63839999999993</v>
      </c>
      <c r="P519">
        <f t="shared" si="24"/>
        <v>849.72159999999997</v>
      </c>
    </row>
    <row r="520" spans="1:16" x14ac:dyDescent="0.25">
      <c r="A520">
        <v>5</v>
      </c>
      <c r="B520">
        <v>28.61</v>
      </c>
      <c r="C520">
        <f t="shared" si="25"/>
        <v>143.05000000000001</v>
      </c>
      <c r="H520">
        <v>5</v>
      </c>
      <c r="I520">
        <v>28.61</v>
      </c>
      <c r="J520" s="11">
        <v>0.03</v>
      </c>
      <c r="K520">
        <f t="shared" si="26"/>
        <v>4.2915000000000001</v>
      </c>
      <c r="N520">
        <v>143.05000000000001</v>
      </c>
      <c r="O520">
        <v>4.2915000000000001</v>
      </c>
      <c r="P520">
        <f t="shared" si="24"/>
        <v>138.7585</v>
      </c>
    </row>
    <row r="521" spans="1:16" x14ac:dyDescent="0.25">
      <c r="A521">
        <v>29</v>
      </c>
      <c r="B521">
        <v>81.08</v>
      </c>
      <c r="C521">
        <f t="shared" si="25"/>
        <v>2351.3200000000002</v>
      </c>
      <c r="H521">
        <v>29</v>
      </c>
      <c r="I521">
        <v>81.08</v>
      </c>
      <c r="J521" s="11">
        <v>0.28999999999999998</v>
      </c>
      <c r="K521">
        <f t="shared" si="26"/>
        <v>681.88279999999997</v>
      </c>
      <c r="N521">
        <v>2351.3200000000002</v>
      </c>
      <c r="O521">
        <v>681.88279999999997</v>
      </c>
      <c r="P521">
        <f t="shared" si="24"/>
        <v>1669.4372000000003</v>
      </c>
    </row>
    <row r="522" spans="1:16" x14ac:dyDescent="0.25">
      <c r="A522">
        <v>1</v>
      </c>
      <c r="B522">
        <v>89.58</v>
      </c>
      <c r="C522">
        <f t="shared" si="25"/>
        <v>89.58</v>
      </c>
      <c r="H522">
        <v>1</v>
      </c>
      <c r="I522">
        <v>89.58</v>
      </c>
      <c r="J522" s="11">
        <v>0.47</v>
      </c>
      <c r="K522">
        <f t="shared" si="26"/>
        <v>42.102599999999995</v>
      </c>
      <c r="N522">
        <v>89.58</v>
      </c>
      <c r="O522">
        <v>42.102599999999995</v>
      </c>
      <c r="P522">
        <f t="shared" si="24"/>
        <v>47.477400000000003</v>
      </c>
    </row>
    <row r="523" spans="1:16" x14ac:dyDescent="0.25">
      <c r="A523">
        <v>32</v>
      </c>
      <c r="B523">
        <v>18.98</v>
      </c>
      <c r="C523">
        <f t="shared" si="25"/>
        <v>607.36</v>
      </c>
      <c r="H523">
        <v>32</v>
      </c>
      <c r="I523">
        <v>18.98</v>
      </c>
      <c r="J523" s="11">
        <v>0.47</v>
      </c>
      <c r="K523">
        <f t="shared" si="26"/>
        <v>285.45920000000001</v>
      </c>
      <c r="N523">
        <v>607.36</v>
      </c>
      <c r="O523">
        <v>285.45920000000001</v>
      </c>
      <c r="P523">
        <f t="shared" si="24"/>
        <v>321.9008</v>
      </c>
    </row>
    <row r="524" spans="1:16" x14ac:dyDescent="0.25">
      <c r="A524">
        <v>34</v>
      </c>
      <c r="B524">
        <v>88.22</v>
      </c>
      <c r="C524">
        <f t="shared" si="25"/>
        <v>2999.48</v>
      </c>
      <c r="H524">
        <v>34</v>
      </c>
      <c r="I524">
        <v>88.22</v>
      </c>
      <c r="J524" s="11">
        <v>0.38</v>
      </c>
      <c r="K524">
        <f t="shared" si="26"/>
        <v>1139.8024</v>
      </c>
      <c r="N524">
        <v>2999.48</v>
      </c>
      <c r="O524">
        <v>1139.8024</v>
      </c>
      <c r="P524">
        <f t="shared" si="24"/>
        <v>1859.6776</v>
      </c>
    </row>
    <row r="525" spans="1:16" x14ac:dyDescent="0.25">
      <c r="A525">
        <v>17</v>
      </c>
      <c r="B525">
        <v>60.47</v>
      </c>
      <c r="C525">
        <f t="shared" si="25"/>
        <v>1027.99</v>
      </c>
      <c r="H525">
        <v>17</v>
      </c>
      <c r="I525">
        <v>60.47</v>
      </c>
      <c r="J525" s="11">
        <v>0.21</v>
      </c>
      <c r="K525">
        <f t="shared" si="26"/>
        <v>215.87789999999998</v>
      </c>
      <c r="N525">
        <v>1027.99</v>
      </c>
      <c r="O525">
        <v>215.87789999999998</v>
      </c>
      <c r="P525">
        <f t="shared" si="24"/>
        <v>812.11210000000005</v>
      </c>
    </row>
    <row r="526" spans="1:16" x14ac:dyDescent="0.25">
      <c r="A526">
        <v>27</v>
      </c>
      <c r="B526">
        <v>19.18</v>
      </c>
      <c r="C526">
        <f t="shared" si="25"/>
        <v>517.86</v>
      </c>
      <c r="H526">
        <v>27</v>
      </c>
      <c r="I526">
        <v>19.18</v>
      </c>
      <c r="J526" s="11">
        <v>0.38</v>
      </c>
      <c r="K526">
        <f t="shared" si="26"/>
        <v>196.7868</v>
      </c>
      <c r="N526">
        <v>517.86</v>
      </c>
      <c r="O526">
        <v>196.7868</v>
      </c>
      <c r="P526">
        <f t="shared" si="24"/>
        <v>321.07320000000004</v>
      </c>
    </row>
    <row r="527" spans="1:16" x14ac:dyDescent="0.25">
      <c r="A527">
        <v>15</v>
      </c>
      <c r="B527">
        <v>24.66</v>
      </c>
      <c r="C527">
        <f t="shared" si="25"/>
        <v>369.9</v>
      </c>
      <c r="H527">
        <v>15</v>
      </c>
      <c r="I527">
        <v>24.66</v>
      </c>
      <c r="J527" s="11">
        <v>0.42</v>
      </c>
      <c r="K527">
        <f t="shared" si="26"/>
        <v>155.35799999999998</v>
      </c>
      <c r="N527">
        <v>369.9</v>
      </c>
      <c r="O527">
        <v>155.35799999999998</v>
      </c>
      <c r="P527">
        <f t="shared" si="24"/>
        <v>214.542</v>
      </c>
    </row>
    <row r="528" spans="1:16" x14ac:dyDescent="0.25">
      <c r="A528">
        <v>13</v>
      </c>
      <c r="B528">
        <v>22.52</v>
      </c>
      <c r="C528">
        <f t="shared" si="25"/>
        <v>292.76</v>
      </c>
      <c r="H528">
        <v>13</v>
      </c>
      <c r="I528">
        <v>22.52</v>
      </c>
      <c r="J528" s="11">
        <v>0.14000000000000001</v>
      </c>
      <c r="K528">
        <f t="shared" si="26"/>
        <v>40.986400000000003</v>
      </c>
      <c r="N528">
        <v>292.76</v>
      </c>
      <c r="O528">
        <v>40.986400000000003</v>
      </c>
      <c r="P528">
        <f t="shared" si="24"/>
        <v>251.77359999999999</v>
      </c>
    </row>
    <row r="529" spans="1:16" x14ac:dyDescent="0.25">
      <c r="A529">
        <v>14</v>
      </c>
      <c r="B529">
        <v>27.22</v>
      </c>
      <c r="C529">
        <f t="shared" si="25"/>
        <v>381.08</v>
      </c>
      <c r="H529">
        <v>14</v>
      </c>
      <c r="I529">
        <v>27.22</v>
      </c>
      <c r="J529" s="11">
        <v>0.28999999999999998</v>
      </c>
      <c r="K529">
        <f t="shared" si="26"/>
        <v>110.51319999999998</v>
      </c>
      <c r="N529">
        <v>381.08</v>
      </c>
      <c r="O529">
        <v>110.51319999999998</v>
      </c>
      <c r="P529">
        <f t="shared" si="24"/>
        <v>270.5668</v>
      </c>
    </row>
    <row r="530" spans="1:16" x14ac:dyDescent="0.25">
      <c r="A530">
        <v>42</v>
      </c>
      <c r="B530">
        <v>75.62</v>
      </c>
      <c r="C530">
        <f t="shared" si="25"/>
        <v>3176.04</v>
      </c>
      <c r="H530">
        <v>42</v>
      </c>
      <c r="I530">
        <v>75.62</v>
      </c>
      <c r="J530" s="11">
        <v>0</v>
      </c>
      <c r="K530">
        <f t="shared" si="26"/>
        <v>0</v>
      </c>
      <c r="N530">
        <v>3176.04</v>
      </c>
      <c r="O530">
        <v>0</v>
      </c>
      <c r="P530">
        <f t="shared" si="24"/>
        <v>3176.04</v>
      </c>
    </row>
    <row r="531" spans="1:16" x14ac:dyDescent="0.25">
      <c r="A531">
        <v>43</v>
      </c>
      <c r="B531">
        <v>71.900000000000006</v>
      </c>
      <c r="C531">
        <f t="shared" si="25"/>
        <v>3091.7000000000003</v>
      </c>
      <c r="H531">
        <v>43</v>
      </c>
      <c r="I531">
        <v>71.900000000000006</v>
      </c>
      <c r="J531" s="11">
        <v>0.01</v>
      </c>
      <c r="K531">
        <f t="shared" si="26"/>
        <v>30.917000000000005</v>
      </c>
      <c r="N531">
        <v>3091.7000000000003</v>
      </c>
      <c r="O531">
        <v>30.917000000000005</v>
      </c>
      <c r="P531">
        <f t="shared" si="24"/>
        <v>3060.7830000000004</v>
      </c>
    </row>
    <row r="532" spans="1:16" x14ac:dyDescent="0.25">
      <c r="A532">
        <v>44</v>
      </c>
      <c r="B532">
        <v>55.51</v>
      </c>
      <c r="C532">
        <f t="shared" si="25"/>
        <v>2442.44</v>
      </c>
      <c r="H532">
        <v>44</v>
      </c>
      <c r="I532">
        <v>55.51</v>
      </c>
      <c r="J532" s="11">
        <v>0.23</v>
      </c>
      <c r="K532">
        <f t="shared" si="26"/>
        <v>561.76120000000003</v>
      </c>
      <c r="N532">
        <v>2442.44</v>
      </c>
      <c r="O532">
        <v>561.76120000000003</v>
      </c>
      <c r="P532">
        <f t="shared" si="24"/>
        <v>1880.6788000000001</v>
      </c>
    </row>
    <row r="533" spans="1:16" x14ac:dyDescent="0.25">
      <c r="A533">
        <v>33</v>
      </c>
      <c r="B533">
        <v>53.49</v>
      </c>
      <c r="C533">
        <f t="shared" si="25"/>
        <v>1765.17</v>
      </c>
      <c r="H533">
        <v>33</v>
      </c>
      <c r="I533">
        <v>53.49</v>
      </c>
      <c r="J533" s="11">
        <v>0.42</v>
      </c>
      <c r="K533">
        <f t="shared" si="26"/>
        <v>741.37139999999999</v>
      </c>
      <c r="N533">
        <v>1765.17</v>
      </c>
      <c r="O533">
        <v>741.37139999999999</v>
      </c>
      <c r="P533">
        <f t="shared" si="24"/>
        <v>1023.7986000000001</v>
      </c>
    </row>
    <row r="534" spans="1:16" x14ac:dyDescent="0.25">
      <c r="A534">
        <v>37</v>
      </c>
      <c r="B534">
        <v>2.66</v>
      </c>
      <c r="C534">
        <f t="shared" si="25"/>
        <v>98.42</v>
      </c>
      <c r="H534">
        <v>37</v>
      </c>
      <c r="I534">
        <v>2.66</v>
      </c>
      <c r="J534" s="11">
        <v>0.46</v>
      </c>
      <c r="K534">
        <f t="shared" si="26"/>
        <v>45.273200000000003</v>
      </c>
      <c r="N534">
        <v>98.42</v>
      </c>
      <c r="O534">
        <v>45.273200000000003</v>
      </c>
      <c r="P534">
        <f t="shared" si="24"/>
        <v>53.146799999999999</v>
      </c>
    </row>
    <row r="535" spans="1:16" x14ac:dyDescent="0.25">
      <c r="A535">
        <v>29</v>
      </c>
      <c r="B535">
        <v>7.42</v>
      </c>
      <c r="C535">
        <f t="shared" si="25"/>
        <v>215.18</v>
      </c>
      <c r="H535">
        <v>29</v>
      </c>
      <c r="I535">
        <v>7.42</v>
      </c>
      <c r="J535" s="11">
        <v>0.22</v>
      </c>
      <c r="K535">
        <f t="shared" si="26"/>
        <v>47.339600000000004</v>
      </c>
      <c r="N535">
        <v>215.18</v>
      </c>
      <c r="O535">
        <v>47.339600000000004</v>
      </c>
      <c r="P535">
        <f t="shared" si="24"/>
        <v>167.84039999999999</v>
      </c>
    </row>
    <row r="536" spans="1:16" x14ac:dyDescent="0.25">
      <c r="A536">
        <v>18</v>
      </c>
      <c r="B536">
        <v>84.2</v>
      </c>
      <c r="C536">
        <f t="shared" si="25"/>
        <v>1515.6000000000001</v>
      </c>
      <c r="H536">
        <v>18</v>
      </c>
      <c r="I536">
        <v>84.2</v>
      </c>
      <c r="J536" s="11">
        <v>0.33</v>
      </c>
      <c r="K536">
        <f t="shared" si="26"/>
        <v>500.14800000000008</v>
      </c>
      <c r="N536">
        <v>1515.6000000000001</v>
      </c>
      <c r="O536">
        <v>500.14800000000008</v>
      </c>
      <c r="P536">
        <f t="shared" si="24"/>
        <v>1015.452</v>
      </c>
    </row>
    <row r="537" spans="1:16" x14ac:dyDescent="0.25">
      <c r="A537">
        <v>32</v>
      </c>
      <c r="B537">
        <v>89.09</v>
      </c>
      <c r="C537">
        <f t="shared" si="25"/>
        <v>2850.88</v>
      </c>
      <c r="H537">
        <v>32</v>
      </c>
      <c r="I537">
        <v>89.09</v>
      </c>
      <c r="J537" s="11">
        <v>0.08</v>
      </c>
      <c r="K537">
        <f t="shared" si="26"/>
        <v>228.07040000000001</v>
      </c>
      <c r="N537">
        <v>2850.88</v>
      </c>
      <c r="O537">
        <v>228.07040000000001</v>
      </c>
      <c r="P537">
        <f t="shared" si="24"/>
        <v>2622.8096</v>
      </c>
    </row>
    <row r="538" spans="1:16" x14ac:dyDescent="0.25">
      <c r="A538">
        <v>17</v>
      </c>
      <c r="B538">
        <v>65.66</v>
      </c>
      <c r="C538">
        <f t="shared" si="25"/>
        <v>1116.22</v>
      </c>
      <c r="H538">
        <v>17</v>
      </c>
      <c r="I538">
        <v>65.66</v>
      </c>
      <c r="J538" s="11">
        <v>7.0000000000000007E-2</v>
      </c>
      <c r="K538">
        <f t="shared" si="26"/>
        <v>78.135400000000004</v>
      </c>
      <c r="N538">
        <v>1116.22</v>
      </c>
      <c r="O538">
        <v>78.135400000000004</v>
      </c>
      <c r="P538">
        <f t="shared" si="24"/>
        <v>1038.0846000000001</v>
      </c>
    </row>
    <row r="539" spans="1:16" x14ac:dyDescent="0.25">
      <c r="A539">
        <v>1</v>
      </c>
      <c r="B539">
        <v>79.09</v>
      </c>
      <c r="C539">
        <f t="shared" si="25"/>
        <v>79.09</v>
      </c>
      <c r="H539">
        <v>1</v>
      </c>
      <c r="I539">
        <v>79.09</v>
      </c>
      <c r="J539" s="11">
        <v>0.31</v>
      </c>
      <c r="K539">
        <f t="shared" si="26"/>
        <v>24.517900000000001</v>
      </c>
      <c r="N539">
        <v>79.09</v>
      </c>
      <c r="O539">
        <v>24.517900000000001</v>
      </c>
      <c r="P539">
        <f t="shared" si="24"/>
        <v>54.572100000000006</v>
      </c>
    </row>
    <row r="540" spans="1:16" x14ac:dyDescent="0.25">
      <c r="A540">
        <v>3</v>
      </c>
      <c r="B540">
        <v>81.94</v>
      </c>
      <c r="C540">
        <f t="shared" si="25"/>
        <v>245.82</v>
      </c>
      <c r="H540">
        <v>3</v>
      </c>
      <c r="I540">
        <v>81.94</v>
      </c>
      <c r="J540" s="11">
        <v>0.16</v>
      </c>
      <c r="K540">
        <f t="shared" si="26"/>
        <v>39.331200000000003</v>
      </c>
      <c r="N540">
        <v>245.82</v>
      </c>
      <c r="O540">
        <v>39.331200000000003</v>
      </c>
      <c r="P540">
        <f t="shared" si="24"/>
        <v>206.4888</v>
      </c>
    </row>
    <row r="541" spans="1:16" x14ac:dyDescent="0.25">
      <c r="A541">
        <v>29</v>
      </c>
      <c r="B541">
        <v>58.15</v>
      </c>
      <c r="C541">
        <f t="shared" si="25"/>
        <v>1686.35</v>
      </c>
      <c r="H541">
        <v>29</v>
      </c>
      <c r="I541">
        <v>58.15</v>
      </c>
      <c r="J541" s="11">
        <v>0.37</v>
      </c>
      <c r="K541">
        <f t="shared" si="26"/>
        <v>623.94949999999994</v>
      </c>
      <c r="N541">
        <v>1686.35</v>
      </c>
      <c r="O541">
        <v>623.94949999999994</v>
      </c>
      <c r="P541">
        <f t="shared" si="24"/>
        <v>1062.4005</v>
      </c>
    </row>
    <row r="542" spans="1:16" x14ac:dyDescent="0.25">
      <c r="A542">
        <v>45</v>
      </c>
      <c r="B542">
        <v>35.97</v>
      </c>
      <c r="C542">
        <f t="shared" si="25"/>
        <v>1618.6499999999999</v>
      </c>
      <c r="H542">
        <v>45</v>
      </c>
      <c r="I542">
        <v>35.97</v>
      </c>
      <c r="J542" s="11">
        <v>0.47</v>
      </c>
      <c r="K542">
        <f t="shared" si="26"/>
        <v>760.76549999999986</v>
      </c>
      <c r="N542">
        <v>1618.6499999999999</v>
      </c>
      <c r="O542">
        <v>760.76549999999986</v>
      </c>
      <c r="P542">
        <f t="shared" si="24"/>
        <v>857.8845</v>
      </c>
    </row>
    <row r="543" spans="1:16" x14ac:dyDescent="0.25">
      <c r="A543">
        <v>38</v>
      </c>
      <c r="B543">
        <v>36.86</v>
      </c>
      <c r="C543">
        <f t="shared" si="25"/>
        <v>1400.68</v>
      </c>
      <c r="H543">
        <v>38</v>
      </c>
      <c r="I543">
        <v>36.86</v>
      </c>
      <c r="J543" s="11">
        <v>0.08</v>
      </c>
      <c r="K543">
        <f t="shared" si="26"/>
        <v>112.0544</v>
      </c>
      <c r="N543">
        <v>1400.68</v>
      </c>
      <c r="O543">
        <v>112.0544</v>
      </c>
      <c r="P543">
        <f t="shared" si="24"/>
        <v>1288.6256000000001</v>
      </c>
    </row>
    <row r="544" spans="1:16" x14ac:dyDescent="0.25">
      <c r="A544">
        <v>30</v>
      </c>
      <c r="B544">
        <v>94.84</v>
      </c>
      <c r="C544">
        <f t="shared" si="25"/>
        <v>2845.2000000000003</v>
      </c>
      <c r="H544">
        <v>30</v>
      </c>
      <c r="I544">
        <v>94.84</v>
      </c>
      <c r="J544" s="11">
        <v>0.14000000000000001</v>
      </c>
      <c r="K544">
        <f t="shared" si="26"/>
        <v>398.32800000000009</v>
      </c>
      <c r="N544">
        <v>2845.2000000000003</v>
      </c>
      <c r="O544">
        <v>398.32800000000009</v>
      </c>
      <c r="P544">
        <f t="shared" si="24"/>
        <v>2446.8720000000003</v>
      </c>
    </row>
    <row r="545" spans="1:16" x14ac:dyDescent="0.25">
      <c r="A545">
        <v>8</v>
      </c>
      <c r="B545">
        <v>69.989999999999995</v>
      </c>
      <c r="C545">
        <f t="shared" si="25"/>
        <v>559.91999999999996</v>
      </c>
      <c r="H545">
        <v>8</v>
      </c>
      <c r="I545">
        <v>69.989999999999995</v>
      </c>
      <c r="J545" s="11">
        <v>0.05</v>
      </c>
      <c r="K545">
        <f t="shared" si="26"/>
        <v>27.995999999999999</v>
      </c>
      <c r="N545">
        <v>559.91999999999996</v>
      </c>
      <c r="O545">
        <v>27.995999999999999</v>
      </c>
      <c r="P545">
        <f t="shared" si="24"/>
        <v>531.92399999999998</v>
      </c>
    </row>
    <row r="546" spans="1:16" x14ac:dyDescent="0.25">
      <c r="A546">
        <v>35</v>
      </c>
      <c r="B546">
        <v>79.62</v>
      </c>
      <c r="C546">
        <f t="shared" si="25"/>
        <v>2786.7000000000003</v>
      </c>
      <c r="H546">
        <v>35</v>
      </c>
      <c r="I546">
        <v>79.62</v>
      </c>
      <c r="J546" s="11">
        <v>0.49</v>
      </c>
      <c r="K546">
        <f t="shared" si="26"/>
        <v>1365.4830000000002</v>
      </c>
      <c r="N546">
        <v>2786.7000000000003</v>
      </c>
      <c r="O546">
        <v>1365.4830000000002</v>
      </c>
      <c r="P546">
        <f t="shared" si="24"/>
        <v>1421.2170000000001</v>
      </c>
    </row>
    <row r="547" spans="1:16" x14ac:dyDescent="0.25">
      <c r="A547">
        <v>3</v>
      </c>
      <c r="B547">
        <v>75.099999999999994</v>
      </c>
      <c r="C547">
        <f t="shared" si="25"/>
        <v>225.29999999999998</v>
      </c>
      <c r="H547">
        <v>3</v>
      </c>
      <c r="I547">
        <v>75.099999999999994</v>
      </c>
      <c r="J547" s="11">
        <v>0.28000000000000003</v>
      </c>
      <c r="K547">
        <f t="shared" si="26"/>
        <v>63.084000000000003</v>
      </c>
      <c r="N547">
        <v>225.29999999999998</v>
      </c>
      <c r="O547">
        <v>63.084000000000003</v>
      </c>
      <c r="P547">
        <f t="shared" si="24"/>
        <v>162.21599999999998</v>
      </c>
    </row>
    <row r="548" spans="1:16" x14ac:dyDescent="0.25">
      <c r="A548">
        <v>9</v>
      </c>
      <c r="B548">
        <v>78.25</v>
      </c>
      <c r="C548">
        <f t="shared" si="25"/>
        <v>704.25</v>
      </c>
      <c r="H548">
        <v>9</v>
      </c>
      <c r="I548">
        <v>78.25</v>
      </c>
      <c r="J548" s="11">
        <v>0.28999999999999998</v>
      </c>
      <c r="K548">
        <f t="shared" si="26"/>
        <v>204.23249999999999</v>
      </c>
      <c r="N548">
        <v>704.25</v>
      </c>
      <c r="O548">
        <v>204.23249999999999</v>
      </c>
      <c r="P548">
        <f t="shared" si="24"/>
        <v>500.01750000000004</v>
      </c>
    </row>
    <row r="549" spans="1:16" x14ac:dyDescent="0.25">
      <c r="A549">
        <v>1</v>
      </c>
      <c r="B549">
        <v>71.78</v>
      </c>
      <c r="C549">
        <f t="shared" si="25"/>
        <v>71.78</v>
      </c>
      <c r="H549">
        <v>1</v>
      </c>
      <c r="I549">
        <v>71.78</v>
      </c>
      <c r="J549" s="11">
        <v>0.12</v>
      </c>
      <c r="K549">
        <f t="shared" si="26"/>
        <v>8.6135999999999999</v>
      </c>
      <c r="N549">
        <v>71.78</v>
      </c>
      <c r="O549">
        <v>8.6135999999999999</v>
      </c>
      <c r="P549">
        <f t="shared" si="24"/>
        <v>63.166400000000003</v>
      </c>
    </row>
    <row r="550" spans="1:16" x14ac:dyDescent="0.25">
      <c r="A550">
        <v>33</v>
      </c>
      <c r="B550">
        <v>8.31</v>
      </c>
      <c r="C550">
        <f t="shared" si="25"/>
        <v>274.23</v>
      </c>
      <c r="H550">
        <v>33</v>
      </c>
      <c r="I550">
        <v>8.31</v>
      </c>
      <c r="J550" s="11">
        <v>0.06</v>
      </c>
      <c r="K550">
        <f t="shared" si="26"/>
        <v>16.453800000000001</v>
      </c>
      <c r="N550">
        <v>274.23</v>
      </c>
      <c r="O550">
        <v>16.453800000000001</v>
      </c>
      <c r="P550">
        <f t="shared" si="24"/>
        <v>257.77620000000002</v>
      </c>
    </row>
    <row r="551" spans="1:16" x14ac:dyDescent="0.25">
      <c r="A551">
        <v>4</v>
      </c>
      <c r="B551">
        <v>63.04</v>
      </c>
      <c r="C551">
        <f t="shared" si="25"/>
        <v>252.16</v>
      </c>
      <c r="H551">
        <v>4</v>
      </c>
      <c r="I551">
        <v>63.04</v>
      </c>
      <c r="J551" s="11">
        <v>0.33</v>
      </c>
      <c r="K551">
        <f t="shared" si="26"/>
        <v>83.212800000000001</v>
      </c>
      <c r="N551">
        <v>252.16</v>
      </c>
      <c r="O551">
        <v>83.212800000000001</v>
      </c>
      <c r="P551">
        <f t="shared" si="24"/>
        <v>168.94720000000001</v>
      </c>
    </row>
    <row r="552" spans="1:16" x14ac:dyDescent="0.25">
      <c r="A552">
        <v>15</v>
      </c>
      <c r="B552">
        <v>25.82</v>
      </c>
      <c r="C552">
        <f t="shared" si="25"/>
        <v>387.3</v>
      </c>
      <c r="H552">
        <v>15</v>
      </c>
      <c r="I552">
        <v>25.82</v>
      </c>
      <c r="J552" s="11">
        <v>0.04</v>
      </c>
      <c r="K552">
        <f t="shared" si="26"/>
        <v>15.492000000000001</v>
      </c>
      <c r="N552">
        <v>387.3</v>
      </c>
      <c r="O552">
        <v>15.492000000000001</v>
      </c>
      <c r="P552">
        <f t="shared" si="24"/>
        <v>371.80799999999999</v>
      </c>
    </row>
    <row r="553" spans="1:16" x14ac:dyDescent="0.25">
      <c r="A553">
        <v>6</v>
      </c>
      <c r="B553">
        <v>1.17</v>
      </c>
      <c r="C553">
        <f t="shared" si="25"/>
        <v>7.02</v>
      </c>
      <c r="H553">
        <v>6</v>
      </c>
      <c r="I553">
        <v>1.17</v>
      </c>
      <c r="J553" s="11">
        <v>7.0000000000000007E-2</v>
      </c>
      <c r="K553">
        <f t="shared" si="26"/>
        <v>0.4914</v>
      </c>
      <c r="N553">
        <v>7.02</v>
      </c>
      <c r="O553">
        <v>0.4914</v>
      </c>
      <c r="P553">
        <f t="shared" si="24"/>
        <v>6.5286</v>
      </c>
    </row>
    <row r="554" spans="1:16" x14ac:dyDescent="0.25">
      <c r="A554">
        <v>42</v>
      </c>
      <c r="B554">
        <v>48.88</v>
      </c>
      <c r="C554">
        <f t="shared" si="25"/>
        <v>2052.96</v>
      </c>
      <c r="H554">
        <v>42</v>
      </c>
      <c r="I554">
        <v>48.88</v>
      </c>
      <c r="J554" s="11">
        <v>0.31</v>
      </c>
      <c r="K554">
        <f t="shared" si="26"/>
        <v>636.41759999999999</v>
      </c>
      <c r="N554">
        <v>2052.96</v>
      </c>
      <c r="O554">
        <v>636.41759999999999</v>
      </c>
      <c r="P554">
        <f t="shared" si="24"/>
        <v>1416.5424</v>
      </c>
    </row>
    <row r="555" spans="1:16" x14ac:dyDescent="0.25">
      <c r="A555">
        <v>35</v>
      </c>
      <c r="B555">
        <v>8.9</v>
      </c>
      <c r="C555">
        <f t="shared" si="25"/>
        <v>311.5</v>
      </c>
      <c r="H555">
        <v>35</v>
      </c>
      <c r="I555">
        <v>8.9</v>
      </c>
      <c r="J555" s="11">
        <v>0.09</v>
      </c>
      <c r="K555">
        <f t="shared" si="26"/>
        <v>28.035</v>
      </c>
      <c r="N555">
        <v>311.5</v>
      </c>
      <c r="O555">
        <v>28.035</v>
      </c>
      <c r="P555">
        <f t="shared" si="24"/>
        <v>283.46499999999997</v>
      </c>
    </row>
    <row r="556" spans="1:16" x14ac:dyDescent="0.25">
      <c r="A556">
        <v>34</v>
      </c>
      <c r="B556">
        <v>10.119999999999999</v>
      </c>
      <c r="C556">
        <f t="shared" si="25"/>
        <v>344.08</v>
      </c>
      <c r="H556">
        <v>34</v>
      </c>
      <c r="I556">
        <v>10.119999999999999</v>
      </c>
      <c r="J556" s="11">
        <v>0.19</v>
      </c>
      <c r="K556">
        <f t="shared" si="26"/>
        <v>65.375199999999992</v>
      </c>
      <c r="N556">
        <v>344.08</v>
      </c>
      <c r="O556">
        <v>65.375199999999992</v>
      </c>
      <c r="P556">
        <f t="shared" si="24"/>
        <v>278.70479999999998</v>
      </c>
    </row>
    <row r="557" spans="1:16" x14ac:dyDescent="0.25">
      <c r="A557">
        <v>27</v>
      </c>
      <c r="B557">
        <v>50.55</v>
      </c>
      <c r="C557">
        <f t="shared" si="25"/>
        <v>1364.85</v>
      </c>
      <c r="H557">
        <v>27</v>
      </c>
      <c r="I557">
        <v>50.55</v>
      </c>
      <c r="J557" s="11">
        <v>0.4</v>
      </c>
      <c r="K557">
        <f t="shared" si="26"/>
        <v>545.93999999999994</v>
      </c>
      <c r="N557">
        <v>1364.85</v>
      </c>
      <c r="O557">
        <v>545.93999999999994</v>
      </c>
      <c r="P557">
        <f t="shared" si="24"/>
        <v>818.91</v>
      </c>
    </row>
    <row r="558" spans="1:16" x14ac:dyDescent="0.25">
      <c r="A558">
        <v>42</v>
      </c>
      <c r="B558">
        <v>71.37</v>
      </c>
      <c r="C558">
        <f t="shared" si="25"/>
        <v>2997.54</v>
      </c>
      <c r="H558">
        <v>42</v>
      </c>
      <c r="I558">
        <v>71.37</v>
      </c>
      <c r="J558" s="11">
        <v>0.2</v>
      </c>
      <c r="K558">
        <f t="shared" si="26"/>
        <v>599.50800000000004</v>
      </c>
      <c r="N558">
        <v>2997.54</v>
      </c>
      <c r="O558">
        <v>599.50800000000004</v>
      </c>
      <c r="P558">
        <f t="shared" si="24"/>
        <v>2398.0320000000002</v>
      </c>
    </row>
    <row r="559" spans="1:16" x14ac:dyDescent="0.25">
      <c r="A559">
        <v>13</v>
      </c>
      <c r="B559">
        <v>53.36</v>
      </c>
      <c r="C559">
        <f t="shared" si="25"/>
        <v>693.68</v>
      </c>
      <c r="H559">
        <v>13</v>
      </c>
      <c r="I559">
        <v>53.36</v>
      </c>
      <c r="J559" s="11">
        <v>0.19</v>
      </c>
      <c r="K559">
        <f t="shared" si="26"/>
        <v>131.79919999999998</v>
      </c>
      <c r="N559">
        <v>693.68</v>
      </c>
      <c r="O559">
        <v>131.79919999999998</v>
      </c>
      <c r="P559">
        <f t="shared" si="24"/>
        <v>561.88079999999991</v>
      </c>
    </row>
    <row r="560" spans="1:16" x14ac:dyDescent="0.25">
      <c r="A560">
        <v>41</v>
      </c>
      <c r="B560">
        <v>52.83</v>
      </c>
      <c r="C560">
        <f t="shared" si="25"/>
        <v>2166.0299999999997</v>
      </c>
      <c r="H560">
        <v>41</v>
      </c>
      <c r="I560">
        <v>52.83</v>
      </c>
      <c r="J560" s="11">
        <v>0.12</v>
      </c>
      <c r="K560">
        <f t="shared" si="26"/>
        <v>259.92359999999996</v>
      </c>
      <c r="N560">
        <v>2166.0299999999997</v>
      </c>
      <c r="O560">
        <v>259.92359999999996</v>
      </c>
      <c r="P560">
        <f t="shared" si="24"/>
        <v>1906.1063999999997</v>
      </c>
    </row>
    <row r="561" spans="1:16" x14ac:dyDescent="0.25">
      <c r="A561">
        <v>22</v>
      </c>
      <c r="B561">
        <v>8.6199999999999992</v>
      </c>
      <c r="C561">
        <f t="shared" si="25"/>
        <v>189.64</v>
      </c>
      <c r="H561">
        <v>22</v>
      </c>
      <c r="I561">
        <v>8.6199999999999992</v>
      </c>
      <c r="J561" s="11">
        <v>7.0000000000000007E-2</v>
      </c>
      <c r="K561">
        <f t="shared" si="26"/>
        <v>13.274800000000001</v>
      </c>
      <c r="N561">
        <v>189.64</v>
      </c>
      <c r="O561">
        <v>13.274800000000001</v>
      </c>
      <c r="P561">
        <f t="shared" si="24"/>
        <v>176.36519999999999</v>
      </c>
    </row>
    <row r="562" spans="1:16" x14ac:dyDescent="0.25">
      <c r="A562">
        <v>40</v>
      </c>
      <c r="B562">
        <v>71.47</v>
      </c>
      <c r="C562">
        <f t="shared" si="25"/>
        <v>2858.8</v>
      </c>
      <c r="H562">
        <v>40</v>
      </c>
      <c r="I562">
        <v>71.47</v>
      </c>
      <c r="J562" s="11">
        <v>0.17</v>
      </c>
      <c r="K562">
        <f t="shared" si="26"/>
        <v>485.99600000000004</v>
      </c>
      <c r="N562">
        <v>2858.8</v>
      </c>
      <c r="O562">
        <v>485.99600000000004</v>
      </c>
      <c r="P562">
        <f t="shared" si="24"/>
        <v>2372.8040000000001</v>
      </c>
    </row>
    <row r="563" spans="1:16" x14ac:dyDescent="0.25">
      <c r="A563">
        <v>29</v>
      </c>
      <c r="B563">
        <v>19.86</v>
      </c>
      <c r="C563">
        <f t="shared" si="25"/>
        <v>575.93999999999994</v>
      </c>
      <c r="H563">
        <v>29</v>
      </c>
      <c r="I563">
        <v>19.86</v>
      </c>
      <c r="J563" s="11">
        <v>0.31</v>
      </c>
      <c r="K563">
        <f t="shared" si="26"/>
        <v>178.54139999999998</v>
      </c>
      <c r="N563">
        <v>575.93999999999994</v>
      </c>
      <c r="O563">
        <v>178.54139999999998</v>
      </c>
      <c r="P563">
        <f t="shared" si="24"/>
        <v>397.39859999999999</v>
      </c>
    </row>
    <row r="564" spans="1:16" x14ac:dyDescent="0.25">
      <c r="A564">
        <v>37</v>
      </c>
      <c r="B564">
        <v>43.68</v>
      </c>
      <c r="C564">
        <f t="shared" si="25"/>
        <v>1616.16</v>
      </c>
      <c r="H564">
        <v>37</v>
      </c>
      <c r="I564">
        <v>43.68</v>
      </c>
      <c r="J564" s="11">
        <v>0.06</v>
      </c>
      <c r="K564">
        <f t="shared" si="26"/>
        <v>96.9696</v>
      </c>
      <c r="N564">
        <v>1616.16</v>
      </c>
      <c r="O564">
        <v>96.9696</v>
      </c>
      <c r="P564">
        <f t="shared" si="24"/>
        <v>1519.1904000000002</v>
      </c>
    </row>
    <row r="565" spans="1:16" x14ac:dyDescent="0.25">
      <c r="A565">
        <v>43</v>
      </c>
      <c r="B565">
        <v>80.34</v>
      </c>
      <c r="C565">
        <f t="shared" si="25"/>
        <v>3454.6200000000003</v>
      </c>
      <c r="H565">
        <v>43</v>
      </c>
      <c r="I565">
        <v>80.34</v>
      </c>
      <c r="J565" s="11">
        <v>0.27</v>
      </c>
      <c r="K565">
        <f t="shared" si="26"/>
        <v>932.7474000000002</v>
      </c>
      <c r="N565">
        <v>3454.6200000000003</v>
      </c>
      <c r="O565">
        <v>932.7474000000002</v>
      </c>
      <c r="P565">
        <f t="shared" si="24"/>
        <v>2521.8726000000001</v>
      </c>
    </row>
    <row r="566" spans="1:16" x14ac:dyDescent="0.25">
      <c r="A566">
        <v>45</v>
      </c>
      <c r="B566">
        <v>97.53</v>
      </c>
      <c r="C566">
        <f t="shared" si="25"/>
        <v>4388.8500000000004</v>
      </c>
      <c r="H566">
        <v>45</v>
      </c>
      <c r="I566">
        <v>97.53</v>
      </c>
      <c r="J566" s="11">
        <v>0.18</v>
      </c>
      <c r="K566">
        <f t="shared" si="26"/>
        <v>789.99300000000005</v>
      </c>
      <c r="N566">
        <v>4388.8500000000004</v>
      </c>
      <c r="O566">
        <v>789.99300000000005</v>
      </c>
      <c r="P566">
        <f t="shared" si="24"/>
        <v>3598.8570000000004</v>
      </c>
    </row>
    <row r="567" spans="1:16" x14ac:dyDescent="0.25">
      <c r="A567">
        <v>12</v>
      </c>
      <c r="B567">
        <v>63.64</v>
      </c>
      <c r="C567">
        <f t="shared" si="25"/>
        <v>763.68000000000006</v>
      </c>
      <c r="H567">
        <v>12</v>
      </c>
      <c r="I567">
        <v>63.64</v>
      </c>
      <c r="J567" s="11">
        <v>7.0000000000000007E-2</v>
      </c>
      <c r="K567">
        <f t="shared" si="26"/>
        <v>53.457600000000006</v>
      </c>
      <c r="N567">
        <v>763.68000000000006</v>
      </c>
      <c r="O567">
        <v>53.457600000000006</v>
      </c>
      <c r="P567">
        <f t="shared" si="24"/>
        <v>710.22240000000011</v>
      </c>
    </row>
    <row r="568" spans="1:16" x14ac:dyDescent="0.25">
      <c r="A568">
        <v>41</v>
      </c>
      <c r="B568">
        <v>54.41</v>
      </c>
      <c r="C568">
        <f t="shared" si="25"/>
        <v>2230.81</v>
      </c>
      <c r="H568">
        <v>41</v>
      </c>
      <c r="I568">
        <v>54.41</v>
      </c>
      <c r="J568" s="11">
        <v>0.41</v>
      </c>
      <c r="K568">
        <f t="shared" si="26"/>
        <v>914.63209999999992</v>
      </c>
      <c r="N568">
        <v>2230.81</v>
      </c>
      <c r="O568">
        <v>914.63209999999992</v>
      </c>
      <c r="P568">
        <f t="shared" si="24"/>
        <v>1316.1779000000001</v>
      </c>
    </row>
    <row r="569" spans="1:16" x14ac:dyDescent="0.25">
      <c r="A569">
        <v>5</v>
      </c>
      <c r="B569">
        <v>65.31</v>
      </c>
      <c r="C569">
        <f t="shared" si="25"/>
        <v>326.55</v>
      </c>
      <c r="H569">
        <v>5</v>
      </c>
      <c r="I569">
        <v>65.31</v>
      </c>
      <c r="J569" s="11">
        <v>0.23</v>
      </c>
      <c r="K569">
        <f t="shared" si="26"/>
        <v>75.106500000000011</v>
      </c>
      <c r="N569">
        <v>326.55</v>
      </c>
      <c r="O569">
        <v>75.106500000000011</v>
      </c>
      <c r="P569">
        <f t="shared" si="24"/>
        <v>251.4435</v>
      </c>
    </row>
    <row r="570" spans="1:16" x14ac:dyDescent="0.25">
      <c r="A570">
        <v>5</v>
      </c>
      <c r="B570">
        <v>59.92</v>
      </c>
      <c r="C570">
        <f t="shared" si="25"/>
        <v>299.60000000000002</v>
      </c>
      <c r="H570">
        <v>5</v>
      </c>
      <c r="I570">
        <v>59.92</v>
      </c>
      <c r="J570" s="11">
        <v>0.11</v>
      </c>
      <c r="K570">
        <f t="shared" si="26"/>
        <v>32.956000000000003</v>
      </c>
      <c r="N570">
        <v>299.60000000000002</v>
      </c>
      <c r="O570">
        <v>32.956000000000003</v>
      </c>
      <c r="P570">
        <f t="shared" si="24"/>
        <v>266.64400000000001</v>
      </c>
    </row>
    <row r="571" spans="1:16" x14ac:dyDescent="0.25">
      <c r="A571">
        <v>26</v>
      </c>
      <c r="B571">
        <v>81.98</v>
      </c>
      <c r="C571">
        <f t="shared" si="25"/>
        <v>2131.48</v>
      </c>
      <c r="H571">
        <v>26</v>
      </c>
      <c r="I571">
        <v>81.98</v>
      </c>
      <c r="J571" s="11">
        <v>0.21</v>
      </c>
      <c r="K571">
        <f t="shared" si="26"/>
        <v>447.61079999999998</v>
      </c>
      <c r="N571">
        <v>2131.48</v>
      </c>
      <c r="O571">
        <v>447.61079999999998</v>
      </c>
      <c r="P571">
        <f t="shared" si="24"/>
        <v>1683.8692000000001</v>
      </c>
    </row>
    <row r="572" spans="1:16" x14ac:dyDescent="0.25">
      <c r="A572">
        <v>26</v>
      </c>
      <c r="B572">
        <v>93.44</v>
      </c>
      <c r="C572">
        <f t="shared" si="25"/>
        <v>2429.44</v>
      </c>
      <c r="H572">
        <v>26</v>
      </c>
      <c r="I572">
        <v>93.44</v>
      </c>
      <c r="J572" s="11">
        <v>0.4</v>
      </c>
      <c r="K572">
        <f t="shared" si="26"/>
        <v>971.77600000000007</v>
      </c>
      <c r="N572">
        <v>2429.44</v>
      </c>
      <c r="O572">
        <v>971.77600000000007</v>
      </c>
      <c r="P572">
        <f t="shared" si="24"/>
        <v>1457.664</v>
      </c>
    </row>
    <row r="573" spans="1:16" x14ac:dyDescent="0.25">
      <c r="A573">
        <v>10</v>
      </c>
      <c r="B573">
        <v>24.49</v>
      </c>
      <c r="C573">
        <f t="shared" si="25"/>
        <v>244.89999999999998</v>
      </c>
      <c r="H573">
        <v>10</v>
      </c>
      <c r="I573">
        <v>24.49</v>
      </c>
      <c r="J573" s="11">
        <v>0.1</v>
      </c>
      <c r="K573">
        <f t="shared" si="26"/>
        <v>24.49</v>
      </c>
      <c r="N573">
        <v>244.89999999999998</v>
      </c>
      <c r="O573">
        <v>24.49</v>
      </c>
      <c r="P573">
        <f t="shared" si="24"/>
        <v>220.40999999999997</v>
      </c>
    </row>
    <row r="574" spans="1:16" x14ac:dyDescent="0.25">
      <c r="A574">
        <v>49</v>
      </c>
      <c r="B574">
        <v>24.56</v>
      </c>
      <c r="C574">
        <f t="shared" si="25"/>
        <v>1203.4399999999998</v>
      </c>
      <c r="H574">
        <v>49</v>
      </c>
      <c r="I574">
        <v>24.56</v>
      </c>
      <c r="J574" s="11">
        <v>0.04</v>
      </c>
      <c r="K574">
        <f t="shared" si="26"/>
        <v>48.137599999999992</v>
      </c>
      <c r="N574">
        <v>1203.4399999999998</v>
      </c>
      <c r="O574">
        <v>48.137599999999992</v>
      </c>
      <c r="P574">
        <f t="shared" si="24"/>
        <v>1155.3023999999998</v>
      </c>
    </row>
    <row r="575" spans="1:16" x14ac:dyDescent="0.25">
      <c r="A575">
        <v>7</v>
      </c>
      <c r="B575">
        <v>48.27</v>
      </c>
      <c r="C575">
        <f t="shared" si="25"/>
        <v>337.89000000000004</v>
      </c>
      <c r="H575">
        <v>7</v>
      </c>
      <c r="I575">
        <v>48.27</v>
      </c>
      <c r="J575" s="11">
        <v>0.21</v>
      </c>
      <c r="K575">
        <f t="shared" si="26"/>
        <v>70.956900000000005</v>
      </c>
      <c r="N575">
        <v>337.89000000000004</v>
      </c>
      <c r="O575">
        <v>70.956900000000005</v>
      </c>
      <c r="P575">
        <f t="shared" si="24"/>
        <v>266.93310000000002</v>
      </c>
    </row>
    <row r="576" spans="1:16" x14ac:dyDescent="0.25">
      <c r="A576">
        <v>6</v>
      </c>
      <c r="B576">
        <v>75.989999999999995</v>
      </c>
      <c r="C576">
        <f t="shared" si="25"/>
        <v>455.93999999999994</v>
      </c>
      <c r="H576">
        <v>6</v>
      </c>
      <c r="I576">
        <v>75.989999999999995</v>
      </c>
      <c r="J576" s="11">
        <v>0.41</v>
      </c>
      <c r="K576">
        <f t="shared" si="26"/>
        <v>186.93539999999996</v>
      </c>
      <c r="N576">
        <v>455.93999999999994</v>
      </c>
      <c r="O576">
        <v>186.93539999999996</v>
      </c>
      <c r="P576">
        <f t="shared" si="24"/>
        <v>269.00459999999998</v>
      </c>
    </row>
    <row r="577" spans="1:16" x14ac:dyDescent="0.25">
      <c r="A577">
        <v>2</v>
      </c>
      <c r="B577">
        <v>42.98</v>
      </c>
      <c r="C577">
        <f t="shared" si="25"/>
        <v>85.96</v>
      </c>
      <c r="H577">
        <v>2</v>
      </c>
      <c r="I577">
        <v>42.98</v>
      </c>
      <c r="J577" s="11">
        <v>0.27</v>
      </c>
      <c r="K577">
        <f t="shared" si="26"/>
        <v>23.209199999999999</v>
      </c>
      <c r="N577">
        <v>85.96</v>
      </c>
      <c r="O577">
        <v>23.209199999999999</v>
      </c>
      <c r="P577">
        <f t="shared" si="24"/>
        <v>62.750799999999998</v>
      </c>
    </row>
    <row r="578" spans="1:16" x14ac:dyDescent="0.25">
      <c r="A578">
        <v>15</v>
      </c>
      <c r="B578">
        <v>78.98</v>
      </c>
      <c r="C578">
        <f t="shared" si="25"/>
        <v>1184.7</v>
      </c>
      <c r="H578">
        <v>15</v>
      </c>
      <c r="I578">
        <v>78.98</v>
      </c>
      <c r="J578" s="11">
        <v>0.42</v>
      </c>
      <c r="K578">
        <f t="shared" si="26"/>
        <v>497.57400000000001</v>
      </c>
      <c r="N578">
        <v>1184.7</v>
      </c>
      <c r="O578">
        <v>497.57400000000001</v>
      </c>
      <c r="P578">
        <f t="shared" ref="P578:P641" si="27">N578-O578</f>
        <v>687.12599999999998</v>
      </c>
    </row>
    <row r="579" spans="1:16" x14ac:dyDescent="0.25">
      <c r="A579">
        <v>32</v>
      </c>
      <c r="B579">
        <v>11.83</v>
      </c>
      <c r="C579">
        <f t="shared" ref="C579:C642" si="28">A579*B579</f>
        <v>378.56</v>
      </c>
      <c r="H579">
        <v>32</v>
      </c>
      <c r="I579">
        <v>11.83</v>
      </c>
      <c r="J579" s="11">
        <v>0.08</v>
      </c>
      <c r="K579">
        <f t="shared" ref="K579:K642" si="29">H579*I579*J579</f>
        <v>30.284800000000001</v>
      </c>
      <c r="N579">
        <v>378.56</v>
      </c>
      <c r="O579">
        <v>30.284800000000001</v>
      </c>
      <c r="P579">
        <f t="shared" si="27"/>
        <v>348.27519999999998</v>
      </c>
    </row>
    <row r="580" spans="1:16" x14ac:dyDescent="0.25">
      <c r="A580">
        <v>2</v>
      </c>
      <c r="B580">
        <v>2.13</v>
      </c>
      <c r="C580">
        <f t="shared" si="28"/>
        <v>4.26</v>
      </c>
      <c r="H580">
        <v>2</v>
      </c>
      <c r="I580">
        <v>2.13</v>
      </c>
      <c r="J580" s="11">
        <v>0.06</v>
      </c>
      <c r="K580">
        <f t="shared" si="29"/>
        <v>0.25559999999999999</v>
      </c>
      <c r="N580">
        <v>4.26</v>
      </c>
      <c r="O580">
        <v>0.25559999999999999</v>
      </c>
      <c r="P580">
        <f t="shared" si="27"/>
        <v>4.0043999999999995</v>
      </c>
    </row>
    <row r="581" spans="1:16" x14ac:dyDescent="0.25">
      <c r="A581">
        <v>31</v>
      </c>
      <c r="B581">
        <v>45.03</v>
      </c>
      <c r="C581">
        <f t="shared" si="28"/>
        <v>1395.93</v>
      </c>
      <c r="H581">
        <v>31</v>
      </c>
      <c r="I581">
        <v>45.03</v>
      </c>
      <c r="J581" s="11">
        <v>0.36</v>
      </c>
      <c r="K581">
        <f t="shared" si="29"/>
        <v>502.53480000000002</v>
      </c>
      <c r="N581">
        <v>1395.93</v>
      </c>
      <c r="O581">
        <v>502.53480000000002</v>
      </c>
      <c r="P581">
        <f t="shared" si="27"/>
        <v>893.39520000000005</v>
      </c>
    </row>
    <row r="582" spans="1:16" x14ac:dyDescent="0.25">
      <c r="A582">
        <v>43</v>
      </c>
      <c r="B582">
        <v>8.77</v>
      </c>
      <c r="C582">
        <f t="shared" si="28"/>
        <v>377.10999999999996</v>
      </c>
      <c r="H582">
        <v>43</v>
      </c>
      <c r="I582">
        <v>8.77</v>
      </c>
      <c r="J582" s="11">
        <v>7.0000000000000007E-2</v>
      </c>
      <c r="K582">
        <f t="shared" si="29"/>
        <v>26.3977</v>
      </c>
      <c r="N582">
        <v>377.10999999999996</v>
      </c>
      <c r="O582">
        <v>26.3977</v>
      </c>
      <c r="P582">
        <f t="shared" si="27"/>
        <v>350.71229999999997</v>
      </c>
    </row>
    <row r="583" spans="1:16" x14ac:dyDescent="0.25">
      <c r="A583">
        <v>1</v>
      </c>
      <c r="B583">
        <v>99.65</v>
      </c>
      <c r="C583">
        <f t="shared" si="28"/>
        <v>99.65</v>
      </c>
      <c r="H583">
        <v>1</v>
      </c>
      <c r="I583">
        <v>99.65</v>
      </c>
      <c r="J583" s="11">
        <v>0.23</v>
      </c>
      <c r="K583">
        <f t="shared" si="29"/>
        <v>22.919500000000003</v>
      </c>
      <c r="N583">
        <v>99.65</v>
      </c>
      <c r="O583">
        <v>22.919500000000003</v>
      </c>
      <c r="P583">
        <f t="shared" si="27"/>
        <v>76.730500000000006</v>
      </c>
    </row>
    <row r="584" spans="1:16" x14ac:dyDescent="0.25">
      <c r="A584">
        <v>11</v>
      </c>
      <c r="B584">
        <v>47.27</v>
      </c>
      <c r="C584">
        <f t="shared" si="28"/>
        <v>519.97</v>
      </c>
      <c r="H584">
        <v>11</v>
      </c>
      <c r="I584">
        <v>47.27</v>
      </c>
      <c r="J584" s="11">
        <v>0.38</v>
      </c>
      <c r="K584">
        <f t="shared" si="29"/>
        <v>197.58860000000001</v>
      </c>
      <c r="N584">
        <v>519.97</v>
      </c>
      <c r="O584">
        <v>197.58860000000001</v>
      </c>
      <c r="P584">
        <f t="shared" si="27"/>
        <v>322.38139999999999</v>
      </c>
    </row>
    <row r="585" spans="1:16" x14ac:dyDescent="0.25">
      <c r="A585">
        <v>18</v>
      </c>
      <c r="B585">
        <v>20.96</v>
      </c>
      <c r="C585">
        <f t="shared" si="28"/>
        <v>377.28000000000003</v>
      </c>
      <c r="H585">
        <v>18</v>
      </c>
      <c r="I585">
        <v>20.96</v>
      </c>
      <c r="J585" s="11">
        <v>0.28000000000000003</v>
      </c>
      <c r="K585">
        <f t="shared" si="29"/>
        <v>105.63840000000002</v>
      </c>
      <c r="N585">
        <v>377.28000000000003</v>
      </c>
      <c r="O585">
        <v>105.63840000000002</v>
      </c>
      <c r="P585">
        <f t="shared" si="27"/>
        <v>271.64160000000004</v>
      </c>
    </row>
    <row r="586" spans="1:16" x14ac:dyDescent="0.25">
      <c r="A586">
        <v>39</v>
      </c>
      <c r="B586">
        <v>90.04</v>
      </c>
      <c r="C586">
        <f t="shared" si="28"/>
        <v>3511.5600000000004</v>
      </c>
      <c r="H586">
        <v>39</v>
      </c>
      <c r="I586">
        <v>90.04</v>
      </c>
      <c r="J586" s="11">
        <v>0.25</v>
      </c>
      <c r="K586">
        <f t="shared" si="29"/>
        <v>877.8900000000001</v>
      </c>
      <c r="N586">
        <v>3511.5600000000004</v>
      </c>
      <c r="O586">
        <v>877.8900000000001</v>
      </c>
      <c r="P586">
        <f t="shared" si="27"/>
        <v>2633.67</v>
      </c>
    </row>
    <row r="587" spans="1:16" x14ac:dyDescent="0.25">
      <c r="A587">
        <v>1</v>
      </c>
      <c r="B587">
        <v>82.94</v>
      </c>
      <c r="C587">
        <f t="shared" si="28"/>
        <v>82.94</v>
      </c>
      <c r="H587">
        <v>1</v>
      </c>
      <c r="I587">
        <v>82.94</v>
      </c>
      <c r="J587" s="11">
        <v>0.14000000000000001</v>
      </c>
      <c r="K587">
        <f t="shared" si="29"/>
        <v>11.611600000000001</v>
      </c>
      <c r="N587">
        <v>82.94</v>
      </c>
      <c r="O587">
        <v>11.611600000000001</v>
      </c>
      <c r="P587">
        <f t="shared" si="27"/>
        <v>71.328400000000002</v>
      </c>
    </row>
    <row r="588" spans="1:16" x14ac:dyDescent="0.25">
      <c r="A588">
        <v>25</v>
      </c>
      <c r="B588">
        <v>81.92</v>
      </c>
      <c r="C588">
        <f t="shared" si="28"/>
        <v>2048</v>
      </c>
      <c r="H588">
        <v>25</v>
      </c>
      <c r="I588">
        <v>81.92</v>
      </c>
      <c r="J588" s="11">
        <v>0.27</v>
      </c>
      <c r="K588">
        <f t="shared" si="29"/>
        <v>552.96</v>
      </c>
      <c r="N588">
        <v>2048</v>
      </c>
      <c r="O588">
        <v>552.96</v>
      </c>
      <c r="P588">
        <f t="shared" si="27"/>
        <v>1495.04</v>
      </c>
    </row>
    <row r="589" spans="1:16" x14ac:dyDescent="0.25">
      <c r="A589">
        <v>34</v>
      </c>
      <c r="B589">
        <v>20.48</v>
      </c>
      <c r="C589">
        <f t="shared" si="28"/>
        <v>696.32</v>
      </c>
      <c r="H589">
        <v>34</v>
      </c>
      <c r="I589">
        <v>20.48</v>
      </c>
      <c r="J589" s="11">
        <v>0.34</v>
      </c>
      <c r="K589">
        <f t="shared" si="29"/>
        <v>236.74880000000005</v>
      </c>
      <c r="N589">
        <v>696.32</v>
      </c>
      <c r="O589">
        <v>236.74880000000005</v>
      </c>
      <c r="P589">
        <f t="shared" si="27"/>
        <v>459.57119999999998</v>
      </c>
    </row>
    <row r="590" spans="1:16" x14ac:dyDescent="0.25">
      <c r="A590">
        <v>3</v>
      </c>
      <c r="B590">
        <v>95.41</v>
      </c>
      <c r="C590">
        <f t="shared" si="28"/>
        <v>286.23</v>
      </c>
      <c r="H590">
        <v>3</v>
      </c>
      <c r="I590">
        <v>95.41</v>
      </c>
      <c r="J590" s="11">
        <v>0.01</v>
      </c>
      <c r="K590">
        <f t="shared" si="29"/>
        <v>2.8623000000000003</v>
      </c>
      <c r="N590">
        <v>286.23</v>
      </c>
      <c r="O590">
        <v>2.8623000000000003</v>
      </c>
      <c r="P590">
        <f t="shared" si="27"/>
        <v>283.36770000000001</v>
      </c>
    </row>
    <row r="591" spans="1:16" x14ac:dyDescent="0.25">
      <c r="A591">
        <v>39</v>
      </c>
      <c r="B591">
        <v>26.06</v>
      </c>
      <c r="C591">
        <f t="shared" si="28"/>
        <v>1016.3399999999999</v>
      </c>
      <c r="H591">
        <v>39</v>
      </c>
      <c r="I591">
        <v>26.06</v>
      </c>
      <c r="J591" s="11">
        <v>0.25</v>
      </c>
      <c r="K591">
        <f t="shared" si="29"/>
        <v>254.08499999999998</v>
      </c>
      <c r="N591">
        <v>1016.3399999999999</v>
      </c>
      <c r="O591">
        <v>254.08499999999998</v>
      </c>
      <c r="P591">
        <f t="shared" si="27"/>
        <v>762.25499999999988</v>
      </c>
    </row>
    <row r="592" spans="1:16" x14ac:dyDescent="0.25">
      <c r="A592">
        <v>41</v>
      </c>
      <c r="B592">
        <v>38.75</v>
      </c>
      <c r="C592">
        <f t="shared" si="28"/>
        <v>1588.75</v>
      </c>
      <c r="H592">
        <v>41</v>
      </c>
      <c r="I592">
        <v>38.75</v>
      </c>
      <c r="J592" s="11">
        <v>0.48</v>
      </c>
      <c r="K592">
        <f t="shared" si="29"/>
        <v>762.6</v>
      </c>
      <c r="N592">
        <v>1588.75</v>
      </c>
      <c r="O592">
        <v>762.6</v>
      </c>
      <c r="P592">
        <f t="shared" si="27"/>
        <v>826.15</v>
      </c>
    </row>
    <row r="593" spans="1:16" x14ac:dyDescent="0.25">
      <c r="A593">
        <v>31</v>
      </c>
      <c r="B593">
        <v>78.98</v>
      </c>
      <c r="C593">
        <f t="shared" si="28"/>
        <v>2448.38</v>
      </c>
      <c r="H593">
        <v>31</v>
      </c>
      <c r="I593">
        <v>78.98</v>
      </c>
      <c r="J593" s="11">
        <v>0.48</v>
      </c>
      <c r="K593">
        <f t="shared" si="29"/>
        <v>1175.2224000000001</v>
      </c>
      <c r="N593">
        <v>2448.38</v>
      </c>
      <c r="O593">
        <v>1175.2224000000001</v>
      </c>
      <c r="P593">
        <f t="shared" si="27"/>
        <v>1273.1576</v>
      </c>
    </row>
    <row r="594" spans="1:16" x14ac:dyDescent="0.25">
      <c r="A594">
        <v>34</v>
      </c>
      <c r="B594">
        <v>23.71</v>
      </c>
      <c r="C594">
        <f t="shared" si="28"/>
        <v>806.14</v>
      </c>
      <c r="H594">
        <v>34</v>
      </c>
      <c r="I594">
        <v>23.71</v>
      </c>
      <c r="J594" s="11">
        <v>0.5</v>
      </c>
      <c r="K594">
        <f t="shared" si="29"/>
        <v>403.07</v>
      </c>
      <c r="N594">
        <v>806.14</v>
      </c>
      <c r="O594">
        <v>403.07</v>
      </c>
      <c r="P594">
        <f t="shared" si="27"/>
        <v>403.07</v>
      </c>
    </row>
    <row r="595" spans="1:16" x14ac:dyDescent="0.25">
      <c r="A595">
        <v>19</v>
      </c>
      <c r="B595">
        <v>89.18</v>
      </c>
      <c r="C595">
        <f t="shared" si="28"/>
        <v>1694.42</v>
      </c>
      <c r="H595">
        <v>19</v>
      </c>
      <c r="I595">
        <v>89.18</v>
      </c>
      <c r="J595" s="11">
        <v>7.0000000000000007E-2</v>
      </c>
      <c r="K595">
        <f t="shared" si="29"/>
        <v>118.60940000000002</v>
      </c>
      <c r="N595">
        <v>1694.42</v>
      </c>
      <c r="O595">
        <v>118.60940000000002</v>
      </c>
      <c r="P595">
        <f t="shared" si="27"/>
        <v>1575.8106</v>
      </c>
    </row>
    <row r="596" spans="1:16" x14ac:dyDescent="0.25">
      <c r="A596">
        <v>48</v>
      </c>
      <c r="B596">
        <v>9.94</v>
      </c>
      <c r="C596">
        <f t="shared" si="28"/>
        <v>477.12</v>
      </c>
      <c r="H596">
        <v>48</v>
      </c>
      <c r="I596">
        <v>9.94</v>
      </c>
      <c r="J596" s="11">
        <v>0.17</v>
      </c>
      <c r="K596">
        <f t="shared" si="29"/>
        <v>81.110400000000013</v>
      </c>
      <c r="N596">
        <v>477.12</v>
      </c>
      <c r="O596">
        <v>81.110400000000013</v>
      </c>
      <c r="P596">
        <f t="shared" si="27"/>
        <v>396.00959999999998</v>
      </c>
    </row>
    <row r="597" spans="1:16" x14ac:dyDescent="0.25">
      <c r="A597">
        <v>30</v>
      </c>
      <c r="B597">
        <v>98.89</v>
      </c>
      <c r="C597">
        <f t="shared" si="28"/>
        <v>2966.7</v>
      </c>
      <c r="H597">
        <v>30</v>
      </c>
      <c r="I597">
        <v>98.89</v>
      </c>
      <c r="J597" s="11">
        <v>0.2</v>
      </c>
      <c r="K597">
        <f t="shared" si="29"/>
        <v>593.34</v>
      </c>
      <c r="N597">
        <v>2966.7</v>
      </c>
      <c r="O597">
        <v>593.34</v>
      </c>
      <c r="P597">
        <f t="shared" si="27"/>
        <v>2373.3599999999997</v>
      </c>
    </row>
    <row r="598" spans="1:16" x14ac:dyDescent="0.25">
      <c r="A598">
        <v>28</v>
      </c>
      <c r="B598">
        <v>96.04</v>
      </c>
      <c r="C598">
        <f t="shared" si="28"/>
        <v>2689.1200000000003</v>
      </c>
      <c r="H598">
        <v>28</v>
      </c>
      <c r="I598">
        <v>96.04</v>
      </c>
      <c r="J598" s="11">
        <v>0.38</v>
      </c>
      <c r="K598">
        <f t="shared" si="29"/>
        <v>1021.8656000000002</v>
      </c>
      <c r="N598">
        <v>2689.1200000000003</v>
      </c>
      <c r="O598">
        <v>1021.8656000000002</v>
      </c>
      <c r="P598">
        <f t="shared" si="27"/>
        <v>1667.2544000000003</v>
      </c>
    </row>
    <row r="599" spans="1:16" x14ac:dyDescent="0.25">
      <c r="A599">
        <v>42</v>
      </c>
      <c r="B599">
        <v>39.18</v>
      </c>
      <c r="C599">
        <f t="shared" si="28"/>
        <v>1645.56</v>
      </c>
      <c r="H599">
        <v>42</v>
      </c>
      <c r="I599">
        <v>39.18</v>
      </c>
      <c r="J599" s="11">
        <v>0.18</v>
      </c>
      <c r="K599">
        <f t="shared" si="29"/>
        <v>296.20079999999996</v>
      </c>
      <c r="N599">
        <v>1645.56</v>
      </c>
      <c r="O599">
        <v>296.20079999999996</v>
      </c>
      <c r="P599">
        <f t="shared" si="27"/>
        <v>1349.3591999999999</v>
      </c>
    </row>
    <row r="600" spans="1:16" x14ac:dyDescent="0.25">
      <c r="A600">
        <v>35</v>
      </c>
      <c r="B600">
        <v>87.14</v>
      </c>
      <c r="C600">
        <f t="shared" si="28"/>
        <v>3049.9</v>
      </c>
      <c r="H600">
        <v>35</v>
      </c>
      <c r="I600">
        <v>87.14</v>
      </c>
      <c r="J600" s="11">
        <v>0.46</v>
      </c>
      <c r="K600">
        <f t="shared" si="29"/>
        <v>1402.9540000000002</v>
      </c>
      <c r="N600">
        <v>3049.9</v>
      </c>
      <c r="O600">
        <v>1402.9540000000002</v>
      </c>
      <c r="P600">
        <f t="shared" si="27"/>
        <v>1646.9459999999999</v>
      </c>
    </row>
    <row r="601" spans="1:16" x14ac:dyDescent="0.25">
      <c r="A601">
        <v>36</v>
      </c>
      <c r="B601">
        <v>84.19</v>
      </c>
      <c r="C601">
        <f t="shared" si="28"/>
        <v>3030.84</v>
      </c>
      <c r="H601">
        <v>36</v>
      </c>
      <c r="I601">
        <v>84.19</v>
      </c>
      <c r="J601" s="11">
        <v>0.38</v>
      </c>
      <c r="K601">
        <f t="shared" si="29"/>
        <v>1151.7192</v>
      </c>
      <c r="N601">
        <v>3030.84</v>
      </c>
      <c r="O601">
        <v>1151.7192</v>
      </c>
      <c r="P601">
        <f t="shared" si="27"/>
        <v>1879.1208000000001</v>
      </c>
    </row>
    <row r="602" spans="1:16" x14ac:dyDescent="0.25">
      <c r="A602">
        <v>1</v>
      </c>
      <c r="B602">
        <v>74.209999999999994</v>
      </c>
      <c r="C602">
        <f t="shared" si="28"/>
        <v>74.209999999999994</v>
      </c>
      <c r="H602">
        <v>1</v>
      </c>
      <c r="I602">
        <v>74.209999999999994</v>
      </c>
      <c r="J602" s="11">
        <v>0.41</v>
      </c>
      <c r="K602">
        <f t="shared" si="29"/>
        <v>30.426099999999995</v>
      </c>
      <c r="N602">
        <v>74.209999999999994</v>
      </c>
      <c r="O602">
        <v>30.426099999999995</v>
      </c>
      <c r="P602">
        <f t="shared" si="27"/>
        <v>43.783900000000003</v>
      </c>
    </row>
    <row r="603" spans="1:16" x14ac:dyDescent="0.25">
      <c r="A603">
        <v>35</v>
      </c>
      <c r="B603">
        <v>89.87</v>
      </c>
      <c r="C603">
        <f t="shared" si="28"/>
        <v>3145.4500000000003</v>
      </c>
      <c r="H603">
        <v>35</v>
      </c>
      <c r="I603">
        <v>89.87</v>
      </c>
      <c r="J603" s="11">
        <v>0.34</v>
      </c>
      <c r="K603">
        <f t="shared" si="29"/>
        <v>1069.4530000000002</v>
      </c>
      <c r="N603">
        <v>3145.4500000000003</v>
      </c>
      <c r="O603">
        <v>1069.4530000000002</v>
      </c>
      <c r="P603">
        <f t="shared" si="27"/>
        <v>2075.9970000000003</v>
      </c>
    </row>
    <row r="604" spans="1:16" x14ac:dyDescent="0.25">
      <c r="A604">
        <v>12</v>
      </c>
      <c r="B604">
        <v>65.069999999999993</v>
      </c>
      <c r="C604">
        <f t="shared" si="28"/>
        <v>780.83999999999992</v>
      </c>
      <c r="H604">
        <v>12</v>
      </c>
      <c r="I604">
        <v>65.069999999999993</v>
      </c>
      <c r="J604" s="11">
        <v>0.3</v>
      </c>
      <c r="K604">
        <f t="shared" si="29"/>
        <v>234.25199999999995</v>
      </c>
      <c r="N604">
        <v>780.83999999999992</v>
      </c>
      <c r="O604">
        <v>234.25199999999995</v>
      </c>
      <c r="P604">
        <f t="shared" si="27"/>
        <v>546.58799999999997</v>
      </c>
    </row>
    <row r="605" spans="1:16" x14ac:dyDescent="0.25">
      <c r="A605">
        <v>9</v>
      </c>
      <c r="B605">
        <v>20.76</v>
      </c>
      <c r="C605">
        <f t="shared" si="28"/>
        <v>186.84</v>
      </c>
      <c r="H605">
        <v>9</v>
      </c>
      <c r="I605">
        <v>20.76</v>
      </c>
      <c r="J605" s="11">
        <v>0.41</v>
      </c>
      <c r="K605">
        <f t="shared" si="29"/>
        <v>76.604399999999998</v>
      </c>
      <c r="N605">
        <v>186.84</v>
      </c>
      <c r="O605">
        <v>76.604399999999998</v>
      </c>
      <c r="P605">
        <f t="shared" si="27"/>
        <v>110.23560000000001</v>
      </c>
    </row>
    <row r="606" spans="1:16" x14ac:dyDescent="0.25">
      <c r="A606">
        <v>19</v>
      </c>
      <c r="B606">
        <v>47.87</v>
      </c>
      <c r="C606">
        <f t="shared" si="28"/>
        <v>909.53</v>
      </c>
      <c r="H606">
        <v>19</v>
      </c>
      <c r="I606">
        <v>47.87</v>
      </c>
      <c r="J606" s="11">
        <v>0.01</v>
      </c>
      <c r="K606">
        <f t="shared" si="29"/>
        <v>9.0952999999999999</v>
      </c>
      <c r="N606">
        <v>909.53</v>
      </c>
      <c r="O606">
        <v>9.0952999999999999</v>
      </c>
      <c r="P606">
        <f t="shared" si="27"/>
        <v>900.43470000000002</v>
      </c>
    </row>
    <row r="607" spans="1:16" x14ac:dyDescent="0.25">
      <c r="A607">
        <v>29</v>
      </c>
      <c r="B607">
        <v>3.49</v>
      </c>
      <c r="C607">
        <f t="shared" si="28"/>
        <v>101.21000000000001</v>
      </c>
      <c r="H607">
        <v>29</v>
      </c>
      <c r="I607">
        <v>3.49</v>
      </c>
      <c r="J607" s="11">
        <v>0.2</v>
      </c>
      <c r="K607">
        <f t="shared" si="29"/>
        <v>20.242000000000004</v>
      </c>
      <c r="N607">
        <v>101.21000000000001</v>
      </c>
      <c r="O607">
        <v>20.242000000000004</v>
      </c>
      <c r="P607">
        <f t="shared" si="27"/>
        <v>80.968000000000004</v>
      </c>
    </row>
    <row r="608" spans="1:16" x14ac:dyDescent="0.25">
      <c r="A608">
        <v>6</v>
      </c>
      <c r="B608">
        <v>13.89</v>
      </c>
      <c r="C608">
        <f t="shared" si="28"/>
        <v>83.34</v>
      </c>
      <c r="H608">
        <v>6</v>
      </c>
      <c r="I608">
        <v>13.89</v>
      </c>
      <c r="J608" s="11">
        <v>0.24</v>
      </c>
      <c r="K608">
        <f t="shared" si="29"/>
        <v>20.0016</v>
      </c>
      <c r="N608">
        <v>83.34</v>
      </c>
      <c r="O608">
        <v>20.0016</v>
      </c>
      <c r="P608">
        <f t="shared" si="27"/>
        <v>63.338400000000007</v>
      </c>
    </row>
    <row r="609" spans="1:16" x14ac:dyDescent="0.25">
      <c r="A609">
        <v>24</v>
      </c>
      <c r="B609">
        <v>61.03</v>
      </c>
      <c r="C609">
        <f t="shared" si="28"/>
        <v>1464.72</v>
      </c>
      <c r="H609">
        <v>24</v>
      </c>
      <c r="I609">
        <v>61.03</v>
      </c>
      <c r="J609" s="11">
        <v>0.09</v>
      </c>
      <c r="K609">
        <f t="shared" si="29"/>
        <v>131.82480000000001</v>
      </c>
      <c r="N609">
        <v>1464.72</v>
      </c>
      <c r="O609">
        <v>131.82480000000001</v>
      </c>
      <c r="P609">
        <f t="shared" si="27"/>
        <v>1332.8951999999999</v>
      </c>
    </row>
    <row r="610" spans="1:16" x14ac:dyDescent="0.25">
      <c r="A610">
        <v>47</v>
      </c>
      <c r="B610">
        <v>13.89</v>
      </c>
      <c r="C610">
        <f t="shared" si="28"/>
        <v>652.83000000000004</v>
      </c>
      <c r="H610">
        <v>47</v>
      </c>
      <c r="I610">
        <v>13.89</v>
      </c>
      <c r="J610" s="11">
        <v>0.46</v>
      </c>
      <c r="K610">
        <f t="shared" si="29"/>
        <v>300.30180000000001</v>
      </c>
      <c r="N610">
        <v>652.83000000000004</v>
      </c>
      <c r="O610">
        <v>300.30180000000001</v>
      </c>
      <c r="P610">
        <f t="shared" si="27"/>
        <v>352.52820000000003</v>
      </c>
    </row>
    <row r="611" spans="1:16" x14ac:dyDescent="0.25">
      <c r="A611">
        <v>22</v>
      </c>
      <c r="B611">
        <v>81.12</v>
      </c>
      <c r="C611">
        <f t="shared" si="28"/>
        <v>1784.64</v>
      </c>
      <c r="H611">
        <v>22</v>
      </c>
      <c r="I611">
        <v>81.12</v>
      </c>
      <c r="J611" s="11">
        <v>0.02</v>
      </c>
      <c r="K611">
        <f t="shared" si="29"/>
        <v>35.692800000000005</v>
      </c>
      <c r="N611">
        <v>1784.64</v>
      </c>
      <c r="O611">
        <v>35.692800000000005</v>
      </c>
      <c r="P611">
        <f t="shared" si="27"/>
        <v>1748.9472000000001</v>
      </c>
    </row>
    <row r="612" spans="1:16" x14ac:dyDescent="0.25">
      <c r="A612">
        <v>32</v>
      </c>
      <c r="B612">
        <v>30.18</v>
      </c>
      <c r="C612">
        <f t="shared" si="28"/>
        <v>965.76</v>
      </c>
      <c r="H612">
        <v>32</v>
      </c>
      <c r="I612">
        <v>30.18</v>
      </c>
      <c r="J612" s="11">
        <v>0.01</v>
      </c>
      <c r="K612">
        <f t="shared" si="29"/>
        <v>9.6576000000000004</v>
      </c>
      <c r="N612">
        <v>965.76</v>
      </c>
      <c r="O612">
        <v>9.6576000000000004</v>
      </c>
      <c r="P612">
        <f t="shared" si="27"/>
        <v>956.10239999999999</v>
      </c>
    </row>
    <row r="613" spans="1:16" x14ac:dyDescent="0.25">
      <c r="A613">
        <v>4</v>
      </c>
      <c r="B613">
        <v>79.959999999999994</v>
      </c>
      <c r="C613">
        <f t="shared" si="28"/>
        <v>319.83999999999997</v>
      </c>
      <c r="H613">
        <v>4</v>
      </c>
      <c r="I613">
        <v>79.959999999999994</v>
      </c>
      <c r="J613" s="11">
        <v>0.46</v>
      </c>
      <c r="K613">
        <f t="shared" si="29"/>
        <v>147.12639999999999</v>
      </c>
      <c r="N613">
        <v>319.83999999999997</v>
      </c>
      <c r="O613">
        <v>147.12639999999999</v>
      </c>
      <c r="P613">
        <f t="shared" si="27"/>
        <v>172.71359999999999</v>
      </c>
    </row>
    <row r="614" spans="1:16" x14ac:dyDescent="0.25">
      <c r="A614">
        <v>13</v>
      </c>
      <c r="B614">
        <v>46.33</v>
      </c>
      <c r="C614">
        <f t="shared" si="28"/>
        <v>602.29</v>
      </c>
      <c r="H614">
        <v>13</v>
      </c>
      <c r="I614">
        <v>46.33</v>
      </c>
      <c r="J614" s="11">
        <v>0.06</v>
      </c>
      <c r="K614">
        <f t="shared" si="29"/>
        <v>36.1374</v>
      </c>
      <c r="N614">
        <v>602.29</v>
      </c>
      <c r="O614">
        <v>36.1374</v>
      </c>
      <c r="P614">
        <f t="shared" si="27"/>
        <v>566.15260000000001</v>
      </c>
    </row>
    <row r="615" spans="1:16" x14ac:dyDescent="0.25">
      <c r="A615">
        <v>31</v>
      </c>
      <c r="B615">
        <v>36.96</v>
      </c>
      <c r="C615">
        <f t="shared" si="28"/>
        <v>1145.76</v>
      </c>
      <c r="H615">
        <v>31</v>
      </c>
      <c r="I615">
        <v>36.96</v>
      </c>
      <c r="J615" s="11">
        <v>0.14000000000000001</v>
      </c>
      <c r="K615">
        <f t="shared" si="29"/>
        <v>160.40640000000002</v>
      </c>
      <c r="N615">
        <v>1145.76</v>
      </c>
      <c r="O615">
        <v>160.40640000000002</v>
      </c>
      <c r="P615">
        <f t="shared" si="27"/>
        <v>985.35359999999991</v>
      </c>
    </row>
    <row r="616" spans="1:16" x14ac:dyDescent="0.25">
      <c r="A616">
        <v>39</v>
      </c>
      <c r="B616">
        <v>60.61</v>
      </c>
      <c r="C616">
        <f t="shared" si="28"/>
        <v>2363.79</v>
      </c>
      <c r="H616">
        <v>39</v>
      </c>
      <c r="I616">
        <v>60.61</v>
      </c>
      <c r="J616" s="11">
        <v>0.26</v>
      </c>
      <c r="K616">
        <f t="shared" si="29"/>
        <v>614.58540000000005</v>
      </c>
      <c r="N616">
        <v>2363.79</v>
      </c>
      <c r="O616">
        <v>614.58540000000005</v>
      </c>
      <c r="P616">
        <f t="shared" si="27"/>
        <v>1749.2046</v>
      </c>
    </row>
    <row r="617" spans="1:16" x14ac:dyDescent="0.25">
      <c r="A617">
        <v>19</v>
      </c>
      <c r="B617">
        <v>43.54</v>
      </c>
      <c r="C617">
        <f t="shared" si="28"/>
        <v>827.26</v>
      </c>
      <c r="H617">
        <v>19</v>
      </c>
      <c r="I617">
        <v>43.54</v>
      </c>
      <c r="J617" s="11">
        <v>0.09</v>
      </c>
      <c r="K617">
        <f t="shared" si="29"/>
        <v>74.453400000000002</v>
      </c>
      <c r="N617">
        <v>827.26</v>
      </c>
      <c r="O617">
        <v>74.453400000000002</v>
      </c>
      <c r="P617">
        <f t="shared" si="27"/>
        <v>752.8066</v>
      </c>
    </row>
    <row r="618" spans="1:16" x14ac:dyDescent="0.25">
      <c r="A618">
        <v>28</v>
      </c>
      <c r="B618">
        <v>88.15</v>
      </c>
      <c r="C618">
        <f t="shared" si="28"/>
        <v>2468.2000000000003</v>
      </c>
      <c r="H618">
        <v>28</v>
      </c>
      <c r="I618">
        <v>88.15</v>
      </c>
      <c r="J618" s="11">
        <v>0.32</v>
      </c>
      <c r="K618">
        <f t="shared" si="29"/>
        <v>789.82400000000007</v>
      </c>
      <c r="N618">
        <v>2468.2000000000003</v>
      </c>
      <c r="O618">
        <v>789.82400000000007</v>
      </c>
      <c r="P618">
        <f t="shared" si="27"/>
        <v>1678.3760000000002</v>
      </c>
    </row>
    <row r="619" spans="1:16" x14ac:dyDescent="0.25">
      <c r="A619">
        <v>13</v>
      </c>
      <c r="B619">
        <v>13.43</v>
      </c>
      <c r="C619">
        <f t="shared" si="28"/>
        <v>174.59</v>
      </c>
      <c r="H619">
        <v>13</v>
      </c>
      <c r="I619">
        <v>13.43</v>
      </c>
      <c r="J619" s="11">
        <v>0.36</v>
      </c>
      <c r="K619">
        <f t="shared" si="29"/>
        <v>62.852399999999996</v>
      </c>
      <c r="N619">
        <v>174.59</v>
      </c>
      <c r="O619">
        <v>62.852399999999996</v>
      </c>
      <c r="P619">
        <f t="shared" si="27"/>
        <v>111.73760000000001</v>
      </c>
    </row>
    <row r="620" spans="1:16" x14ac:dyDescent="0.25">
      <c r="A620">
        <v>44</v>
      </c>
      <c r="B620">
        <v>1.07</v>
      </c>
      <c r="C620">
        <f t="shared" si="28"/>
        <v>47.080000000000005</v>
      </c>
      <c r="H620">
        <v>44</v>
      </c>
      <c r="I620">
        <v>1.07</v>
      </c>
      <c r="J620" s="11">
        <v>0.34</v>
      </c>
      <c r="K620">
        <f t="shared" si="29"/>
        <v>16.007200000000005</v>
      </c>
      <c r="N620">
        <v>47.080000000000005</v>
      </c>
      <c r="O620">
        <v>16.007200000000005</v>
      </c>
      <c r="P620">
        <f t="shared" si="27"/>
        <v>31.072800000000001</v>
      </c>
    </row>
    <row r="621" spans="1:16" x14ac:dyDescent="0.25">
      <c r="A621">
        <v>24</v>
      </c>
      <c r="B621">
        <v>99.99</v>
      </c>
      <c r="C621">
        <f t="shared" si="28"/>
        <v>2399.7599999999998</v>
      </c>
      <c r="H621">
        <v>24</v>
      </c>
      <c r="I621">
        <v>99.99</v>
      </c>
      <c r="J621" s="11">
        <v>0.1</v>
      </c>
      <c r="K621">
        <f t="shared" si="29"/>
        <v>239.976</v>
      </c>
      <c r="N621">
        <v>2399.7599999999998</v>
      </c>
      <c r="O621">
        <v>239.976</v>
      </c>
      <c r="P621">
        <f t="shared" si="27"/>
        <v>2159.7839999999997</v>
      </c>
    </row>
    <row r="622" spans="1:16" x14ac:dyDescent="0.25">
      <c r="A622">
        <v>40</v>
      </c>
      <c r="B622">
        <v>88.28</v>
      </c>
      <c r="C622">
        <f t="shared" si="28"/>
        <v>3531.2</v>
      </c>
      <c r="H622">
        <v>40</v>
      </c>
      <c r="I622">
        <v>88.28</v>
      </c>
      <c r="J622" s="11">
        <v>0.16</v>
      </c>
      <c r="K622">
        <f t="shared" si="29"/>
        <v>564.99199999999996</v>
      </c>
      <c r="N622">
        <v>3531.2</v>
      </c>
      <c r="O622">
        <v>564.99199999999996</v>
      </c>
      <c r="P622">
        <f t="shared" si="27"/>
        <v>2966.2079999999996</v>
      </c>
    </row>
    <row r="623" spans="1:16" x14ac:dyDescent="0.25">
      <c r="A623">
        <v>15</v>
      </c>
      <c r="B623">
        <v>57.79</v>
      </c>
      <c r="C623">
        <f t="shared" si="28"/>
        <v>866.85</v>
      </c>
      <c r="H623">
        <v>15</v>
      </c>
      <c r="I623">
        <v>57.79</v>
      </c>
      <c r="J623" s="11">
        <v>0.43</v>
      </c>
      <c r="K623">
        <f t="shared" si="29"/>
        <v>372.74549999999999</v>
      </c>
      <c r="N623">
        <v>866.85</v>
      </c>
      <c r="O623">
        <v>372.74549999999999</v>
      </c>
      <c r="P623">
        <f t="shared" si="27"/>
        <v>494.10450000000003</v>
      </c>
    </row>
    <row r="624" spans="1:16" x14ac:dyDescent="0.25">
      <c r="A624">
        <v>21</v>
      </c>
      <c r="B624">
        <v>32.49</v>
      </c>
      <c r="C624">
        <f t="shared" si="28"/>
        <v>682.29000000000008</v>
      </c>
      <c r="H624">
        <v>21</v>
      </c>
      <c r="I624">
        <v>32.49</v>
      </c>
      <c r="J624" s="11">
        <v>0.32</v>
      </c>
      <c r="K624">
        <f t="shared" si="29"/>
        <v>218.33280000000002</v>
      </c>
      <c r="N624">
        <v>682.29000000000008</v>
      </c>
      <c r="O624">
        <v>218.33280000000002</v>
      </c>
      <c r="P624">
        <f t="shared" si="27"/>
        <v>463.95720000000006</v>
      </c>
    </row>
    <row r="625" spans="1:16" x14ac:dyDescent="0.25">
      <c r="A625">
        <v>15</v>
      </c>
      <c r="B625">
        <v>67.67</v>
      </c>
      <c r="C625">
        <f t="shared" si="28"/>
        <v>1015.0500000000001</v>
      </c>
      <c r="H625">
        <v>15</v>
      </c>
      <c r="I625">
        <v>67.67</v>
      </c>
      <c r="J625" s="11">
        <v>0.05</v>
      </c>
      <c r="K625">
        <f t="shared" si="29"/>
        <v>50.752500000000005</v>
      </c>
      <c r="N625">
        <v>1015.0500000000001</v>
      </c>
      <c r="O625">
        <v>50.752500000000005</v>
      </c>
      <c r="P625">
        <f t="shared" si="27"/>
        <v>964.29750000000001</v>
      </c>
    </row>
    <row r="626" spans="1:16" x14ac:dyDescent="0.25">
      <c r="A626">
        <v>5</v>
      </c>
      <c r="B626">
        <v>98.58</v>
      </c>
      <c r="C626">
        <f t="shared" si="28"/>
        <v>492.9</v>
      </c>
      <c r="H626">
        <v>5</v>
      </c>
      <c r="I626">
        <v>98.58</v>
      </c>
      <c r="J626" s="11">
        <v>0.22</v>
      </c>
      <c r="K626">
        <f t="shared" si="29"/>
        <v>108.438</v>
      </c>
      <c r="N626">
        <v>492.9</v>
      </c>
      <c r="O626">
        <v>108.438</v>
      </c>
      <c r="P626">
        <f t="shared" si="27"/>
        <v>384.46199999999999</v>
      </c>
    </row>
    <row r="627" spans="1:16" x14ac:dyDescent="0.25">
      <c r="A627">
        <v>39</v>
      </c>
      <c r="B627">
        <v>38.450000000000003</v>
      </c>
      <c r="C627">
        <f t="shared" si="28"/>
        <v>1499.5500000000002</v>
      </c>
      <c r="H627">
        <v>39</v>
      </c>
      <c r="I627">
        <v>38.450000000000003</v>
      </c>
      <c r="J627" s="11">
        <v>0.04</v>
      </c>
      <c r="K627">
        <f t="shared" si="29"/>
        <v>59.982000000000006</v>
      </c>
      <c r="N627">
        <v>1499.5500000000002</v>
      </c>
      <c r="O627">
        <v>59.982000000000006</v>
      </c>
      <c r="P627">
        <f t="shared" si="27"/>
        <v>1439.5680000000002</v>
      </c>
    </row>
    <row r="628" spans="1:16" x14ac:dyDescent="0.25">
      <c r="A628">
        <v>45</v>
      </c>
      <c r="B628">
        <v>53</v>
      </c>
      <c r="C628">
        <f t="shared" si="28"/>
        <v>2385</v>
      </c>
      <c r="H628">
        <v>45</v>
      </c>
      <c r="I628">
        <v>53</v>
      </c>
      <c r="J628" s="11">
        <v>0.4</v>
      </c>
      <c r="K628">
        <f t="shared" si="29"/>
        <v>954</v>
      </c>
      <c r="N628">
        <v>2385</v>
      </c>
      <c r="O628">
        <v>954</v>
      </c>
      <c r="P628">
        <f t="shared" si="27"/>
        <v>1431</v>
      </c>
    </row>
    <row r="629" spans="1:16" x14ac:dyDescent="0.25">
      <c r="A629">
        <v>8</v>
      </c>
      <c r="B629">
        <v>36.270000000000003</v>
      </c>
      <c r="C629">
        <f t="shared" si="28"/>
        <v>290.16000000000003</v>
      </c>
      <c r="H629">
        <v>8</v>
      </c>
      <c r="I629">
        <v>36.270000000000003</v>
      </c>
      <c r="J629" s="11">
        <v>0.26</v>
      </c>
      <c r="K629">
        <f t="shared" si="29"/>
        <v>75.441600000000008</v>
      </c>
      <c r="N629">
        <v>290.16000000000003</v>
      </c>
      <c r="O629">
        <v>75.441600000000008</v>
      </c>
      <c r="P629">
        <f t="shared" si="27"/>
        <v>214.71840000000003</v>
      </c>
    </row>
    <row r="630" spans="1:16" x14ac:dyDescent="0.25">
      <c r="A630">
        <v>12</v>
      </c>
      <c r="B630">
        <v>72.680000000000007</v>
      </c>
      <c r="C630">
        <f t="shared" si="28"/>
        <v>872.16000000000008</v>
      </c>
      <c r="H630">
        <v>12</v>
      </c>
      <c r="I630">
        <v>72.680000000000007</v>
      </c>
      <c r="J630" s="11">
        <v>0.09</v>
      </c>
      <c r="K630">
        <f t="shared" si="29"/>
        <v>78.494399999999999</v>
      </c>
      <c r="N630">
        <v>872.16000000000008</v>
      </c>
      <c r="O630">
        <v>78.494399999999999</v>
      </c>
      <c r="P630">
        <f t="shared" si="27"/>
        <v>793.66560000000004</v>
      </c>
    </row>
    <row r="631" spans="1:16" x14ac:dyDescent="0.25">
      <c r="A631">
        <v>1</v>
      </c>
      <c r="B631">
        <v>22.84</v>
      </c>
      <c r="C631">
        <f t="shared" si="28"/>
        <v>22.84</v>
      </c>
      <c r="H631">
        <v>1</v>
      </c>
      <c r="I631">
        <v>22.84</v>
      </c>
      <c r="J631" s="11">
        <v>0.4</v>
      </c>
      <c r="K631">
        <f t="shared" si="29"/>
        <v>9.136000000000001</v>
      </c>
      <c r="N631">
        <v>22.84</v>
      </c>
      <c r="O631">
        <v>9.136000000000001</v>
      </c>
      <c r="P631">
        <f t="shared" si="27"/>
        <v>13.703999999999999</v>
      </c>
    </row>
    <row r="632" spans="1:16" x14ac:dyDescent="0.25">
      <c r="A632">
        <v>20</v>
      </c>
      <c r="B632">
        <v>3.97</v>
      </c>
      <c r="C632">
        <f t="shared" si="28"/>
        <v>79.400000000000006</v>
      </c>
      <c r="H632">
        <v>20</v>
      </c>
      <c r="I632">
        <v>3.97</v>
      </c>
      <c r="J632" s="11">
        <v>0.06</v>
      </c>
      <c r="K632">
        <f t="shared" si="29"/>
        <v>4.7640000000000002</v>
      </c>
      <c r="N632">
        <v>79.400000000000006</v>
      </c>
      <c r="O632">
        <v>4.7640000000000002</v>
      </c>
      <c r="P632">
        <f t="shared" si="27"/>
        <v>74.63600000000001</v>
      </c>
    </row>
    <row r="633" spans="1:16" x14ac:dyDescent="0.25">
      <c r="A633">
        <v>5</v>
      </c>
      <c r="B633">
        <v>26.35</v>
      </c>
      <c r="C633">
        <f t="shared" si="28"/>
        <v>131.75</v>
      </c>
      <c r="H633">
        <v>5</v>
      </c>
      <c r="I633">
        <v>26.35</v>
      </c>
      <c r="J633" s="11">
        <v>0.23</v>
      </c>
      <c r="K633">
        <f t="shared" si="29"/>
        <v>30.302500000000002</v>
      </c>
      <c r="N633">
        <v>131.75</v>
      </c>
      <c r="O633">
        <v>30.302500000000002</v>
      </c>
      <c r="P633">
        <f t="shared" si="27"/>
        <v>101.44749999999999</v>
      </c>
    </row>
    <row r="634" spans="1:16" x14ac:dyDescent="0.25">
      <c r="A634">
        <v>28</v>
      </c>
      <c r="B634">
        <v>82.63</v>
      </c>
      <c r="C634">
        <f t="shared" si="28"/>
        <v>2313.64</v>
      </c>
      <c r="H634">
        <v>28</v>
      </c>
      <c r="I634">
        <v>82.63</v>
      </c>
      <c r="J634" s="11">
        <v>0.06</v>
      </c>
      <c r="K634">
        <f t="shared" si="29"/>
        <v>138.8184</v>
      </c>
      <c r="N634">
        <v>2313.64</v>
      </c>
      <c r="O634">
        <v>138.8184</v>
      </c>
      <c r="P634">
        <f t="shared" si="27"/>
        <v>2174.8215999999998</v>
      </c>
    </row>
    <row r="635" spans="1:16" x14ac:dyDescent="0.25">
      <c r="A635">
        <v>28</v>
      </c>
      <c r="B635">
        <v>28.72</v>
      </c>
      <c r="C635">
        <f t="shared" si="28"/>
        <v>804.16</v>
      </c>
      <c r="H635">
        <v>28</v>
      </c>
      <c r="I635">
        <v>28.72</v>
      </c>
      <c r="J635" s="11">
        <v>0.44</v>
      </c>
      <c r="K635">
        <f t="shared" si="29"/>
        <v>353.8304</v>
      </c>
      <c r="N635">
        <v>804.16</v>
      </c>
      <c r="O635">
        <v>353.8304</v>
      </c>
      <c r="P635">
        <f t="shared" si="27"/>
        <v>450.32959999999997</v>
      </c>
    </row>
    <row r="636" spans="1:16" x14ac:dyDescent="0.25">
      <c r="A636">
        <v>26</v>
      </c>
      <c r="B636">
        <v>81.52</v>
      </c>
      <c r="C636">
        <f t="shared" si="28"/>
        <v>2119.52</v>
      </c>
      <c r="H636">
        <v>26</v>
      </c>
      <c r="I636">
        <v>81.52</v>
      </c>
      <c r="J636" s="11">
        <v>0.18</v>
      </c>
      <c r="K636">
        <f t="shared" si="29"/>
        <v>381.5136</v>
      </c>
      <c r="N636">
        <v>2119.52</v>
      </c>
      <c r="O636">
        <v>381.5136</v>
      </c>
      <c r="P636">
        <f t="shared" si="27"/>
        <v>1738.0064</v>
      </c>
    </row>
    <row r="637" spans="1:16" x14ac:dyDescent="0.25">
      <c r="A637">
        <v>18</v>
      </c>
      <c r="B637">
        <v>77.650000000000006</v>
      </c>
      <c r="C637">
        <f t="shared" si="28"/>
        <v>1397.7</v>
      </c>
      <c r="H637">
        <v>18</v>
      </c>
      <c r="I637">
        <v>77.650000000000006</v>
      </c>
      <c r="J637" s="11">
        <v>0.43</v>
      </c>
      <c r="K637">
        <f t="shared" si="29"/>
        <v>601.01099999999997</v>
      </c>
      <c r="N637">
        <v>1397.7</v>
      </c>
      <c r="O637">
        <v>601.01099999999997</v>
      </c>
      <c r="P637">
        <f t="shared" si="27"/>
        <v>796.68900000000008</v>
      </c>
    </row>
    <row r="638" spans="1:16" x14ac:dyDescent="0.25">
      <c r="A638">
        <v>23</v>
      </c>
      <c r="B638">
        <v>60.94</v>
      </c>
      <c r="C638">
        <f t="shared" si="28"/>
        <v>1401.62</v>
      </c>
      <c r="H638">
        <v>23</v>
      </c>
      <c r="I638">
        <v>60.94</v>
      </c>
      <c r="J638" s="11">
        <v>0.16</v>
      </c>
      <c r="K638">
        <f t="shared" si="29"/>
        <v>224.25919999999999</v>
      </c>
      <c r="N638">
        <v>1401.62</v>
      </c>
      <c r="O638">
        <v>224.25919999999999</v>
      </c>
      <c r="P638">
        <f t="shared" si="27"/>
        <v>1177.3607999999999</v>
      </c>
    </row>
    <row r="639" spans="1:16" x14ac:dyDescent="0.25">
      <c r="A639">
        <v>42</v>
      </c>
      <c r="B639">
        <v>18.440000000000001</v>
      </c>
      <c r="C639">
        <f t="shared" si="28"/>
        <v>774.48</v>
      </c>
      <c r="H639">
        <v>42</v>
      </c>
      <c r="I639">
        <v>18.440000000000001</v>
      </c>
      <c r="J639" s="11">
        <v>0.44</v>
      </c>
      <c r="K639">
        <f t="shared" si="29"/>
        <v>340.77120000000002</v>
      </c>
      <c r="N639">
        <v>774.48</v>
      </c>
      <c r="O639">
        <v>340.77120000000002</v>
      </c>
      <c r="P639">
        <f t="shared" si="27"/>
        <v>433.7088</v>
      </c>
    </row>
    <row r="640" spans="1:16" x14ac:dyDescent="0.25">
      <c r="A640">
        <v>18</v>
      </c>
      <c r="B640">
        <v>44.7</v>
      </c>
      <c r="C640">
        <f t="shared" si="28"/>
        <v>804.6</v>
      </c>
      <c r="H640">
        <v>18</v>
      </c>
      <c r="I640">
        <v>44.7</v>
      </c>
      <c r="J640" s="11">
        <v>0.08</v>
      </c>
      <c r="K640">
        <f t="shared" si="29"/>
        <v>64.368000000000009</v>
      </c>
      <c r="N640">
        <v>804.6</v>
      </c>
      <c r="O640">
        <v>64.368000000000009</v>
      </c>
      <c r="P640">
        <f t="shared" si="27"/>
        <v>740.23199999999997</v>
      </c>
    </row>
    <row r="641" spans="1:16" x14ac:dyDescent="0.25">
      <c r="A641">
        <v>43</v>
      </c>
      <c r="B641">
        <v>79.89</v>
      </c>
      <c r="C641">
        <f t="shared" si="28"/>
        <v>3435.27</v>
      </c>
      <c r="H641">
        <v>43</v>
      </c>
      <c r="I641">
        <v>79.89</v>
      </c>
      <c r="J641" s="11">
        <v>0.36</v>
      </c>
      <c r="K641">
        <f t="shared" si="29"/>
        <v>1236.6971999999998</v>
      </c>
      <c r="N641">
        <v>3435.27</v>
      </c>
      <c r="O641">
        <v>1236.6971999999998</v>
      </c>
      <c r="P641">
        <f t="shared" si="27"/>
        <v>2198.5727999999999</v>
      </c>
    </row>
    <row r="642" spans="1:16" x14ac:dyDescent="0.25">
      <c r="A642">
        <v>8</v>
      </c>
      <c r="B642">
        <v>24.76</v>
      </c>
      <c r="C642">
        <f t="shared" si="28"/>
        <v>198.08</v>
      </c>
      <c r="H642">
        <v>8</v>
      </c>
      <c r="I642">
        <v>24.76</v>
      </c>
      <c r="J642" s="11">
        <v>0.2</v>
      </c>
      <c r="K642">
        <f t="shared" si="29"/>
        <v>39.616000000000007</v>
      </c>
      <c r="N642">
        <v>198.08</v>
      </c>
      <c r="O642">
        <v>39.616000000000007</v>
      </c>
      <c r="P642">
        <f t="shared" ref="P642:P705" si="30">N642-O642</f>
        <v>158.464</v>
      </c>
    </row>
    <row r="643" spans="1:16" x14ac:dyDescent="0.25">
      <c r="A643">
        <v>24</v>
      </c>
      <c r="B643">
        <v>73.61</v>
      </c>
      <c r="C643">
        <f t="shared" ref="C643:C706" si="31">A643*B643</f>
        <v>1766.6399999999999</v>
      </c>
      <c r="H643">
        <v>24</v>
      </c>
      <c r="I643">
        <v>73.61</v>
      </c>
      <c r="J643" s="11">
        <v>0.28000000000000003</v>
      </c>
      <c r="K643">
        <f t="shared" ref="K643:K706" si="32">H643*I643*J643</f>
        <v>494.6592</v>
      </c>
      <c r="N643">
        <v>1766.6399999999999</v>
      </c>
      <c r="O643">
        <v>494.6592</v>
      </c>
      <c r="P643">
        <f t="shared" si="30"/>
        <v>1271.9807999999998</v>
      </c>
    </row>
    <row r="644" spans="1:16" x14ac:dyDescent="0.25">
      <c r="A644">
        <v>22</v>
      </c>
      <c r="B644">
        <v>95.52</v>
      </c>
      <c r="C644">
        <f t="shared" si="31"/>
        <v>2101.44</v>
      </c>
      <c r="H644">
        <v>22</v>
      </c>
      <c r="I644">
        <v>95.52</v>
      </c>
      <c r="J644" s="11">
        <v>0.49</v>
      </c>
      <c r="K644">
        <f t="shared" si="32"/>
        <v>1029.7056</v>
      </c>
      <c r="N644">
        <v>2101.44</v>
      </c>
      <c r="O644">
        <v>1029.7056</v>
      </c>
      <c r="P644">
        <f t="shared" si="30"/>
        <v>1071.7344000000001</v>
      </c>
    </row>
    <row r="645" spans="1:16" x14ac:dyDescent="0.25">
      <c r="A645">
        <v>20</v>
      </c>
      <c r="B645">
        <v>97.07</v>
      </c>
      <c r="C645">
        <f t="shared" si="31"/>
        <v>1941.3999999999999</v>
      </c>
      <c r="H645">
        <v>20</v>
      </c>
      <c r="I645">
        <v>97.07</v>
      </c>
      <c r="J645" s="11">
        <v>0.3</v>
      </c>
      <c r="K645">
        <f t="shared" si="32"/>
        <v>582.41999999999996</v>
      </c>
      <c r="N645">
        <v>1941.3999999999999</v>
      </c>
      <c r="O645">
        <v>582.41999999999996</v>
      </c>
      <c r="P645">
        <f t="shared" si="30"/>
        <v>1358.98</v>
      </c>
    </row>
    <row r="646" spans="1:16" x14ac:dyDescent="0.25">
      <c r="A646">
        <v>32</v>
      </c>
      <c r="B646">
        <v>69.19</v>
      </c>
      <c r="C646">
        <f t="shared" si="31"/>
        <v>2214.08</v>
      </c>
      <c r="H646">
        <v>32</v>
      </c>
      <c r="I646">
        <v>69.19</v>
      </c>
      <c r="J646" s="11">
        <v>0.21</v>
      </c>
      <c r="K646">
        <f t="shared" si="32"/>
        <v>464.95679999999999</v>
      </c>
      <c r="N646">
        <v>2214.08</v>
      </c>
      <c r="O646">
        <v>464.95679999999999</v>
      </c>
      <c r="P646">
        <f t="shared" si="30"/>
        <v>1749.1232</v>
      </c>
    </row>
    <row r="647" spans="1:16" x14ac:dyDescent="0.25">
      <c r="A647">
        <v>37</v>
      </c>
      <c r="B647">
        <v>55.44</v>
      </c>
      <c r="C647">
        <f t="shared" si="31"/>
        <v>2051.2799999999997</v>
      </c>
      <c r="H647">
        <v>37</v>
      </c>
      <c r="I647">
        <v>55.44</v>
      </c>
      <c r="J647" s="11">
        <v>0.32</v>
      </c>
      <c r="K647">
        <f t="shared" si="32"/>
        <v>656.40959999999995</v>
      </c>
      <c r="N647">
        <v>2051.2799999999997</v>
      </c>
      <c r="O647">
        <v>656.40959999999995</v>
      </c>
      <c r="P647">
        <f t="shared" si="30"/>
        <v>1394.8703999999998</v>
      </c>
    </row>
    <row r="648" spans="1:16" x14ac:dyDescent="0.25">
      <c r="A648">
        <v>49</v>
      </c>
      <c r="B648">
        <v>69</v>
      </c>
      <c r="C648">
        <f t="shared" si="31"/>
        <v>3381</v>
      </c>
      <c r="H648">
        <v>49</v>
      </c>
      <c r="I648">
        <v>69</v>
      </c>
      <c r="J648" s="11">
        <v>0.41</v>
      </c>
      <c r="K648">
        <f t="shared" si="32"/>
        <v>1386.2099999999998</v>
      </c>
      <c r="N648">
        <v>3381</v>
      </c>
      <c r="O648">
        <v>1386.2099999999998</v>
      </c>
      <c r="P648">
        <f t="shared" si="30"/>
        <v>1994.7900000000002</v>
      </c>
    </row>
    <row r="649" spans="1:16" x14ac:dyDescent="0.25">
      <c r="A649">
        <v>30</v>
      </c>
      <c r="B649">
        <v>57</v>
      </c>
      <c r="C649">
        <f t="shared" si="31"/>
        <v>1710</v>
      </c>
      <c r="H649">
        <v>30</v>
      </c>
      <c r="I649">
        <v>57</v>
      </c>
      <c r="J649" s="11">
        <v>0.08</v>
      </c>
      <c r="K649">
        <f t="shared" si="32"/>
        <v>136.80000000000001</v>
      </c>
      <c r="N649">
        <v>1710</v>
      </c>
      <c r="O649">
        <v>136.80000000000001</v>
      </c>
      <c r="P649">
        <f t="shared" si="30"/>
        <v>1573.2</v>
      </c>
    </row>
    <row r="650" spans="1:16" x14ac:dyDescent="0.25">
      <c r="A650">
        <v>48</v>
      </c>
      <c r="B650">
        <v>97.14</v>
      </c>
      <c r="C650">
        <f t="shared" si="31"/>
        <v>4662.72</v>
      </c>
      <c r="H650">
        <v>48</v>
      </c>
      <c r="I650">
        <v>97.14</v>
      </c>
      <c r="J650" s="11">
        <v>0.26</v>
      </c>
      <c r="K650">
        <f t="shared" si="32"/>
        <v>1212.3072000000002</v>
      </c>
      <c r="N650">
        <v>4662.72</v>
      </c>
      <c r="O650">
        <v>1212.3072000000002</v>
      </c>
      <c r="P650">
        <f t="shared" si="30"/>
        <v>3450.4128000000001</v>
      </c>
    </row>
    <row r="651" spans="1:16" x14ac:dyDescent="0.25">
      <c r="A651">
        <v>21</v>
      </c>
      <c r="B651">
        <v>99.39</v>
      </c>
      <c r="C651">
        <f t="shared" si="31"/>
        <v>2087.19</v>
      </c>
      <c r="H651">
        <v>21</v>
      </c>
      <c r="I651">
        <v>99.39</v>
      </c>
      <c r="J651" s="11">
        <v>7.0000000000000007E-2</v>
      </c>
      <c r="K651">
        <f t="shared" si="32"/>
        <v>146.10330000000002</v>
      </c>
      <c r="N651">
        <v>2087.19</v>
      </c>
      <c r="O651">
        <v>146.10330000000002</v>
      </c>
      <c r="P651">
        <f t="shared" si="30"/>
        <v>1941.0867000000001</v>
      </c>
    </row>
    <row r="652" spans="1:16" x14ac:dyDescent="0.25">
      <c r="A652">
        <v>15</v>
      </c>
      <c r="B652">
        <v>2.71</v>
      </c>
      <c r="C652">
        <f t="shared" si="31"/>
        <v>40.65</v>
      </c>
      <c r="H652">
        <v>15</v>
      </c>
      <c r="I652">
        <v>2.71</v>
      </c>
      <c r="J652" s="11">
        <v>0.19</v>
      </c>
      <c r="K652">
        <f t="shared" si="32"/>
        <v>7.7234999999999996</v>
      </c>
      <c r="N652">
        <v>40.65</v>
      </c>
      <c r="O652">
        <v>7.7234999999999996</v>
      </c>
      <c r="P652">
        <f t="shared" si="30"/>
        <v>32.926499999999997</v>
      </c>
    </row>
    <row r="653" spans="1:16" x14ac:dyDescent="0.25">
      <c r="A653">
        <v>25</v>
      </c>
      <c r="B653">
        <v>52.02</v>
      </c>
      <c r="C653">
        <f t="shared" si="31"/>
        <v>1300.5</v>
      </c>
      <c r="H653">
        <v>25</v>
      </c>
      <c r="I653">
        <v>52.02</v>
      </c>
      <c r="J653" s="11">
        <v>0.17</v>
      </c>
      <c r="K653">
        <f t="shared" si="32"/>
        <v>221.08500000000001</v>
      </c>
      <c r="N653">
        <v>1300.5</v>
      </c>
      <c r="O653">
        <v>221.08500000000001</v>
      </c>
      <c r="P653">
        <f t="shared" si="30"/>
        <v>1079.415</v>
      </c>
    </row>
    <row r="654" spans="1:16" x14ac:dyDescent="0.25">
      <c r="A654">
        <v>7</v>
      </c>
      <c r="B654">
        <v>81.52</v>
      </c>
      <c r="C654">
        <f t="shared" si="31"/>
        <v>570.64</v>
      </c>
      <c r="H654">
        <v>7</v>
      </c>
      <c r="I654">
        <v>81.52</v>
      </c>
      <c r="J654" s="11">
        <v>0.1</v>
      </c>
      <c r="K654">
        <f t="shared" si="32"/>
        <v>57.064</v>
      </c>
      <c r="N654">
        <v>570.64</v>
      </c>
      <c r="O654">
        <v>57.064</v>
      </c>
      <c r="P654">
        <f t="shared" si="30"/>
        <v>513.57600000000002</v>
      </c>
    </row>
    <row r="655" spans="1:16" x14ac:dyDescent="0.25">
      <c r="A655">
        <v>32</v>
      </c>
      <c r="B655">
        <v>37.08</v>
      </c>
      <c r="C655">
        <f t="shared" si="31"/>
        <v>1186.56</v>
      </c>
      <c r="H655">
        <v>32</v>
      </c>
      <c r="I655">
        <v>37.08</v>
      </c>
      <c r="J655" s="11">
        <v>0</v>
      </c>
      <c r="K655">
        <f t="shared" si="32"/>
        <v>0</v>
      </c>
      <c r="N655">
        <v>1186.56</v>
      </c>
      <c r="O655">
        <v>0</v>
      </c>
      <c r="P655">
        <f t="shared" si="30"/>
        <v>1186.56</v>
      </c>
    </row>
    <row r="656" spans="1:16" x14ac:dyDescent="0.25">
      <c r="A656">
        <v>23</v>
      </c>
      <c r="B656">
        <v>32.5</v>
      </c>
      <c r="C656">
        <f t="shared" si="31"/>
        <v>747.5</v>
      </c>
      <c r="H656">
        <v>23</v>
      </c>
      <c r="I656">
        <v>32.5</v>
      </c>
      <c r="J656" s="11">
        <v>0.45</v>
      </c>
      <c r="K656">
        <f t="shared" si="32"/>
        <v>336.375</v>
      </c>
      <c r="N656">
        <v>747.5</v>
      </c>
      <c r="O656">
        <v>336.375</v>
      </c>
      <c r="P656">
        <f t="shared" si="30"/>
        <v>411.125</v>
      </c>
    </row>
    <row r="657" spans="1:16" x14ac:dyDescent="0.25">
      <c r="A657">
        <v>47</v>
      </c>
      <c r="B657">
        <v>32.46</v>
      </c>
      <c r="C657">
        <f t="shared" si="31"/>
        <v>1525.6200000000001</v>
      </c>
      <c r="H657">
        <v>47</v>
      </c>
      <c r="I657">
        <v>32.46</v>
      </c>
      <c r="J657" s="11">
        <v>0.28999999999999998</v>
      </c>
      <c r="K657">
        <f t="shared" si="32"/>
        <v>442.4298</v>
      </c>
      <c r="N657">
        <v>1525.6200000000001</v>
      </c>
      <c r="O657">
        <v>442.4298</v>
      </c>
      <c r="P657">
        <f t="shared" si="30"/>
        <v>1083.1902</v>
      </c>
    </row>
    <row r="658" spans="1:16" x14ac:dyDescent="0.25">
      <c r="A658">
        <v>42</v>
      </c>
      <c r="B658">
        <v>43.9</v>
      </c>
      <c r="C658">
        <f t="shared" si="31"/>
        <v>1843.8</v>
      </c>
      <c r="H658">
        <v>42</v>
      </c>
      <c r="I658">
        <v>43.9</v>
      </c>
      <c r="J658" s="11">
        <v>0.45</v>
      </c>
      <c r="K658">
        <f t="shared" si="32"/>
        <v>829.71</v>
      </c>
      <c r="N658">
        <v>1843.8</v>
      </c>
      <c r="O658">
        <v>829.71</v>
      </c>
      <c r="P658">
        <f t="shared" si="30"/>
        <v>1014.0899999999999</v>
      </c>
    </row>
    <row r="659" spans="1:16" x14ac:dyDescent="0.25">
      <c r="A659">
        <v>43</v>
      </c>
      <c r="B659">
        <v>78.459999999999994</v>
      </c>
      <c r="C659">
        <f t="shared" si="31"/>
        <v>3373.7799999999997</v>
      </c>
      <c r="H659">
        <v>43</v>
      </c>
      <c r="I659">
        <v>78.459999999999994</v>
      </c>
      <c r="J659" s="11">
        <v>0.35</v>
      </c>
      <c r="K659">
        <f t="shared" si="32"/>
        <v>1180.8229999999999</v>
      </c>
      <c r="N659">
        <v>3373.7799999999997</v>
      </c>
      <c r="O659">
        <v>1180.8229999999999</v>
      </c>
      <c r="P659">
        <f t="shared" si="30"/>
        <v>2192.9569999999999</v>
      </c>
    </row>
    <row r="660" spans="1:16" x14ac:dyDescent="0.25">
      <c r="A660">
        <v>27</v>
      </c>
      <c r="B660">
        <v>97.42</v>
      </c>
      <c r="C660">
        <f t="shared" si="31"/>
        <v>2630.34</v>
      </c>
      <c r="H660">
        <v>27</v>
      </c>
      <c r="I660">
        <v>97.42</v>
      </c>
      <c r="J660" s="11">
        <v>0.31</v>
      </c>
      <c r="K660">
        <f t="shared" si="32"/>
        <v>815.40539999999999</v>
      </c>
      <c r="N660">
        <v>2630.34</v>
      </c>
      <c r="O660">
        <v>815.40539999999999</v>
      </c>
      <c r="P660">
        <f t="shared" si="30"/>
        <v>1814.9346</v>
      </c>
    </row>
    <row r="661" spans="1:16" x14ac:dyDescent="0.25">
      <c r="A661">
        <v>5</v>
      </c>
      <c r="B661">
        <v>51.94</v>
      </c>
      <c r="C661">
        <f t="shared" si="31"/>
        <v>259.7</v>
      </c>
      <c r="H661">
        <v>5</v>
      </c>
      <c r="I661">
        <v>51.94</v>
      </c>
      <c r="J661" s="11">
        <v>0.25</v>
      </c>
      <c r="K661">
        <f t="shared" si="32"/>
        <v>64.924999999999997</v>
      </c>
      <c r="N661">
        <v>259.7</v>
      </c>
      <c r="O661">
        <v>64.924999999999997</v>
      </c>
      <c r="P661">
        <f t="shared" si="30"/>
        <v>194.77499999999998</v>
      </c>
    </row>
    <row r="662" spans="1:16" x14ac:dyDescent="0.25">
      <c r="A662">
        <v>23</v>
      </c>
      <c r="B662">
        <v>86.69</v>
      </c>
      <c r="C662">
        <f t="shared" si="31"/>
        <v>1993.87</v>
      </c>
      <c r="H662">
        <v>23</v>
      </c>
      <c r="I662">
        <v>86.69</v>
      </c>
      <c r="J662" s="11">
        <v>0.37</v>
      </c>
      <c r="K662">
        <f t="shared" si="32"/>
        <v>737.7319</v>
      </c>
      <c r="N662">
        <v>1993.87</v>
      </c>
      <c r="O662">
        <v>737.7319</v>
      </c>
      <c r="P662">
        <f t="shared" si="30"/>
        <v>1256.1380999999999</v>
      </c>
    </row>
    <row r="663" spans="1:16" x14ac:dyDescent="0.25">
      <c r="A663">
        <v>38</v>
      </c>
      <c r="B663">
        <v>83.81</v>
      </c>
      <c r="C663">
        <f t="shared" si="31"/>
        <v>3184.78</v>
      </c>
      <c r="H663">
        <v>38</v>
      </c>
      <c r="I663">
        <v>83.81</v>
      </c>
      <c r="J663" s="11">
        <v>0.4</v>
      </c>
      <c r="K663">
        <f t="shared" si="32"/>
        <v>1273.9120000000003</v>
      </c>
      <c r="N663">
        <v>3184.78</v>
      </c>
      <c r="O663">
        <v>1273.9120000000003</v>
      </c>
      <c r="P663">
        <f t="shared" si="30"/>
        <v>1910.8679999999999</v>
      </c>
    </row>
    <row r="664" spans="1:16" x14ac:dyDescent="0.25">
      <c r="A664">
        <v>33</v>
      </c>
      <c r="B664">
        <v>58.19</v>
      </c>
      <c r="C664">
        <f t="shared" si="31"/>
        <v>1920.27</v>
      </c>
      <c r="H664">
        <v>33</v>
      </c>
      <c r="I664">
        <v>58.19</v>
      </c>
      <c r="J664" s="11">
        <v>0.15</v>
      </c>
      <c r="K664">
        <f t="shared" si="32"/>
        <v>288.04050000000001</v>
      </c>
      <c r="N664">
        <v>1920.27</v>
      </c>
      <c r="O664">
        <v>288.04050000000001</v>
      </c>
      <c r="P664">
        <f t="shared" si="30"/>
        <v>1632.2294999999999</v>
      </c>
    </row>
    <row r="665" spans="1:16" x14ac:dyDescent="0.25">
      <c r="A665">
        <v>9</v>
      </c>
      <c r="B665">
        <v>73.459999999999994</v>
      </c>
      <c r="C665">
        <f t="shared" si="31"/>
        <v>661.14</v>
      </c>
      <c r="H665">
        <v>9</v>
      </c>
      <c r="I665">
        <v>73.459999999999994</v>
      </c>
      <c r="J665" s="11">
        <v>0.36</v>
      </c>
      <c r="K665">
        <f t="shared" si="32"/>
        <v>238.01039999999998</v>
      </c>
      <c r="N665">
        <v>661.14</v>
      </c>
      <c r="O665">
        <v>238.01039999999998</v>
      </c>
      <c r="P665">
        <f t="shared" si="30"/>
        <v>423.12959999999998</v>
      </c>
    </row>
    <row r="666" spans="1:16" x14ac:dyDescent="0.25">
      <c r="A666">
        <v>25</v>
      </c>
      <c r="B666">
        <v>51.33</v>
      </c>
      <c r="C666">
        <f t="shared" si="31"/>
        <v>1283.25</v>
      </c>
      <c r="H666">
        <v>25</v>
      </c>
      <c r="I666">
        <v>51.33</v>
      </c>
      <c r="J666" s="11">
        <v>0.14000000000000001</v>
      </c>
      <c r="K666">
        <f t="shared" si="32"/>
        <v>179.65500000000003</v>
      </c>
      <c r="N666">
        <v>1283.25</v>
      </c>
      <c r="O666">
        <v>179.65500000000003</v>
      </c>
      <c r="P666">
        <f t="shared" si="30"/>
        <v>1103.595</v>
      </c>
    </row>
    <row r="667" spans="1:16" x14ac:dyDescent="0.25">
      <c r="A667">
        <v>38</v>
      </c>
      <c r="B667">
        <v>33.909999999999997</v>
      </c>
      <c r="C667">
        <f t="shared" si="31"/>
        <v>1288.58</v>
      </c>
      <c r="H667">
        <v>38</v>
      </c>
      <c r="I667">
        <v>33.909999999999997</v>
      </c>
      <c r="J667" s="11">
        <v>0.36</v>
      </c>
      <c r="K667">
        <f t="shared" si="32"/>
        <v>463.88879999999995</v>
      </c>
      <c r="N667">
        <v>1288.58</v>
      </c>
      <c r="O667">
        <v>463.88879999999995</v>
      </c>
      <c r="P667">
        <f t="shared" si="30"/>
        <v>824.69119999999998</v>
      </c>
    </row>
    <row r="668" spans="1:16" x14ac:dyDescent="0.25">
      <c r="A668">
        <v>25</v>
      </c>
      <c r="B668">
        <v>81.09</v>
      </c>
      <c r="C668">
        <f t="shared" si="31"/>
        <v>2027.25</v>
      </c>
      <c r="H668">
        <v>25</v>
      </c>
      <c r="I668">
        <v>81.09</v>
      </c>
      <c r="J668" s="11">
        <v>0.49</v>
      </c>
      <c r="K668">
        <f t="shared" si="32"/>
        <v>993.35249999999996</v>
      </c>
      <c r="N668">
        <v>2027.25</v>
      </c>
      <c r="O668">
        <v>993.35249999999996</v>
      </c>
      <c r="P668">
        <f t="shared" si="30"/>
        <v>1033.8975</v>
      </c>
    </row>
    <row r="669" spans="1:16" x14ac:dyDescent="0.25">
      <c r="A669">
        <v>46</v>
      </c>
      <c r="B669">
        <v>9.08</v>
      </c>
      <c r="C669">
        <f t="shared" si="31"/>
        <v>417.68</v>
      </c>
      <c r="H669">
        <v>46</v>
      </c>
      <c r="I669">
        <v>9.08</v>
      </c>
      <c r="J669" s="11">
        <v>0.49</v>
      </c>
      <c r="K669">
        <f t="shared" si="32"/>
        <v>204.66319999999999</v>
      </c>
      <c r="N669">
        <v>417.68</v>
      </c>
      <c r="O669">
        <v>204.66319999999999</v>
      </c>
      <c r="P669">
        <f t="shared" si="30"/>
        <v>213.01680000000002</v>
      </c>
    </row>
    <row r="670" spans="1:16" x14ac:dyDescent="0.25">
      <c r="A670">
        <v>19</v>
      </c>
      <c r="B670">
        <v>24.43</v>
      </c>
      <c r="C670">
        <f t="shared" si="31"/>
        <v>464.17</v>
      </c>
      <c r="H670">
        <v>19</v>
      </c>
      <c r="I670">
        <v>24.43</v>
      </c>
      <c r="J670" s="11">
        <v>0.27</v>
      </c>
      <c r="K670">
        <f t="shared" si="32"/>
        <v>125.32590000000002</v>
      </c>
      <c r="N670">
        <v>464.17</v>
      </c>
      <c r="O670">
        <v>125.32590000000002</v>
      </c>
      <c r="P670">
        <f t="shared" si="30"/>
        <v>338.84410000000003</v>
      </c>
    </row>
    <row r="671" spans="1:16" x14ac:dyDescent="0.25">
      <c r="A671">
        <v>38</v>
      </c>
      <c r="B671">
        <v>27.85</v>
      </c>
      <c r="C671">
        <f t="shared" si="31"/>
        <v>1058.3</v>
      </c>
      <c r="H671">
        <v>38</v>
      </c>
      <c r="I671">
        <v>27.85</v>
      </c>
      <c r="J671" s="11">
        <v>0.5</v>
      </c>
      <c r="K671">
        <f t="shared" si="32"/>
        <v>529.15</v>
      </c>
      <c r="N671">
        <v>1058.3</v>
      </c>
      <c r="O671">
        <v>529.15</v>
      </c>
      <c r="P671">
        <f t="shared" si="30"/>
        <v>529.15</v>
      </c>
    </row>
    <row r="672" spans="1:16" x14ac:dyDescent="0.25">
      <c r="A672">
        <v>48</v>
      </c>
      <c r="B672">
        <v>1.83</v>
      </c>
      <c r="C672">
        <f t="shared" si="31"/>
        <v>87.84</v>
      </c>
      <c r="H672">
        <v>48</v>
      </c>
      <c r="I672">
        <v>1.83</v>
      </c>
      <c r="J672" s="11">
        <v>0.02</v>
      </c>
      <c r="K672">
        <f t="shared" si="32"/>
        <v>1.7568000000000001</v>
      </c>
      <c r="N672">
        <v>87.84</v>
      </c>
      <c r="O672">
        <v>1.7568000000000001</v>
      </c>
      <c r="P672">
        <f t="shared" si="30"/>
        <v>86.083200000000005</v>
      </c>
    </row>
    <row r="673" spans="1:16" x14ac:dyDescent="0.25">
      <c r="A673">
        <v>34</v>
      </c>
      <c r="B673">
        <v>61.61</v>
      </c>
      <c r="C673">
        <f t="shared" si="31"/>
        <v>2094.7399999999998</v>
      </c>
      <c r="H673">
        <v>34</v>
      </c>
      <c r="I673">
        <v>61.61</v>
      </c>
      <c r="J673" s="11">
        <v>0.48</v>
      </c>
      <c r="K673">
        <f t="shared" si="32"/>
        <v>1005.4751999999999</v>
      </c>
      <c r="N673">
        <v>2094.7399999999998</v>
      </c>
      <c r="O673">
        <v>1005.4751999999999</v>
      </c>
      <c r="P673">
        <f t="shared" si="30"/>
        <v>1089.2647999999999</v>
      </c>
    </row>
    <row r="674" spans="1:16" x14ac:dyDescent="0.25">
      <c r="A674">
        <v>48</v>
      </c>
      <c r="B674">
        <v>18.559999999999999</v>
      </c>
      <c r="C674">
        <f t="shared" si="31"/>
        <v>890.87999999999988</v>
      </c>
      <c r="H674">
        <v>48</v>
      </c>
      <c r="I674">
        <v>18.559999999999999</v>
      </c>
      <c r="J674" s="11">
        <v>0.22</v>
      </c>
      <c r="K674">
        <f t="shared" si="32"/>
        <v>195.99359999999999</v>
      </c>
      <c r="N674">
        <v>890.87999999999988</v>
      </c>
      <c r="O674">
        <v>195.99359999999999</v>
      </c>
      <c r="P674">
        <f t="shared" si="30"/>
        <v>694.88639999999987</v>
      </c>
    </row>
    <row r="675" spans="1:16" x14ac:dyDescent="0.25">
      <c r="A675">
        <v>15</v>
      </c>
      <c r="B675">
        <v>32.840000000000003</v>
      </c>
      <c r="C675">
        <f t="shared" si="31"/>
        <v>492.6</v>
      </c>
      <c r="H675">
        <v>15</v>
      </c>
      <c r="I675">
        <v>32.840000000000003</v>
      </c>
      <c r="J675" s="11">
        <v>0.21</v>
      </c>
      <c r="K675">
        <f t="shared" si="32"/>
        <v>103.446</v>
      </c>
      <c r="N675">
        <v>492.6</v>
      </c>
      <c r="O675">
        <v>103.446</v>
      </c>
      <c r="P675">
        <f t="shared" si="30"/>
        <v>389.154</v>
      </c>
    </row>
    <row r="676" spans="1:16" x14ac:dyDescent="0.25">
      <c r="A676">
        <v>3</v>
      </c>
      <c r="B676">
        <v>66.63</v>
      </c>
      <c r="C676">
        <f t="shared" si="31"/>
        <v>199.89</v>
      </c>
      <c r="H676">
        <v>3</v>
      </c>
      <c r="I676">
        <v>66.63</v>
      </c>
      <c r="J676" s="11">
        <v>0.32</v>
      </c>
      <c r="K676">
        <f t="shared" si="32"/>
        <v>63.964799999999997</v>
      </c>
      <c r="N676">
        <v>199.89</v>
      </c>
      <c r="O676">
        <v>63.964799999999997</v>
      </c>
      <c r="P676">
        <f t="shared" si="30"/>
        <v>135.92519999999999</v>
      </c>
    </row>
    <row r="677" spans="1:16" x14ac:dyDescent="0.25">
      <c r="A677">
        <v>10</v>
      </c>
      <c r="B677">
        <v>86.01</v>
      </c>
      <c r="C677">
        <f t="shared" si="31"/>
        <v>860.1</v>
      </c>
      <c r="H677">
        <v>10</v>
      </c>
      <c r="I677">
        <v>86.01</v>
      </c>
      <c r="J677" s="11">
        <v>0.39</v>
      </c>
      <c r="K677">
        <f t="shared" si="32"/>
        <v>335.43900000000002</v>
      </c>
      <c r="N677">
        <v>860.1</v>
      </c>
      <c r="O677">
        <v>335.43900000000002</v>
      </c>
      <c r="P677">
        <f t="shared" si="30"/>
        <v>524.66100000000006</v>
      </c>
    </row>
    <row r="678" spans="1:16" x14ac:dyDescent="0.25">
      <c r="A678">
        <v>18</v>
      </c>
      <c r="B678">
        <v>81.67</v>
      </c>
      <c r="C678">
        <f t="shared" si="31"/>
        <v>1470.06</v>
      </c>
      <c r="H678">
        <v>18</v>
      </c>
      <c r="I678">
        <v>81.67</v>
      </c>
      <c r="J678" s="11">
        <v>0.16</v>
      </c>
      <c r="K678">
        <f t="shared" si="32"/>
        <v>235.20959999999999</v>
      </c>
      <c r="N678">
        <v>1470.06</v>
      </c>
      <c r="O678">
        <v>235.20959999999999</v>
      </c>
      <c r="P678">
        <f t="shared" si="30"/>
        <v>1234.8504</v>
      </c>
    </row>
    <row r="679" spans="1:16" x14ac:dyDescent="0.25">
      <c r="A679">
        <v>8</v>
      </c>
      <c r="B679">
        <v>52.65</v>
      </c>
      <c r="C679">
        <f t="shared" si="31"/>
        <v>421.2</v>
      </c>
      <c r="H679">
        <v>8</v>
      </c>
      <c r="I679">
        <v>52.65</v>
      </c>
      <c r="J679" s="11">
        <v>0.15</v>
      </c>
      <c r="K679">
        <f t="shared" si="32"/>
        <v>63.179999999999993</v>
      </c>
      <c r="N679">
        <v>421.2</v>
      </c>
      <c r="O679">
        <v>63.179999999999993</v>
      </c>
      <c r="P679">
        <f t="shared" si="30"/>
        <v>358.02</v>
      </c>
    </row>
    <row r="680" spans="1:16" x14ac:dyDescent="0.25">
      <c r="A680">
        <v>16</v>
      </c>
      <c r="B680">
        <v>49.93</v>
      </c>
      <c r="C680">
        <f t="shared" si="31"/>
        <v>798.88</v>
      </c>
      <c r="H680">
        <v>16</v>
      </c>
      <c r="I680">
        <v>49.93</v>
      </c>
      <c r="J680" s="11">
        <v>0.49</v>
      </c>
      <c r="K680">
        <f t="shared" si="32"/>
        <v>391.45119999999997</v>
      </c>
      <c r="N680">
        <v>798.88</v>
      </c>
      <c r="O680">
        <v>391.45119999999997</v>
      </c>
      <c r="P680">
        <f t="shared" si="30"/>
        <v>407.42880000000002</v>
      </c>
    </row>
    <row r="681" spans="1:16" x14ac:dyDescent="0.25">
      <c r="A681">
        <v>8</v>
      </c>
      <c r="B681">
        <v>70.319999999999993</v>
      </c>
      <c r="C681">
        <f t="shared" si="31"/>
        <v>562.55999999999995</v>
      </c>
      <c r="H681">
        <v>8</v>
      </c>
      <c r="I681">
        <v>70.319999999999993</v>
      </c>
      <c r="J681" s="11">
        <v>0.31</v>
      </c>
      <c r="K681">
        <f t="shared" si="32"/>
        <v>174.39359999999999</v>
      </c>
      <c r="N681">
        <v>562.55999999999995</v>
      </c>
      <c r="O681">
        <v>174.39359999999999</v>
      </c>
      <c r="P681">
        <f t="shared" si="30"/>
        <v>388.16639999999995</v>
      </c>
    </row>
    <row r="682" spans="1:16" x14ac:dyDescent="0.25">
      <c r="A682">
        <v>7</v>
      </c>
      <c r="B682">
        <v>7.09</v>
      </c>
      <c r="C682">
        <f t="shared" si="31"/>
        <v>49.629999999999995</v>
      </c>
      <c r="H682">
        <v>7</v>
      </c>
      <c r="I682">
        <v>7.09</v>
      </c>
      <c r="J682" s="11">
        <v>0.19</v>
      </c>
      <c r="K682">
        <f t="shared" si="32"/>
        <v>9.4296999999999986</v>
      </c>
      <c r="N682">
        <v>49.629999999999995</v>
      </c>
      <c r="O682">
        <v>9.4296999999999986</v>
      </c>
      <c r="P682">
        <f t="shared" si="30"/>
        <v>40.200299999999999</v>
      </c>
    </row>
    <row r="683" spans="1:16" x14ac:dyDescent="0.25">
      <c r="A683">
        <v>4</v>
      </c>
      <c r="B683">
        <v>5.79</v>
      </c>
      <c r="C683">
        <f t="shared" si="31"/>
        <v>23.16</v>
      </c>
      <c r="H683">
        <v>4</v>
      </c>
      <c r="I683">
        <v>5.79</v>
      </c>
      <c r="J683" s="11">
        <v>0.17</v>
      </c>
      <c r="K683">
        <f t="shared" si="32"/>
        <v>3.9372000000000003</v>
      </c>
      <c r="N683">
        <v>23.16</v>
      </c>
      <c r="O683">
        <v>3.9372000000000003</v>
      </c>
      <c r="P683">
        <f t="shared" si="30"/>
        <v>19.222799999999999</v>
      </c>
    </row>
    <row r="684" spans="1:16" x14ac:dyDescent="0.25">
      <c r="A684">
        <v>20</v>
      </c>
      <c r="B684">
        <v>54.64</v>
      </c>
      <c r="C684">
        <f t="shared" si="31"/>
        <v>1092.8</v>
      </c>
      <c r="H684">
        <v>20</v>
      </c>
      <c r="I684">
        <v>54.64</v>
      </c>
      <c r="J684" s="11">
        <v>0.48</v>
      </c>
      <c r="K684">
        <f t="shared" si="32"/>
        <v>524.54399999999998</v>
      </c>
      <c r="N684">
        <v>1092.8</v>
      </c>
      <c r="O684">
        <v>524.54399999999998</v>
      </c>
      <c r="P684">
        <f t="shared" si="30"/>
        <v>568.25599999999997</v>
      </c>
    </row>
    <row r="685" spans="1:16" x14ac:dyDescent="0.25">
      <c r="A685">
        <v>30</v>
      </c>
      <c r="B685">
        <v>42.42</v>
      </c>
      <c r="C685">
        <f t="shared" si="31"/>
        <v>1272.6000000000001</v>
      </c>
      <c r="H685">
        <v>30</v>
      </c>
      <c r="I685">
        <v>42.42</v>
      </c>
      <c r="J685" s="11">
        <v>0.42</v>
      </c>
      <c r="K685">
        <f t="shared" si="32"/>
        <v>534.49200000000008</v>
      </c>
      <c r="N685">
        <v>1272.6000000000001</v>
      </c>
      <c r="O685">
        <v>534.49200000000008</v>
      </c>
      <c r="P685">
        <f t="shared" si="30"/>
        <v>738.10800000000006</v>
      </c>
    </row>
    <row r="686" spans="1:16" x14ac:dyDescent="0.25">
      <c r="A686">
        <v>32</v>
      </c>
      <c r="B686">
        <v>95.28</v>
      </c>
      <c r="C686">
        <f t="shared" si="31"/>
        <v>3048.96</v>
      </c>
      <c r="H686">
        <v>32</v>
      </c>
      <c r="I686">
        <v>95.28</v>
      </c>
      <c r="J686" s="11">
        <v>0.14000000000000001</v>
      </c>
      <c r="K686">
        <f t="shared" si="32"/>
        <v>426.85440000000006</v>
      </c>
      <c r="N686">
        <v>3048.96</v>
      </c>
      <c r="O686">
        <v>426.85440000000006</v>
      </c>
      <c r="P686">
        <f t="shared" si="30"/>
        <v>2622.1055999999999</v>
      </c>
    </row>
    <row r="687" spans="1:16" x14ac:dyDescent="0.25">
      <c r="A687">
        <v>18</v>
      </c>
      <c r="B687">
        <v>5.26</v>
      </c>
      <c r="C687">
        <f t="shared" si="31"/>
        <v>94.679999999999993</v>
      </c>
      <c r="H687">
        <v>18</v>
      </c>
      <c r="I687">
        <v>5.26</v>
      </c>
      <c r="J687" s="11">
        <v>0.27</v>
      </c>
      <c r="K687">
        <f t="shared" si="32"/>
        <v>25.563600000000001</v>
      </c>
      <c r="N687">
        <v>94.679999999999993</v>
      </c>
      <c r="O687">
        <v>25.563600000000001</v>
      </c>
      <c r="P687">
        <f t="shared" si="30"/>
        <v>69.116399999999999</v>
      </c>
    </row>
    <row r="688" spans="1:16" x14ac:dyDescent="0.25">
      <c r="A688">
        <v>31</v>
      </c>
      <c r="B688">
        <v>1.72</v>
      </c>
      <c r="C688">
        <f t="shared" si="31"/>
        <v>53.32</v>
      </c>
      <c r="H688">
        <v>31</v>
      </c>
      <c r="I688">
        <v>1.72</v>
      </c>
      <c r="J688" s="11">
        <v>0.46</v>
      </c>
      <c r="K688">
        <f t="shared" si="32"/>
        <v>24.527200000000001</v>
      </c>
      <c r="N688">
        <v>53.32</v>
      </c>
      <c r="O688">
        <v>24.527200000000001</v>
      </c>
      <c r="P688">
        <f t="shared" si="30"/>
        <v>28.7928</v>
      </c>
    </row>
    <row r="689" spans="1:16" x14ac:dyDescent="0.25">
      <c r="A689">
        <v>49</v>
      </c>
      <c r="B689">
        <v>23.01</v>
      </c>
      <c r="C689">
        <f t="shared" si="31"/>
        <v>1127.49</v>
      </c>
      <c r="H689">
        <v>49</v>
      </c>
      <c r="I689">
        <v>23.01</v>
      </c>
      <c r="J689" s="11">
        <v>0.21</v>
      </c>
      <c r="K689">
        <f t="shared" si="32"/>
        <v>236.77289999999999</v>
      </c>
      <c r="N689">
        <v>1127.49</v>
      </c>
      <c r="O689">
        <v>236.77289999999999</v>
      </c>
      <c r="P689">
        <f t="shared" si="30"/>
        <v>890.71710000000007</v>
      </c>
    </row>
    <row r="690" spans="1:16" x14ac:dyDescent="0.25">
      <c r="A690">
        <v>48</v>
      </c>
      <c r="B690">
        <v>19.149999999999999</v>
      </c>
      <c r="C690">
        <f t="shared" si="31"/>
        <v>919.19999999999993</v>
      </c>
      <c r="H690">
        <v>48</v>
      </c>
      <c r="I690">
        <v>19.149999999999999</v>
      </c>
      <c r="J690" s="11">
        <v>0.42</v>
      </c>
      <c r="K690">
        <f t="shared" si="32"/>
        <v>386.06399999999996</v>
      </c>
      <c r="N690">
        <v>919.19999999999993</v>
      </c>
      <c r="O690">
        <v>386.06399999999996</v>
      </c>
      <c r="P690">
        <f t="shared" si="30"/>
        <v>533.13599999999997</v>
      </c>
    </row>
    <row r="691" spans="1:16" x14ac:dyDescent="0.25">
      <c r="A691">
        <v>25</v>
      </c>
      <c r="B691">
        <v>57.23</v>
      </c>
      <c r="C691">
        <f t="shared" si="31"/>
        <v>1430.75</v>
      </c>
      <c r="H691">
        <v>25</v>
      </c>
      <c r="I691">
        <v>57.23</v>
      </c>
      <c r="J691" s="11">
        <v>0.33</v>
      </c>
      <c r="K691">
        <f t="shared" si="32"/>
        <v>472.14750000000004</v>
      </c>
      <c r="N691">
        <v>1430.75</v>
      </c>
      <c r="O691">
        <v>472.14750000000004</v>
      </c>
      <c r="P691">
        <f t="shared" si="30"/>
        <v>958.60249999999996</v>
      </c>
    </row>
    <row r="692" spans="1:16" x14ac:dyDescent="0.25">
      <c r="A692">
        <v>2</v>
      </c>
      <c r="B692">
        <v>60.23</v>
      </c>
      <c r="C692">
        <f t="shared" si="31"/>
        <v>120.46</v>
      </c>
      <c r="H692">
        <v>2</v>
      </c>
      <c r="I692">
        <v>60.23</v>
      </c>
      <c r="J692" s="11">
        <v>0.33</v>
      </c>
      <c r="K692">
        <f t="shared" si="32"/>
        <v>39.751800000000003</v>
      </c>
      <c r="N692">
        <v>120.46</v>
      </c>
      <c r="O692">
        <v>39.751800000000003</v>
      </c>
      <c r="P692">
        <f t="shared" si="30"/>
        <v>80.708199999999991</v>
      </c>
    </row>
    <row r="693" spans="1:16" x14ac:dyDescent="0.25">
      <c r="A693">
        <v>34</v>
      </c>
      <c r="B693">
        <v>76.099999999999994</v>
      </c>
      <c r="C693">
        <f t="shared" si="31"/>
        <v>2587.3999999999996</v>
      </c>
      <c r="H693">
        <v>34</v>
      </c>
      <c r="I693">
        <v>76.099999999999994</v>
      </c>
      <c r="J693" s="11">
        <v>0.12</v>
      </c>
      <c r="K693">
        <f t="shared" si="32"/>
        <v>310.48799999999994</v>
      </c>
      <c r="N693">
        <v>2587.3999999999996</v>
      </c>
      <c r="O693">
        <v>310.48799999999994</v>
      </c>
      <c r="P693">
        <f t="shared" si="30"/>
        <v>2276.9119999999998</v>
      </c>
    </row>
    <row r="694" spans="1:16" x14ac:dyDescent="0.25">
      <c r="A694">
        <v>47</v>
      </c>
      <c r="B694">
        <v>65.58</v>
      </c>
      <c r="C694">
        <f t="shared" si="31"/>
        <v>3082.2599999999998</v>
      </c>
      <c r="H694">
        <v>47</v>
      </c>
      <c r="I694">
        <v>65.58</v>
      </c>
      <c r="J694" s="11">
        <v>0.34</v>
      </c>
      <c r="K694">
        <f t="shared" si="32"/>
        <v>1047.9684</v>
      </c>
      <c r="N694">
        <v>3082.2599999999998</v>
      </c>
      <c r="O694">
        <v>1047.9684</v>
      </c>
      <c r="P694">
        <f t="shared" si="30"/>
        <v>2034.2915999999998</v>
      </c>
    </row>
    <row r="695" spans="1:16" x14ac:dyDescent="0.25">
      <c r="A695">
        <v>3</v>
      </c>
      <c r="B695">
        <v>82.79</v>
      </c>
      <c r="C695">
        <f t="shared" si="31"/>
        <v>248.37</v>
      </c>
      <c r="H695">
        <v>3</v>
      </c>
      <c r="I695">
        <v>82.79</v>
      </c>
      <c r="J695" s="11">
        <v>0.48</v>
      </c>
      <c r="K695">
        <f t="shared" si="32"/>
        <v>119.2176</v>
      </c>
      <c r="N695">
        <v>248.37</v>
      </c>
      <c r="O695">
        <v>119.2176</v>
      </c>
      <c r="P695">
        <f t="shared" si="30"/>
        <v>129.1524</v>
      </c>
    </row>
    <row r="696" spans="1:16" x14ac:dyDescent="0.25">
      <c r="A696">
        <v>21</v>
      </c>
      <c r="B696">
        <v>31.98</v>
      </c>
      <c r="C696">
        <f t="shared" si="31"/>
        <v>671.58</v>
      </c>
      <c r="H696">
        <v>21</v>
      </c>
      <c r="I696">
        <v>31.98</v>
      </c>
      <c r="J696" s="11">
        <v>0.47</v>
      </c>
      <c r="K696">
        <f t="shared" si="32"/>
        <v>315.64260000000002</v>
      </c>
      <c r="N696">
        <v>671.58</v>
      </c>
      <c r="O696">
        <v>315.64260000000002</v>
      </c>
      <c r="P696">
        <f t="shared" si="30"/>
        <v>355.93740000000003</v>
      </c>
    </row>
    <row r="697" spans="1:16" x14ac:dyDescent="0.25">
      <c r="A697">
        <v>31</v>
      </c>
      <c r="B697">
        <v>22.61</v>
      </c>
      <c r="C697">
        <f t="shared" si="31"/>
        <v>700.91</v>
      </c>
      <c r="H697">
        <v>31</v>
      </c>
      <c r="I697">
        <v>22.61</v>
      </c>
      <c r="J697" s="11">
        <v>0.48</v>
      </c>
      <c r="K697">
        <f t="shared" si="32"/>
        <v>336.43679999999995</v>
      </c>
      <c r="N697">
        <v>700.91</v>
      </c>
      <c r="O697">
        <v>336.43679999999995</v>
      </c>
      <c r="P697">
        <f t="shared" si="30"/>
        <v>364.47320000000002</v>
      </c>
    </row>
    <row r="698" spans="1:16" x14ac:dyDescent="0.25">
      <c r="A698">
        <v>48</v>
      </c>
      <c r="B698">
        <v>57.6</v>
      </c>
      <c r="C698">
        <f t="shared" si="31"/>
        <v>2764.8</v>
      </c>
      <c r="H698">
        <v>48</v>
      </c>
      <c r="I698">
        <v>57.6</v>
      </c>
      <c r="J698" s="11">
        <v>0.01</v>
      </c>
      <c r="K698">
        <f t="shared" si="32"/>
        <v>27.648000000000003</v>
      </c>
      <c r="N698">
        <v>2764.8</v>
      </c>
      <c r="O698">
        <v>27.648000000000003</v>
      </c>
      <c r="P698">
        <f t="shared" si="30"/>
        <v>2737.152</v>
      </c>
    </row>
    <row r="699" spans="1:16" x14ac:dyDescent="0.25">
      <c r="A699">
        <v>2</v>
      </c>
      <c r="B699">
        <v>95.94</v>
      </c>
      <c r="C699">
        <f t="shared" si="31"/>
        <v>191.88</v>
      </c>
      <c r="H699">
        <v>2</v>
      </c>
      <c r="I699">
        <v>95.94</v>
      </c>
      <c r="J699" s="11">
        <v>0.49</v>
      </c>
      <c r="K699">
        <f t="shared" si="32"/>
        <v>94.021199999999993</v>
      </c>
      <c r="N699">
        <v>191.88</v>
      </c>
      <c r="O699">
        <v>94.021199999999993</v>
      </c>
      <c r="P699">
        <f t="shared" si="30"/>
        <v>97.858800000000002</v>
      </c>
    </row>
    <row r="700" spans="1:16" x14ac:dyDescent="0.25">
      <c r="A700">
        <v>48</v>
      </c>
      <c r="B700">
        <v>89.69</v>
      </c>
      <c r="C700">
        <f t="shared" si="31"/>
        <v>4305.12</v>
      </c>
      <c r="H700">
        <v>48</v>
      </c>
      <c r="I700">
        <v>89.69</v>
      </c>
      <c r="J700" s="11">
        <v>0.31</v>
      </c>
      <c r="K700">
        <f t="shared" si="32"/>
        <v>1334.5871999999999</v>
      </c>
      <c r="N700">
        <v>4305.12</v>
      </c>
      <c r="O700">
        <v>1334.5871999999999</v>
      </c>
      <c r="P700">
        <f t="shared" si="30"/>
        <v>2970.5328</v>
      </c>
    </row>
    <row r="701" spans="1:16" x14ac:dyDescent="0.25">
      <c r="A701">
        <v>30</v>
      </c>
      <c r="B701">
        <v>49.31</v>
      </c>
      <c r="C701">
        <f t="shared" si="31"/>
        <v>1479.3000000000002</v>
      </c>
      <c r="H701">
        <v>30</v>
      </c>
      <c r="I701">
        <v>49.31</v>
      </c>
      <c r="J701" s="11">
        <v>0.48</v>
      </c>
      <c r="K701">
        <f t="shared" si="32"/>
        <v>710.06400000000008</v>
      </c>
      <c r="N701">
        <v>1479.3000000000002</v>
      </c>
      <c r="O701">
        <v>710.06400000000008</v>
      </c>
      <c r="P701">
        <f t="shared" si="30"/>
        <v>769.2360000000001</v>
      </c>
    </row>
    <row r="702" spans="1:16" x14ac:dyDescent="0.25">
      <c r="A702">
        <v>16</v>
      </c>
      <c r="B702">
        <v>98.1</v>
      </c>
      <c r="C702">
        <f t="shared" si="31"/>
        <v>1569.6</v>
      </c>
      <c r="H702">
        <v>16</v>
      </c>
      <c r="I702">
        <v>98.1</v>
      </c>
      <c r="J702" s="11">
        <v>0.31</v>
      </c>
      <c r="K702">
        <f t="shared" si="32"/>
        <v>486.57599999999996</v>
      </c>
      <c r="N702">
        <v>1569.6</v>
      </c>
      <c r="O702">
        <v>486.57599999999996</v>
      </c>
      <c r="P702">
        <f t="shared" si="30"/>
        <v>1083.0239999999999</v>
      </c>
    </row>
    <row r="703" spans="1:16" x14ac:dyDescent="0.25">
      <c r="A703">
        <v>45</v>
      </c>
      <c r="B703">
        <v>56.78</v>
      </c>
      <c r="C703">
        <f t="shared" si="31"/>
        <v>2555.1</v>
      </c>
      <c r="H703">
        <v>45</v>
      </c>
      <c r="I703">
        <v>56.78</v>
      </c>
      <c r="J703" s="11">
        <v>0.28000000000000003</v>
      </c>
      <c r="K703">
        <f t="shared" si="32"/>
        <v>715.428</v>
      </c>
      <c r="N703">
        <v>2555.1</v>
      </c>
      <c r="O703">
        <v>715.428</v>
      </c>
      <c r="P703">
        <f t="shared" si="30"/>
        <v>1839.672</v>
      </c>
    </row>
    <row r="704" spans="1:16" x14ac:dyDescent="0.25">
      <c r="A704">
        <v>38</v>
      </c>
      <c r="B704">
        <v>85.64</v>
      </c>
      <c r="C704">
        <f t="shared" si="31"/>
        <v>3254.32</v>
      </c>
      <c r="H704">
        <v>38</v>
      </c>
      <c r="I704">
        <v>85.64</v>
      </c>
      <c r="J704" s="11">
        <v>0.06</v>
      </c>
      <c r="K704">
        <f t="shared" si="32"/>
        <v>195.25919999999999</v>
      </c>
      <c r="N704">
        <v>3254.32</v>
      </c>
      <c r="O704">
        <v>195.25919999999999</v>
      </c>
      <c r="P704">
        <f t="shared" si="30"/>
        <v>3059.0608000000002</v>
      </c>
    </row>
    <row r="705" spans="1:16" x14ac:dyDescent="0.25">
      <c r="A705">
        <v>28</v>
      </c>
      <c r="B705">
        <v>40.61</v>
      </c>
      <c r="C705">
        <f t="shared" si="31"/>
        <v>1137.08</v>
      </c>
      <c r="H705">
        <v>28</v>
      </c>
      <c r="I705">
        <v>40.61</v>
      </c>
      <c r="J705" s="11">
        <v>0.1</v>
      </c>
      <c r="K705">
        <f t="shared" si="32"/>
        <v>113.708</v>
      </c>
      <c r="N705">
        <v>1137.08</v>
      </c>
      <c r="O705">
        <v>113.708</v>
      </c>
      <c r="P705">
        <f t="shared" si="30"/>
        <v>1023.372</v>
      </c>
    </row>
    <row r="706" spans="1:16" x14ac:dyDescent="0.25">
      <c r="A706">
        <v>17</v>
      </c>
      <c r="B706">
        <v>47.85</v>
      </c>
      <c r="C706">
        <f t="shared" si="31"/>
        <v>813.45</v>
      </c>
      <c r="H706">
        <v>17</v>
      </c>
      <c r="I706">
        <v>47.85</v>
      </c>
      <c r="J706" s="11">
        <v>0.46</v>
      </c>
      <c r="K706">
        <f t="shared" si="32"/>
        <v>374.18700000000001</v>
      </c>
      <c r="N706">
        <v>813.45</v>
      </c>
      <c r="O706">
        <v>374.18700000000001</v>
      </c>
      <c r="P706">
        <f t="shared" ref="P706:P769" si="33">N706-O706</f>
        <v>439.26300000000003</v>
      </c>
    </row>
    <row r="707" spans="1:16" x14ac:dyDescent="0.25">
      <c r="A707">
        <v>39</v>
      </c>
      <c r="B707">
        <v>71.75</v>
      </c>
      <c r="C707">
        <f t="shared" ref="C707:C770" si="34">A707*B707</f>
        <v>2798.25</v>
      </c>
      <c r="H707">
        <v>39</v>
      </c>
      <c r="I707">
        <v>71.75</v>
      </c>
      <c r="J707" s="11">
        <v>0.39</v>
      </c>
      <c r="K707">
        <f t="shared" ref="K707:K770" si="35">H707*I707*J707</f>
        <v>1091.3175000000001</v>
      </c>
      <c r="N707">
        <v>2798.25</v>
      </c>
      <c r="O707">
        <v>1091.3175000000001</v>
      </c>
      <c r="P707">
        <f t="shared" si="33"/>
        <v>1706.9324999999999</v>
      </c>
    </row>
    <row r="708" spans="1:16" x14ac:dyDescent="0.25">
      <c r="A708">
        <v>19</v>
      </c>
      <c r="B708">
        <v>76.349999999999994</v>
      </c>
      <c r="C708">
        <f t="shared" si="34"/>
        <v>1450.6499999999999</v>
      </c>
      <c r="H708">
        <v>19</v>
      </c>
      <c r="I708">
        <v>76.349999999999994</v>
      </c>
      <c r="J708" s="11">
        <v>0.04</v>
      </c>
      <c r="K708">
        <f t="shared" si="35"/>
        <v>58.025999999999996</v>
      </c>
      <c r="N708">
        <v>1450.6499999999999</v>
      </c>
      <c r="O708">
        <v>58.025999999999996</v>
      </c>
      <c r="P708">
        <f t="shared" si="33"/>
        <v>1392.6239999999998</v>
      </c>
    </row>
    <row r="709" spans="1:16" x14ac:dyDescent="0.25">
      <c r="A709">
        <v>18</v>
      </c>
      <c r="B709">
        <v>75.02</v>
      </c>
      <c r="C709">
        <f t="shared" si="34"/>
        <v>1350.36</v>
      </c>
      <c r="H709">
        <v>18</v>
      </c>
      <c r="I709">
        <v>75.02</v>
      </c>
      <c r="J709" s="11">
        <v>0.28000000000000003</v>
      </c>
      <c r="K709">
        <f t="shared" si="35"/>
        <v>378.10079999999999</v>
      </c>
      <c r="N709">
        <v>1350.36</v>
      </c>
      <c r="O709">
        <v>378.10079999999999</v>
      </c>
      <c r="P709">
        <f t="shared" si="33"/>
        <v>972.25919999999996</v>
      </c>
    </row>
    <row r="710" spans="1:16" x14ac:dyDescent="0.25">
      <c r="A710">
        <v>46</v>
      </c>
      <c r="B710">
        <v>24.32</v>
      </c>
      <c r="C710">
        <f t="shared" si="34"/>
        <v>1118.72</v>
      </c>
      <c r="H710">
        <v>46</v>
      </c>
      <c r="I710">
        <v>24.32</v>
      </c>
      <c r="J710" s="11">
        <v>0.46</v>
      </c>
      <c r="K710">
        <f t="shared" si="35"/>
        <v>514.61120000000005</v>
      </c>
      <c r="N710">
        <v>1118.72</v>
      </c>
      <c r="O710">
        <v>514.61120000000005</v>
      </c>
      <c r="P710">
        <f t="shared" si="33"/>
        <v>604.10879999999997</v>
      </c>
    </row>
    <row r="711" spans="1:16" x14ac:dyDescent="0.25">
      <c r="A711">
        <v>38</v>
      </c>
      <c r="B711">
        <v>94.48</v>
      </c>
      <c r="C711">
        <f t="shared" si="34"/>
        <v>3590.2400000000002</v>
      </c>
      <c r="H711">
        <v>38</v>
      </c>
      <c r="I711">
        <v>94.48</v>
      </c>
      <c r="J711" s="11">
        <v>0.24</v>
      </c>
      <c r="K711">
        <f t="shared" si="35"/>
        <v>861.6576</v>
      </c>
      <c r="N711">
        <v>3590.2400000000002</v>
      </c>
      <c r="O711">
        <v>861.6576</v>
      </c>
      <c r="P711">
        <f t="shared" si="33"/>
        <v>2728.5824000000002</v>
      </c>
    </row>
    <row r="712" spans="1:16" x14ac:dyDescent="0.25">
      <c r="A712">
        <v>26</v>
      </c>
      <c r="B712">
        <v>54.18</v>
      </c>
      <c r="C712">
        <f t="shared" si="34"/>
        <v>1408.68</v>
      </c>
      <c r="H712">
        <v>26</v>
      </c>
      <c r="I712">
        <v>54.18</v>
      </c>
      <c r="J712" s="11">
        <v>0.31</v>
      </c>
      <c r="K712">
        <f t="shared" si="35"/>
        <v>436.69080000000002</v>
      </c>
      <c r="N712">
        <v>1408.68</v>
      </c>
      <c r="O712">
        <v>436.69080000000002</v>
      </c>
      <c r="P712">
        <f t="shared" si="33"/>
        <v>971.98919999999998</v>
      </c>
    </row>
    <row r="713" spans="1:16" x14ac:dyDescent="0.25">
      <c r="A713">
        <v>40</v>
      </c>
      <c r="B713">
        <v>35.64</v>
      </c>
      <c r="C713">
        <f t="shared" si="34"/>
        <v>1425.6</v>
      </c>
      <c r="H713">
        <v>40</v>
      </c>
      <c r="I713">
        <v>35.64</v>
      </c>
      <c r="J713" s="11">
        <v>0.38</v>
      </c>
      <c r="K713">
        <f t="shared" si="35"/>
        <v>541.72799999999995</v>
      </c>
      <c r="N713">
        <v>1425.6</v>
      </c>
      <c r="O713">
        <v>541.72799999999995</v>
      </c>
      <c r="P713">
        <f t="shared" si="33"/>
        <v>883.87199999999996</v>
      </c>
    </row>
    <row r="714" spans="1:16" x14ac:dyDescent="0.25">
      <c r="A714">
        <v>28</v>
      </c>
      <c r="B714">
        <v>11.52</v>
      </c>
      <c r="C714">
        <f t="shared" si="34"/>
        <v>322.56</v>
      </c>
      <c r="H714">
        <v>28</v>
      </c>
      <c r="I714">
        <v>11.52</v>
      </c>
      <c r="J714" s="11">
        <v>0.11</v>
      </c>
      <c r="K714">
        <f t="shared" si="35"/>
        <v>35.4816</v>
      </c>
      <c r="N714">
        <v>322.56</v>
      </c>
      <c r="O714">
        <v>35.4816</v>
      </c>
      <c r="P714">
        <f t="shared" si="33"/>
        <v>287.07839999999999</v>
      </c>
    </row>
    <row r="715" spans="1:16" x14ac:dyDescent="0.25">
      <c r="A715">
        <v>47</v>
      </c>
      <c r="B715">
        <v>42.18</v>
      </c>
      <c r="C715">
        <f t="shared" si="34"/>
        <v>1982.46</v>
      </c>
      <c r="H715">
        <v>47</v>
      </c>
      <c r="I715">
        <v>42.18</v>
      </c>
      <c r="J715" s="11">
        <v>0.33</v>
      </c>
      <c r="K715">
        <f t="shared" si="35"/>
        <v>654.21180000000004</v>
      </c>
      <c r="N715">
        <v>1982.46</v>
      </c>
      <c r="O715">
        <v>654.21180000000004</v>
      </c>
      <c r="P715">
        <f t="shared" si="33"/>
        <v>1328.2482</v>
      </c>
    </row>
    <row r="716" spans="1:16" x14ac:dyDescent="0.25">
      <c r="A716">
        <v>7</v>
      </c>
      <c r="B716">
        <v>59.24</v>
      </c>
      <c r="C716">
        <f t="shared" si="34"/>
        <v>414.68</v>
      </c>
      <c r="H716">
        <v>7</v>
      </c>
      <c r="I716">
        <v>59.24</v>
      </c>
      <c r="J716" s="11">
        <v>0.41</v>
      </c>
      <c r="K716">
        <f t="shared" si="35"/>
        <v>170.0188</v>
      </c>
      <c r="N716">
        <v>414.68</v>
      </c>
      <c r="O716">
        <v>170.0188</v>
      </c>
      <c r="P716">
        <f t="shared" si="33"/>
        <v>244.66120000000001</v>
      </c>
    </row>
    <row r="717" spans="1:16" x14ac:dyDescent="0.25">
      <c r="A717">
        <v>39</v>
      </c>
      <c r="B717">
        <v>79.16</v>
      </c>
      <c r="C717">
        <f t="shared" si="34"/>
        <v>3087.24</v>
      </c>
      <c r="H717">
        <v>39</v>
      </c>
      <c r="I717">
        <v>79.16</v>
      </c>
      <c r="J717" s="11">
        <v>0.11</v>
      </c>
      <c r="K717">
        <f t="shared" si="35"/>
        <v>339.59639999999996</v>
      </c>
      <c r="N717">
        <v>3087.24</v>
      </c>
      <c r="O717">
        <v>339.59639999999996</v>
      </c>
      <c r="P717">
        <f t="shared" si="33"/>
        <v>2747.6435999999999</v>
      </c>
    </row>
    <row r="718" spans="1:16" x14ac:dyDescent="0.25">
      <c r="A718">
        <v>26</v>
      </c>
      <c r="B718">
        <v>33.130000000000003</v>
      </c>
      <c r="C718">
        <f t="shared" si="34"/>
        <v>861.38000000000011</v>
      </c>
      <c r="H718">
        <v>26</v>
      </c>
      <c r="I718">
        <v>33.130000000000003</v>
      </c>
      <c r="J718" s="11">
        <v>0.11</v>
      </c>
      <c r="K718">
        <f t="shared" si="35"/>
        <v>94.751800000000017</v>
      </c>
      <c r="N718">
        <v>861.38000000000011</v>
      </c>
      <c r="O718">
        <v>94.751800000000017</v>
      </c>
      <c r="P718">
        <f t="shared" si="33"/>
        <v>766.62820000000011</v>
      </c>
    </row>
    <row r="719" spans="1:16" x14ac:dyDescent="0.25">
      <c r="A719">
        <v>42</v>
      </c>
      <c r="B719">
        <v>89.95</v>
      </c>
      <c r="C719">
        <f t="shared" si="34"/>
        <v>3777.9</v>
      </c>
      <c r="H719">
        <v>42</v>
      </c>
      <c r="I719">
        <v>89.95</v>
      </c>
      <c r="J719" s="11">
        <v>0.28000000000000003</v>
      </c>
      <c r="K719">
        <f t="shared" si="35"/>
        <v>1057.8120000000001</v>
      </c>
      <c r="N719">
        <v>3777.9</v>
      </c>
      <c r="O719">
        <v>1057.8120000000001</v>
      </c>
      <c r="P719">
        <f t="shared" si="33"/>
        <v>2720.0879999999997</v>
      </c>
    </row>
    <row r="720" spans="1:16" x14ac:dyDescent="0.25">
      <c r="A720">
        <v>43</v>
      </c>
      <c r="B720">
        <v>86.15</v>
      </c>
      <c r="C720">
        <f t="shared" si="34"/>
        <v>3704.4500000000003</v>
      </c>
      <c r="H720">
        <v>43</v>
      </c>
      <c r="I720">
        <v>86.15</v>
      </c>
      <c r="J720" s="11">
        <v>0.37</v>
      </c>
      <c r="K720">
        <f t="shared" si="35"/>
        <v>1370.6465000000001</v>
      </c>
      <c r="N720">
        <v>3704.4500000000003</v>
      </c>
      <c r="O720">
        <v>1370.6465000000001</v>
      </c>
      <c r="P720">
        <f t="shared" si="33"/>
        <v>2333.8035</v>
      </c>
    </row>
    <row r="721" spans="1:16" x14ac:dyDescent="0.25">
      <c r="A721">
        <v>35</v>
      </c>
      <c r="B721">
        <v>85.41</v>
      </c>
      <c r="C721">
        <f t="shared" si="34"/>
        <v>2989.35</v>
      </c>
      <c r="H721">
        <v>35</v>
      </c>
      <c r="I721">
        <v>85.41</v>
      </c>
      <c r="J721" s="11">
        <v>0.35</v>
      </c>
      <c r="K721">
        <f t="shared" si="35"/>
        <v>1046.2724999999998</v>
      </c>
      <c r="N721">
        <v>2989.35</v>
      </c>
      <c r="O721">
        <v>1046.2724999999998</v>
      </c>
      <c r="P721">
        <f t="shared" si="33"/>
        <v>1943.0775000000001</v>
      </c>
    </row>
    <row r="722" spans="1:16" x14ac:dyDescent="0.25">
      <c r="A722">
        <v>8</v>
      </c>
      <c r="B722">
        <v>97.03</v>
      </c>
      <c r="C722">
        <f t="shared" si="34"/>
        <v>776.24</v>
      </c>
      <c r="H722">
        <v>8</v>
      </c>
      <c r="I722">
        <v>97.03</v>
      </c>
      <c r="J722" s="11">
        <v>0.15</v>
      </c>
      <c r="K722">
        <f t="shared" si="35"/>
        <v>116.43599999999999</v>
      </c>
      <c r="N722">
        <v>776.24</v>
      </c>
      <c r="O722">
        <v>116.43599999999999</v>
      </c>
      <c r="P722">
        <f t="shared" si="33"/>
        <v>659.80399999999997</v>
      </c>
    </row>
    <row r="723" spans="1:16" x14ac:dyDescent="0.25">
      <c r="A723">
        <v>45</v>
      </c>
      <c r="B723">
        <v>84.9</v>
      </c>
      <c r="C723">
        <f t="shared" si="34"/>
        <v>3820.5000000000005</v>
      </c>
      <c r="H723">
        <v>45</v>
      </c>
      <c r="I723">
        <v>84.9</v>
      </c>
      <c r="J723" s="11">
        <v>0.25</v>
      </c>
      <c r="K723">
        <f t="shared" si="35"/>
        <v>955.12500000000011</v>
      </c>
      <c r="N723">
        <v>3820.5000000000005</v>
      </c>
      <c r="O723">
        <v>955.12500000000011</v>
      </c>
      <c r="P723">
        <f t="shared" si="33"/>
        <v>2865.3750000000005</v>
      </c>
    </row>
    <row r="724" spans="1:16" x14ac:dyDescent="0.25">
      <c r="A724">
        <v>4</v>
      </c>
      <c r="B724">
        <v>46.58</v>
      </c>
      <c r="C724">
        <f t="shared" si="34"/>
        <v>186.32</v>
      </c>
      <c r="H724">
        <v>4</v>
      </c>
      <c r="I724">
        <v>46.58</v>
      </c>
      <c r="J724" s="11">
        <v>0.28999999999999998</v>
      </c>
      <c r="K724">
        <f t="shared" si="35"/>
        <v>54.032799999999995</v>
      </c>
      <c r="N724">
        <v>186.32</v>
      </c>
      <c r="O724">
        <v>54.032799999999995</v>
      </c>
      <c r="P724">
        <f t="shared" si="33"/>
        <v>132.28719999999998</v>
      </c>
    </row>
    <row r="725" spans="1:16" x14ac:dyDescent="0.25">
      <c r="A725">
        <v>21</v>
      </c>
      <c r="B725">
        <v>67.37</v>
      </c>
      <c r="C725">
        <f t="shared" si="34"/>
        <v>1414.77</v>
      </c>
      <c r="H725">
        <v>21</v>
      </c>
      <c r="I725">
        <v>67.37</v>
      </c>
      <c r="J725" s="11">
        <v>0.06</v>
      </c>
      <c r="K725">
        <f t="shared" si="35"/>
        <v>84.886200000000002</v>
      </c>
      <c r="N725">
        <v>1414.77</v>
      </c>
      <c r="O725">
        <v>84.886200000000002</v>
      </c>
      <c r="P725">
        <f t="shared" si="33"/>
        <v>1329.8838000000001</v>
      </c>
    </row>
    <row r="726" spans="1:16" x14ac:dyDescent="0.25">
      <c r="A726">
        <v>27</v>
      </c>
      <c r="B726">
        <v>14.66</v>
      </c>
      <c r="C726">
        <f t="shared" si="34"/>
        <v>395.82</v>
      </c>
      <c r="H726">
        <v>27</v>
      </c>
      <c r="I726">
        <v>14.66</v>
      </c>
      <c r="J726" s="11">
        <v>0.21</v>
      </c>
      <c r="K726">
        <f t="shared" si="35"/>
        <v>83.122199999999992</v>
      </c>
      <c r="N726">
        <v>395.82</v>
      </c>
      <c r="O726">
        <v>83.122199999999992</v>
      </c>
      <c r="P726">
        <f t="shared" si="33"/>
        <v>312.69780000000003</v>
      </c>
    </row>
    <row r="727" spans="1:16" x14ac:dyDescent="0.25">
      <c r="A727">
        <v>39</v>
      </c>
      <c r="B727">
        <v>15.07</v>
      </c>
      <c r="C727">
        <f t="shared" si="34"/>
        <v>587.73</v>
      </c>
      <c r="H727">
        <v>39</v>
      </c>
      <c r="I727">
        <v>15.07</v>
      </c>
      <c r="J727" s="11">
        <v>0.25</v>
      </c>
      <c r="K727">
        <f t="shared" si="35"/>
        <v>146.9325</v>
      </c>
      <c r="N727">
        <v>587.73</v>
      </c>
      <c r="O727">
        <v>146.9325</v>
      </c>
      <c r="P727">
        <f t="shared" si="33"/>
        <v>440.79750000000001</v>
      </c>
    </row>
    <row r="728" spans="1:16" x14ac:dyDescent="0.25">
      <c r="A728">
        <v>22</v>
      </c>
      <c r="B728">
        <v>63.83</v>
      </c>
      <c r="C728">
        <f t="shared" si="34"/>
        <v>1404.26</v>
      </c>
      <c r="H728">
        <v>22</v>
      </c>
      <c r="I728">
        <v>63.83</v>
      </c>
      <c r="J728" s="11">
        <v>0.15</v>
      </c>
      <c r="K728">
        <f t="shared" si="35"/>
        <v>210.63899999999998</v>
      </c>
      <c r="N728">
        <v>1404.26</v>
      </c>
      <c r="O728">
        <v>210.63899999999998</v>
      </c>
      <c r="P728">
        <f t="shared" si="33"/>
        <v>1193.6210000000001</v>
      </c>
    </row>
    <row r="729" spans="1:16" x14ac:dyDescent="0.25">
      <c r="A729">
        <v>23</v>
      </c>
      <c r="B729">
        <v>29.32</v>
      </c>
      <c r="C729">
        <f t="shared" si="34"/>
        <v>674.36</v>
      </c>
      <c r="H729">
        <v>23</v>
      </c>
      <c r="I729">
        <v>29.32</v>
      </c>
      <c r="J729" s="11">
        <v>0.21</v>
      </c>
      <c r="K729">
        <f t="shared" si="35"/>
        <v>141.6156</v>
      </c>
      <c r="N729">
        <v>674.36</v>
      </c>
      <c r="O729">
        <v>141.6156</v>
      </c>
      <c r="P729">
        <f t="shared" si="33"/>
        <v>532.74440000000004</v>
      </c>
    </row>
    <row r="730" spans="1:16" x14ac:dyDescent="0.25">
      <c r="A730">
        <v>46</v>
      </c>
      <c r="B730">
        <v>67.959999999999994</v>
      </c>
      <c r="C730">
        <f t="shared" si="34"/>
        <v>3126.16</v>
      </c>
      <c r="H730">
        <v>46</v>
      </c>
      <c r="I730">
        <v>67.959999999999994</v>
      </c>
      <c r="J730" s="11">
        <v>0.45</v>
      </c>
      <c r="K730">
        <f t="shared" si="35"/>
        <v>1406.7719999999999</v>
      </c>
      <c r="N730">
        <v>3126.16</v>
      </c>
      <c r="O730">
        <v>1406.7719999999999</v>
      </c>
      <c r="P730">
        <f t="shared" si="33"/>
        <v>1719.3879999999999</v>
      </c>
    </row>
    <row r="731" spans="1:16" x14ac:dyDescent="0.25">
      <c r="A731">
        <v>3</v>
      </c>
      <c r="B731">
        <v>75.180000000000007</v>
      </c>
      <c r="C731">
        <f t="shared" si="34"/>
        <v>225.54000000000002</v>
      </c>
      <c r="H731">
        <v>3</v>
      </c>
      <c r="I731">
        <v>75.180000000000007</v>
      </c>
      <c r="J731" s="11">
        <v>0.39</v>
      </c>
      <c r="K731">
        <f t="shared" si="35"/>
        <v>87.960600000000014</v>
      </c>
      <c r="N731">
        <v>225.54000000000002</v>
      </c>
      <c r="O731">
        <v>87.960600000000014</v>
      </c>
      <c r="P731">
        <f t="shared" si="33"/>
        <v>137.57940000000002</v>
      </c>
    </row>
    <row r="732" spans="1:16" x14ac:dyDescent="0.25">
      <c r="A732">
        <v>44</v>
      </c>
      <c r="B732">
        <v>2.7</v>
      </c>
      <c r="C732">
        <f t="shared" si="34"/>
        <v>118.80000000000001</v>
      </c>
      <c r="H732">
        <v>44</v>
      </c>
      <c r="I732">
        <v>2.7</v>
      </c>
      <c r="J732" s="11">
        <v>0.27</v>
      </c>
      <c r="K732">
        <f t="shared" si="35"/>
        <v>32.076000000000008</v>
      </c>
      <c r="N732">
        <v>118.80000000000001</v>
      </c>
      <c r="O732">
        <v>32.076000000000008</v>
      </c>
      <c r="P732">
        <f t="shared" si="33"/>
        <v>86.724000000000004</v>
      </c>
    </row>
    <row r="733" spans="1:16" x14ac:dyDescent="0.25">
      <c r="A733">
        <v>8</v>
      </c>
      <c r="B733">
        <v>7.28</v>
      </c>
      <c r="C733">
        <f t="shared" si="34"/>
        <v>58.24</v>
      </c>
      <c r="H733">
        <v>8</v>
      </c>
      <c r="I733">
        <v>7.28</v>
      </c>
      <c r="J733" s="11">
        <v>0.06</v>
      </c>
      <c r="K733">
        <f t="shared" si="35"/>
        <v>3.4944000000000002</v>
      </c>
      <c r="N733">
        <v>58.24</v>
      </c>
      <c r="O733">
        <v>3.4944000000000002</v>
      </c>
      <c r="P733">
        <f t="shared" si="33"/>
        <v>54.745600000000003</v>
      </c>
    </row>
    <row r="734" spans="1:16" x14ac:dyDescent="0.25">
      <c r="A734">
        <v>14</v>
      </c>
      <c r="B734">
        <v>32.17</v>
      </c>
      <c r="C734">
        <f t="shared" si="34"/>
        <v>450.38</v>
      </c>
      <c r="H734">
        <v>14</v>
      </c>
      <c r="I734">
        <v>32.17</v>
      </c>
      <c r="J734" s="11">
        <v>0.04</v>
      </c>
      <c r="K734">
        <f t="shared" si="35"/>
        <v>18.0152</v>
      </c>
      <c r="N734">
        <v>450.38</v>
      </c>
      <c r="O734">
        <v>18.0152</v>
      </c>
      <c r="P734">
        <f t="shared" si="33"/>
        <v>432.3648</v>
      </c>
    </row>
    <row r="735" spans="1:16" x14ac:dyDescent="0.25">
      <c r="A735">
        <v>27</v>
      </c>
      <c r="B735">
        <v>82.79</v>
      </c>
      <c r="C735">
        <f t="shared" si="34"/>
        <v>2235.3300000000004</v>
      </c>
      <c r="H735">
        <v>27</v>
      </c>
      <c r="I735">
        <v>82.79</v>
      </c>
      <c r="J735" s="11">
        <v>0.48</v>
      </c>
      <c r="K735">
        <f t="shared" si="35"/>
        <v>1072.9584000000002</v>
      </c>
      <c r="N735">
        <v>2235.3300000000004</v>
      </c>
      <c r="O735">
        <v>1072.9584000000002</v>
      </c>
      <c r="P735">
        <f t="shared" si="33"/>
        <v>1162.3716000000002</v>
      </c>
    </row>
    <row r="736" spans="1:16" x14ac:dyDescent="0.25">
      <c r="A736">
        <v>49</v>
      </c>
      <c r="B736">
        <v>72.569999999999993</v>
      </c>
      <c r="C736">
        <f t="shared" si="34"/>
        <v>3555.93</v>
      </c>
      <c r="H736">
        <v>49</v>
      </c>
      <c r="I736">
        <v>72.569999999999993</v>
      </c>
      <c r="J736" s="11">
        <v>0</v>
      </c>
      <c r="K736">
        <f t="shared" si="35"/>
        <v>0</v>
      </c>
      <c r="N736">
        <v>3555.93</v>
      </c>
      <c r="O736">
        <v>0</v>
      </c>
      <c r="P736">
        <f t="shared" si="33"/>
        <v>3555.93</v>
      </c>
    </row>
    <row r="737" spans="1:16" x14ac:dyDescent="0.25">
      <c r="A737">
        <v>25</v>
      </c>
      <c r="B737">
        <v>81.41</v>
      </c>
      <c r="C737">
        <f t="shared" si="34"/>
        <v>2035.25</v>
      </c>
      <c r="H737">
        <v>25</v>
      </c>
      <c r="I737">
        <v>81.41</v>
      </c>
      <c r="J737" s="11">
        <v>0.12</v>
      </c>
      <c r="K737">
        <f t="shared" si="35"/>
        <v>244.23</v>
      </c>
      <c r="N737">
        <v>2035.25</v>
      </c>
      <c r="O737">
        <v>244.23</v>
      </c>
      <c r="P737">
        <f t="shared" si="33"/>
        <v>1791.02</v>
      </c>
    </row>
    <row r="738" spans="1:16" x14ac:dyDescent="0.25">
      <c r="A738">
        <v>1</v>
      </c>
      <c r="B738">
        <v>63.07</v>
      </c>
      <c r="C738">
        <f t="shared" si="34"/>
        <v>63.07</v>
      </c>
      <c r="H738">
        <v>1</v>
      </c>
      <c r="I738">
        <v>63.07</v>
      </c>
      <c r="J738" s="11">
        <v>0.31</v>
      </c>
      <c r="K738">
        <f t="shared" si="35"/>
        <v>19.5517</v>
      </c>
      <c r="N738">
        <v>63.07</v>
      </c>
      <c r="O738">
        <v>19.5517</v>
      </c>
      <c r="P738">
        <f t="shared" si="33"/>
        <v>43.518299999999996</v>
      </c>
    </row>
    <row r="739" spans="1:16" x14ac:dyDescent="0.25">
      <c r="A739">
        <v>36</v>
      </c>
      <c r="B739">
        <v>94.65</v>
      </c>
      <c r="C739">
        <f t="shared" si="34"/>
        <v>3407.4</v>
      </c>
      <c r="H739">
        <v>36</v>
      </c>
      <c r="I739">
        <v>94.65</v>
      </c>
      <c r="J739" s="11">
        <v>0.25</v>
      </c>
      <c r="K739">
        <f t="shared" si="35"/>
        <v>851.85</v>
      </c>
      <c r="N739">
        <v>3407.4</v>
      </c>
      <c r="O739">
        <v>851.85</v>
      </c>
      <c r="P739">
        <f t="shared" si="33"/>
        <v>2555.5500000000002</v>
      </c>
    </row>
    <row r="740" spans="1:16" x14ac:dyDescent="0.25">
      <c r="A740">
        <v>24</v>
      </c>
      <c r="B740">
        <v>85.51</v>
      </c>
      <c r="C740">
        <f t="shared" si="34"/>
        <v>2052.2400000000002</v>
      </c>
      <c r="H740">
        <v>24</v>
      </c>
      <c r="I740">
        <v>85.51</v>
      </c>
      <c r="J740" s="11">
        <v>0.33</v>
      </c>
      <c r="K740">
        <f t="shared" si="35"/>
        <v>677.2392000000001</v>
      </c>
      <c r="N740">
        <v>2052.2400000000002</v>
      </c>
      <c r="O740">
        <v>677.2392000000001</v>
      </c>
      <c r="P740">
        <f t="shared" si="33"/>
        <v>1375.0008000000003</v>
      </c>
    </row>
    <row r="741" spans="1:16" x14ac:dyDescent="0.25">
      <c r="A741">
        <v>43</v>
      </c>
      <c r="B741">
        <v>40.479999999999997</v>
      </c>
      <c r="C741">
        <f t="shared" si="34"/>
        <v>1740.6399999999999</v>
      </c>
      <c r="H741">
        <v>43</v>
      </c>
      <c r="I741">
        <v>40.479999999999997</v>
      </c>
      <c r="J741" s="11">
        <v>0.21</v>
      </c>
      <c r="K741">
        <f t="shared" si="35"/>
        <v>365.53439999999995</v>
      </c>
      <c r="N741">
        <v>1740.6399999999999</v>
      </c>
      <c r="O741">
        <v>365.53439999999995</v>
      </c>
      <c r="P741">
        <f t="shared" si="33"/>
        <v>1375.1055999999999</v>
      </c>
    </row>
    <row r="742" spans="1:16" x14ac:dyDescent="0.25">
      <c r="A742">
        <v>31</v>
      </c>
      <c r="B742">
        <v>65.88</v>
      </c>
      <c r="C742">
        <f t="shared" si="34"/>
        <v>2042.2799999999997</v>
      </c>
      <c r="H742">
        <v>31</v>
      </c>
      <c r="I742">
        <v>65.88</v>
      </c>
      <c r="J742" s="11">
        <v>0.18</v>
      </c>
      <c r="K742">
        <f t="shared" si="35"/>
        <v>367.61039999999991</v>
      </c>
      <c r="N742">
        <v>2042.2799999999997</v>
      </c>
      <c r="O742">
        <v>367.61039999999991</v>
      </c>
      <c r="P742">
        <f t="shared" si="33"/>
        <v>1674.6695999999997</v>
      </c>
    </row>
    <row r="743" spans="1:16" x14ac:dyDescent="0.25">
      <c r="A743">
        <v>27</v>
      </c>
      <c r="B743">
        <v>69.33</v>
      </c>
      <c r="C743">
        <f t="shared" si="34"/>
        <v>1871.9099999999999</v>
      </c>
      <c r="H743">
        <v>27</v>
      </c>
      <c r="I743">
        <v>69.33</v>
      </c>
      <c r="J743" s="11">
        <v>0.43</v>
      </c>
      <c r="K743">
        <f t="shared" si="35"/>
        <v>804.92129999999997</v>
      </c>
      <c r="N743">
        <v>1871.9099999999999</v>
      </c>
      <c r="O743">
        <v>804.92129999999997</v>
      </c>
      <c r="P743">
        <f t="shared" si="33"/>
        <v>1066.9886999999999</v>
      </c>
    </row>
    <row r="744" spans="1:16" x14ac:dyDescent="0.25">
      <c r="A744">
        <v>43</v>
      </c>
      <c r="B744">
        <v>27.6</v>
      </c>
      <c r="C744">
        <f t="shared" si="34"/>
        <v>1186.8</v>
      </c>
      <c r="H744">
        <v>43</v>
      </c>
      <c r="I744">
        <v>27.6</v>
      </c>
      <c r="J744" s="11">
        <v>0.23</v>
      </c>
      <c r="K744">
        <f t="shared" si="35"/>
        <v>272.964</v>
      </c>
      <c r="N744">
        <v>1186.8</v>
      </c>
      <c r="O744">
        <v>272.964</v>
      </c>
      <c r="P744">
        <f t="shared" si="33"/>
        <v>913.83600000000001</v>
      </c>
    </row>
    <row r="745" spans="1:16" x14ac:dyDescent="0.25">
      <c r="A745">
        <v>28</v>
      </c>
      <c r="B745">
        <v>66.760000000000005</v>
      </c>
      <c r="C745">
        <f t="shared" si="34"/>
        <v>1869.2800000000002</v>
      </c>
      <c r="H745">
        <v>28</v>
      </c>
      <c r="I745">
        <v>66.760000000000005</v>
      </c>
      <c r="J745" s="11">
        <v>0.23</v>
      </c>
      <c r="K745">
        <f t="shared" si="35"/>
        <v>429.93440000000004</v>
      </c>
      <c r="N745">
        <v>1869.2800000000002</v>
      </c>
      <c r="O745">
        <v>429.93440000000004</v>
      </c>
      <c r="P745">
        <f t="shared" si="33"/>
        <v>1439.3456000000001</v>
      </c>
    </row>
    <row r="746" spans="1:16" x14ac:dyDescent="0.25">
      <c r="A746">
        <v>31</v>
      </c>
      <c r="B746">
        <v>13.9</v>
      </c>
      <c r="C746">
        <f t="shared" si="34"/>
        <v>430.90000000000003</v>
      </c>
      <c r="H746">
        <v>31</v>
      </c>
      <c r="I746">
        <v>13.9</v>
      </c>
      <c r="J746" s="11">
        <v>0.27</v>
      </c>
      <c r="K746">
        <f t="shared" si="35"/>
        <v>116.34300000000002</v>
      </c>
      <c r="N746">
        <v>430.90000000000003</v>
      </c>
      <c r="O746">
        <v>116.34300000000002</v>
      </c>
      <c r="P746">
        <f t="shared" si="33"/>
        <v>314.55700000000002</v>
      </c>
    </row>
    <row r="747" spans="1:16" x14ac:dyDescent="0.25">
      <c r="A747">
        <v>30</v>
      </c>
      <c r="B747">
        <v>22.8</v>
      </c>
      <c r="C747">
        <f t="shared" si="34"/>
        <v>684</v>
      </c>
      <c r="H747">
        <v>30</v>
      </c>
      <c r="I747">
        <v>22.8</v>
      </c>
      <c r="J747" s="11">
        <v>0.21</v>
      </c>
      <c r="K747">
        <f t="shared" si="35"/>
        <v>143.63999999999999</v>
      </c>
      <c r="N747">
        <v>684</v>
      </c>
      <c r="O747">
        <v>143.63999999999999</v>
      </c>
      <c r="P747">
        <f t="shared" si="33"/>
        <v>540.36</v>
      </c>
    </row>
    <row r="748" spans="1:16" x14ac:dyDescent="0.25">
      <c r="A748">
        <v>13</v>
      </c>
      <c r="B748">
        <v>94.81</v>
      </c>
      <c r="C748">
        <f t="shared" si="34"/>
        <v>1232.53</v>
      </c>
      <c r="H748">
        <v>13</v>
      </c>
      <c r="I748">
        <v>94.81</v>
      </c>
      <c r="J748" s="11">
        <v>0.27</v>
      </c>
      <c r="K748">
        <f t="shared" si="35"/>
        <v>332.78309999999999</v>
      </c>
      <c r="N748">
        <v>1232.53</v>
      </c>
      <c r="O748">
        <v>332.78309999999999</v>
      </c>
      <c r="P748">
        <f t="shared" si="33"/>
        <v>899.74689999999998</v>
      </c>
    </row>
    <row r="749" spans="1:16" x14ac:dyDescent="0.25">
      <c r="A749">
        <v>12</v>
      </c>
      <c r="B749">
        <v>57.92</v>
      </c>
      <c r="C749">
        <f t="shared" si="34"/>
        <v>695.04</v>
      </c>
      <c r="H749">
        <v>12</v>
      </c>
      <c r="I749">
        <v>57.92</v>
      </c>
      <c r="J749" s="11">
        <v>0.5</v>
      </c>
      <c r="K749">
        <f t="shared" si="35"/>
        <v>347.52</v>
      </c>
      <c r="N749">
        <v>695.04</v>
      </c>
      <c r="O749">
        <v>347.52</v>
      </c>
      <c r="P749">
        <f t="shared" si="33"/>
        <v>347.52</v>
      </c>
    </row>
    <row r="750" spans="1:16" x14ac:dyDescent="0.25">
      <c r="A750">
        <v>30</v>
      </c>
      <c r="B750">
        <v>58.01</v>
      </c>
      <c r="C750">
        <f t="shared" si="34"/>
        <v>1740.3</v>
      </c>
      <c r="H750">
        <v>30</v>
      </c>
      <c r="I750">
        <v>58.01</v>
      </c>
      <c r="J750" s="11">
        <v>0.27</v>
      </c>
      <c r="K750">
        <f t="shared" si="35"/>
        <v>469.88100000000003</v>
      </c>
      <c r="N750">
        <v>1740.3</v>
      </c>
      <c r="O750">
        <v>469.88100000000003</v>
      </c>
      <c r="P750">
        <f t="shared" si="33"/>
        <v>1270.4189999999999</v>
      </c>
    </row>
    <row r="751" spans="1:16" x14ac:dyDescent="0.25">
      <c r="A751">
        <v>43</v>
      </c>
      <c r="B751">
        <v>56.9</v>
      </c>
      <c r="C751">
        <f t="shared" si="34"/>
        <v>2446.6999999999998</v>
      </c>
      <c r="H751">
        <v>43</v>
      </c>
      <c r="I751">
        <v>56.9</v>
      </c>
      <c r="J751" s="11">
        <v>0.09</v>
      </c>
      <c r="K751">
        <f t="shared" si="35"/>
        <v>220.20299999999997</v>
      </c>
      <c r="N751">
        <v>2446.6999999999998</v>
      </c>
      <c r="O751">
        <v>220.20299999999997</v>
      </c>
      <c r="P751">
        <f t="shared" si="33"/>
        <v>2226.4969999999998</v>
      </c>
    </row>
    <row r="752" spans="1:16" x14ac:dyDescent="0.25">
      <c r="A752">
        <v>48</v>
      </c>
      <c r="B752">
        <v>12.47</v>
      </c>
      <c r="C752">
        <f t="shared" si="34"/>
        <v>598.56000000000006</v>
      </c>
      <c r="H752">
        <v>48</v>
      </c>
      <c r="I752">
        <v>12.47</v>
      </c>
      <c r="J752" s="11">
        <v>0.18</v>
      </c>
      <c r="K752">
        <f t="shared" si="35"/>
        <v>107.74080000000001</v>
      </c>
      <c r="N752">
        <v>598.56000000000006</v>
      </c>
      <c r="O752">
        <v>107.74080000000001</v>
      </c>
      <c r="P752">
        <f t="shared" si="33"/>
        <v>490.81920000000002</v>
      </c>
    </row>
    <row r="753" spans="1:16" x14ac:dyDescent="0.25">
      <c r="A753">
        <v>49</v>
      </c>
      <c r="B753">
        <v>14.27</v>
      </c>
      <c r="C753">
        <f t="shared" si="34"/>
        <v>699.23</v>
      </c>
      <c r="H753">
        <v>49</v>
      </c>
      <c r="I753">
        <v>14.27</v>
      </c>
      <c r="J753" s="11">
        <v>0.41</v>
      </c>
      <c r="K753">
        <f t="shared" si="35"/>
        <v>286.68430000000001</v>
      </c>
      <c r="N753">
        <v>699.23</v>
      </c>
      <c r="O753">
        <v>286.68430000000001</v>
      </c>
      <c r="P753">
        <f t="shared" si="33"/>
        <v>412.54570000000001</v>
      </c>
    </row>
    <row r="754" spans="1:16" x14ac:dyDescent="0.25">
      <c r="A754">
        <v>39</v>
      </c>
      <c r="B754">
        <v>86.32</v>
      </c>
      <c r="C754">
        <f t="shared" si="34"/>
        <v>3366.4799999999996</v>
      </c>
      <c r="H754">
        <v>39</v>
      </c>
      <c r="I754">
        <v>86.32</v>
      </c>
      <c r="J754" s="11">
        <v>0.06</v>
      </c>
      <c r="K754">
        <f t="shared" si="35"/>
        <v>201.98879999999997</v>
      </c>
      <c r="N754">
        <v>3366.4799999999996</v>
      </c>
      <c r="O754">
        <v>201.98879999999997</v>
      </c>
      <c r="P754">
        <f t="shared" si="33"/>
        <v>3164.4911999999995</v>
      </c>
    </row>
    <row r="755" spans="1:16" x14ac:dyDescent="0.25">
      <c r="A755">
        <v>4</v>
      </c>
      <c r="B755">
        <v>28.14</v>
      </c>
      <c r="C755">
        <f t="shared" si="34"/>
        <v>112.56</v>
      </c>
      <c r="H755">
        <v>4</v>
      </c>
      <c r="I755">
        <v>28.14</v>
      </c>
      <c r="J755" s="11">
        <v>0</v>
      </c>
      <c r="K755">
        <f t="shared" si="35"/>
        <v>0</v>
      </c>
      <c r="N755">
        <v>112.56</v>
      </c>
      <c r="O755">
        <v>0</v>
      </c>
      <c r="P755">
        <f t="shared" si="33"/>
        <v>112.56</v>
      </c>
    </row>
    <row r="756" spans="1:16" x14ac:dyDescent="0.25">
      <c r="A756">
        <v>17</v>
      </c>
      <c r="B756">
        <v>47.37</v>
      </c>
      <c r="C756">
        <f t="shared" si="34"/>
        <v>805.29</v>
      </c>
      <c r="H756">
        <v>17</v>
      </c>
      <c r="I756">
        <v>47.37</v>
      </c>
      <c r="J756" s="11">
        <v>0.15</v>
      </c>
      <c r="K756">
        <f t="shared" si="35"/>
        <v>120.79349999999999</v>
      </c>
      <c r="N756">
        <v>805.29</v>
      </c>
      <c r="O756">
        <v>120.79349999999999</v>
      </c>
      <c r="P756">
        <f t="shared" si="33"/>
        <v>684.49649999999997</v>
      </c>
    </row>
    <row r="757" spans="1:16" x14ac:dyDescent="0.25">
      <c r="A757">
        <v>44</v>
      </c>
      <c r="B757">
        <v>1.54</v>
      </c>
      <c r="C757">
        <f t="shared" si="34"/>
        <v>67.760000000000005</v>
      </c>
      <c r="H757">
        <v>44</v>
      </c>
      <c r="I757">
        <v>1.54</v>
      </c>
      <c r="J757" s="11">
        <v>0.14000000000000001</v>
      </c>
      <c r="K757">
        <f t="shared" si="35"/>
        <v>9.4864000000000015</v>
      </c>
      <c r="N757">
        <v>67.760000000000005</v>
      </c>
      <c r="O757">
        <v>9.4864000000000015</v>
      </c>
      <c r="P757">
        <f t="shared" si="33"/>
        <v>58.273600000000002</v>
      </c>
    </row>
    <row r="758" spans="1:16" x14ac:dyDescent="0.25">
      <c r="A758">
        <v>1</v>
      </c>
      <c r="B758">
        <v>13.94</v>
      </c>
      <c r="C758">
        <f t="shared" si="34"/>
        <v>13.94</v>
      </c>
      <c r="H758">
        <v>1</v>
      </c>
      <c r="I758">
        <v>13.94</v>
      </c>
      <c r="J758" s="11">
        <v>0.05</v>
      </c>
      <c r="K758">
        <f t="shared" si="35"/>
        <v>0.69700000000000006</v>
      </c>
      <c r="N758">
        <v>13.94</v>
      </c>
      <c r="O758">
        <v>0.69700000000000006</v>
      </c>
      <c r="P758">
        <f t="shared" si="33"/>
        <v>13.242999999999999</v>
      </c>
    </row>
    <row r="759" spans="1:16" x14ac:dyDescent="0.25">
      <c r="A759">
        <v>44</v>
      </c>
      <c r="B759">
        <v>52.56</v>
      </c>
      <c r="C759">
        <f t="shared" si="34"/>
        <v>2312.6400000000003</v>
      </c>
      <c r="H759">
        <v>44</v>
      </c>
      <c r="I759">
        <v>52.56</v>
      </c>
      <c r="J759" s="11">
        <v>0.41</v>
      </c>
      <c r="K759">
        <f t="shared" si="35"/>
        <v>948.18240000000003</v>
      </c>
      <c r="N759">
        <v>2312.6400000000003</v>
      </c>
      <c r="O759">
        <v>948.18240000000003</v>
      </c>
      <c r="P759">
        <f t="shared" si="33"/>
        <v>1364.4576000000002</v>
      </c>
    </row>
    <row r="760" spans="1:16" x14ac:dyDescent="0.25">
      <c r="A760">
        <v>16</v>
      </c>
      <c r="B760">
        <v>6.55</v>
      </c>
      <c r="C760">
        <f t="shared" si="34"/>
        <v>104.8</v>
      </c>
      <c r="H760">
        <v>16</v>
      </c>
      <c r="I760">
        <v>6.55</v>
      </c>
      <c r="J760" s="11">
        <v>0.44</v>
      </c>
      <c r="K760">
        <f t="shared" si="35"/>
        <v>46.112000000000002</v>
      </c>
      <c r="N760">
        <v>104.8</v>
      </c>
      <c r="O760">
        <v>46.112000000000002</v>
      </c>
      <c r="P760">
        <f t="shared" si="33"/>
        <v>58.687999999999995</v>
      </c>
    </row>
    <row r="761" spans="1:16" x14ac:dyDescent="0.25">
      <c r="A761">
        <v>10</v>
      </c>
      <c r="B761">
        <v>73.92</v>
      </c>
      <c r="C761">
        <f t="shared" si="34"/>
        <v>739.2</v>
      </c>
      <c r="H761">
        <v>10</v>
      </c>
      <c r="I761">
        <v>73.92</v>
      </c>
      <c r="J761" s="11">
        <v>0.41</v>
      </c>
      <c r="K761">
        <f t="shared" si="35"/>
        <v>303.072</v>
      </c>
      <c r="N761">
        <v>739.2</v>
      </c>
      <c r="O761">
        <v>303.072</v>
      </c>
      <c r="P761">
        <f t="shared" si="33"/>
        <v>436.12800000000004</v>
      </c>
    </row>
    <row r="762" spans="1:16" x14ac:dyDescent="0.25">
      <c r="A762">
        <v>2</v>
      </c>
      <c r="B762">
        <v>38.44</v>
      </c>
      <c r="C762">
        <f t="shared" si="34"/>
        <v>76.88</v>
      </c>
      <c r="H762">
        <v>2</v>
      </c>
      <c r="I762">
        <v>38.44</v>
      </c>
      <c r="J762" s="11">
        <v>0.3</v>
      </c>
      <c r="K762">
        <f t="shared" si="35"/>
        <v>23.063999999999997</v>
      </c>
      <c r="N762">
        <v>76.88</v>
      </c>
      <c r="O762">
        <v>23.063999999999997</v>
      </c>
      <c r="P762">
        <f t="shared" si="33"/>
        <v>53.816000000000003</v>
      </c>
    </row>
    <row r="763" spans="1:16" x14ac:dyDescent="0.25">
      <c r="A763">
        <v>11</v>
      </c>
      <c r="B763">
        <v>99.17</v>
      </c>
      <c r="C763">
        <f t="shared" si="34"/>
        <v>1090.8700000000001</v>
      </c>
      <c r="H763">
        <v>11</v>
      </c>
      <c r="I763">
        <v>99.17</v>
      </c>
      <c r="J763" s="11">
        <v>0.28000000000000003</v>
      </c>
      <c r="K763">
        <f t="shared" si="35"/>
        <v>305.44360000000006</v>
      </c>
      <c r="N763">
        <v>1090.8700000000001</v>
      </c>
      <c r="O763">
        <v>305.44360000000006</v>
      </c>
      <c r="P763">
        <f t="shared" si="33"/>
        <v>785.42640000000006</v>
      </c>
    </row>
    <row r="764" spans="1:16" x14ac:dyDescent="0.25">
      <c r="A764">
        <v>3</v>
      </c>
      <c r="B764">
        <v>26.1</v>
      </c>
      <c r="C764">
        <f t="shared" si="34"/>
        <v>78.300000000000011</v>
      </c>
      <c r="H764">
        <v>3</v>
      </c>
      <c r="I764">
        <v>26.1</v>
      </c>
      <c r="J764" s="11">
        <v>0.48</v>
      </c>
      <c r="K764">
        <f t="shared" si="35"/>
        <v>37.584000000000003</v>
      </c>
      <c r="N764">
        <v>78.300000000000011</v>
      </c>
      <c r="O764">
        <v>37.584000000000003</v>
      </c>
      <c r="P764">
        <f t="shared" si="33"/>
        <v>40.716000000000008</v>
      </c>
    </row>
    <row r="765" spans="1:16" x14ac:dyDescent="0.25">
      <c r="A765">
        <v>8</v>
      </c>
      <c r="B765">
        <v>28.36</v>
      </c>
      <c r="C765">
        <f t="shared" si="34"/>
        <v>226.88</v>
      </c>
      <c r="H765">
        <v>8</v>
      </c>
      <c r="I765">
        <v>28.36</v>
      </c>
      <c r="J765" s="11">
        <v>0.22</v>
      </c>
      <c r="K765">
        <f t="shared" si="35"/>
        <v>49.913600000000002</v>
      </c>
      <c r="N765">
        <v>226.88</v>
      </c>
      <c r="O765">
        <v>49.913600000000002</v>
      </c>
      <c r="P765">
        <f t="shared" si="33"/>
        <v>176.96639999999999</v>
      </c>
    </row>
    <row r="766" spans="1:16" x14ac:dyDescent="0.25">
      <c r="A766">
        <v>16</v>
      </c>
      <c r="B766">
        <v>96.46</v>
      </c>
      <c r="C766">
        <f t="shared" si="34"/>
        <v>1543.36</v>
      </c>
      <c r="H766">
        <v>16</v>
      </c>
      <c r="I766">
        <v>96.46</v>
      </c>
      <c r="J766" s="11">
        <v>0.05</v>
      </c>
      <c r="K766">
        <f t="shared" si="35"/>
        <v>77.168000000000006</v>
      </c>
      <c r="N766">
        <v>1543.36</v>
      </c>
      <c r="O766">
        <v>77.168000000000006</v>
      </c>
      <c r="P766">
        <f t="shared" si="33"/>
        <v>1466.192</v>
      </c>
    </row>
    <row r="767" spans="1:16" x14ac:dyDescent="0.25">
      <c r="A767">
        <v>47</v>
      </c>
      <c r="B767">
        <v>30.39</v>
      </c>
      <c r="C767">
        <f t="shared" si="34"/>
        <v>1428.33</v>
      </c>
      <c r="H767">
        <v>47</v>
      </c>
      <c r="I767">
        <v>30.39</v>
      </c>
      <c r="J767" s="11">
        <v>0.1</v>
      </c>
      <c r="K767">
        <f t="shared" si="35"/>
        <v>142.833</v>
      </c>
      <c r="N767">
        <v>1428.33</v>
      </c>
      <c r="O767">
        <v>142.833</v>
      </c>
      <c r="P767">
        <f t="shared" si="33"/>
        <v>1285.4969999999998</v>
      </c>
    </row>
    <row r="768" spans="1:16" x14ac:dyDescent="0.25">
      <c r="A768">
        <v>9</v>
      </c>
      <c r="B768">
        <v>67.260000000000005</v>
      </c>
      <c r="C768">
        <f t="shared" si="34"/>
        <v>605.34</v>
      </c>
      <c r="H768">
        <v>9</v>
      </c>
      <c r="I768">
        <v>67.260000000000005</v>
      </c>
      <c r="J768" s="11">
        <v>0.37</v>
      </c>
      <c r="K768">
        <f t="shared" si="35"/>
        <v>223.97580000000002</v>
      </c>
      <c r="N768">
        <v>605.34</v>
      </c>
      <c r="O768">
        <v>223.97580000000002</v>
      </c>
      <c r="P768">
        <f t="shared" si="33"/>
        <v>381.36419999999998</v>
      </c>
    </row>
    <row r="769" spans="1:16" x14ac:dyDescent="0.25">
      <c r="A769">
        <v>46</v>
      </c>
      <c r="B769">
        <v>68.92</v>
      </c>
      <c r="C769">
        <f t="shared" si="34"/>
        <v>3170.32</v>
      </c>
      <c r="H769">
        <v>46</v>
      </c>
      <c r="I769">
        <v>68.92</v>
      </c>
      <c r="J769" s="11">
        <v>0.38</v>
      </c>
      <c r="K769">
        <f t="shared" si="35"/>
        <v>1204.7216000000001</v>
      </c>
      <c r="N769">
        <v>3170.32</v>
      </c>
      <c r="O769">
        <v>1204.7216000000001</v>
      </c>
      <c r="P769">
        <f t="shared" si="33"/>
        <v>1965.5984000000001</v>
      </c>
    </row>
    <row r="770" spans="1:16" x14ac:dyDescent="0.25">
      <c r="A770">
        <v>46</v>
      </c>
      <c r="B770">
        <v>83.44</v>
      </c>
      <c r="C770">
        <f t="shared" si="34"/>
        <v>3838.24</v>
      </c>
      <c r="H770">
        <v>46</v>
      </c>
      <c r="I770">
        <v>83.44</v>
      </c>
      <c r="J770" s="11">
        <v>0.24</v>
      </c>
      <c r="K770">
        <f t="shared" si="35"/>
        <v>921.17759999999987</v>
      </c>
      <c r="N770">
        <v>3838.24</v>
      </c>
      <c r="O770">
        <v>921.17759999999987</v>
      </c>
      <c r="P770">
        <f t="shared" ref="P770:P833" si="36">N770-O770</f>
        <v>2917.0623999999998</v>
      </c>
    </row>
    <row r="771" spans="1:16" x14ac:dyDescent="0.25">
      <c r="A771">
        <v>27</v>
      </c>
      <c r="B771">
        <v>97.02</v>
      </c>
      <c r="C771">
        <f t="shared" ref="C771:C834" si="37">A771*B771</f>
        <v>2619.54</v>
      </c>
      <c r="H771">
        <v>27</v>
      </c>
      <c r="I771">
        <v>97.02</v>
      </c>
      <c r="J771" s="11">
        <v>0.19</v>
      </c>
      <c r="K771">
        <f t="shared" ref="K771:K834" si="38">H771*I771*J771</f>
        <v>497.71260000000001</v>
      </c>
      <c r="N771">
        <v>2619.54</v>
      </c>
      <c r="O771">
        <v>497.71260000000001</v>
      </c>
      <c r="P771">
        <f t="shared" si="36"/>
        <v>2121.8274000000001</v>
      </c>
    </row>
    <row r="772" spans="1:16" x14ac:dyDescent="0.25">
      <c r="A772">
        <v>22</v>
      </c>
      <c r="B772">
        <v>57.2</v>
      </c>
      <c r="C772">
        <f t="shared" si="37"/>
        <v>1258.4000000000001</v>
      </c>
      <c r="H772">
        <v>22</v>
      </c>
      <c r="I772">
        <v>57.2</v>
      </c>
      <c r="J772" s="11">
        <v>7.0000000000000007E-2</v>
      </c>
      <c r="K772">
        <f t="shared" si="38"/>
        <v>88.088000000000008</v>
      </c>
      <c r="N772">
        <v>1258.4000000000001</v>
      </c>
      <c r="O772">
        <v>88.088000000000008</v>
      </c>
      <c r="P772">
        <f t="shared" si="36"/>
        <v>1170.3120000000001</v>
      </c>
    </row>
    <row r="773" spans="1:16" x14ac:dyDescent="0.25">
      <c r="A773">
        <v>27</v>
      </c>
      <c r="B773">
        <v>55.2</v>
      </c>
      <c r="C773">
        <f t="shared" si="37"/>
        <v>1490.4</v>
      </c>
      <c r="H773">
        <v>27</v>
      </c>
      <c r="I773">
        <v>55.2</v>
      </c>
      <c r="J773" s="11">
        <v>0.06</v>
      </c>
      <c r="K773">
        <f t="shared" si="38"/>
        <v>89.424000000000007</v>
      </c>
      <c r="N773">
        <v>1490.4</v>
      </c>
      <c r="O773">
        <v>89.424000000000007</v>
      </c>
      <c r="P773">
        <f t="shared" si="36"/>
        <v>1400.9760000000001</v>
      </c>
    </row>
    <row r="774" spans="1:16" x14ac:dyDescent="0.25">
      <c r="A774">
        <v>38</v>
      </c>
      <c r="B774">
        <v>34.590000000000003</v>
      </c>
      <c r="C774">
        <f t="shared" si="37"/>
        <v>1314.42</v>
      </c>
      <c r="H774">
        <v>38</v>
      </c>
      <c r="I774">
        <v>34.590000000000003</v>
      </c>
      <c r="J774" s="11">
        <v>0.46</v>
      </c>
      <c r="K774">
        <f t="shared" si="38"/>
        <v>604.6332000000001</v>
      </c>
      <c r="N774">
        <v>1314.42</v>
      </c>
      <c r="O774">
        <v>604.6332000000001</v>
      </c>
      <c r="P774">
        <f t="shared" si="36"/>
        <v>709.78679999999997</v>
      </c>
    </row>
    <row r="775" spans="1:16" x14ac:dyDescent="0.25">
      <c r="A775">
        <v>6</v>
      </c>
      <c r="B775">
        <v>50.45</v>
      </c>
      <c r="C775">
        <f t="shared" si="37"/>
        <v>302.70000000000005</v>
      </c>
      <c r="H775">
        <v>6</v>
      </c>
      <c r="I775">
        <v>50.45</v>
      </c>
      <c r="J775" s="11">
        <v>0.25</v>
      </c>
      <c r="K775">
        <f t="shared" si="38"/>
        <v>75.675000000000011</v>
      </c>
      <c r="N775">
        <v>302.70000000000005</v>
      </c>
      <c r="O775">
        <v>75.675000000000011</v>
      </c>
      <c r="P775">
        <f t="shared" si="36"/>
        <v>227.02500000000003</v>
      </c>
    </row>
    <row r="776" spans="1:16" x14ac:dyDescent="0.25">
      <c r="A776">
        <v>21</v>
      </c>
      <c r="B776">
        <v>20.61</v>
      </c>
      <c r="C776">
        <f t="shared" si="37"/>
        <v>432.81</v>
      </c>
      <c r="H776">
        <v>21</v>
      </c>
      <c r="I776">
        <v>20.61</v>
      </c>
      <c r="J776" s="11">
        <v>0.12</v>
      </c>
      <c r="K776">
        <f t="shared" si="38"/>
        <v>51.937199999999997</v>
      </c>
      <c r="N776">
        <v>432.81</v>
      </c>
      <c r="O776">
        <v>51.937199999999997</v>
      </c>
      <c r="P776">
        <f t="shared" si="36"/>
        <v>380.87279999999998</v>
      </c>
    </row>
    <row r="777" spans="1:16" x14ac:dyDescent="0.25">
      <c r="A777">
        <v>7</v>
      </c>
      <c r="B777">
        <v>81.41</v>
      </c>
      <c r="C777">
        <f t="shared" si="37"/>
        <v>569.87</v>
      </c>
      <c r="H777">
        <v>7</v>
      </c>
      <c r="I777">
        <v>81.41</v>
      </c>
      <c r="J777" s="11">
        <v>0.37</v>
      </c>
      <c r="K777">
        <f t="shared" si="38"/>
        <v>210.8519</v>
      </c>
      <c r="N777">
        <v>569.87</v>
      </c>
      <c r="O777">
        <v>210.8519</v>
      </c>
      <c r="P777">
        <f t="shared" si="36"/>
        <v>359.0181</v>
      </c>
    </row>
    <row r="778" spans="1:16" x14ac:dyDescent="0.25">
      <c r="A778">
        <v>10</v>
      </c>
      <c r="B778">
        <v>7.45</v>
      </c>
      <c r="C778">
        <f t="shared" si="37"/>
        <v>74.5</v>
      </c>
      <c r="H778">
        <v>10</v>
      </c>
      <c r="I778">
        <v>7.45</v>
      </c>
      <c r="J778" s="11">
        <v>0.13</v>
      </c>
      <c r="K778">
        <f t="shared" si="38"/>
        <v>9.6850000000000005</v>
      </c>
      <c r="N778">
        <v>74.5</v>
      </c>
      <c r="O778">
        <v>9.6850000000000005</v>
      </c>
      <c r="P778">
        <f t="shared" si="36"/>
        <v>64.814999999999998</v>
      </c>
    </row>
    <row r="779" spans="1:16" x14ac:dyDescent="0.25">
      <c r="A779">
        <v>47</v>
      </c>
      <c r="B779">
        <v>79.78</v>
      </c>
      <c r="C779">
        <f t="shared" si="37"/>
        <v>3749.66</v>
      </c>
      <c r="H779">
        <v>47</v>
      </c>
      <c r="I779">
        <v>79.78</v>
      </c>
      <c r="J779" s="11">
        <v>0.36</v>
      </c>
      <c r="K779">
        <f t="shared" si="38"/>
        <v>1349.8775999999998</v>
      </c>
      <c r="N779">
        <v>3749.66</v>
      </c>
      <c r="O779">
        <v>1349.8775999999998</v>
      </c>
      <c r="P779">
        <f t="shared" si="36"/>
        <v>2399.7824000000001</v>
      </c>
    </row>
    <row r="780" spans="1:16" x14ac:dyDescent="0.25">
      <c r="A780">
        <v>16</v>
      </c>
      <c r="B780">
        <v>96.08</v>
      </c>
      <c r="C780">
        <f t="shared" si="37"/>
        <v>1537.28</v>
      </c>
      <c r="H780">
        <v>16</v>
      </c>
      <c r="I780">
        <v>96.08</v>
      </c>
      <c r="J780" s="11">
        <v>0.1</v>
      </c>
      <c r="K780">
        <f t="shared" si="38"/>
        <v>153.72800000000001</v>
      </c>
      <c r="N780">
        <v>1537.28</v>
      </c>
      <c r="O780">
        <v>153.72800000000001</v>
      </c>
      <c r="P780">
        <f t="shared" si="36"/>
        <v>1383.5519999999999</v>
      </c>
    </row>
    <row r="781" spans="1:16" x14ac:dyDescent="0.25">
      <c r="A781">
        <v>34</v>
      </c>
      <c r="B781">
        <v>77.94</v>
      </c>
      <c r="C781">
        <f t="shared" si="37"/>
        <v>2649.96</v>
      </c>
      <c r="H781">
        <v>34</v>
      </c>
      <c r="I781">
        <v>77.94</v>
      </c>
      <c r="J781" s="11">
        <v>0.24</v>
      </c>
      <c r="K781">
        <f t="shared" si="38"/>
        <v>635.99040000000002</v>
      </c>
      <c r="N781">
        <v>2649.96</v>
      </c>
      <c r="O781">
        <v>635.99040000000002</v>
      </c>
      <c r="P781">
        <f t="shared" si="36"/>
        <v>2013.9695999999999</v>
      </c>
    </row>
    <row r="782" spans="1:16" x14ac:dyDescent="0.25">
      <c r="A782">
        <v>34</v>
      </c>
      <c r="B782">
        <v>86.56</v>
      </c>
      <c r="C782">
        <f t="shared" si="37"/>
        <v>2943.04</v>
      </c>
      <c r="H782">
        <v>34</v>
      </c>
      <c r="I782">
        <v>86.56</v>
      </c>
      <c r="J782" s="11">
        <v>0.15</v>
      </c>
      <c r="K782">
        <f t="shared" si="38"/>
        <v>441.45599999999996</v>
      </c>
      <c r="N782">
        <v>2943.04</v>
      </c>
      <c r="O782">
        <v>441.45599999999996</v>
      </c>
      <c r="P782">
        <f t="shared" si="36"/>
        <v>2501.5839999999998</v>
      </c>
    </row>
    <row r="783" spans="1:16" x14ac:dyDescent="0.25">
      <c r="A783">
        <v>7</v>
      </c>
      <c r="B783">
        <v>98.99</v>
      </c>
      <c r="C783">
        <f t="shared" si="37"/>
        <v>692.93</v>
      </c>
      <c r="H783">
        <v>7</v>
      </c>
      <c r="I783">
        <v>98.99</v>
      </c>
      <c r="J783" s="11">
        <v>0.41</v>
      </c>
      <c r="K783">
        <f t="shared" si="38"/>
        <v>284.10129999999998</v>
      </c>
      <c r="N783">
        <v>692.93</v>
      </c>
      <c r="O783">
        <v>284.10129999999998</v>
      </c>
      <c r="P783">
        <f t="shared" si="36"/>
        <v>408.82869999999997</v>
      </c>
    </row>
    <row r="784" spans="1:16" x14ac:dyDescent="0.25">
      <c r="A784">
        <v>26</v>
      </c>
      <c r="B784">
        <v>15.52</v>
      </c>
      <c r="C784">
        <f t="shared" si="37"/>
        <v>403.52</v>
      </c>
      <c r="H784">
        <v>26</v>
      </c>
      <c r="I784">
        <v>15.52</v>
      </c>
      <c r="J784" s="11">
        <v>0.49</v>
      </c>
      <c r="K784">
        <f t="shared" si="38"/>
        <v>197.72479999999999</v>
      </c>
      <c r="N784">
        <v>403.52</v>
      </c>
      <c r="O784">
        <v>197.72479999999999</v>
      </c>
      <c r="P784">
        <f t="shared" si="36"/>
        <v>205.79519999999999</v>
      </c>
    </row>
    <row r="785" spans="1:16" x14ac:dyDescent="0.25">
      <c r="A785">
        <v>18</v>
      </c>
      <c r="B785">
        <v>70.14</v>
      </c>
      <c r="C785">
        <f t="shared" si="37"/>
        <v>1262.52</v>
      </c>
      <c r="H785">
        <v>18</v>
      </c>
      <c r="I785">
        <v>70.14</v>
      </c>
      <c r="J785" s="11">
        <v>0.11</v>
      </c>
      <c r="K785">
        <f t="shared" si="38"/>
        <v>138.87719999999999</v>
      </c>
      <c r="N785">
        <v>1262.52</v>
      </c>
      <c r="O785">
        <v>138.87719999999999</v>
      </c>
      <c r="P785">
        <f t="shared" si="36"/>
        <v>1123.6428000000001</v>
      </c>
    </row>
    <row r="786" spans="1:16" x14ac:dyDescent="0.25">
      <c r="A786">
        <v>10</v>
      </c>
      <c r="B786">
        <v>96.19</v>
      </c>
      <c r="C786">
        <f t="shared" si="37"/>
        <v>961.9</v>
      </c>
      <c r="H786">
        <v>10</v>
      </c>
      <c r="I786">
        <v>96.19</v>
      </c>
      <c r="J786" s="11">
        <v>0.35</v>
      </c>
      <c r="K786">
        <f t="shared" si="38"/>
        <v>336.66499999999996</v>
      </c>
      <c r="N786">
        <v>961.9</v>
      </c>
      <c r="O786">
        <v>336.66499999999996</v>
      </c>
      <c r="P786">
        <f t="shared" si="36"/>
        <v>625.23500000000001</v>
      </c>
    </row>
    <row r="787" spans="1:16" x14ac:dyDescent="0.25">
      <c r="A787">
        <v>40</v>
      </c>
      <c r="B787">
        <v>55.16</v>
      </c>
      <c r="C787">
        <f t="shared" si="37"/>
        <v>2206.3999999999996</v>
      </c>
      <c r="H787">
        <v>40</v>
      </c>
      <c r="I787">
        <v>55.16</v>
      </c>
      <c r="J787" s="11">
        <v>0.26</v>
      </c>
      <c r="K787">
        <f t="shared" si="38"/>
        <v>573.66399999999987</v>
      </c>
      <c r="N787">
        <v>2206.3999999999996</v>
      </c>
      <c r="O787">
        <v>573.66399999999987</v>
      </c>
      <c r="P787">
        <f t="shared" si="36"/>
        <v>1632.7359999999999</v>
      </c>
    </row>
    <row r="788" spans="1:16" x14ac:dyDescent="0.25">
      <c r="A788">
        <v>29</v>
      </c>
      <c r="B788">
        <v>84.49</v>
      </c>
      <c r="C788">
        <f t="shared" si="37"/>
        <v>2450.21</v>
      </c>
      <c r="H788">
        <v>29</v>
      </c>
      <c r="I788">
        <v>84.49</v>
      </c>
      <c r="J788" s="11">
        <v>0.44</v>
      </c>
      <c r="K788">
        <f t="shared" si="38"/>
        <v>1078.0924</v>
      </c>
      <c r="N788">
        <v>2450.21</v>
      </c>
      <c r="O788">
        <v>1078.0924</v>
      </c>
      <c r="P788">
        <f t="shared" si="36"/>
        <v>1372.1176</v>
      </c>
    </row>
    <row r="789" spans="1:16" x14ac:dyDescent="0.25">
      <c r="A789">
        <v>14</v>
      </c>
      <c r="B789">
        <v>9.48</v>
      </c>
      <c r="C789">
        <f t="shared" si="37"/>
        <v>132.72</v>
      </c>
      <c r="H789">
        <v>14</v>
      </c>
      <c r="I789">
        <v>9.48</v>
      </c>
      <c r="J789" s="11">
        <v>0.14000000000000001</v>
      </c>
      <c r="K789">
        <f t="shared" si="38"/>
        <v>18.5808</v>
      </c>
      <c r="N789">
        <v>132.72</v>
      </c>
      <c r="O789">
        <v>18.5808</v>
      </c>
      <c r="P789">
        <f t="shared" si="36"/>
        <v>114.1392</v>
      </c>
    </row>
    <row r="790" spans="1:16" x14ac:dyDescent="0.25">
      <c r="A790">
        <v>14</v>
      </c>
      <c r="B790">
        <v>54.79</v>
      </c>
      <c r="C790">
        <f t="shared" si="37"/>
        <v>767.06</v>
      </c>
      <c r="H790">
        <v>14</v>
      </c>
      <c r="I790">
        <v>54.79</v>
      </c>
      <c r="J790" s="11">
        <v>0.06</v>
      </c>
      <c r="K790">
        <f t="shared" si="38"/>
        <v>46.023599999999995</v>
      </c>
      <c r="N790">
        <v>767.06</v>
      </c>
      <c r="O790">
        <v>46.023599999999995</v>
      </c>
      <c r="P790">
        <f t="shared" si="36"/>
        <v>721.03639999999996</v>
      </c>
    </row>
    <row r="791" spans="1:16" x14ac:dyDescent="0.25">
      <c r="A791">
        <v>38</v>
      </c>
      <c r="B791">
        <v>96.08</v>
      </c>
      <c r="C791">
        <f t="shared" si="37"/>
        <v>3651.04</v>
      </c>
      <c r="H791">
        <v>38</v>
      </c>
      <c r="I791">
        <v>96.08</v>
      </c>
      <c r="J791" s="11">
        <v>0.02</v>
      </c>
      <c r="K791">
        <f t="shared" si="38"/>
        <v>73.020799999999994</v>
      </c>
      <c r="N791">
        <v>3651.04</v>
      </c>
      <c r="O791">
        <v>73.020799999999994</v>
      </c>
      <c r="P791">
        <f t="shared" si="36"/>
        <v>3578.0192000000002</v>
      </c>
    </row>
    <row r="792" spans="1:16" x14ac:dyDescent="0.25">
      <c r="A792">
        <v>8</v>
      </c>
      <c r="B792">
        <v>74.430000000000007</v>
      </c>
      <c r="C792">
        <f t="shared" si="37"/>
        <v>595.44000000000005</v>
      </c>
      <c r="H792">
        <v>8</v>
      </c>
      <c r="I792">
        <v>74.430000000000007</v>
      </c>
      <c r="J792" s="11">
        <v>0.02</v>
      </c>
      <c r="K792">
        <f t="shared" si="38"/>
        <v>11.908800000000001</v>
      </c>
      <c r="N792">
        <v>595.44000000000005</v>
      </c>
      <c r="O792">
        <v>11.908800000000001</v>
      </c>
      <c r="P792">
        <f t="shared" si="36"/>
        <v>583.53120000000001</v>
      </c>
    </row>
    <row r="793" spans="1:16" x14ac:dyDescent="0.25">
      <c r="A793">
        <v>10</v>
      </c>
      <c r="B793">
        <v>5.04</v>
      </c>
      <c r="C793">
        <f t="shared" si="37"/>
        <v>50.4</v>
      </c>
      <c r="H793">
        <v>10</v>
      </c>
      <c r="I793">
        <v>5.04</v>
      </c>
      <c r="J793" s="11">
        <v>0.42</v>
      </c>
      <c r="K793">
        <f t="shared" si="38"/>
        <v>21.167999999999999</v>
      </c>
      <c r="N793">
        <v>50.4</v>
      </c>
      <c r="O793">
        <v>21.167999999999999</v>
      </c>
      <c r="P793">
        <f t="shared" si="36"/>
        <v>29.231999999999999</v>
      </c>
    </row>
    <row r="794" spans="1:16" x14ac:dyDescent="0.25">
      <c r="A794">
        <v>29</v>
      </c>
      <c r="B794">
        <v>24.55</v>
      </c>
      <c r="C794">
        <f t="shared" si="37"/>
        <v>711.95</v>
      </c>
      <c r="H794">
        <v>29</v>
      </c>
      <c r="I794">
        <v>24.55</v>
      </c>
      <c r="J794" s="11">
        <v>0.35</v>
      </c>
      <c r="K794">
        <f t="shared" si="38"/>
        <v>249.1825</v>
      </c>
      <c r="N794">
        <v>711.95</v>
      </c>
      <c r="O794">
        <v>249.1825</v>
      </c>
      <c r="P794">
        <f t="shared" si="36"/>
        <v>462.76750000000004</v>
      </c>
    </row>
    <row r="795" spans="1:16" x14ac:dyDescent="0.25">
      <c r="A795">
        <v>19</v>
      </c>
      <c r="B795">
        <v>68.81</v>
      </c>
      <c r="C795">
        <f t="shared" si="37"/>
        <v>1307.3900000000001</v>
      </c>
      <c r="H795">
        <v>19</v>
      </c>
      <c r="I795">
        <v>68.81</v>
      </c>
      <c r="J795" s="11">
        <v>0.06</v>
      </c>
      <c r="K795">
        <f t="shared" si="38"/>
        <v>78.443399999999997</v>
      </c>
      <c r="N795">
        <v>1307.3900000000001</v>
      </c>
      <c r="O795">
        <v>78.443399999999997</v>
      </c>
      <c r="P795">
        <f t="shared" si="36"/>
        <v>1228.9466000000002</v>
      </c>
    </row>
    <row r="796" spans="1:16" x14ac:dyDescent="0.25">
      <c r="A796">
        <v>39</v>
      </c>
      <c r="B796">
        <v>99.14</v>
      </c>
      <c r="C796">
        <f t="shared" si="37"/>
        <v>3866.46</v>
      </c>
      <c r="H796">
        <v>39</v>
      </c>
      <c r="I796">
        <v>99.14</v>
      </c>
      <c r="J796" s="11">
        <v>0.46</v>
      </c>
      <c r="K796">
        <f t="shared" si="38"/>
        <v>1778.5716</v>
      </c>
      <c r="N796">
        <v>3866.46</v>
      </c>
      <c r="O796">
        <v>1778.5716</v>
      </c>
      <c r="P796">
        <f t="shared" si="36"/>
        <v>2087.8883999999998</v>
      </c>
    </row>
    <row r="797" spans="1:16" x14ac:dyDescent="0.25">
      <c r="A797">
        <v>36</v>
      </c>
      <c r="B797">
        <v>80.900000000000006</v>
      </c>
      <c r="C797">
        <f t="shared" si="37"/>
        <v>2912.4</v>
      </c>
      <c r="H797">
        <v>36</v>
      </c>
      <c r="I797">
        <v>80.900000000000006</v>
      </c>
      <c r="J797" s="11">
        <v>0.32</v>
      </c>
      <c r="K797">
        <f t="shared" si="38"/>
        <v>931.96800000000007</v>
      </c>
      <c r="N797">
        <v>2912.4</v>
      </c>
      <c r="O797">
        <v>931.96800000000007</v>
      </c>
      <c r="P797">
        <f t="shared" si="36"/>
        <v>1980.432</v>
      </c>
    </row>
    <row r="798" spans="1:16" x14ac:dyDescent="0.25">
      <c r="A798">
        <v>49</v>
      </c>
      <c r="B798">
        <v>35.71</v>
      </c>
      <c r="C798">
        <f t="shared" si="37"/>
        <v>1749.79</v>
      </c>
      <c r="H798">
        <v>49</v>
      </c>
      <c r="I798">
        <v>35.71</v>
      </c>
      <c r="J798" s="11">
        <v>0.08</v>
      </c>
      <c r="K798">
        <f t="shared" si="38"/>
        <v>139.98320000000001</v>
      </c>
      <c r="N798">
        <v>1749.79</v>
      </c>
      <c r="O798">
        <v>139.98320000000001</v>
      </c>
      <c r="P798">
        <f t="shared" si="36"/>
        <v>1609.8067999999998</v>
      </c>
    </row>
    <row r="799" spans="1:16" x14ac:dyDescent="0.25">
      <c r="A799">
        <v>18</v>
      </c>
      <c r="B799">
        <v>99.85</v>
      </c>
      <c r="C799">
        <f t="shared" si="37"/>
        <v>1797.3</v>
      </c>
      <c r="H799">
        <v>18</v>
      </c>
      <c r="I799">
        <v>99.85</v>
      </c>
      <c r="J799" s="11">
        <v>0.18</v>
      </c>
      <c r="K799">
        <f t="shared" si="38"/>
        <v>323.51399999999995</v>
      </c>
      <c r="N799">
        <v>1797.3</v>
      </c>
      <c r="O799">
        <v>323.51399999999995</v>
      </c>
      <c r="P799">
        <f t="shared" si="36"/>
        <v>1473.7860000000001</v>
      </c>
    </row>
    <row r="800" spans="1:16" x14ac:dyDescent="0.25">
      <c r="A800">
        <v>31</v>
      </c>
      <c r="B800">
        <v>20.7</v>
      </c>
      <c r="C800">
        <f t="shared" si="37"/>
        <v>641.69999999999993</v>
      </c>
      <c r="H800">
        <v>31</v>
      </c>
      <c r="I800">
        <v>20.7</v>
      </c>
      <c r="J800" s="11">
        <v>0.15</v>
      </c>
      <c r="K800">
        <f t="shared" si="38"/>
        <v>96.254999999999981</v>
      </c>
      <c r="N800">
        <v>641.69999999999993</v>
      </c>
      <c r="O800">
        <v>96.254999999999981</v>
      </c>
      <c r="P800">
        <f t="shared" si="36"/>
        <v>545.44499999999994</v>
      </c>
    </row>
    <row r="801" spans="1:16" x14ac:dyDescent="0.25">
      <c r="A801">
        <v>44</v>
      </c>
      <c r="B801">
        <v>27.67</v>
      </c>
      <c r="C801">
        <f t="shared" si="37"/>
        <v>1217.48</v>
      </c>
      <c r="H801">
        <v>44</v>
      </c>
      <c r="I801">
        <v>27.67</v>
      </c>
      <c r="J801" s="11">
        <v>0.13</v>
      </c>
      <c r="K801">
        <f t="shared" si="38"/>
        <v>158.2724</v>
      </c>
      <c r="N801">
        <v>1217.48</v>
      </c>
      <c r="O801">
        <v>158.2724</v>
      </c>
      <c r="P801">
        <f t="shared" si="36"/>
        <v>1059.2076</v>
      </c>
    </row>
    <row r="802" spans="1:16" x14ac:dyDescent="0.25">
      <c r="A802">
        <v>14</v>
      </c>
      <c r="B802">
        <v>56.1</v>
      </c>
      <c r="C802">
        <f t="shared" si="37"/>
        <v>785.4</v>
      </c>
      <c r="H802">
        <v>14</v>
      </c>
      <c r="I802">
        <v>56.1</v>
      </c>
      <c r="J802" s="11">
        <v>0.34</v>
      </c>
      <c r="K802">
        <f t="shared" si="38"/>
        <v>267.036</v>
      </c>
      <c r="N802">
        <v>785.4</v>
      </c>
      <c r="O802">
        <v>267.036</v>
      </c>
      <c r="P802">
        <f t="shared" si="36"/>
        <v>518.36400000000003</v>
      </c>
    </row>
    <row r="803" spans="1:16" x14ac:dyDescent="0.25">
      <c r="A803">
        <v>45</v>
      </c>
      <c r="B803">
        <v>28.62</v>
      </c>
      <c r="C803">
        <f t="shared" si="37"/>
        <v>1287.9000000000001</v>
      </c>
      <c r="H803">
        <v>45</v>
      </c>
      <c r="I803">
        <v>28.62</v>
      </c>
      <c r="J803" s="11">
        <v>0.42</v>
      </c>
      <c r="K803">
        <f t="shared" si="38"/>
        <v>540.91800000000001</v>
      </c>
      <c r="N803">
        <v>1287.9000000000001</v>
      </c>
      <c r="O803">
        <v>540.91800000000001</v>
      </c>
      <c r="P803">
        <f t="shared" si="36"/>
        <v>746.98200000000008</v>
      </c>
    </row>
    <row r="804" spans="1:16" x14ac:dyDescent="0.25">
      <c r="A804">
        <v>40</v>
      </c>
      <c r="B804">
        <v>40.93</v>
      </c>
      <c r="C804">
        <f t="shared" si="37"/>
        <v>1637.2</v>
      </c>
      <c r="H804">
        <v>40</v>
      </c>
      <c r="I804">
        <v>40.93</v>
      </c>
      <c r="J804" s="11">
        <v>0.16</v>
      </c>
      <c r="K804">
        <f t="shared" si="38"/>
        <v>261.952</v>
      </c>
      <c r="N804">
        <v>1637.2</v>
      </c>
      <c r="O804">
        <v>261.952</v>
      </c>
      <c r="P804">
        <f t="shared" si="36"/>
        <v>1375.248</v>
      </c>
    </row>
    <row r="805" spans="1:16" x14ac:dyDescent="0.25">
      <c r="A805">
        <v>24</v>
      </c>
      <c r="B805">
        <v>90.05</v>
      </c>
      <c r="C805">
        <f t="shared" si="37"/>
        <v>2161.1999999999998</v>
      </c>
      <c r="H805">
        <v>24</v>
      </c>
      <c r="I805">
        <v>90.05</v>
      </c>
      <c r="J805" s="11">
        <v>0.28999999999999998</v>
      </c>
      <c r="K805">
        <f t="shared" si="38"/>
        <v>626.74799999999993</v>
      </c>
      <c r="N805">
        <v>2161.1999999999998</v>
      </c>
      <c r="O805">
        <v>626.74799999999993</v>
      </c>
      <c r="P805">
        <f t="shared" si="36"/>
        <v>1534.4519999999998</v>
      </c>
    </row>
    <row r="806" spans="1:16" x14ac:dyDescent="0.25">
      <c r="A806">
        <v>47</v>
      </c>
      <c r="B806">
        <v>48.2</v>
      </c>
      <c r="C806">
        <f t="shared" si="37"/>
        <v>2265.4</v>
      </c>
      <c r="H806">
        <v>47</v>
      </c>
      <c r="I806">
        <v>48.2</v>
      </c>
      <c r="J806" s="11">
        <v>0.14000000000000001</v>
      </c>
      <c r="K806">
        <f t="shared" si="38"/>
        <v>317.15600000000006</v>
      </c>
      <c r="N806">
        <v>2265.4</v>
      </c>
      <c r="O806">
        <v>317.15600000000006</v>
      </c>
      <c r="P806">
        <f t="shared" si="36"/>
        <v>1948.2440000000001</v>
      </c>
    </row>
    <row r="807" spans="1:16" x14ac:dyDescent="0.25">
      <c r="A807">
        <v>29</v>
      </c>
      <c r="B807">
        <v>82.33</v>
      </c>
      <c r="C807">
        <f t="shared" si="37"/>
        <v>2387.5700000000002</v>
      </c>
      <c r="H807">
        <v>29</v>
      </c>
      <c r="I807">
        <v>82.33</v>
      </c>
      <c r="J807" s="11">
        <v>0.2</v>
      </c>
      <c r="K807">
        <f t="shared" si="38"/>
        <v>477.51400000000007</v>
      </c>
      <c r="N807">
        <v>2387.5700000000002</v>
      </c>
      <c r="O807">
        <v>477.51400000000007</v>
      </c>
      <c r="P807">
        <f t="shared" si="36"/>
        <v>1910.056</v>
      </c>
    </row>
    <row r="808" spans="1:16" x14ac:dyDescent="0.25">
      <c r="A808">
        <v>34</v>
      </c>
      <c r="B808">
        <v>76.2</v>
      </c>
      <c r="C808">
        <f t="shared" si="37"/>
        <v>2590.8000000000002</v>
      </c>
      <c r="H808">
        <v>34</v>
      </c>
      <c r="I808">
        <v>76.2</v>
      </c>
      <c r="J808" s="11">
        <v>0.32</v>
      </c>
      <c r="K808">
        <f t="shared" si="38"/>
        <v>829.05600000000004</v>
      </c>
      <c r="N808">
        <v>2590.8000000000002</v>
      </c>
      <c r="O808">
        <v>829.05600000000004</v>
      </c>
      <c r="P808">
        <f t="shared" si="36"/>
        <v>1761.7440000000001</v>
      </c>
    </row>
    <row r="809" spans="1:16" x14ac:dyDescent="0.25">
      <c r="A809">
        <v>5</v>
      </c>
      <c r="B809">
        <v>92.08</v>
      </c>
      <c r="C809">
        <f t="shared" si="37"/>
        <v>460.4</v>
      </c>
      <c r="H809">
        <v>5</v>
      </c>
      <c r="I809">
        <v>92.08</v>
      </c>
      <c r="J809" s="11">
        <v>0.04</v>
      </c>
      <c r="K809">
        <f t="shared" si="38"/>
        <v>18.416</v>
      </c>
      <c r="N809">
        <v>460.4</v>
      </c>
      <c r="O809">
        <v>18.416</v>
      </c>
      <c r="P809">
        <f t="shared" si="36"/>
        <v>441.98399999999998</v>
      </c>
    </row>
    <row r="810" spans="1:16" x14ac:dyDescent="0.25">
      <c r="A810">
        <v>31</v>
      </c>
      <c r="B810">
        <v>59.74</v>
      </c>
      <c r="C810">
        <f t="shared" si="37"/>
        <v>1851.94</v>
      </c>
      <c r="H810">
        <v>31</v>
      </c>
      <c r="I810">
        <v>59.74</v>
      </c>
      <c r="J810" s="11">
        <v>0.12</v>
      </c>
      <c r="K810">
        <f t="shared" si="38"/>
        <v>222.2328</v>
      </c>
      <c r="N810">
        <v>1851.94</v>
      </c>
      <c r="O810">
        <v>222.2328</v>
      </c>
      <c r="P810">
        <f t="shared" si="36"/>
        <v>1629.7072000000001</v>
      </c>
    </row>
    <row r="811" spans="1:16" x14ac:dyDescent="0.25">
      <c r="A811">
        <v>7</v>
      </c>
      <c r="B811">
        <v>88.69</v>
      </c>
      <c r="C811">
        <f t="shared" si="37"/>
        <v>620.82999999999993</v>
      </c>
      <c r="H811">
        <v>7</v>
      </c>
      <c r="I811">
        <v>88.69</v>
      </c>
      <c r="J811" s="11">
        <v>0.44</v>
      </c>
      <c r="K811">
        <f t="shared" si="38"/>
        <v>273.16519999999997</v>
      </c>
      <c r="N811">
        <v>620.82999999999993</v>
      </c>
      <c r="O811">
        <v>273.16519999999997</v>
      </c>
      <c r="P811">
        <f t="shared" si="36"/>
        <v>347.66479999999996</v>
      </c>
    </row>
    <row r="812" spans="1:16" x14ac:dyDescent="0.25">
      <c r="A812">
        <v>47</v>
      </c>
      <c r="B812">
        <v>57.27</v>
      </c>
      <c r="C812">
        <f t="shared" si="37"/>
        <v>2691.69</v>
      </c>
      <c r="H812">
        <v>47</v>
      </c>
      <c r="I812">
        <v>57.27</v>
      </c>
      <c r="J812" s="11">
        <v>0.38</v>
      </c>
      <c r="K812">
        <f t="shared" si="38"/>
        <v>1022.8422</v>
      </c>
      <c r="N812">
        <v>2691.69</v>
      </c>
      <c r="O812">
        <v>1022.8422</v>
      </c>
      <c r="P812">
        <f t="shared" si="36"/>
        <v>1668.8478</v>
      </c>
    </row>
    <row r="813" spans="1:16" x14ac:dyDescent="0.25">
      <c r="A813">
        <v>22</v>
      </c>
      <c r="B813">
        <v>46.61</v>
      </c>
      <c r="C813">
        <f t="shared" si="37"/>
        <v>1025.42</v>
      </c>
      <c r="H813">
        <v>22</v>
      </c>
      <c r="I813">
        <v>46.61</v>
      </c>
      <c r="J813" s="11">
        <v>0.24</v>
      </c>
      <c r="K813">
        <f t="shared" si="38"/>
        <v>246.10080000000002</v>
      </c>
      <c r="N813">
        <v>1025.42</v>
      </c>
      <c r="O813">
        <v>246.10080000000002</v>
      </c>
      <c r="P813">
        <f t="shared" si="36"/>
        <v>779.31920000000002</v>
      </c>
    </row>
    <row r="814" spans="1:16" x14ac:dyDescent="0.25">
      <c r="A814">
        <v>17</v>
      </c>
      <c r="B814">
        <v>42.22</v>
      </c>
      <c r="C814">
        <f t="shared" si="37"/>
        <v>717.74</v>
      </c>
      <c r="H814">
        <v>17</v>
      </c>
      <c r="I814">
        <v>42.22</v>
      </c>
      <c r="J814" s="11">
        <v>0.48</v>
      </c>
      <c r="K814">
        <f t="shared" si="38"/>
        <v>344.51519999999999</v>
      </c>
      <c r="N814">
        <v>717.74</v>
      </c>
      <c r="O814">
        <v>344.51519999999999</v>
      </c>
      <c r="P814">
        <f t="shared" si="36"/>
        <v>373.22480000000002</v>
      </c>
    </row>
    <row r="815" spans="1:16" x14ac:dyDescent="0.25">
      <c r="A815">
        <v>32</v>
      </c>
      <c r="B815">
        <v>96.36</v>
      </c>
      <c r="C815">
        <f t="shared" si="37"/>
        <v>3083.52</v>
      </c>
      <c r="H815">
        <v>32</v>
      </c>
      <c r="I815">
        <v>96.36</v>
      </c>
      <c r="J815" s="11">
        <v>0.33</v>
      </c>
      <c r="K815">
        <f t="shared" si="38"/>
        <v>1017.5616</v>
      </c>
      <c r="N815">
        <v>3083.52</v>
      </c>
      <c r="O815">
        <v>1017.5616</v>
      </c>
      <c r="P815">
        <f t="shared" si="36"/>
        <v>2065.9584</v>
      </c>
    </row>
    <row r="816" spans="1:16" x14ac:dyDescent="0.25">
      <c r="A816">
        <v>3</v>
      </c>
      <c r="B816">
        <v>3.82</v>
      </c>
      <c r="C816">
        <f t="shared" si="37"/>
        <v>11.459999999999999</v>
      </c>
      <c r="H816">
        <v>3</v>
      </c>
      <c r="I816">
        <v>3.82</v>
      </c>
      <c r="J816" s="11">
        <v>0.02</v>
      </c>
      <c r="K816">
        <f t="shared" si="38"/>
        <v>0.22919999999999999</v>
      </c>
      <c r="N816">
        <v>11.459999999999999</v>
      </c>
      <c r="O816">
        <v>0.22919999999999999</v>
      </c>
      <c r="P816">
        <f t="shared" si="36"/>
        <v>11.230799999999999</v>
      </c>
    </row>
    <row r="817" spans="1:16" x14ac:dyDescent="0.25">
      <c r="A817">
        <v>28</v>
      </c>
      <c r="B817">
        <v>52.44</v>
      </c>
      <c r="C817">
        <f t="shared" si="37"/>
        <v>1468.32</v>
      </c>
      <c r="H817">
        <v>28</v>
      </c>
      <c r="I817">
        <v>52.44</v>
      </c>
      <c r="J817" s="11">
        <v>0.48</v>
      </c>
      <c r="K817">
        <f t="shared" si="38"/>
        <v>704.79359999999997</v>
      </c>
      <c r="N817">
        <v>1468.32</v>
      </c>
      <c r="O817">
        <v>704.79359999999997</v>
      </c>
      <c r="P817">
        <f t="shared" si="36"/>
        <v>763.52639999999997</v>
      </c>
    </row>
    <row r="818" spans="1:16" x14ac:dyDescent="0.25">
      <c r="A818">
        <v>43</v>
      </c>
      <c r="B818">
        <v>68.8</v>
      </c>
      <c r="C818">
        <f t="shared" si="37"/>
        <v>2958.4</v>
      </c>
      <c r="H818">
        <v>43</v>
      </c>
      <c r="I818">
        <v>68.8</v>
      </c>
      <c r="J818" s="11">
        <v>0.41</v>
      </c>
      <c r="K818">
        <f t="shared" si="38"/>
        <v>1212.944</v>
      </c>
      <c r="N818">
        <v>2958.4</v>
      </c>
      <c r="O818">
        <v>1212.944</v>
      </c>
      <c r="P818">
        <f t="shared" si="36"/>
        <v>1745.4560000000001</v>
      </c>
    </row>
    <row r="819" spans="1:16" x14ac:dyDescent="0.25">
      <c r="A819">
        <v>42</v>
      </c>
      <c r="B819">
        <v>14.6</v>
      </c>
      <c r="C819">
        <f t="shared" si="37"/>
        <v>613.19999999999993</v>
      </c>
      <c r="H819">
        <v>42</v>
      </c>
      <c r="I819">
        <v>14.6</v>
      </c>
      <c r="J819" s="11">
        <v>0.01</v>
      </c>
      <c r="K819">
        <f t="shared" si="38"/>
        <v>6.1319999999999997</v>
      </c>
      <c r="N819">
        <v>613.19999999999993</v>
      </c>
      <c r="O819">
        <v>6.1319999999999997</v>
      </c>
      <c r="P819">
        <f t="shared" si="36"/>
        <v>607.06799999999998</v>
      </c>
    </row>
    <row r="820" spans="1:16" x14ac:dyDescent="0.25">
      <c r="A820">
        <v>15</v>
      </c>
      <c r="B820">
        <v>61.68</v>
      </c>
      <c r="C820">
        <f t="shared" si="37"/>
        <v>925.2</v>
      </c>
      <c r="H820">
        <v>15</v>
      </c>
      <c r="I820">
        <v>61.68</v>
      </c>
      <c r="J820" s="11">
        <v>0.15</v>
      </c>
      <c r="K820">
        <f t="shared" si="38"/>
        <v>138.78</v>
      </c>
      <c r="N820">
        <v>925.2</v>
      </c>
      <c r="O820">
        <v>138.78</v>
      </c>
      <c r="P820">
        <f t="shared" si="36"/>
        <v>786.42000000000007</v>
      </c>
    </row>
    <row r="821" spans="1:16" x14ac:dyDescent="0.25">
      <c r="A821">
        <v>39</v>
      </c>
      <c r="B821">
        <v>86.85</v>
      </c>
      <c r="C821">
        <f t="shared" si="37"/>
        <v>3387.1499999999996</v>
      </c>
      <c r="H821">
        <v>39</v>
      </c>
      <c r="I821">
        <v>86.85</v>
      </c>
      <c r="J821" s="11">
        <v>0.37</v>
      </c>
      <c r="K821">
        <f t="shared" si="38"/>
        <v>1253.2454999999998</v>
      </c>
      <c r="N821">
        <v>3387.1499999999996</v>
      </c>
      <c r="O821">
        <v>1253.2454999999998</v>
      </c>
      <c r="P821">
        <f t="shared" si="36"/>
        <v>2133.9044999999996</v>
      </c>
    </row>
    <row r="822" spans="1:16" x14ac:dyDescent="0.25">
      <c r="A822">
        <v>40</v>
      </c>
      <c r="B822">
        <v>21.34</v>
      </c>
      <c r="C822">
        <f t="shared" si="37"/>
        <v>853.6</v>
      </c>
      <c r="H822">
        <v>40</v>
      </c>
      <c r="I822">
        <v>21.34</v>
      </c>
      <c r="J822" s="11">
        <v>0.44</v>
      </c>
      <c r="K822">
        <f t="shared" si="38"/>
        <v>375.584</v>
      </c>
      <c r="N822">
        <v>853.6</v>
      </c>
      <c r="O822">
        <v>375.584</v>
      </c>
      <c r="P822">
        <f t="shared" si="36"/>
        <v>478.01600000000002</v>
      </c>
    </row>
    <row r="823" spans="1:16" x14ac:dyDescent="0.25">
      <c r="A823">
        <v>22</v>
      </c>
      <c r="B823">
        <v>69.34</v>
      </c>
      <c r="C823">
        <f t="shared" si="37"/>
        <v>1525.48</v>
      </c>
      <c r="H823">
        <v>22</v>
      </c>
      <c r="I823">
        <v>69.34</v>
      </c>
      <c r="J823" s="11">
        <v>0.17</v>
      </c>
      <c r="K823">
        <f t="shared" si="38"/>
        <v>259.33160000000004</v>
      </c>
      <c r="N823">
        <v>1525.48</v>
      </c>
      <c r="O823">
        <v>259.33160000000004</v>
      </c>
      <c r="P823">
        <f t="shared" si="36"/>
        <v>1266.1484</v>
      </c>
    </row>
    <row r="824" spans="1:16" x14ac:dyDescent="0.25">
      <c r="A824">
        <v>19</v>
      </c>
      <c r="B824">
        <v>33.380000000000003</v>
      </c>
      <c r="C824">
        <f t="shared" si="37"/>
        <v>634.22</v>
      </c>
      <c r="H824">
        <v>19</v>
      </c>
      <c r="I824">
        <v>33.380000000000003</v>
      </c>
      <c r="J824" s="11">
        <v>0.49</v>
      </c>
      <c r="K824">
        <f t="shared" si="38"/>
        <v>310.76780000000002</v>
      </c>
      <c r="N824">
        <v>634.22</v>
      </c>
      <c r="O824">
        <v>310.76780000000002</v>
      </c>
      <c r="P824">
        <f t="shared" si="36"/>
        <v>323.4522</v>
      </c>
    </row>
    <row r="825" spans="1:16" x14ac:dyDescent="0.25">
      <c r="A825">
        <v>45</v>
      </c>
      <c r="B825">
        <v>17.899999999999999</v>
      </c>
      <c r="C825">
        <f t="shared" si="37"/>
        <v>805.49999999999989</v>
      </c>
      <c r="H825">
        <v>45</v>
      </c>
      <c r="I825">
        <v>17.899999999999999</v>
      </c>
      <c r="J825" s="11">
        <v>0.09</v>
      </c>
      <c r="K825">
        <f t="shared" si="38"/>
        <v>72.49499999999999</v>
      </c>
      <c r="N825">
        <v>805.49999999999989</v>
      </c>
      <c r="O825">
        <v>72.49499999999999</v>
      </c>
      <c r="P825">
        <f t="shared" si="36"/>
        <v>733.00499999999988</v>
      </c>
    </row>
    <row r="826" spans="1:16" x14ac:dyDescent="0.25">
      <c r="A826">
        <v>11</v>
      </c>
      <c r="B826">
        <v>56.04</v>
      </c>
      <c r="C826">
        <f t="shared" si="37"/>
        <v>616.43999999999994</v>
      </c>
      <c r="H826">
        <v>11</v>
      </c>
      <c r="I826">
        <v>56.04</v>
      </c>
      <c r="J826" s="11">
        <v>0.44</v>
      </c>
      <c r="K826">
        <f t="shared" si="38"/>
        <v>271.23359999999997</v>
      </c>
      <c r="N826">
        <v>616.43999999999994</v>
      </c>
      <c r="O826">
        <v>271.23359999999997</v>
      </c>
      <c r="P826">
        <f t="shared" si="36"/>
        <v>345.20639999999997</v>
      </c>
    </row>
    <row r="827" spans="1:16" x14ac:dyDescent="0.25">
      <c r="A827">
        <v>13</v>
      </c>
      <c r="B827">
        <v>19.329999999999998</v>
      </c>
      <c r="C827">
        <f t="shared" si="37"/>
        <v>251.28999999999996</v>
      </c>
      <c r="H827">
        <v>13</v>
      </c>
      <c r="I827">
        <v>19.329999999999998</v>
      </c>
      <c r="J827" s="11">
        <v>0.22</v>
      </c>
      <c r="K827">
        <f t="shared" si="38"/>
        <v>55.283799999999992</v>
      </c>
      <c r="N827">
        <v>251.28999999999996</v>
      </c>
      <c r="O827">
        <v>55.283799999999992</v>
      </c>
      <c r="P827">
        <f t="shared" si="36"/>
        <v>196.00619999999998</v>
      </c>
    </row>
    <row r="828" spans="1:16" x14ac:dyDescent="0.25">
      <c r="A828">
        <v>39</v>
      </c>
      <c r="B828">
        <v>6.98</v>
      </c>
      <c r="C828">
        <f t="shared" si="37"/>
        <v>272.22000000000003</v>
      </c>
      <c r="H828">
        <v>39</v>
      </c>
      <c r="I828">
        <v>6.98</v>
      </c>
      <c r="J828" s="11">
        <v>0.46</v>
      </c>
      <c r="K828">
        <f t="shared" si="38"/>
        <v>125.22120000000002</v>
      </c>
      <c r="N828">
        <v>272.22000000000003</v>
      </c>
      <c r="O828">
        <v>125.22120000000002</v>
      </c>
      <c r="P828">
        <f t="shared" si="36"/>
        <v>146.99880000000002</v>
      </c>
    </row>
    <row r="829" spans="1:16" x14ac:dyDescent="0.25">
      <c r="A829">
        <v>28</v>
      </c>
      <c r="B829">
        <v>69.650000000000006</v>
      </c>
      <c r="C829">
        <f t="shared" si="37"/>
        <v>1950.2000000000003</v>
      </c>
      <c r="H829">
        <v>28</v>
      </c>
      <c r="I829">
        <v>69.650000000000006</v>
      </c>
      <c r="J829" s="11">
        <v>0.41</v>
      </c>
      <c r="K829">
        <f t="shared" si="38"/>
        <v>799.58200000000011</v>
      </c>
      <c r="N829">
        <v>1950.2000000000003</v>
      </c>
      <c r="O829">
        <v>799.58200000000011</v>
      </c>
      <c r="P829">
        <f t="shared" si="36"/>
        <v>1150.6180000000002</v>
      </c>
    </row>
    <row r="830" spans="1:16" x14ac:dyDescent="0.25">
      <c r="A830">
        <v>2</v>
      </c>
      <c r="B830">
        <v>59.94</v>
      </c>
      <c r="C830">
        <f t="shared" si="37"/>
        <v>119.88</v>
      </c>
      <c r="H830">
        <v>2</v>
      </c>
      <c r="I830">
        <v>59.94</v>
      </c>
      <c r="J830" s="11">
        <v>0.03</v>
      </c>
      <c r="K830">
        <f t="shared" si="38"/>
        <v>3.5963999999999996</v>
      </c>
      <c r="N830">
        <v>119.88</v>
      </c>
      <c r="O830">
        <v>3.5963999999999996</v>
      </c>
      <c r="P830">
        <f t="shared" si="36"/>
        <v>116.28359999999999</v>
      </c>
    </row>
    <row r="831" spans="1:16" x14ac:dyDescent="0.25">
      <c r="A831">
        <v>45</v>
      </c>
      <c r="B831">
        <v>13.22</v>
      </c>
      <c r="C831">
        <f t="shared" si="37"/>
        <v>594.9</v>
      </c>
      <c r="H831">
        <v>45</v>
      </c>
      <c r="I831">
        <v>13.22</v>
      </c>
      <c r="J831" s="11">
        <v>0.04</v>
      </c>
      <c r="K831">
        <f t="shared" si="38"/>
        <v>23.795999999999999</v>
      </c>
      <c r="N831">
        <v>594.9</v>
      </c>
      <c r="O831">
        <v>23.795999999999999</v>
      </c>
      <c r="P831">
        <f t="shared" si="36"/>
        <v>571.10399999999993</v>
      </c>
    </row>
    <row r="832" spans="1:16" x14ac:dyDescent="0.25">
      <c r="A832">
        <v>35</v>
      </c>
      <c r="B832">
        <v>53.22</v>
      </c>
      <c r="C832">
        <f t="shared" si="37"/>
        <v>1862.7</v>
      </c>
      <c r="H832">
        <v>35</v>
      </c>
      <c r="I832">
        <v>53.22</v>
      </c>
      <c r="J832" s="11">
        <v>0.34</v>
      </c>
      <c r="K832">
        <f t="shared" si="38"/>
        <v>633.3180000000001</v>
      </c>
      <c r="N832">
        <v>1862.7</v>
      </c>
      <c r="O832">
        <v>633.3180000000001</v>
      </c>
      <c r="P832">
        <f t="shared" si="36"/>
        <v>1229.3820000000001</v>
      </c>
    </row>
    <row r="833" spans="1:16" x14ac:dyDescent="0.25">
      <c r="A833">
        <v>30</v>
      </c>
      <c r="B833">
        <v>50.14</v>
      </c>
      <c r="C833">
        <f t="shared" si="37"/>
        <v>1504.2</v>
      </c>
      <c r="H833">
        <v>30</v>
      </c>
      <c r="I833">
        <v>50.14</v>
      </c>
      <c r="J833" s="11">
        <v>0.17</v>
      </c>
      <c r="K833">
        <f t="shared" si="38"/>
        <v>255.71400000000003</v>
      </c>
      <c r="N833">
        <v>1504.2</v>
      </c>
      <c r="O833">
        <v>255.71400000000003</v>
      </c>
      <c r="P833">
        <f t="shared" si="36"/>
        <v>1248.4860000000001</v>
      </c>
    </row>
    <row r="834" spans="1:16" x14ac:dyDescent="0.25">
      <c r="A834">
        <v>28</v>
      </c>
      <c r="B834">
        <v>82.34</v>
      </c>
      <c r="C834">
        <f t="shared" si="37"/>
        <v>2305.52</v>
      </c>
      <c r="H834">
        <v>28</v>
      </c>
      <c r="I834">
        <v>82.34</v>
      </c>
      <c r="J834" s="11">
        <v>0.15</v>
      </c>
      <c r="K834">
        <f t="shared" si="38"/>
        <v>345.82799999999997</v>
      </c>
      <c r="N834">
        <v>2305.52</v>
      </c>
      <c r="O834">
        <v>345.82799999999997</v>
      </c>
      <c r="P834">
        <f t="shared" ref="P834:P897" si="39">N834-O834</f>
        <v>1959.692</v>
      </c>
    </row>
    <row r="835" spans="1:16" x14ac:dyDescent="0.25">
      <c r="A835">
        <v>39</v>
      </c>
      <c r="B835">
        <v>95.75</v>
      </c>
      <c r="C835">
        <f t="shared" ref="C835:C898" si="40">A835*B835</f>
        <v>3734.25</v>
      </c>
      <c r="H835">
        <v>39</v>
      </c>
      <c r="I835">
        <v>95.75</v>
      </c>
      <c r="J835" s="11">
        <v>0.04</v>
      </c>
      <c r="K835">
        <f t="shared" ref="K835:K898" si="41">H835*I835*J835</f>
        <v>149.37</v>
      </c>
      <c r="N835">
        <v>3734.25</v>
      </c>
      <c r="O835">
        <v>149.37</v>
      </c>
      <c r="P835">
        <f t="shared" si="39"/>
        <v>3584.88</v>
      </c>
    </row>
    <row r="836" spans="1:16" x14ac:dyDescent="0.25">
      <c r="A836">
        <v>33</v>
      </c>
      <c r="B836">
        <v>24.85</v>
      </c>
      <c r="C836">
        <f t="shared" si="40"/>
        <v>820.05000000000007</v>
      </c>
      <c r="H836">
        <v>33</v>
      </c>
      <c r="I836">
        <v>24.85</v>
      </c>
      <c r="J836" s="11">
        <v>0.39</v>
      </c>
      <c r="K836">
        <f t="shared" si="41"/>
        <v>319.81950000000006</v>
      </c>
      <c r="N836">
        <v>820.05000000000007</v>
      </c>
      <c r="O836">
        <v>319.81950000000006</v>
      </c>
      <c r="P836">
        <f t="shared" si="39"/>
        <v>500.23050000000001</v>
      </c>
    </row>
    <row r="837" spans="1:16" x14ac:dyDescent="0.25">
      <c r="A837">
        <v>31</v>
      </c>
      <c r="B837">
        <v>43.94</v>
      </c>
      <c r="C837">
        <f t="shared" si="40"/>
        <v>1362.1399999999999</v>
      </c>
      <c r="H837">
        <v>31</v>
      </c>
      <c r="I837">
        <v>43.94</v>
      </c>
      <c r="J837" s="11">
        <v>0.11</v>
      </c>
      <c r="K837">
        <f t="shared" si="41"/>
        <v>149.83539999999999</v>
      </c>
      <c r="N837">
        <v>1362.1399999999999</v>
      </c>
      <c r="O837">
        <v>149.83539999999999</v>
      </c>
      <c r="P837">
        <f t="shared" si="39"/>
        <v>1212.3045999999999</v>
      </c>
    </row>
    <row r="838" spans="1:16" x14ac:dyDescent="0.25">
      <c r="A838">
        <v>31</v>
      </c>
      <c r="B838">
        <v>96.68</v>
      </c>
      <c r="C838">
        <f t="shared" si="40"/>
        <v>2997.0800000000004</v>
      </c>
      <c r="H838">
        <v>31</v>
      </c>
      <c r="I838">
        <v>96.68</v>
      </c>
      <c r="J838" s="11">
        <v>0.14000000000000001</v>
      </c>
      <c r="K838">
        <f t="shared" si="41"/>
        <v>419.59120000000007</v>
      </c>
      <c r="N838">
        <v>2997.0800000000004</v>
      </c>
      <c r="O838">
        <v>419.59120000000007</v>
      </c>
      <c r="P838">
        <f t="shared" si="39"/>
        <v>2577.4888000000001</v>
      </c>
    </row>
    <row r="839" spans="1:16" x14ac:dyDescent="0.25">
      <c r="A839">
        <v>10</v>
      </c>
      <c r="B839">
        <v>36.22</v>
      </c>
      <c r="C839">
        <f t="shared" si="40"/>
        <v>362.2</v>
      </c>
      <c r="H839">
        <v>10</v>
      </c>
      <c r="I839">
        <v>36.22</v>
      </c>
      <c r="J839" s="11">
        <v>0.08</v>
      </c>
      <c r="K839">
        <f t="shared" si="41"/>
        <v>28.975999999999999</v>
      </c>
      <c r="N839">
        <v>362.2</v>
      </c>
      <c r="O839">
        <v>28.975999999999999</v>
      </c>
      <c r="P839">
        <f t="shared" si="39"/>
        <v>333.22399999999999</v>
      </c>
    </row>
    <row r="840" spans="1:16" x14ac:dyDescent="0.25">
      <c r="A840">
        <v>44</v>
      </c>
      <c r="B840">
        <v>7.52</v>
      </c>
      <c r="C840">
        <f t="shared" si="40"/>
        <v>330.88</v>
      </c>
      <c r="H840">
        <v>44</v>
      </c>
      <c r="I840">
        <v>7.52</v>
      </c>
      <c r="J840" s="11">
        <v>0.42</v>
      </c>
      <c r="K840">
        <f t="shared" si="41"/>
        <v>138.96959999999999</v>
      </c>
      <c r="N840">
        <v>330.88</v>
      </c>
      <c r="O840">
        <v>138.96959999999999</v>
      </c>
      <c r="P840">
        <f t="shared" si="39"/>
        <v>191.91040000000001</v>
      </c>
    </row>
    <row r="841" spans="1:16" x14ac:dyDescent="0.25">
      <c r="A841">
        <v>18</v>
      </c>
      <c r="B841">
        <v>57.7</v>
      </c>
      <c r="C841">
        <f t="shared" si="40"/>
        <v>1038.6000000000001</v>
      </c>
      <c r="H841">
        <v>18</v>
      </c>
      <c r="I841">
        <v>57.7</v>
      </c>
      <c r="J841" s="11">
        <v>0.44</v>
      </c>
      <c r="K841">
        <f t="shared" si="41"/>
        <v>456.98400000000004</v>
      </c>
      <c r="N841">
        <v>1038.6000000000001</v>
      </c>
      <c r="O841">
        <v>456.98400000000004</v>
      </c>
      <c r="P841">
        <f t="shared" si="39"/>
        <v>581.6160000000001</v>
      </c>
    </row>
    <row r="842" spans="1:16" x14ac:dyDescent="0.25">
      <c r="A842">
        <v>31</v>
      </c>
      <c r="B842">
        <v>26.63</v>
      </c>
      <c r="C842">
        <f t="shared" si="40"/>
        <v>825.53</v>
      </c>
      <c r="H842">
        <v>31</v>
      </c>
      <c r="I842">
        <v>26.63</v>
      </c>
      <c r="J842" s="11">
        <v>0.12</v>
      </c>
      <c r="K842">
        <f t="shared" si="41"/>
        <v>99.063599999999994</v>
      </c>
      <c r="N842">
        <v>825.53</v>
      </c>
      <c r="O842">
        <v>99.063599999999994</v>
      </c>
      <c r="P842">
        <f t="shared" si="39"/>
        <v>726.46640000000002</v>
      </c>
    </row>
    <row r="843" spans="1:16" x14ac:dyDescent="0.25">
      <c r="A843">
        <v>1</v>
      </c>
      <c r="B843">
        <v>49.48</v>
      </c>
      <c r="C843">
        <f t="shared" si="40"/>
        <v>49.48</v>
      </c>
      <c r="H843">
        <v>1</v>
      </c>
      <c r="I843">
        <v>49.48</v>
      </c>
      <c r="J843" s="11">
        <v>0.26</v>
      </c>
      <c r="K843">
        <f t="shared" si="41"/>
        <v>12.864799999999999</v>
      </c>
      <c r="N843">
        <v>49.48</v>
      </c>
      <c r="O843">
        <v>12.864799999999999</v>
      </c>
      <c r="P843">
        <f t="shared" si="39"/>
        <v>36.615200000000002</v>
      </c>
    </row>
    <row r="844" spans="1:16" x14ac:dyDescent="0.25">
      <c r="A844">
        <v>26</v>
      </c>
      <c r="B844">
        <v>11.97</v>
      </c>
      <c r="C844">
        <f t="shared" si="40"/>
        <v>311.22000000000003</v>
      </c>
      <c r="H844">
        <v>26</v>
      </c>
      <c r="I844">
        <v>11.97</v>
      </c>
      <c r="J844" s="11">
        <v>0.26</v>
      </c>
      <c r="K844">
        <f t="shared" si="41"/>
        <v>80.917200000000008</v>
      </c>
      <c r="N844">
        <v>311.22000000000003</v>
      </c>
      <c r="O844">
        <v>80.917200000000008</v>
      </c>
      <c r="P844">
        <f t="shared" si="39"/>
        <v>230.30280000000002</v>
      </c>
    </row>
    <row r="845" spans="1:16" x14ac:dyDescent="0.25">
      <c r="A845">
        <v>15</v>
      </c>
      <c r="B845">
        <v>17.89</v>
      </c>
      <c r="C845">
        <f t="shared" si="40"/>
        <v>268.35000000000002</v>
      </c>
      <c r="H845">
        <v>15</v>
      </c>
      <c r="I845">
        <v>17.89</v>
      </c>
      <c r="J845" s="11">
        <v>0.49</v>
      </c>
      <c r="K845">
        <f t="shared" si="41"/>
        <v>131.4915</v>
      </c>
      <c r="N845">
        <v>268.35000000000002</v>
      </c>
      <c r="O845">
        <v>131.4915</v>
      </c>
      <c r="P845">
        <f t="shared" si="39"/>
        <v>136.85850000000002</v>
      </c>
    </row>
    <row r="846" spans="1:16" x14ac:dyDescent="0.25">
      <c r="A846">
        <v>7</v>
      </c>
      <c r="B846">
        <v>91.76</v>
      </c>
      <c r="C846">
        <f t="shared" si="40"/>
        <v>642.32000000000005</v>
      </c>
      <c r="H846">
        <v>7</v>
      </c>
      <c r="I846">
        <v>91.76</v>
      </c>
      <c r="J846" s="11">
        <v>0</v>
      </c>
      <c r="K846">
        <f t="shared" si="41"/>
        <v>0</v>
      </c>
      <c r="N846">
        <v>642.32000000000005</v>
      </c>
      <c r="O846">
        <v>0</v>
      </c>
      <c r="P846">
        <f t="shared" si="39"/>
        <v>642.32000000000005</v>
      </c>
    </row>
    <row r="847" spans="1:16" x14ac:dyDescent="0.25">
      <c r="A847">
        <v>47</v>
      </c>
      <c r="B847">
        <v>5.36</v>
      </c>
      <c r="C847">
        <f t="shared" si="40"/>
        <v>251.92000000000002</v>
      </c>
      <c r="H847">
        <v>47</v>
      </c>
      <c r="I847">
        <v>5.36</v>
      </c>
      <c r="J847" s="11">
        <v>7.0000000000000007E-2</v>
      </c>
      <c r="K847">
        <f t="shared" si="41"/>
        <v>17.634400000000003</v>
      </c>
      <c r="N847">
        <v>251.92000000000002</v>
      </c>
      <c r="O847">
        <v>17.634400000000003</v>
      </c>
      <c r="P847">
        <f t="shared" si="39"/>
        <v>234.28560000000002</v>
      </c>
    </row>
    <row r="848" spans="1:16" x14ac:dyDescent="0.25">
      <c r="A848">
        <v>20</v>
      </c>
      <c r="B848">
        <v>35.83</v>
      </c>
      <c r="C848">
        <f t="shared" si="40"/>
        <v>716.59999999999991</v>
      </c>
      <c r="H848">
        <v>20</v>
      </c>
      <c r="I848">
        <v>35.83</v>
      </c>
      <c r="J848" s="11">
        <v>0.45</v>
      </c>
      <c r="K848">
        <f t="shared" si="41"/>
        <v>322.46999999999997</v>
      </c>
      <c r="N848">
        <v>716.59999999999991</v>
      </c>
      <c r="O848">
        <v>322.46999999999997</v>
      </c>
      <c r="P848">
        <f t="shared" si="39"/>
        <v>394.12999999999994</v>
      </c>
    </row>
    <row r="849" spans="1:16" x14ac:dyDescent="0.25">
      <c r="A849">
        <v>49</v>
      </c>
      <c r="B849">
        <v>22.77</v>
      </c>
      <c r="C849">
        <f t="shared" si="40"/>
        <v>1115.73</v>
      </c>
      <c r="H849">
        <v>49</v>
      </c>
      <c r="I849">
        <v>22.77</v>
      </c>
      <c r="J849" s="11">
        <v>0.39</v>
      </c>
      <c r="K849">
        <f t="shared" si="41"/>
        <v>435.13470000000001</v>
      </c>
      <c r="N849">
        <v>1115.73</v>
      </c>
      <c r="O849">
        <v>435.13470000000001</v>
      </c>
      <c r="P849">
        <f t="shared" si="39"/>
        <v>680.59529999999995</v>
      </c>
    </row>
    <row r="850" spans="1:16" x14ac:dyDescent="0.25">
      <c r="A850">
        <v>21</v>
      </c>
      <c r="B850">
        <v>87.56</v>
      </c>
      <c r="C850">
        <f t="shared" si="40"/>
        <v>1838.76</v>
      </c>
      <c r="H850">
        <v>21</v>
      </c>
      <c r="I850">
        <v>87.56</v>
      </c>
      <c r="J850" s="11">
        <v>0.24</v>
      </c>
      <c r="K850">
        <f t="shared" si="41"/>
        <v>441.30239999999998</v>
      </c>
      <c r="N850">
        <v>1838.76</v>
      </c>
      <c r="O850">
        <v>441.30239999999998</v>
      </c>
      <c r="P850">
        <f t="shared" si="39"/>
        <v>1397.4576</v>
      </c>
    </row>
    <row r="851" spans="1:16" x14ac:dyDescent="0.25">
      <c r="A851">
        <v>40</v>
      </c>
      <c r="B851">
        <v>82.55</v>
      </c>
      <c r="C851">
        <f t="shared" si="40"/>
        <v>3302</v>
      </c>
      <c r="H851">
        <v>40</v>
      </c>
      <c r="I851">
        <v>82.55</v>
      </c>
      <c r="J851" s="11">
        <v>0.11</v>
      </c>
      <c r="K851">
        <f t="shared" si="41"/>
        <v>363.22</v>
      </c>
      <c r="N851">
        <v>3302</v>
      </c>
      <c r="O851">
        <v>363.22</v>
      </c>
      <c r="P851">
        <f t="shared" si="39"/>
        <v>2938.7799999999997</v>
      </c>
    </row>
    <row r="852" spans="1:16" x14ac:dyDescent="0.25">
      <c r="A852">
        <v>12</v>
      </c>
      <c r="B852">
        <v>94.92</v>
      </c>
      <c r="C852">
        <f t="shared" si="40"/>
        <v>1139.04</v>
      </c>
      <c r="H852">
        <v>12</v>
      </c>
      <c r="I852">
        <v>94.92</v>
      </c>
      <c r="J852" s="11">
        <v>0.19</v>
      </c>
      <c r="K852">
        <f t="shared" si="41"/>
        <v>216.41759999999999</v>
      </c>
      <c r="N852">
        <v>1139.04</v>
      </c>
      <c r="O852">
        <v>216.41759999999999</v>
      </c>
      <c r="P852">
        <f t="shared" si="39"/>
        <v>922.62239999999997</v>
      </c>
    </row>
    <row r="853" spans="1:16" x14ac:dyDescent="0.25">
      <c r="A853">
        <v>22</v>
      </c>
      <c r="B853">
        <v>4</v>
      </c>
      <c r="C853">
        <f t="shared" si="40"/>
        <v>88</v>
      </c>
      <c r="H853">
        <v>22</v>
      </c>
      <c r="I853">
        <v>4</v>
      </c>
      <c r="J853" s="11">
        <v>0.33</v>
      </c>
      <c r="K853">
        <f t="shared" si="41"/>
        <v>29.040000000000003</v>
      </c>
      <c r="N853">
        <v>88</v>
      </c>
      <c r="O853">
        <v>29.040000000000003</v>
      </c>
      <c r="P853">
        <f t="shared" si="39"/>
        <v>58.959999999999994</v>
      </c>
    </row>
    <row r="854" spans="1:16" x14ac:dyDescent="0.25">
      <c r="A854">
        <v>9</v>
      </c>
      <c r="B854">
        <v>89.87</v>
      </c>
      <c r="C854">
        <f t="shared" si="40"/>
        <v>808.83</v>
      </c>
      <c r="H854">
        <v>9</v>
      </c>
      <c r="I854">
        <v>89.87</v>
      </c>
      <c r="J854" s="11">
        <v>0.21</v>
      </c>
      <c r="K854">
        <f t="shared" si="41"/>
        <v>169.85429999999999</v>
      </c>
      <c r="N854">
        <v>808.83</v>
      </c>
      <c r="O854">
        <v>169.85429999999999</v>
      </c>
      <c r="P854">
        <f t="shared" si="39"/>
        <v>638.97570000000007</v>
      </c>
    </row>
    <row r="855" spans="1:16" x14ac:dyDescent="0.25">
      <c r="A855">
        <v>13</v>
      </c>
      <c r="B855">
        <v>28.18</v>
      </c>
      <c r="C855">
        <f t="shared" si="40"/>
        <v>366.34</v>
      </c>
      <c r="H855">
        <v>13</v>
      </c>
      <c r="I855">
        <v>28.18</v>
      </c>
      <c r="J855" s="11">
        <v>0.06</v>
      </c>
      <c r="K855">
        <f t="shared" si="41"/>
        <v>21.980399999999996</v>
      </c>
      <c r="N855">
        <v>366.34</v>
      </c>
      <c r="O855">
        <v>21.980399999999996</v>
      </c>
      <c r="P855">
        <f t="shared" si="39"/>
        <v>344.3596</v>
      </c>
    </row>
    <row r="856" spans="1:16" x14ac:dyDescent="0.25">
      <c r="A856">
        <v>35</v>
      </c>
      <c r="B856">
        <v>84.49</v>
      </c>
      <c r="C856">
        <f t="shared" si="40"/>
        <v>2957.1499999999996</v>
      </c>
      <c r="H856">
        <v>35</v>
      </c>
      <c r="I856">
        <v>84.49</v>
      </c>
      <c r="J856" s="11">
        <v>0.44</v>
      </c>
      <c r="K856">
        <f t="shared" si="41"/>
        <v>1301.146</v>
      </c>
      <c r="N856">
        <v>2957.1499999999996</v>
      </c>
      <c r="O856">
        <v>1301.146</v>
      </c>
      <c r="P856">
        <f t="shared" si="39"/>
        <v>1656.0039999999997</v>
      </c>
    </row>
    <row r="857" spans="1:16" x14ac:dyDescent="0.25">
      <c r="A857">
        <v>11</v>
      </c>
      <c r="B857">
        <v>76.3</v>
      </c>
      <c r="C857">
        <f t="shared" si="40"/>
        <v>839.3</v>
      </c>
      <c r="H857">
        <v>11</v>
      </c>
      <c r="I857">
        <v>76.3</v>
      </c>
      <c r="J857" s="11">
        <v>0.13</v>
      </c>
      <c r="K857">
        <f t="shared" si="41"/>
        <v>109.10899999999999</v>
      </c>
      <c r="N857">
        <v>839.3</v>
      </c>
      <c r="O857">
        <v>109.10899999999999</v>
      </c>
      <c r="P857">
        <f t="shared" si="39"/>
        <v>730.19099999999992</v>
      </c>
    </row>
    <row r="858" spans="1:16" x14ac:dyDescent="0.25">
      <c r="A858">
        <v>14</v>
      </c>
      <c r="B858">
        <v>42.14</v>
      </c>
      <c r="C858">
        <f t="shared" si="40"/>
        <v>589.96</v>
      </c>
      <c r="H858">
        <v>14</v>
      </c>
      <c r="I858">
        <v>42.14</v>
      </c>
      <c r="J858" s="11">
        <v>0.16</v>
      </c>
      <c r="K858">
        <f t="shared" si="41"/>
        <v>94.393600000000006</v>
      </c>
      <c r="N858">
        <v>589.96</v>
      </c>
      <c r="O858">
        <v>94.393600000000006</v>
      </c>
      <c r="P858">
        <f t="shared" si="39"/>
        <v>495.56640000000004</v>
      </c>
    </row>
    <row r="859" spans="1:16" x14ac:dyDescent="0.25">
      <c r="A859">
        <v>31</v>
      </c>
      <c r="B859">
        <v>48.95</v>
      </c>
      <c r="C859">
        <f t="shared" si="40"/>
        <v>1517.45</v>
      </c>
      <c r="H859">
        <v>31</v>
      </c>
      <c r="I859">
        <v>48.95</v>
      </c>
      <c r="J859" s="11">
        <v>0.42</v>
      </c>
      <c r="K859">
        <f t="shared" si="41"/>
        <v>637.32899999999995</v>
      </c>
      <c r="N859">
        <v>1517.45</v>
      </c>
      <c r="O859">
        <v>637.32899999999995</v>
      </c>
      <c r="P859">
        <f t="shared" si="39"/>
        <v>880.12100000000009</v>
      </c>
    </row>
    <row r="860" spans="1:16" x14ac:dyDescent="0.25">
      <c r="A860">
        <v>3</v>
      </c>
      <c r="B860">
        <v>79.81</v>
      </c>
      <c r="C860">
        <f t="shared" si="40"/>
        <v>239.43</v>
      </c>
      <c r="H860">
        <v>3</v>
      </c>
      <c r="I860">
        <v>79.81</v>
      </c>
      <c r="J860" s="11">
        <v>0.4</v>
      </c>
      <c r="K860">
        <f t="shared" si="41"/>
        <v>95.772000000000006</v>
      </c>
      <c r="N860">
        <v>239.43</v>
      </c>
      <c r="O860">
        <v>95.772000000000006</v>
      </c>
      <c r="P860">
        <f t="shared" si="39"/>
        <v>143.65800000000002</v>
      </c>
    </row>
    <row r="861" spans="1:16" x14ac:dyDescent="0.25">
      <c r="A861">
        <v>43</v>
      </c>
      <c r="B861">
        <v>43.43</v>
      </c>
      <c r="C861">
        <f t="shared" si="40"/>
        <v>1867.49</v>
      </c>
      <c r="H861">
        <v>43</v>
      </c>
      <c r="I861">
        <v>43.43</v>
      </c>
      <c r="J861" s="11">
        <v>0.01</v>
      </c>
      <c r="K861">
        <f t="shared" si="41"/>
        <v>18.674900000000001</v>
      </c>
      <c r="N861">
        <v>1867.49</v>
      </c>
      <c r="O861">
        <v>18.674900000000001</v>
      </c>
      <c r="P861">
        <f t="shared" si="39"/>
        <v>1848.8151</v>
      </c>
    </row>
    <row r="862" spans="1:16" x14ac:dyDescent="0.25">
      <c r="A862">
        <v>36</v>
      </c>
      <c r="B862">
        <v>51.28</v>
      </c>
      <c r="C862">
        <f t="shared" si="40"/>
        <v>1846.08</v>
      </c>
      <c r="H862">
        <v>36</v>
      </c>
      <c r="I862">
        <v>51.28</v>
      </c>
      <c r="J862" s="11">
        <v>0.09</v>
      </c>
      <c r="K862">
        <f t="shared" si="41"/>
        <v>166.1472</v>
      </c>
      <c r="N862">
        <v>1846.08</v>
      </c>
      <c r="O862">
        <v>166.1472</v>
      </c>
      <c r="P862">
        <f t="shared" si="39"/>
        <v>1679.9328</v>
      </c>
    </row>
    <row r="863" spans="1:16" x14ac:dyDescent="0.25">
      <c r="A863">
        <v>23</v>
      </c>
      <c r="B863">
        <v>75.760000000000005</v>
      </c>
      <c r="C863">
        <f t="shared" si="40"/>
        <v>1742.48</v>
      </c>
      <c r="H863">
        <v>23</v>
      </c>
      <c r="I863">
        <v>75.760000000000005</v>
      </c>
      <c r="J863" s="11">
        <v>0.31</v>
      </c>
      <c r="K863">
        <f t="shared" si="41"/>
        <v>540.16880000000003</v>
      </c>
      <c r="N863">
        <v>1742.48</v>
      </c>
      <c r="O863">
        <v>540.16880000000003</v>
      </c>
      <c r="P863">
        <f t="shared" si="39"/>
        <v>1202.3112000000001</v>
      </c>
    </row>
    <row r="864" spans="1:16" x14ac:dyDescent="0.25">
      <c r="A864">
        <v>22</v>
      </c>
      <c r="B864">
        <v>53.07</v>
      </c>
      <c r="C864">
        <f t="shared" si="40"/>
        <v>1167.54</v>
      </c>
      <c r="H864">
        <v>22</v>
      </c>
      <c r="I864">
        <v>53.07</v>
      </c>
      <c r="J864" s="11">
        <v>0.21</v>
      </c>
      <c r="K864">
        <f t="shared" si="41"/>
        <v>245.18339999999998</v>
      </c>
      <c r="N864">
        <v>1167.54</v>
      </c>
      <c r="O864">
        <v>245.18339999999998</v>
      </c>
      <c r="P864">
        <f t="shared" si="39"/>
        <v>922.35659999999996</v>
      </c>
    </row>
    <row r="865" spans="1:16" x14ac:dyDescent="0.25">
      <c r="A865">
        <v>15</v>
      </c>
      <c r="B865">
        <v>36.21</v>
      </c>
      <c r="C865">
        <f t="shared" si="40"/>
        <v>543.15</v>
      </c>
      <c r="H865">
        <v>15</v>
      </c>
      <c r="I865">
        <v>36.21</v>
      </c>
      <c r="J865" s="11">
        <v>0.18</v>
      </c>
      <c r="K865">
        <f t="shared" si="41"/>
        <v>97.766999999999996</v>
      </c>
      <c r="N865">
        <v>543.15</v>
      </c>
      <c r="O865">
        <v>97.766999999999996</v>
      </c>
      <c r="P865">
        <f t="shared" si="39"/>
        <v>445.38299999999998</v>
      </c>
    </row>
    <row r="866" spans="1:16" x14ac:dyDescent="0.25">
      <c r="A866">
        <v>46</v>
      </c>
      <c r="B866">
        <v>66.62</v>
      </c>
      <c r="C866">
        <f t="shared" si="40"/>
        <v>3064.5200000000004</v>
      </c>
      <c r="H866">
        <v>46</v>
      </c>
      <c r="I866">
        <v>66.62</v>
      </c>
      <c r="J866" s="11">
        <v>0.23</v>
      </c>
      <c r="K866">
        <f t="shared" si="41"/>
        <v>704.83960000000013</v>
      </c>
      <c r="N866">
        <v>3064.5200000000004</v>
      </c>
      <c r="O866">
        <v>704.83960000000013</v>
      </c>
      <c r="P866">
        <f t="shared" si="39"/>
        <v>2359.6804000000002</v>
      </c>
    </row>
    <row r="867" spans="1:16" x14ac:dyDescent="0.25">
      <c r="A867">
        <v>31</v>
      </c>
      <c r="B867">
        <v>64</v>
      </c>
      <c r="C867">
        <f t="shared" si="40"/>
        <v>1984</v>
      </c>
      <c r="H867">
        <v>31</v>
      </c>
      <c r="I867">
        <v>64</v>
      </c>
      <c r="J867" s="11">
        <v>0.1</v>
      </c>
      <c r="K867">
        <f t="shared" si="41"/>
        <v>198.4</v>
      </c>
      <c r="N867">
        <v>1984</v>
      </c>
      <c r="O867">
        <v>198.4</v>
      </c>
      <c r="P867">
        <f t="shared" si="39"/>
        <v>1785.6</v>
      </c>
    </row>
    <row r="868" spans="1:16" x14ac:dyDescent="0.25">
      <c r="A868">
        <v>45</v>
      </c>
      <c r="B868">
        <v>56</v>
      </c>
      <c r="C868">
        <f t="shared" si="40"/>
        <v>2520</v>
      </c>
      <c r="H868">
        <v>45</v>
      </c>
      <c r="I868">
        <v>56</v>
      </c>
      <c r="J868" s="11">
        <v>0.38</v>
      </c>
      <c r="K868">
        <f t="shared" si="41"/>
        <v>957.6</v>
      </c>
      <c r="N868">
        <v>2520</v>
      </c>
      <c r="O868">
        <v>957.6</v>
      </c>
      <c r="P868">
        <f t="shared" si="39"/>
        <v>1562.4</v>
      </c>
    </row>
    <row r="869" spans="1:16" x14ac:dyDescent="0.25">
      <c r="A869">
        <v>14</v>
      </c>
      <c r="B869">
        <v>60.95</v>
      </c>
      <c r="C869">
        <f t="shared" si="40"/>
        <v>853.30000000000007</v>
      </c>
      <c r="H869">
        <v>14</v>
      </c>
      <c r="I869">
        <v>60.95</v>
      </c>
      <c r="J869" s="11">
        <v>0.32</v>
      </c>
      <c r="K869">
        <f t="shared" si="41"/>
        <v>273.05600000000004</v>
      </c>
      <c r="N869">
        <v>853.30000000000007</v>
      </c>
      <c r="O869">
        <v>273.05600000000004</v>
      </c>
      <c r="P869">
        <f t="shared" si="39"/>
        <v>580.24400000000003</v>
      </c>
    </row>
    <row r="870" spans="1:16" x14ac:dyDescent="0.25">
      <c r="A870">
        <v>30</v>
      </c>
      <c r="B870">
        <v>39.97</v>
      </c>
      <c r="C870">
        <f t="shared" si="40"/>
        <v>1199.0999999999999</v>
      </c>
      <c r="H870">
        <v>30</v>
      </c>
      <c r="I870">
        <v>39.97</v>
      </c>
      <c r="J870" s="11">
        <v>0.38</v>
      </c>
      <c r="K870">
        <f t="shared" si="41"/>
        <v>455.65799999999996</v>
      </c>
      <c r="N870">
        <v>1199.0999999999999</v>
      </c>
      <c r="O870">
        <v>455.65799999999996</v>
      </c>
      <c r="P870">
        <f t="shared" si="39"/>
        <v>743.44200000000001</v>
      </c>
    </row>
    <row r="871" spans="1:16" x14ac:dyDescent="0.25">
      <c r="A871">
        <v>48</v>
      </c>
      <c r="B871">
        <v>38.47</v>
      </c>
      <c r="C871">
        <f t="shared" si="40"/>
        <v>1846.56</v>
      </c>
      <c r="H871">
        <v>48</v>
      </c>
      <c r="I871">
        <v>38.47</v>
      </c>
      <c r="J871" s="11">
        <v>0.3</v>
      </c>
      <c r="K871">
        <f t="shared" si="41"/>
        <v>553.96799999999996</v>
      </c>
      <c r="N871">
        <v>1846.56</v>
      </c>
      <c r="O871">
        <v>553.96799999999996</v>
      </c>
      <c r="P871">
        <f t="shared" si="39"/>
        <v>1292.5920000000001</v>
      </c>
    </row>
    <row r="872" spans="1:16" x14ac:dyDescent="0.25">
      <c r="A872">
        <v>24</v>
      </c>
      <c r="B872">
        <v>85.12</v>
      </c>
      <c r="C872">
        <f t="shared" si="40"/>
        <v>2042.88</v>
      </c>
      <c r="H872">
        <v>24</v>
      </c>
      <c r="I872">
        <v>85.12</v>
      </c>
      <c r="J872" s="11">
        <v>0.34</v>
      </c>
      <c r="K872">
        <f t="shared" si="41"/>
        <v>694.57920000000013</v>
      </c>
      <c r="N872">
        <v>2042.88</v>
      </c>
      <c r="O872">
        <v>694.57920000000013</v>
      </c>
      <c r="P872">
        <f t="shared" si="39"/>
        <v>1348.3008</v>
      </c>
    </row>
    <row r="873" spans="1:16" x14ac:dyDescent="0.25">
      <c r="A873">
        <v>19</v>
      </c>
      <c r="B873">
        <v>38.54</v>
      </c>
      <c r="C873">
        <f t="shared" si="40"/>
        <v>732.26</v>
      </c>
      <c r="H873">
        <v>19</v>
      </c>
      <c r="I873">
        <v>38.54</v>
      </c>
      <c r="J873" s="11">
        <v>0.13</v>
      </c>
      <c r="K873">
        <f t="shared" si="41"/>
        <v>95.193799999999996</v>
      </c>
      <c r="N873">
        <v>732.26</v>
      </c>
      <c r="O873">
        <v>95.193799999999996</v>
      </c>
      <c r="P873">
        <f t="shared" si="39"/>
        <v>637.06619999999998</v>
      </c>
    </row>
    <row r="874" spans="1:16" x14ac:dyDescent="0.25">
      <c r="A874">
        <v>7</v>
      </c>
      <c r="B874">
        <v>74.83</v>
      </c>
      <c r="C874">
        <f t="shared" si="40"/>
        <v>523.80999999999995</v>
      </c>
      <c r="H874">
        <v>7</v>
      </c>
      <c r="I874">
        <v>74.83</v>
      </c>
      <c r="J874" s="11">
        <v>0.28999999999999998</v>
      </c>
      <c r="K874">
        <f t="shared" si="41"/>
        <v>151.90489999999997</v>
      </c>
      <c r="N874">
        <v>523.80999999999995</v>
      </c>
      <c r="O874">
        <v>151.90489999999997</v>
      </c>
      <c r="P874">
        <f t="shared" si="39"/>
        <v>371.90509999999995</v>
      </c>
    </row>
    <row r="875" spans="1:16" x14ac:dyDescent="0.25">
      <c r="A875">
        <v>45</v>
      </c>
      <c r="B875">
        <v>77.680000000000007</v>
      </c>
      <c r="C875">
        <f t="shared" si="40"/>
        <v>3495.6000000000004</v>
      </c>
      <c r="H875">
        <v>45</v>
      </c>
      <c r="I875">
        <v>77.680000000000007</v>
      </c>
      <c r="J875" s="11">
        <v>0.18</v>
      </c>
      <c r="K875">
        <f t="shared" si="41"/>
        <v>629.20800000000008</v>
      </c>
      <c r="N875">
        <v>3495.6000000000004</v>
      </c>
      <c r="O875">
        <v>629.20800000000008</v>
      </c>
      <c r="P875">
        <f t="shared" si="39"/>
        <v>2866.3920000000003</v>
      </c>
    </row>
    <row r="876" spans="1:16" x14ac:dyDescent="0.25">
      <c r="A876">
        <v>47</v>
      </c>
      <c r="B876">
        <v>78.31</v>
      </c>
      <c r="C876">
        <f t="shared" si="40"/>
        <v>3680.57</v>
      </c>
      <c r="H876">
        <v>47</v>
      </c>
      <c r="I876">
        <v>78.31</v>
      </c>
      <c r="J876" s="11">
        <v>0.09</v>
      </c>
      <c r="K876">
        <f t="shared" si="41"/>
        <v>331.25130000000001</v>
      </c>
      <c r="N876">
        <v>3680.57</v>
      </c>
      <c r="O876">
        <v>331.25130000000001</v>
      </c>
      <c r="P876">
        <f t="shared" si="39"/>
        <v>3349.3187000000003</v>
      </c>
    </row>
    <row r="877" spans="1:16" x14ac:dyDescent="0.25">
      <c r="A877">
        <v>18</v>
      </c>
      <c r="B877">
        <v>32.86</v>
      </c>
      <c r="C877">
        <f t="shared" si="40"/>
        <v>591.48</v>
      </c>
      <c r="H877">
        <v>18</v>
      </c>
      <c r="I877">
        <v>32.86</v>
      </c>
      <c r="J877" s="11">
        <v>0.38</v>
      </c>
      <c r="K877">
        <f t="shared" si="41"/>
        <v>224.76240000000001</v>
      </c>
      <c r="N877">
        <v>591.48</v>
      </c>
      <c r="O877">
        <v>224.76240000000001</v>
      </c>
      <c r="P877">
        <f t="shared" si="39"/>
        <v>366.7176</v>
      </c>
    </row>
    <row r="878" spans="1:16" x14ac:dyDescent="0.25">
      <c r="A878">
        <v>11</v>
      </c>
      <c r="B878">
        <v>81.62</v>
      </c>
      <c r="C878">
        <f t="shared" si="40"/>
        <v>897.82</v>
      </c>
      <c r="H878">
        <v>11</v>
      </c>
      <c r="I878">
        <v>81.62</v>
      </c>
      <c r="J878" s="11">
        <v>0.05</v>
      </c>
      <c r="K878">
        <f t="shared" si="41"/>
        <v>44.891000000000005</v>
      </c>
      <c r="N878">
        <v>897.82</v>
      </c>
      <c r="O878">
        <v>44.891000000000005</v>
      </c>
      <c r="P878">
        <f t="shared" si="39"/>
        <v>852.92900000000009</v>
      </c>
    </row>
    <row r="879" spans="1:16" x14ac:dyDescent="0.25">
      <c r="A879">
        <v>25</v>
      </c>
      <c r="B879">
        <v>58.02</v>
      </c>
      <c r="C879">
        <f t="shared" si="40"/>
        <v>1450.5</v>
      </c>
      <c r="H879">
        <v>25</v>
      </c>
      <c r="I879">
        <v>58.02</v>
      </c>
      <c r="J879" s="11">
        <v>0.13</v>
      </c>
      <c r="K879">
        <f t="shared" si="41"/>
        <v>188.565</v>
      </c>
      <c r="N879">
        <v>1450.5</v>
      </c>
      <c r="O879">
        <v>188.565</v>
      </c>
      <c r="P879">
        <f t="shared" si="39"/>
        <v>1261.9349999999999</v>
      </c>
    </row>
    <row r="880" spans="1:16" x14ac:dyDescent="0.25">
      <c r="A880">
        <v>30</v>
      </c>
      <c r="B880">
        <v>10.64</v>
      </c>
      <c r="C880">
        <f t="shared" si="40"/>
        <v>319.20000000000005</v>
      </c>
      <c r="H880">
        <v>30</v>
      </c>
      <c r="I880">
        <v>10.64</v>
      </c>
      <c r="J880" s="11">
        <v>0.27</v>
      </c>
      <c r="K880">
        <f t="shared" si="41"/>
        <v>86.184000000000012</v>
      </c>
      <c r="N880">
        <v>319.20000000000005</v>
      </c>
      <c r="O880">
        <v>86.184000000000012</v>
      </c>
      <c r="P880">
        <f t="shared" si="39"/>
        <v>233.01600000000002</v>
      </c>
    </row>
    <row r="881" spans="1:16" x14ac:dyDescent="0.25">
      <c r="A881">
        <v>12</v>
      </c>
      <c r="B881">
        <v>48.18</v>
      </c>
      <c r="C881">
        <f t="shared" si="40"/>
        <v>578.16</v>
      </c>
      <c r="H881">
        <v>12</v>
      </c>
      <c r="I881">
        <v>48.18</v>
      </c>
      <c r="J881" s="11">
        <v>0.5</v>
      </c>
      <c r="K881">
        <f t="shared" si="41"/>
        <v>289.08</v>
      </c>
      <c r="N881">
        <v>578.16</v>
      </c>
      <c r="O881">
        <v>289.08</v>
      </c>
      <c r="P881">
        <f t="shared" si="39"/>
        <v>289.08</v>
      </c>
    </row>
    <row r="882" spans="1:16" x14ac:dyDescent="0.25">
      <c r="A882">
        <v>48</v>
      </c>
      <c r="B882">
        <v>90.66</v>
      </c>
      <c r="C882">
        <f t="shared" si="40"/>
        <v>4351.68</v>
      </c>
      <c r="H882">
        <v>48</v>
      </c>
      <c r="I882">
        <v>90.66</v>
      </c>
      <c r="J882" s="11">
        <v>0.24</v>
      </c>
      <c r="K882">
        <f t="shared" si="41"/>
        <v>1044.4032</v>
      </c>
      <c r="N882">
        <v>4351.68</v>
      </c>
      <c r="O882">
        <v>1044.4032</v>
      </c>
      <c r="P882">
        <f t="shared" si="39"/>
        <v>3307.2768000000005</v>
      </c>
    </row>
    <row r="883" spans="1:16" x14ac:dyDescent="0.25">
      <c r="A883">
        <v>21</v>
      </c>
      <c r="B883">
        <v>80.16</v>
      </c>
      <c r="C883">
        <f t="shared" si="40"/>
        <v>1683.36</v>
      </c>
      <c r="H883">
        <v>21</v>
      </c>
      <c r="I883">
        <v>80.16</v>
      </c>
      <c r="J883" s="11">
        <v>0.46</v>
      </c>
      <c r="K883">
        <f t="shared" si="41"/>
        <v>774.34559999999999</v>
      </c>
      <c r="N883">
        <v>1683.36</v>
      </c>
      <c r="O883">
        <v>774.34559999999999</v>
      </c>
      <c r="P883">
        <f t="shared" si="39"/>
        <v>909.01439999999991</v>
      </c>
    </row>
    <row r="884" spans="1:16" x14ac:dyDescent="0.25">
      <c r="A884">
        <v>10</v>
      </c>
      <c r="B884">
        <v>29.08</v>
      </c>
      <c r="C884">
        <f t="shared" si="40"/>
        <v>290.79999999999995</v>
      </c>
      <c r="H884">
        <v>10</v>
      </c>
      <c r="I884">
        <v>29.08</v>
      </c>
      <c r="J884" s="11">
        <v>0.3</v>
      </c>
      <c r="K884">
        <f t="shared" si="41"/>
        <v>87.239999999999981</v>
      </c>
      <c r="N884">
        <v>290.79999999999995</v>
      </c>
      <c r="O884">
        <v>87.239999999999981</v>
      </c>
      <c r="P884">
        <f t="shared" si="39"/>
        <v>203.55999999999997</v>
      </c>
    </row>
    <row r="885" spans="1:16" x14ac:dyDescent="0.25">
      <c r="A885">
        <v>34</v>
      </c>
      <c r="B885">
        <v>26.28</v>
      </c>
      <c r="C885">
        <f t="shared" si="40"/>
        <v>893.52</v>
      </c>
      <c r="H885">
        <v>34</v>
      </c>
      <c r="I885">
        <v>26.28</v>
      </c>
      <c r="J885" s="11">
        <v>0.1</v>
      </c>
      <c r="K885">
        <f t="shared" si="41"/>
        <v>89.352000000000004</v>
      </c>
      <c r="N885">
        <v>893.52</v>
      </c>
      <c r="O885">
        <v>89.352000000000004</v>
      </c>
      <c r="P885">
        <f t="shared" si="39"/>
        <v>804.16800000000001</v>
      </c>
    </row>
    <row r="886" spans="1:16" x14ac:dyDescent="0.25">
      <c r="A886">
        <v>25</v>
      </c>
      <c r="B886">
        <v>4.49</v>
      </c>
      <c r="C886">
        <f t="shared" si="40"/>
        <v>112.25</v>
      </c>
      <c r="H886">
        <v>25</v>
      </c>
      <c r="I886">
        <v>4.49</v>
      </c>
      <c r="J886" s="11">
        <v>0.37</v>
      </c>
      <c r="K886">
        <f t="shared" si="41"/>
        <v>41.532499999999999</v>
      </c>
      <c r="N886">
        <v>112.25</v>
      </c>
      <c r="O886">
        <v>41.532499999999999</v>
      </c>
      <c r="P886">
        <f t="shared" si="39"/>
        <v>70.717500000000001</v>
      </c>
    </row>
    <row r="887" spans="1:16" x14ac:dyDescent="0.25">
      <c r="A887">
        <v>45</v>
      </c>
      <c r="B887">
        <v>88.28</v>
      </c>
      <c r="C887">
        <f t="shared" si="40"/>
        <v>3972.6</v>
      </c>
      <c r="H887">
        <v>45</v>
      </c>
      <c r="I887">
        <v>88.28</v>
      </c>
      <c r="J887" s="11">
        <v>0.36</v>
      </c>
      <c r="K887">
        <f t="shared" si="41"/>
        <v>1430.136</v>
      </c>
      <c r="N887">
        <v>3972.6</v>
      </c>
      <c r="O887">
        <v>1430.136</v>
      </c>
      <c r="P887">
        <f t="shared" si="39"/>
        <v>2542.4639999999999</v>
      </c>
    </row>
    <row r="888" spans="1:16" x14ac:dyDescent="0.25">
      <c r="A888">
        <v>23</v>
      </c>
      <c r="B888">
        <v>71.760000000000005</v>
      </c>
      <c r="C888">
        <f t="shared" si="40"/>
        <v>1650.48</v>
      </c>
      <c r="H888">
        <v>23</v>
      </c>
      <c r="I888">
        <v>71.760000000000005</v>
      </c>
      <c r="J888" s="11">
        <v>0.21</v>
      </c>
      <c r="K888">
        <f t="shared" si="41"/>
        <v>346.60079999999999</v>
      </c>
      <c r="N888">
        <v>1650.48</v>
      </c>
      <c r="O888">
        <v>346.60079999999999</v>
      </c>
      <c r="P888">
        <f t="shared" si="39"/>
        <v>1303.8792000000001</v>
      </c>
    </row>
    <row r="889" spans="1:16" x14ac:dyDescent="0.25">
      <c r="A889">
        <v>11</v>
      </c>
      <c r="B889">
        <v>73.209999999999994</v>
      </c>
      <c r="C889">
        <f t="shared" si="40"/>
        <v>805.31</v>
      </c>
      <c r="H889">
        <v>11</v>
      </c>
      <c r="I889">
        <v>73.209999999999994</v>
      </c>
      <c r="J889" s="11">
        <v>0.32</v>
      </c>
      <c r="K889">
        <f t="shared" si="41"/>
        <v>257.69919999999996</v>
      </c>
      <c r="N889">
        <v>805.31</v>
      </c>
      <c r="O889">
        <v>257.69919999999996</v>
      </c>
      <c r="P889">
        <f t="shared" si="39"/>
        <v>547.61079999999993</v>
      </c>
    </row>
    <row r="890" spans="1:16" x14ac:dyDescent="0.25">
      <c r="A890">
        <v>33</v>
      </c>
      <c r="B890">
        <v>25.57</v>
      </c>
      <c r="C890">
        <f t="shared" si="40"/>
        <v>843.81000000000006</v>
      </c>
      <c r="H890">
        <v>33</v>
      </c>
      <c r="I890">
        <v>25.57</v>
      </c>
      <c r="J890" s="11">
        <v>0.03</v>
      </c>
      <c r="K890">
        <f t="shared" si="41"/>
        <v>25.314299999999999</v>
      </c>
      <c r="N890">
        <v>843.81000000000006</v>
      </c>
      <c r="O890">
        <v>25.314299999999999</v>
      </c>
      <c r="P890">
        <f t="shared" si="39"/>
        <v>818.49570000000006</v>
      </c>
    </row>
    <row r="891" spans="1:16" x14ac:dyDescent="0.25">
      <c r="A891">
        <v>37</v>
      </c>
      <c r="B891">
        <v>54.76</v>
      </c>
      <c r="C891">
        <f t="shared" si="40"/>
        <v>2026.12</v>
      </c>
      <c r="H891">
        <v>37</v>
      </c>
      <c r="I891">
        <v>54.76</v>
      </c>
      <c r="J891" s="11">
        <v>0.25</v>
      </c>
      <c r="K891">
        <f t="shared" si="41"/>
        <v>506.53</v>
      </c>
      <c r="N891">
        <v>2026.12</v>
      </c>
      <c r="O891">
        <v>506.53</v>
      </c>
      <c r="P891">
        <f t="shared" si="39"/>
        <v>1519.59</v>
      </c>
    </row>
    <row r="892" spans="1:16" x14ac:dyDescent="0.25">
      <c r="A892">
        <v>21</v>
      </c>
      <c r="B892">
        <v>72.27</v>
      </c>
      <c r="C892">
        <f t="shared" si="40"/>
        <v>1517.6699999999998</v>
      </c>
      <c r="H892">
        <v>21</v>
      </c>
      <c r="I892">
        <v>72.27</v>
      </c>
      <c r="J892" s="11">
        <v>0.21</v>
      </c>
      <c r="K892">
        <f t="shared" si="41"/>
        <v>318.71069999999997</v>
      </c>
      <c r="N892">
        <v>1517.6699999999998</v>
      </c>
      <c r="O892">
        <v>318.71069999999997</v>
      </c>
      <c r="P892">
        <f t="shared" si="39"/>
        <v>1198.9593</v>
      </c>
    </row>
    <row r="893" spans="1:16" x14ac:dyDescent="0.25">
      <c r="A893">
        <v>32</v>
      </c>
      <c r="B893">
        <v>42.81</v>
      </c>
      <c r="C893">
        <f t="shared" si="40"/>
        <v>1369.92</v>
      </c>
      <c r="H893">
        <v>32</v>
      </c>
      <c r="I893">
        <v>42.81</v>
      </c>
      <c r="J893" s="11">
        <v>0.22</v>
      </c>
      <c r="K893">
        <f t="shared" si="41"/>
        <v>301.38240000000002</v>
      </c>
      <c r="N893">
        <v>1369.92</v>
      </c>
      <c r="O893">
        <v>301.38240000000002</v>
      </c>
      <c r="P893">
        <f t="shared" si="39"/>
        <v>1068.5376000000001</v>
      </c>
    </row>
    <row r="894" spans="1:16" x14ac:dyDescent="0.25">
      <c r="A894">
        <v>22</v>
      </c>
      <c r="B894">
        <v>11.1</v>
      </c>
      <c r="C894">
        <f t="shared" si="40"/>
        <v>244.2</v>
      </c>
      <c r="H894">
        <v>22</v>
      </c>
      <c r="I894">
        <v>11.1</v>
      </c>
      <c r="J894" s="11">
        <v>0.36</v>
      </c>
      <c r="K894">
        <f t="shared" si="41"/>
        <v>87.911999999999992</v>
      </c>
      <c r="N894">
        <v>244.2</v>
      </c>
      <c r="O894">
        <v>87.911999999999992</v>
      </c>
      <c r="P894">
        <f t="shared" si="39"/>
        <v>156.28800000000001</v>
      </c>
    </row>
    <row r="895" spans="1:16" x14ac:dyDescent="0.25">
      <c r="A895">
        <v>17</v>
      </c>
      <c r="B895">
        <v>33.99</v>
      </c>
      <c r="C895">
        <f t="shared" si="40"/>
        <v>577.83000000000004</v>
      </c>
      <c r="H895">
        <v>17</v>
      </c>
      <c r="I895">
        <v>33.99</v>
      </c>
      <c r="J895" s="11">
        <v>0.44</v>
      </c>
      <c r="K895">
        <f t="shared" si="41"/>
        <v>254.24520000000001</v>
      </c>
      <c r="N895">
        <v>577.83000000000004</v>
      </c>
      <c r="O895">
        <v>254.24520000000001</v>
      </c>
      <c r="P895">
        <f t="shared" si="39"/>
        <v>323.58480000000003</v>
      </c>
    </row>
    <row r="896" spans="1:16" x14ac:dyDescent="0.25">
      <c r="A896">
        <v>44</v>
      </c>
      <c r="B896">
        <v>62.05</v>
      </c>
      <c r="C896">
        <f t="shared" si="40"/>
        <v>2730.2</v>
      </c>
      <c r="H896">
        <v>44</v>
      </c>
      <c r="I896">
        <v>62.05</v>
      </c>
      <c r="J896" s="11">
        <v>0.13</v>
      </c>
      <c r="K896">
        <f t="shared" si="41"/>
        <v>354.92599999999999</v>
      </c>
      <c r="N896">
        <v>2730.2</v>
      </c>
      <c r="O896">
        <v>354.92599999999999</v>
      </c>
      <c r="P896">
        <f t="shared" si="39"/>
        <v>2375.2739999999999</v>
      </c>
    </row>
    <row r="897" spans="1:16" x14ac:dyDescent="0.25">
      <c r="A897">
        <v>28</v>
      </c>
      <c r="B897">
        <v>98.25</v>
      </c>
      <c r="C897">
        <f t="shared" si="40"/>
        <v>2751</v>
      </c>
      <c r="H897">
        <v>28</v>
      </c>
      <c r="I897">
        <v>98.25</v>
      </c>
      <c r="J897" s="11">
        <v>0.44</v>
      </c>
      <c r="K897">
        <f t="shared" si="41"/>
        <v>1210.44</v>
      </c>
      <c r="N897">
        <v>2751</v>
      </c>
      <c r="O897">
        <v>1210.44</v>
      </c>
      <c r="P897">
        <f t="shared" si="39"/>
        <v>1540.56</v>
      </c>
    </row>
    <row r="898" spans="1:16" x14ac:dyDescent="0.25">
      <c r="A898">
        <v>43</v>
      </c>
      <c r="B898">
        <v>80.09</v>
      </c>
      <c r="C898">
        <f t="shared" si="40"/>
        <v>3443.8700000000003</v>
      </c>
      <c r="H898">
        <v>43</v>
      </c>
      <c r="I898">
        <v>80.09</v>
      </c>
      <c r="J898" s="11">
        <v>0.17</v>
      </c>
      <c r="K898">
        <f t="shared" si="41"/>
        <v>585.45790000000011</v>
      </c>
      <c r="N898">
        <v>3443.8700000000003</v>
      </c>
      <c r="O898">
        <v>585.45790000000011</v>
      </c>
      <c r="P898">
        <f t="shared" ref="P898:P961" si="42">N898-O898</f>
        <v>2858.4121000000005</v>
      </c>
    </row>
    <row r="899" spans="1:16" x14ac:dyDescent="0.25">
      <c r="A899">
        <v>47</v>
      </c>
      <c r="B899">
        <v>58.23</v>
      </c>
      <c r="C899">
        <f t="shared" ref="C899:C962" si="43">A899*B899</f>
        <v>2736.81</v>
      </c>
      <c r="H899">
        <v>47</v>
      </c>
      <c r="I899">
        <v>58.23</v>
      </c>
      <c r="J899" s="11">
        <v>0.15</v>
      </c>
      <c r="K899">
        <f t="shared" ref="K899:K962" si="44">H899*I899*J899</f>
        <v>410.5215</v>
      </c>
      <c r="N899">
        <v>2736.81</v>
      </c>
      <c r="O899">
        <v>410.5215</v>
      </c>
      <c r="P899">
        <f t="shared" si="42"/>
        <v>2326.2885000000001</v>
      </c>
    </row>
    <row r="900" spans="1:16" x14ac:dyDescent="0.25">
      <c r="A900">
        <v>44</v>
      </c>
      <c r="B900">
        <v>32.200000000000003</v>
      </c>
      <c r="C900">
        <f t="shared" si="43"/>
        <v>1416.8000000000002</v>
      </c>
      <c r="H900">
        <v>44</v>
      </c>
      <c r="I900">
        <v>32.200000000000003</v>
      </c>
      <c r="J900" s="11">
        <v>0.44</v>
      </c>
      <c r="K900">
        <f t="shared" si="44"/>
        <v>623.39200000000005</v>
      </c>
      <c r="N900">
        <v>1416.8000000000002</v>
      </c>
      <c r="O900">
        <v>623.39200000000005</v>
      </c>
      <c r="P900">
        <f t="shared" si="42"/>
        <v>793.40800000000013</v>
      </c>
    </row>
    <row r="901" spans="1:16" x14ac:dyDescent="0.25">
      <c r="A901">
        <v>47</v>
      </c>
      <c r="B901">
        <v>42.46</v>
      </c>
      <c r="C901">
        <f t="shared" si="43"/>
        <v>1995.6200000000001</v>
      </c>
      <c r="H901">
        <v>47</v>
      </c>
      <c r="I901">
        <v>42.46</v>
      </c>
      <c r="J901" s="11">
        <v>0.37</v>
      </c>
      <c r="K901">
        <f t="shared" si="44"/>
        <v>738.37940000000003</v>
      </c>
      <c r="N901">
        <v>1995.6200000000001</v>
      </c>
      <c r="O901">
        <v>738.37940000000003</v>
      </c>
      <c r="P901">
        <f t="shared" si="42"/>
        <v>1257.2406000000001</v>
      </c>
    </row>
    <row r="902" spans="1:16" x14ac:dyDescent="0.25">
      <c r="A902">
        <v>14</v>
      </c>
      <c r="B902">
        <v>28.59</v>
      </c>
      <c r="C902">
        <f t="shared" si="43"/>
        <v>400.26</v>
      </c>
      <c r="H902">
        <v>14</v>
      </c>
      <c r="I902">
        <v>28.59</v>
      </c>
      <c r="J902" s="11">
        <v>0.19</v>
      </c>
      <c r="K902">
        <f t="shared" si="44"/>
        <v>76.049400000000006</v>
      </c>
      <c r="N902">
        <v>400.26</v>
      </c>
      <c r="O902">
        <v>76.049400000000006</v>
      </c>
      <c r="P902">
        <f t="shared" si="42"/>
        <v>324.2106</v>
      </c>
    </row>
    <row r="903" spans="1:16" x14ac:dyDescent="0.25">
      <c r="A903">
        <v>27</v>
      </c>
      <c r="B903">
        <v>44.06</v>
      </c>
      <c r="C903">
        <f t="shared" si="43"/>
        <v>1189.6200000000001</v>
      </c>
      <c r="H903">
        <v>27</v>
      </c>
      <c r="I903">
        <v>44.06</v>
      </c>
      <c r="J903" s="11">
        <v>0.14000000000000001</v>
      </c>
      <c r="K903">
        <f t="shared" si="44"/>
        <v>166.54680000000002</v>
      </c>
      <c r="N903">
        <v>1189.6200000000001</v>
      </c>
      <c r="O903">
        <v>166.54680000000002</v>
      </c>
      <c r="P903">
        <f t="shared" si="42"/>
        <v>1023.0732</v>
      </c>
    </row>
    <row r="904" spans="1:16" x14ac:dyDescent="0.25">
      <c r="A904">
        <v>7</v>
      </c>
      <c r="B904">
        <v>29.72</v>
      </c>
      <c r="C904">
        <f t="shared" si="43"/>
        <v>208.04</v>
      </c>
      <c r="H904">
        <v>7</v>
      </c>
      <c r="I904">
        <v>29.72</v>
      </c>
      <c r="J904" s="11">
        <v>0.47</v>
      </c>
      <c r="K904">
        <f t="shared" si="44"/>
        <v>97.77879999999999</v>
      </c>
      <c r="N904">
        <v>208.04</v>
      </c>
      <c r="O904">
        <v>97.77879999999999</v>
      </c>
      <c r="P904">
        <f t="shared" si="42"/>
        <v>110.2612</v>
      </c>
    </row>
    <row r="905" spans="1:16" x14ac:dyDescent="0.25">
      <c r="A905">
        <v>31</v>
      </c>
      <c r="B905">
        <v>91.14</v>
      </c>
      <c r="C905">
        <f t="shared" si="43"/>
        <v>2825.34</v>
      </c>
      <c r="H905">
        <v>31</v>
      </c>
      <c r="I905">
        <v>91.14</v>
      </c>
      <c r="J905" s="11">
        <v>0.17</v>
      </c>
      <c r="K905">
        <f t="shared" si="44"/>
        <v>480.30780000000004</v>
      </c>
      <c r="N905">
        <v>2825.34</v>
      </c>
      <c r="O905">
        <v>480.30780000000004</v>
      </c>
      <c r="P905">
        <f t="shared" si="42"/>
        <v>2345.0322000000001</v>
      </c>
    </row>
    <row r="906" spans="1:16" x14ac:dyDescent="0.25">
      <c r="A906">
        <v>12</v>
      </c>
      <c r="B906">
        <v>58.14</v>
      </c>
      <c r="C906">
        <f t="shared" si="43"/>
        <v>697.68000000000006</v>
      </c>
      <c r="H906">
        <v>12</v>
      </c>
      <c r="I906">
        <v>58.14</v>
      </c>
      <c r="J906" s="11">
        <v>0.26</v>
      </c>
      <c r="K906">
        <f t="shared" si="44"/>
        <v>181.39680000000001</v>
      </c>
      <c r="N906">
        <v>697.68000000000006</v>
      </c>
      <c r="O906">
        <v>181.39680000000001</v>
      </c>
      <c r="P906">
        <f t="shared" si="42"/>
        <v>516.28320000000008</v>
      </c>
    </row>
    <row r="907" spans="1:16" x14ac:dyDescent="0.25">
      <c r="A907">
        <v>2</v>
      </c>
      <c r="B907">
        <v>91.6</v>
      </c>
      <c r="C907">
        <f t="shared" si="43"/>
        <v>183.2</v>
      </c>
      <c r="H907">
        <v>2</v>
      </c>
      <c r="I907">
        <v>91.6</v>
      </c>
      <c r="J907" s="11">
        <v>0.02</v>
      </c>
      <c r="K907">
        <f t="shared" si="44"/>
        <v>3.6639999999999997</v>
      </c>
      <c r="N907">
        <v>183.2</v>
      </c>
      <c r="O907">
        <v>3.6639999999999997</v>
      </c>
      <c r="P907">
        <f t="shared" si="42"/>
        <v>179.536</v>
      </c>
    </row>
    <row r="908" spans="1:16" x14ac:dyDescent="0.25">
      <c r="A908">
        <v>47</v>
      </c>
      <c r="B908">
        <v>77.73</v>
      </c>
      <c r="C908">
        <f t="shared" si="43"/>
        <v>3653.3100000000004</v>
      </c>
      <c r="H908">
        <v>47</v>
      </c>
      <c r="I908">
        <v>77.73</v>
      </c>
      <c r="J908" s="11">
        <v>0.48</v>
      </c>
      <c r="K908">
        <f t="shared" si="44"/>
        <v>1753.5888000000002</v>
      </c>
      <c r="N908">
        <v>3653.3100000000004</v>
      </c>
      <c r="O908">
        <v>1753.5888000000002</v>
      </c>
      <c r="P908">
        <f t="shared" si="42"/>
        <v>1899.7212000000002</v>
      </c>
    </row>
    <row r="909" spans="1:16" x14ac:dyDescent="0.25">
      <c r="A909">
        <v>22</v>
      </c>
      <c r="B909">
        <v>78.06</v>
      </c>
      <c r="C909">
        <f t="shared" si="43"/>
        <v>1717.3200000000002</v>
      </c>
      <c r="H909">
        <v>22</v>
      </c>
      <c r="I909">
        <v>78.06</v>
      </c>
      <c r="J909" s="11">
        <v>0.34</v>
      </c>
      <c r="K909">
        <f t="shared" si="44"/>
        <v>583.88880000000006</v>
      </c>
      <c r="N909">
        <v>1717.3200000000002</v>
      </c>
      <c r="O909">
        <v>583.88880000000006</v>
      </c>
      <c r="P909">
        <f t="shared" si="42"/>
        <v>1133.4312</v>
      </c>
    </row>
    <row r="910" spans="1:16" x14ac:dyDescent="0.25">
      <c r="A910">
        <v>8</v>
      </c>
      <c r="B910">
        <v>7.56</v>
      </c>
      <c r="C910">
        <f t="shared" si="43"/>
        <v>60.48</v>
      </c>
      <c r="H910">
        <v>8</v>
      </c>
      <c r="I910">
        <v>7.56</v>
      </c>
      <c r="J910" s="11">
        <v>0.13</v>
      </c>
      <c r="K910">
        <f t="shared" si="44"/>
        <v>7.8624000000000001</v>
      </c>
      <c r="N910">
        <v>60.48</v>
      </c>
      <c r="O910">
        <v>7.8624000000000001</v>
      </c>
      <c r="P910">
        <f t="shared" si="42"/>
        <v>52.617599999999996</v>
      </c>
    </row>
    <row r="911" spans="1:16" x14ac:dyDescent="0.25">
      <c r="A911">
        <v>16</v>
      </c>
      <c r="B911">
        <v>73.739999999999995</v>
      </c>
      <c r="C911">
        <f t="shared" si="43"/>
        <v>1179.8399999999999</v>
      </c>
      <c r="H911">
        <v>16</v>
      </c>
      <c r="I911">
        <v>73.739999999999995</v>
      </c>
      <c r="J911" s="11">
        <v>0.28999999999999998</v>
      </c>
      <c r="K911">
        <f t="shared" si="44"/>
        <v>342.15359999999993</v>
      </c>
      <c r="N911">
        <v>1179.8399999999999</v>
      </c>
      <c r="O911">
        <v>342.15359999999993</v>
      </c>
      <c r="P911">
        <f t="shared" si="42"/>
        <v>837.68640000000005</v>
      </c>
    </row>
    <row r="912" spans="1:16" x14ac:dyDescent="0.25">
      <c r="A912">
        <v>25</v>
      </c>
      <c r="B912">
        <v>40.11</v>
      </c>
      <c r="C912">
        <f t="shared" si="43"/>
        <v>1002.75</v>
      </c>
      <c r="H912">
        <v>25</v>
      </c>
      <c r="I912">
        <v>40.11</v>
      </c>
      <c r="J912" s="11">
        <v>0.22</v>
      </c>
      <c r="K912">
        <f t="shared" si="44"/>
        <v>220.60499999999999</v>
      </c>
      <c r="N912">
        <v>1002.75</v>
      </c>
      <c r="O912">
        <v>220.60499999999999</v>
      </c>
      <c r="P912">
        <f t="shared" si="42"/>
        <v>782.14499999999998</v>
      </c>
    </row>
    <row r="913" spans="1:16" x14ac:dyDescent="0.25">
      <c r="A913">
        <v>3</v>
      </c>
      <c r="B913">
        <v>52.96</v>
      </c>
      <c r="C913">
        <f t="shared" si="43"/>
        <v>158.88</v>
      </c>
      <c r="H913">
        <v>3</v>
      </c>
      <c r="I913">
        <v>52.96</v>
      </c>
      <c r="J913" s="11">
        <v>0.4</v>
      </c>
      <c r="K913">
        <f t="shared" si="44"/>
        <v>63.552</v>
      </c>
      <c r="N913">
        <v>158.88</v>
      </c>
      <c r="O913">
        <v>63.552</v>
      </c>
      <c r="P913">
        <f t="shared" si="42"/>
        <v>95.328000000000003</v>
      </c>
    </row>
    <row r="914" spans="1:16" x14ac:dyDescent="0.25">
      <c r="A914">
        <v>19</v>
      </c>
      <c r="B914">
        <v>58.34</v>
      </c>
      <c r="C914">
        <f t="shared" si="43"/>
        <v>1108.46</v>
      </c>
      <c r="H914">
        <v>19</v>
      </c>
      <c r="I914">
        <v>58.34</v>
      </c>
      <c r="J914" s="11">
        <v>0.12</v>
      </c>
      <c r="K914">
        <f t="shared" si="44"/>
        <v>133.01519999999999</v>
      </c>
      <c r="N914">
        <v>1108.46</v>
      </c>
      <c r="O914">
        <v>133.01519999999999</v>
      </c>
      <c r="P914">
        <f t="shared" si="42"/>
        <v>975.44479999999999</v>
      </c>
    </row>
    <row r="915" spans="1:16" x14ac:dyDescent="0.25">
      <c r="A915">
        <v>29</v>
      </c>
      <c r="B915">
        <v>32.9</v>
      </c>
      <c r="C915">
        <f t="shared" si="43"/>
        <v>954.09999999999991</v>
      </c>
      <c r="H915">
        <v>29</v>
      </c>
      <c r="I915">
        <v>32.9</v>
      </c>
      <c r="J915" s="11">
        <v>0.04</v>
      </c>
      <c r="K915">
        <f t="shared" si="44"/>
        <v>38.163999999999994</v>
      </c>
      <c r="N915">
        <v>954.09999999999991</v>
      </c>
      <c r="O915">
        <v>38.163999999999994</v>
      </c>
      <c r="P915">
        <f t="shared" si="42"/>
        <v>915.93599999999992</v>
      </c>
    </row>
    <row r="916" spans="1:16" x14ac:dyDescent="0.25">
      <c r="A916">
        <v>5</v>
      </c>
      <c r="B916">
        <v>52.11</v>
      </c>
      <c r="C916">
        <f t="shared" si="43"/>
        <v>260.55</v>
      </c>
      <c r="H916">
        <v>5</v>
      </c>
      <c r="I916">
        <v>52.11</v>
      </c>
      <c r="J916" s="11">
        <v>0.43</v>
      </c>
      <c r="K916">
        <f t="shared" si="44"/>
        <v>112.0365</v>
      </c>
      <c r="N916">
        <v>260.55</v>
      </c>
      <c r="O916">
        <v>112.0365</v>
      </c>
      <c r="P916">
        <f t="shared" si="42"/>
        <v>148.51350000000002</v>
      </c>
    </row>
    <row r="917" spans="1:16" x14ac:dyDescent="0.25">
      <c r="A917">
        <v>20</v>
      </c>
      <c r="B917">
        <v>5.51</v>
      </c>
      <c r="C917">
        <f t="shared" si="43"/>
        <v>110.19999999999999</v>
      </c>
      <c r="H917">
        <v>20</v>
      </c>
      <c r="I917">
        <v>5.51</v>
      </c>
      <c r="J917" s="11">
        <v>0.23</v>
      </c>
      <c r="K917">
        <f t="shared" si="44"/>
        <v>25.346</v>
      </c>
      <c r="N917">
        <v>110.19999999999999</v>
      </c>
      <c r="O917">
        <v>25.346</v>
      </c>
      <c r="P917">
        <f t="shared" si="42"/>
        <v>84.853999999999985</v>
      </c>
    </row>
    <row r="918" spans="1:16" x14ac:dyDescent="0.25">
      <c r="A918">
        <v>33</v>
      </c>
      <c r="B918">
        <v>39.04</v>
      </c>
      <c r="C918">
        <f t="shared" si="43"/>
        <v>1288.32</v>
      </c>
      <c r="H918">
        <v>33</v>
      </c>
      <c r="I918">
        <v>39.04</v>
      </c>
      <c r="J918" s="11">
        <v>0.12</v>
      </c>
      <c r="K918">
        <f t="shared" si="44"/>
        <v>154.5984</v>
      </c>
      <c r="N918">
        <v>1288.32</v>
      </c>
      <c r="O918">
        <v>154.5984</v>
      </c>
      <c r="P918">
        <f t="shared" si="42"/>
        <v>1133.7215999999999</v>
      </c>
    </row>
    <row r="919" spans="1:16" x14ac:dyDescent="0.25">
      <c r="A919">
        <v>1</v>
      </c>
      <c r="B919">
        <v>48.17</v>
      </c>
      <c r="C919">
        <f t="shared" si="43"/>
        <v>48.17</v>
      </c>
      <c r="H919">
        <v>1</v>
      </c>
      <c r="I919">
        <v>48.17</v>
      </c>
      <c r="J919" s="11">
        <v>0.3</v>
      </c>
      <c r="K919">
        <f t="shared" si="44"/>
        <v>14.451000000000001</v>
      </c>
      <c r="N919">
        <v>48.17</v>
      </c>
      <c r="O919">
        <v>14.451000000000001</v>
      </c>
      <c r="P919">
        <f t="shared" si="42"/>
        <v>33.719000000000001</v>
      </c>
    </row>
    <row r="920" spans="1:16" x14ac:dyDescent="0.25">
      <c r="A920">
        <v>32</v>
      </c>
      <c r="B920">
        <v>41.14</v>
      </c>
      <c r="C920">
        <f t="shared" si="43"/>
        <v>1316.48</v>
      </c>
      <c r="H920">
        <v>32</v>
      </c>
      <c r="I920">
        <v>41.14</v>
      </c>
      <c r="J920" s="11">
        <v>0.34</v>
      </c>
      <c r="K920">
        <f t="shared" si="44"/>
        <v>447.60320000000002</v>
      </c>
      <c r="N920">
        <v>1316.48</v>
      </c>
      <c r="O920">
        <v>447.60320000000002</v>
      </c>
      <c r="P920">
        <f t="shared" si="42"/>
        <v>868.8768</v>
      </c>
    </row>
    <row r="921" spans="1:16" x14ac:dyDescent="0.25">
      <c r="A921">
        <v>29</v>
      </c>
      <c r="B921">
        <v>48.89</v>
      </c>
      <c r="C921">
        <f t="shared" si="43"/>
        <v>1417.81</v>
      </c>
      <c r="H921">
        <v>29</v>
      </c>
      <c r="I921">
        <v>48.89</v>
      </c>
      <c r="J921" s="11">
        <v>0.41</v>
      </c>
      <c r="K921">
        <f t="shared" si="44"/>
        <v>581.3021</v>
      </c>
      <c r="N921">
        <v>1417.81</v>
      </c>
      <c r="O921">
        <v>581.3021</v>
      </c>
      <c r="P921">
        <f t="shared" si="42"/>
        <v>836.50789999999995</v>
      </c>
    </row>
    <row r="922" spans="1:16" x14ac:dyDescent="0.25">
      <c r="A922">
        <v>38</v>
      </c>
      <c r="B922">
        <v>31.25</v>
      </c>
      <c r="C922">
        <f t="shared" si="43"/>
        <v>1187.5</v>
      </c>
      <c r="H922">
        <v>38</v>
      </c>
      <c r="I922">
        <v>31.25</v>
      </c>
      <c r="J922" s="11">
        <v>0.43</v>
      </c>
      <c r="K922">
        <f t="shared" si="44"/>
        <v>510.625</v>
      </c>
      <c r="N922">
        <v>1187.5</v>
      </c>
      <c r="O922">
        <v>510.625</v>
      </c>
      <c r="P922">
        <f t="shared" si="42"/>
        <v>676.875</v>
      </c>
    </row>
    <row r="923" spans="1:16" x14ac:dyDescent="0.25">
      <c r="A923">
        <v>23</v>
      </c>
      <c r="B923">
        <v>91.36</v>
      </c>
      <c r="C923">
        <f t="shared" si="43"/>
        <v>2101.2800000000002</v>
      </c>
      <c r="H923">
        <v>23</v>
      </c>
      <c r="I923">
        <v>91.36</v>
      </c>
      <c r="J923" s="11">
        <v>0.32</v>
      </c>
      <c r="K923">
        <f t="shared" si="44"/>
        <v>672.40960000000007</v>
      </c>
      <c r="N923">
        <v>2101.2800000000002</v>
      </c>
      <c r="O923">
        <v>672.40960000000007</v>
      </c>
      <c r="P923">
        <f t="shared" si="42"/>
        <v>1428.8704000000002</v>
      </c>
    </row>
    <row r="924" spans="1:16" x14ac:dyDescent="0.25">
      <c r="A924">
        <v>10</v>
      </c>
      <c r="B924">
        <v>98.02</v>
      </c>
      <c r="C924">
        <f t="shared" si="43"/>
        <v>980.19999999999993</v>
      </c>
      <c r="H924">
        <v>10</v>
      </c>
      <c r="I924">
        <v>98.02</v>
      </c>
      <c r="J924" s="11">
        <v>0.36</v>
      </c>
      <c r="K924">
        <f t="shared" si="44"/>
        <v>352.87199999999996</v>
      </c>
      <c r="N924">
        <v>980.19999999999993</v>
      </c>
      <c r="O924">
        <v>352.87199999999996</v>
      </c>
      <c r="P924">
        <f t="shared" si="42"/>
        <v>627.32799999999997</v>
      </c>
    </row>
    <row r="925" spans="1:16" x14ac:dyDescent="0.25">
      <c r="A925">
        <v>12</v>
      </c>
      <c r="B925">
        <v>29.65</v>
      </c>
      <c r="C925">
        <f t="shared" si="43"/>
        <v>355.79999999999995</v>
      </c>
      <c r="H925">
        <v>12</v>
      </c>
      <c r="I925">
        <v>29.65</v>
      </c>
      <c r="J925" s="11">
        <v>0.17</v>
      </c>
      <c r="K925">
        <f t="shared" si="44"/>
        <v>60.485999999999997</v>
      </c>
      <c r="N925">
        <v>355.79999999999995</v>
      </c>
      <c r="O925">
        <v>60.485999999999997</v>
      </c>
      <c r="P925">
        <f t="shared" si="42"/>
        <v>295.31399999999996</v>
      </c>
    </row>
    <row r="926" spans="1:16" x14ac:dyDescent="0.25">
      <c r="A926">
        <v>35</v>
      </c>
      <c r="B926">
        <v>73.55</v>
      </c>
      <c r="C926">
        <f t="shared" si="43"/>
        <v>2574.25</v>
      </c>
      <c r="H926">
        <v>35</v>
      </c>
      <c r="I926">
        <v>73.55</v>
      </c>
      <c r="J926" s="11">
        <v>0.28000000000000003</v>
      </c>
      <c r="K926">
        <f t="shared" si="44"/>
        <v>720.79000000000008</v>
      </c>
      <c r="N926">
        <v>2574.25</v>
      </c>
      <c r="O926">
        <v>720.79000000000008</v>
      </c>
      <c r="P926">
        <f t="shared" si="42"/>
        <v>1853.46</v>
      </c>
    </row>
    <row r="927" spans="1:16" x14ac:dyDescent="0.25">
      <c r="A927">
        <v>47</v>
      </c>
      <c r="B927">
        <v>90.15</v>
      </c>
      <c r="C927">
        <f t="shared" si="43"/>
        <v>4237.05</v>
      </c>
      <c r="H927">
        <v>47</v>
      </c>
      <c r="I927">
        <v>90.15</v>
      </c>
      <c r="J927" s="11">
        <v>0.48</v>
      </c>
      <c r="K927">
        <f t="shared" si="44"/>
        <v>2033.7840000000001</v>
      </c>
      <c r="N927">
        <v>4237.05</v>
      </c>
      <c r="O927">
        <v>2033.7840000000001</v>
      </c>
      <c r="P927">
        <f t="shared" si="42"/>
        <v>2203.2660000000001</v>
      </c>
    </row>
    <row r="928" spans="1:16" x14ac:dyDescent="0.25">
      <c r="A928">
        <v>9</v>
      </c>
      <c r="B928">
        <v>33.83</v>
      </c>
      <c r="C928">
        <f t="shared" si="43"/>
        <v>304.46999999999997</v>
      </c>
      <c r="H928">
        <v>9</v>
      </c>
      <c r="I928">
        <v>33.83</v>
      </c>
      <c r="J928" s="11">
        <v>0.35</v>
      </c>
      <c r="K928">
        <f t="shared" si="44"/>
        <v>106.56449999999998</v>
      </c>
      <c r="N928">
        <v>304.46999999999997</v>
      </c>
      <c r="O928">
        <v>106.56449999999998</v>
      </c>
      <c r="P928">
        <f t="shared" si="42"/>
        <v>197.90549999999999</v>
      </c>
    </row>
    <row r="929" spans="1:16" x14ac:dyDescent="0.25">
      <c r="A929">
        <v>11</v>
      </c>
      <c r="B929">
        <v>49.12</v>
      </c>
      <c r="C929">
        <f t="shared" si="43"/>
        <v>540.31999999999994</v>
      </c>
      <c r="H929">
        <v>11</v>
      </c>
      <c r="I929">
        <v>49.12</v>
      </c>
      <c r="J929" s="11">
        <v>0.11</v>
      </c>
      <c r="K929">
        <f t="shared" si="44"/>
        <v>59.435199999999995</v>
      </c>
      <c r="N929">
        <v>540.31999999999994</v>
      </c>
      <c r="O929">
        <v>59.435199999999995</v>
      </c>
      <c r="P929">
        <f t="shared" si="42"/>
        <v>480.88479999999993</v>
      </c>
    </row>
    <row r="930" spans="1:16" x14ac:dyDescent="0.25">
      <c r="A930">
        <v>38</v>
      </c>
      <c r="B930">
        <v>82.21</v>
      </c>
      <c r="C930">
        <f t="shared" si="43"/>
        <v>3123.9799999999996</v>
      </c>
      <c r="H930">
        <v>38</v>
      </c>
      <c r="I930">
        <v>82.21</v>
      </c>
      <c r="J930" s="11">
        <v>0.49</v>
      </c>
      <c r="K930">
        <f t="shared" si="44"/>
        <v>1530.7501999999997</v>
      </c>
      <c r="N930">
        <v>3123.9799999999996</v>
      </c>
      <c r="O930">
        <v>1530.7501999999997</v>
      </c>
      <c r="P930">
        <f t="shared" si="42"/>
        <v>1593.2297999999998</v>
      </c>
    </row>
    <row r="931" spans="1:16" x14ac:dyDescent="0.25">
      <c r="A931">
        <v>4</v>
      </c>
      <c r="B931">
        <v>84.49</v>
      </c>
      <c r="C931">
        <f t="shared" si="43"/>
        <v>337.96</v>
      </c>
      <c r="H931">
        <v>4</v>
      </c>
      <c r="I931">
        <v>84.49</v>
      </c>
      <c r="J931" s="11">
        <v>0.2</v>
      </c>
      <c r="K931">
        <f t="shared" si="44"/>
        <v>67.591999999999999</v>
      </c>
      <c r="N931">
        <v>337.96</v>
      </c>
      <c r="O931">
        <v>67.591999999999999</v>
      </c>
      <c r="P931">
        <f t="shared" si="42"/>
        <v>270.36799999999999</v>
      </c>
    </row>
    <row r="932" spans="1:16" x14ac:dyDescent="0.25">
      <c r="A932">
        <v>19</v>
      </c>
      <c r="B932">
        <v>25.01</v>
      </c>
      <c r="C932">
        <f t="shared" si="43"/>
        <v>475.19000000000005</v>
      </c>
      <c r="H932">
        <v>19</v>
      </c>
      <c r="I932">
        <v>25.01</v>
      </c>
      <c r="J932" s="11">
        <v>0.04</v>
      </c>
      <c r="K932">
        <f t="shared" si="44"/>
        <v>19.007600000000004</v>
      </c>
      <c r="N932">
        <v>475.19000000000005</v>
      </c>
      <c r="O932">
        <v>19.007600000000004</v>
      </c>
      <c r="P932">
        <f t="shared" si="42"/>
        <v>456.18240000000003</v>
      </c>
    </row>
    <row r="933" spans="1:16" x14ac:dyDescent="0.25">
      <c r="A933">
        <v>21</v>
      </c>
      <c r="B933">
        <v>34.979999999999997</v>
      </c>
      <c r="C933">
        <f t="shared" si="43"/>
        <v>734.57999999999993</v>
      </c>
      <c r="H933">
        <v>21</v>
      </c>
      <c r="I933">
        <v>34.979999999999997</v>
      </c>
      <c r="J933" s="11">
        <v>0.38</v>
      </c>
      <c r="K933">
        <f t="shared" si="44"/>
        <v>279.1404</v>
      </c>
      <c r="N933">
        <v>734.57999999999993</v>
      </c>
      <c r="O933">
        <v>279.1404</v>
      </c>
      <c r="P933">
        <f t="shared" si="42"/>
        <v>455.43959999999993</v>
      </c>
    </row>
    <row r="934" spans="1:16" x14ac:dyDescent="0.25">
      <c r="A934">
        <v>6</v>
      </c>
      <c r="B934">
        <v>47.46</v>
      </c>
      <c r="C934">
        <f t="shared" si="43"/>
        <v>284.76</v>
      </c>
      <c r="H934">
        <v>6</v>
      </c>
      <c r="I934">
        <v>47.46</v>
      </c>
      <c r="J934" s="11">
        <v>0.48</v>
      </c>
      <c r="K934">
        <f t="shared" si="44"/>
        <v>136.6848</v>
      </c>
      <c r="N934">
        <v>284.76</v>
      </c>
      <c r="O934">
        <v>136.6848</v>
      </c>
      <c r="P934">
        <f t="shared" si="42"/>
        <v>148.0752</v>
      </c>
    </row>
    <row r="935" spans="1:16" x14ac:dyDescent="0.25">
      <c r="A935">
        <v>44</v>
      </c>
      <c r="B935">
        <v>94.77</v>
      </c>
      <c r="C935">
        <f t="shared" si="43"/>
        <v>4169.88</v>
      </c>
      <c r="H935">
        <v>44</v>
      </c>
      <c r="I935">
        <v>94.77</v>
      </c>
      <c r="J935" s="11">
        <v>0.2</v>
      </c>
      <c r="K935">
        <f t="shared" si="44"/>
        <v>833.97600000000011</v>
      </c>
      <c r="N935">
        <v>4169.88</v>
      </c>
      <c r="O935">
        <v>833.97600000000011</v>
      </c>
      <c r="P935">
        <f t="shared" si="42"/>
        <v>3335.904</v>
      </c>
    </row>
    <row r="936" spans="1:16" x14ac:dyDescent="0.25">
      <c r="A936">
        <v>39</v>
      </c>
      <c r="B936">
        <v>40.57</v>
      </c>
      <c r="C936">
        <f t="shared" si="43"/>
        <v>1582.23</v>
      </c>
      <c r="H936">
        <v>39</v>
      </c>
      <c r="I936">
        <v>40.57</v>
      </c>
      <c r="J936" s="11">
        <v>0.39</v>
      </c>
      <c r="K936">
        <f t="shared" si="44"/>
        <v>617.06970000000001</v>
      </c>
      <c r="N936">
        <v>1582.23</v>
      </c>
      <c r="O936">
        <v>617.06970000000001</v>
      </c>
      <c r="P936">
        <f t="shared" si="42"/>
        <v>965.16030000000001</v>
      </c>
    </row>
    <row r="937" spans="1:16" x14ac:dyDescent="0.25">
      <c r="A937">
        <v>7</v>
      </c>
      <c r="B937">
        <v>33.82</v>
      </c>
      <c r="C937">
        <f t="shared" si="43"/>
        <v>236.74</v>
      </c>
      <c r="H937">
        <v>7</v>
      </c>
      <c r="I937">
        <v>33.82</v>
      </c>
      <c r="J937" s="11">
        <v>0.38</v>
      </c>
      <c r="K937">
        <f t="shared" si="44"/>
        <v>89.961200000000005</v>
      </c>
      <c r="N937">
        <v>236.74</v>
      </c>
      <c r="O937">
        <v>89.961200000000005</v>
      </c>
      <c r="P937">
        <f t="shared" si="42"/>
        <v>146.77879999999999</v>
      </c>
    </row>
    <row r="938" spans="1:16" x14ac:dyDescent="0.25">
      <c r="A938">
        <v>45</v>
      </c>
      <c r="B938">
        <v>2.44</v>
      </c>
      <c r="C938">
        <f t="shared" si="43"/>
        <v>109.8</v>
      </c>
      <c r="H938">
        <v>45</v>
      </c>
      <c r="I938">
        <v>2.44</v>
      </c>
      <c r="J938" s="11">
        <v>0.48</v>
      </c>
      <c r="K938">
        <f t="shared" si="44"/>
        <v>52.703999999999994</v>
      </c>
      <c r="N938">
        <v>109.8</v>
      </c>
      <c r="O938">
        <v>52.703999999999994</v>
      </c>
      <c r="P938">
        <f t="shared" si="42"/>
        <v>57.096000000000004</v>
      </c>
    </row>
    <row r="939" spans="1:16" x14ac:dyDescent="0.25">
      <c r="A939">
        <v>36</v>
      </c>
      <c r="B939">
        <v>50.62</v>
      </c>
      <c r="C939">
        <f t="shared" si="43"/>
        <v>1822.32</v>
      </c>
      <c r="H939">
        <v>36</v>
      </c>
      <c r="I939">
        <v>50.62</v>
      </c>
      <c r="J939" s="11">
        <v>0.08</v>
      </c>
      <c r="K939">
        <f t="shared" si="44"/>
        <v>145.78559999999999</v>
      </c>
      <c r="N939">
        <v>1822.32</v>
      </c>
      <c r="O939">
        <v>145.78559999999999</v>
      </c>
      <c r="P939">
        <f t="shared" si="42"/>
        <v>1676.5344</v>
      </c>
    </row>
    <row r="940" spans="1:16" x14ac:dyDescent="0.25">
      <c r="A940">
        <v>39</v>
      </c>
      <c r="B940">
        <v>89.21</v>
      </c>
      <c r="C940">
        <f t="shared" si="43"/>
        <v>3479.1899999999996</v>
      </c>
      <c r="H940">
        <v>39</v>
      </c>
      <c r="I940">
        <v>89.21</v>
      </c>
      <c r="J940" s="11">
        <v>0.34</v>
      </c>
      <c r="K940">
        <f t="shared" si="44"/>
        <v>1182.9246000000001</v>
      </c>
      <c r="N940">
        <v>3479.1899999999996</v>
      </c>
      <c r="O940">
        <v>1182.9246000000001</v>
      </c>
      <c r="P940">
        <f t="shared" si="42"/>
        <v>2296.2653999999993</v>
      </c>
    </row>
    <row r="941" spans="1:16" x14ac:dyDescent="0.25">
      <c r="A941">
        <v>15</v>
      </c>
      <c r="B941">
        <v>68.260000000000005</v>
      </c>
      <c r="C941">
        <f t="shared" si="43"/>
        <v>1023.9000000000001</v>
      </c>
      <c r="H941">
        <v>15</v>
      </c>
      <c r="I941">
        <v>68.260000000000005</v>
      </c>
      <c r="J941" s="11">
        <v>0.35</v>
      </c>
      <c r="K941">
        <f t="shared" si="44"/>
        <v>358.36500000000001</v>
      </c>
      <c r="N941">
        <v>1023.9000000000001</v>
      </c>
      <c r="O941">
        <v>358.36500000000001</v>
      </c>
      <c r="P941">
        <f t="shared" si="42"/>
        <v>665.53500000000008</v>
      </c>
    </row>
    <row r="942" spans="1:16" x14ac:dyDescent="0.25">
      <c r="A942">
        <v>9</v>
      </c>
      <c r="B942">
        <v>24.45</v>
      </c>
      <c r="C942">
        <f t="shared" si="43"/>
        <v>220.04999999999998</v>
      </c>
      <c r="H942">
        <v>9</v>
      </c>
      <c r="I942">
        <v>24.45</v>
      </c>
      <c r="J942" s="11">
        <v>0.35</v>
      </c>
      <c r="K942">
        <f t="shared" si="44"/>
        <v>77.017499999999984</v>
      </c>
      <c r="N942">
        <v>220.04999999999998</v>
      </c>
      <c r="O942">
        <v>77.017499999999984</v>
      </c>
      <c r="P942">
        <f t="shared" si="42"/>
        <v>143.0325</v>
      </c>
    </row>
    <row r="943" spans="1:16" x14ac:dyDescent="0.25">
      <c r="A943">
        <v>47</v>
      </c>
      <c r="B943">
        <v>12.24</v>
      </c>
      <c r="C943">
        <f t="shared" si="43"/>
        <v>575.28</v>
      </c>
      <c r="H943">
        <v>47</v>
      </c>
      <c r="I943">
        <v>12.24</v>
      </c>
      <c r="J943" s="11">
        <v>0.14000000000000001</v>
      </c>
      <c r="K943">
        <f t="shared" si="44"/>
        <v>80.539200000000008</v>
      </c>
      <c r="N943">
        <v>575.28</v>
      </c>
      <c r="O943">
        <v>80.539200000000008</v>
      </c>
      <c r="P943">
        <f t="shared" si="42"/>
        <v>494.74079999999998</v>
      </c>
    </row>
    <row r="944" spans="1:16" x14ac:dyDescent="0.25">
      <c r="A944">
        <v>22</v>
      </c>
      <c r="B944">
        <v>37.89</v>
      </c>
      <c r="C944">
        <f t="shared" si="43"/>
        <v>833.58</v>
      </c>
      <c r="H944">
        <v>22</v>
      </c>
      <c r="I944">
        <v>37.89</v>
      </c>
      <c r="J944" s="11">
        <v>0</v>
      </c>
      <c r="K944">
        <f t="shared" si="44"/>
        <v>0</v>
      </c>
      <c r="N944">
        <v>833.58</v>
      </c>
      <c r="O944">
        <v>0</v>
      </c>
      <c r="P944">
        <f t="shared" si="42"/>
        <v>833.58</v>
      </c>
    </row>
    <row r="945" spans="1:16" x14ac:dyDescent="0.25">
      <c r="A945">
        <v>11</v>
      </c>
      <c r="B945">
        <v>73.45</v>
      </c>
      <c r="C945">
        <f t="shared" si="43"/>
        <v>807.95</v>
      </c>
      <c r="H945">
        <v>11</v>
      </c>
      <c r="I945">
        <v>73.45</v>
      </c>
      <c r="J945" s="11">
        <v>0.47</v>
      </c>
      <c r="K945">
        <f t="shared" si="44"/>
        <v>379.73649999999998</v>
      </c>
      <c r="N945">
        <v>807.95</v>
      </c>
      <c r="O945">
        <v>379.73649999999998</v>
      </c>
      <c r="P945">
        <f t="shared" si="42"/>
        <v>428.21350000000007</v>
      </c>
    </row>
    <row r="946" spans="1:16" x14ac:dyDescent="0.25">
      <c r="A946">
        <v>35</v>
      </c>
      <c r="B946">
        <v>94.4</v>
      </c>
      <c r="C946">
        <f t="shared" si="43"/>
        <v>3304</v>
      </c>
      <c r="H946">
        <v>35</v>
      </c>
      <c r="I946">
        <v>94.4</v>
      </c>
      <c r="J946" s="11">
        <v>0.2</v>
      </c>
      <c r="K946">
        <f t="shared" si="44"/>
        <v>660.80000000000007</v>
      </c>
      <c r="N946">
        <v>3304</v>
      </c>
      <c r="O946">
        <v>660.80000000000007</v>
      </c>
      <c r="P946">
        <f t="shared" si="42"/>
        <v>2643.2</v>
      </c>
    </row>
    <row r="947" spans="1:16" x14ac:dyDescent="0.25">
      <c r="A947">
        <v>17</v>
      </c>
      <c r="B947">
        <v>39.29</v>
      </c>
      <c r="C947">
        <f t="shared" si="43"/>
        <v>667.93</v>
      </c>
      <c r="H947">
        <v>17</v>
      </c>
      <c r="I947">
        <v>39.29</v>
      </c>
      <c r="J947" s="11">
        <v>0.3</v>
      </c>
      <c r="K947">
        <f t="shared" si="44"/>
        <v>200.37899999999999</v>
      </c>
      <c r="N947">
        <v>667.93</v>
      </c>
      <c r="O947">
        <v>200.37899999999999</v>
      </c>
      <c r="P947">
        <f t="shared" si="42"/>
        <v>467.55099999999993</v>
      </c>
    </row>
    <row r="948" spans="1:16" x14ac:dyDescent="0.25">
      <c r="A948">
        <v>9</v>
      </c>
      <c r="B948">
        <v>75.69</v>
      </c>
      <c r="C948">
        <f t="shared" si="43"/>
        <v>681.21</v>
      </c>
      <c r="H948">
        <v>9</v>
      </c>
      <c r="I948">
        <v>75.69</v>
      </c>
      <c r="J948" s="11">
        <v>0.21</v>
      </c>
      <c r="K948">
        <f t="shared" si="44"/>
        <v>143.05410000000001</v>
      </c>
      <c r="N948">
        <v>681.21</v>
      </c>
      <c r="O948">
        <v>143.05410000000001</v>
      </c>
      <c r="P948">
        <f t="shared" si="42"/>
        <v>538.15589999999997</v>
      </c>
    </row>
    <row r="949" spans="1:16" x14ac:dyDescent="0.25">
      <c r="A949">
        <v>34</v>
      </c>
      <c r="B949">
        <v>51.13</v>
      </c>
      <c r="C949">
        <f t="shared" si="43"/>
        <v>1738.42</v>
      </c>
      <c r="H949">
        <v>34</v>
      </c>
      <c r="I949">
        <v>51.13</v>
      </c>
      <c r="J949" s="11">
        <v>0.21</v>
      </c>
      <c r="K949">
        <f t="shared" si="44"/>
        <v>365.06819999999999</v>
      </c>
      <c r="N949">
        <v>1738.42</v>
      </c>
      <c r="O949">
        <v>365.06819999999999</v>
      </c>
      <c r="P949">
        <f t="shared" si="42"/>
        <v>1373.3518000000001</v>
      </c>
    </row>
    <row r="950" spans="1:16" x14ac:dyDescent="0.25">
      <c r="A950">
        <v>46</v>
      </c>
      <c r="B950">
        <v>53.87</v>
      </c>
      <c r="C950">
        <f t="shared" si="43"/>
        <v>2478.02</v>
      </c>
      <c r="H950">
        <v>46</v>
      </c>
      <c r="I950">
        <v>53.87</v>
      </c>
      <c r="J950" s="11">
        <v>0.17</v>
      </c>
      <c r="K950">
        <f t="shared" si="44"/>
        <v>421.26340000000005</v>
      </c>
      <c r="N950">
        <v>2478.02</v>
      </c>
      <c r="O950">
        <v>421.26340000000005</v>
      </c>
      <c r="P950">
        <f t="shared" si="42"/>
        <v>2056.7565999999997</v>
      </c>
    </row>
    <row r="951" spans="1:16" x14ac:dyDescent="0.25">
      <c r="A951">
        <v>40</v>
      </c>
      <c r="B951">
        <v>27.85</v>
      </c>
      <c r="C951">
        <f t="shared" si="43"/>
        <v>1114</v>
      </c>
      <c r="H951">
        <v>40</v>
      </c>
      <c r="I951">
        <v>27.85</v>
      </c>
      <c r="J951" s="11">
        <v>0.38</v>
      </c>
      <c r="K951">
        <f t="shared" si="44"/>
        <v>423.32</v>
      </c>
      <c r="N951">
        <v>1114</v>
      </c>
      <c r="O951">
        <v>423.32</v>
      </c>
      <c r="P951">
        <f t="shared" si="42"/>
        <v>690.68000000000006</v>
      </c>
    </row>
    <row r="952" spans="1:16" x14ac:dyDescent="0.25">
      <c r="A952">
        <v>30</v>
      </c>
      <c r="B952">
        <v>28.41</v>
      </c>
      <c r="C952">
        <f t="shared" si="43"/>
        <v>852.3</v>
      </c>
      <c r="H952">
        <v>30</v>
      </c>
      <c r="I952">
        <v>28.41</v>
      </c>
      <c r="J952" s="11">
        <v>0.21</v>
      </c>
      <c r="K952">
        <f t="shared" si="44"/>
        <v>178.98299999999998</v>
      </c>
      <c r="N952">
        <v>852.3</v>
      </c>
      <c r="O952">
        <v>178.98299999999998</v>
      </c>
      <c r="P952">
        <f t="shared" si="42"/>
        <v>673.31700000000001</v>
      </c>
    </row>
    <row r="953" spans="1:16" x14ac:dyDescent="0.25">
      <c r="A953">
        <v>22</v>
      </c>
      <c r="B953">
        <v>58.35</v>
      </c>
      <c r="C953">
        <f t="shared" si="43"/>
        <v>1283.7</v>
      </c>
      <c r="H953">
        <v>22</v>
      </c>
      <c r="I953">
        <v>58.35</v>
      </c>
      <c r="J953" s="11">
        <v>0.39</v>
      </c>
      <c r="K953">
        <f t="shared" si="44"/>
        <v>500.64300000000003</v>
      </c>
      <c r="N953">
        <v>1283.7</v>
      </c>
      <c r="O953">
        <v>500.64300000000003</v>
      </c>
      <c r="P953">
        <f t="shared" si="42"/>
        <v>783.05700000000002</v>
      </c>
    </row>
    <row r="954" spans="1:16" x14ac:dyDescent="0.25">
      <c r="A954">
        <v>26</v>
      </c>
      <c r="B954">
        <v>40.28</v>
      </c>
      <c r="C954">
        <f t="shared" si="43"/>
        <v>1047.28</v>
      </c>
      <c r="H954">
        <v>26</v>
      </c>
      <c r="I954">
        <v>40.28</v>
      </c>
      <c r="J954" s="11">
        <v>0.41</v>
      </c>
      <c r="K954">
        <f t="shared" si="44"/>
        <v>429.38479999999998</v>
      </c>
      <c r="N954">
        <v>1047.28</v>
      </c>
      <c r="O954">
        <v>429.38479999999998</v>
      </c>
      <c r="P954">
        <f t="shared" si="42"/>
        <v>617.89519999999993</v>
      </c>
    </row>
    <row r="955" spans="1:16" x14ac:dyDescent="0.25">
      <c r="A955">
        <v>30</v>
      </c>
      <c r="B955">
        <v>30.92</v>
      </c>
      <c r="C955">
        <f t="shared" si="43"/>
        <v>927.6</v>
      </c>
      <c r="H955">
        <v>30</v>
      </c>
      <c r="I955">
        <v>30.92</v>
      </c>
      <c r="J955" s="11">
        <v>0.17</v>
      </c>
      <c r="K955">
        <f t="shared" si="44"/>
        <v>157.69200000000001</v>
      </c>
      <c r="N955">
        <v>927.6</v>
      </c>
      <c r="O955">
        <v>157.69200000000001</v>
      </c>
      <c r="P955">
        <f t="shared" si="42"/>
        <v>769.90800000000002</v>
      </c>
    </row>
    <row r="956" spans="1:16" x14ac:dyDescent="0.25">
      <c r="A956">
        <v>12</v>
      </c>
      <c r="B956">
        <v>68.66</v>
      </c>
      <c r="C956">
        <f t="shared" si="43"/>
        <v>823.92</v>
      </c>
      <c r="H956">
        <v>12</v>
      </c>
      <c r="I956">
        <v>68.66</v>
      </c>
      <c r="J956" s="11">
        <v>0.28999999999999998</v>
      </c>
      <c r="K956">
        <f t="shared" si="44"/>
        <v>238.93679999999998</v>
      </c>
      <c r="N956">
        <v>823.92</v>
      </c>
      <c r="O956">
        <v>238.93679999999998</v>
      </c>
      <c r="P956">
        <f t="shared" si="42"/>
        <v>584.98320000000001</v>
      </c>
    </row>
    <row r="957" spans="1:16" x14ac:dyDescent="0.25">
      <c r="A957">
        <v>36</v>
      </c>
      <c r="B957">
        <v>8.01</v>
      </c>
      <c r="C957">
        <f t="shared" si="43"/>
        <v>288.36</v>
      </c>
      <c r="H957">
        <v>36</v>
      </c>
      <c r="I957">
        <v>8.01</v>
      </c>
      <c r="J957" s="11">
        <v>7.0000000000000007E-2</v>
      </c>
      <c r="K957">
        <f t="shared" si="44"/>
        <v>20.185200000000002</v>
      </c>
      <c r="N957">
        <v>288.36</v>
      </c>
      <c r="O957">
        <v>20.185200000000002</v>
      </c>
      <c r="P957">
        <f t="shared" si="42"/>
        <v>268.1748</v>
      </c>
    </row>
    <row r="958" spans="1:16" x14ac:dyDescent="0.25">
      <c r="A958">
        <v>7</v>
      </c>
      <c r="B958">
        <v>14.63</v>
      </c>
      <c r="C958">
        <f t="shared" si="43"/>
        <v>102.41000000000001</v>
      </c>
      <c r="H958">
        <v>7</v>
      </c>
      <c r="I958">
        <v>14.63</v>
      </c>
      <c r="J958" s="11">
        <v>0.04</v>
      </c>
      <c r="K958">
        <f t="shared" si="44"/>
        <v>4.0964000000000009</v>
      </c>
      <c r="N958">
        <v>102.41000000000001</v>
      </c>
      <c r="O958">
        <v>4.0964000000000009</v>
      </c>
      <c r="P958">
        <f t="shared" si="42"/>
        <v>98.313600000000008</v>
      </c>
    </row>
    <row r="959" spans="1:16" x14ac:dyDescent="0.25">
      <c r="A959">
        <v>41</v>
      </c>
      <c r="B959">
        <v>15.86</v>
      </c>
      <c r="C959">
        <f t="shared" si="43"/>
        <v>650.26</v>
      </c>
      <c r="H959">
        <v>41</v>
      </c>
      <c r="I959">
        <v>15.86</v>
      </c>
      <c r="J959" s="11">
        <v>0.32</v>
      </c>
      <c r="K959">
        <f t="shared" si="44"/>
        <v>208.08320000000001</v>
      </c>
      <c r="N959">
        <v>650.26</v>
      </c>
      <c r="O959">
        <v>208.08320000000001</v>
      </c>
      <c r="P959">
        <f t="shared" si="42"/>
        <v>442.17679999999996</v>
      </c>
    </row>
    <row r="960" spans="1:16" x14ac:dyDescent="0.25">
      <c r="A960">
        <v>2</v>
      </c>
      <c r="B960">
        <v>38.04</v>
      </c>
      <c r="C960">
        <f t="shared" si="43"/>
        <v>76.08</v>
      </c>
      <c r="H960">
        <v>2</v>
      </c>
      <c r="I960">
        <v>38.04</v>
      </c>
      <c r="J960" s="11">
        <v>0.17</v>
      </c>
      <c r="K960">
        <f t="shared" si="44"/>
        <v>12.9336</v>
      </c>
      <c r="N960">
        <v>76.08</v>
      </c>
      <c r="O960">
        <v>12.9336</v>
      </c>
      <c r="P960">
        <f t="shared" si="42"/>
        <v>63.1464</v>
      </c>
    </row>
    <row r="961" spans="1:16" x14ac:dyDescent="0.25">
      <c r="A961">
        <v>21</v>
      </c>
      <c r="B961">
        <v>91.56</v>
      </c>
      <c r="C961">
        <f t="shared" si="43"/>
        <v>1922.76</v>
      </c>
      <c r="H961">
        <v>21</v>
      </c>
      <c r="I961">
        <v>91.56</v>
      </c>
      <c r="J961" s="11">
        <v>0.37</v>
      </c>
      <c r="K961">
        <f t="shared" si="44"/>
        <v>711.4212</v>
      </c>
      <c r="N961">
        <v>1922.76</v>
      </c>
      <c r="O961">
        <v>711.4212</v>
      </c>
      <c r="P961">
        <f t="shared" si="42"/>
        <v>1211.3388</v>
      </c>
    </row>
    <row r="962" spans="1:16" x14ac:dyDescent="0.25">
      <c r="A962">
        <v>27</v>
      </c>
      <c r="B962">
        <v>92.38</v>
      </c>
      <c r="C962">
        <f t="shared" si="43"/>
        <v>2494.2599999999998</v>
      </c>
      <c r="H962">
        <v>27</v>
      </c>
      <c r="I962">
        <v>92.38</v>
      </c>
      <c r="J962" s="11">
        <v>0.08</v>
      </c>
      <c r="K962">
        <f t="shared" si="44"/>
        <v>199.54079999999999</v>
      </c>
      <c r="N962">
        <v>2494.2599999999998</v>
      </c>
      <c r="O962">
        <v>199.54079999999999</v>
      </c>
      <c r="P962">
        <f t="shared" ref="P962:P1000" si="45">N962-O962</f>
        <v>2294.7191999999995</v>
      </c>
    </row>
    <row r="963" spans="1:16" x14ac:dyDescent="0.25">
      <c r="A963">
        <v>1</v>
      </c>
      <c r="B963">
        <v>47.9</v>
      </c>
      <c r="C963">
        <f t="shared" ref="C963:C1000" si="46">A963*B963</f>
        <v>47.9</v>
      </c>
      <c r="H963">
        <v>1</v>
      </c>
      <c r="I963">
        <v>47.9</v>
      </c>
      <c r="J963" s="11">
        <v>0.11</v>
      </c>
      <c r="K963">
        <f t="shared" ref="K963:K1000" si="47">H963*I963*J963</f>
        <v>5.2690000000000001</v>
      </c>
      <c r="N963">
        <v>47.9</v>
      </c>
      <c r="O963">
        <v>5.2690000000000001</v>
      </c>
      <c r="P963">
        <f t="shared" si="45"/>
        <v>42.631</v>
      </c>
    </row>
    <row r="964" spans="1:16" x14ac:dyDescent="0.25">
      <c r="A964">
        <v>14</v>
      </c>
      <c r="B964">
        <v>2.78</v>
      </c>
      <c r="C964">
        <f t="shared" si="46"/>
        <v>38.919999999999995</v>
      </c>
      <c r="H964">
        <v>14</v>
      </c>
      <c r="I964">
        <v>2.78</v>
      </c>
      <c r="J964" s="11">
        <v>0.2</v>
      </c>
      <c r="K964">
        <f t="shared" si="47"/>
        <v>7.7839999999999989</v>
      </c>
      <c r="N964">
        <v>38.919999999999995</v>
      </c>
      <c r="O964">
        <v>7.7839999999999989</v>
      </c>
      <c r="P964">
        <f t="shared" si="45"/>
        <v>31.135999999999996</v>
      </c>
    </row>
    <row r="965" spans="1:16" x14ac:dyDescent="0.25">
      <c r="A965">
        <v>49</v>
      </c>
      <c r="B965">
        <v>38.22</v>
      </c>
      <c r="C965">
        <f t="shared" si="46"/>
        <v>1872.78</v>
      </c>
      <c r="H965">
        <v>49</v>
      </c>
      <c r="I965">
        <v>38.22</v>
      </c>
      <c r="J965" s="11">
        <v>0.46</v>
      </c>
      <c r="K965">
        <f t="shared" si="47"/>
        <v>861.47879999999998</v>
      </c>
      <c r="N965">
        <v>1872.78</v>
      </c>
      <c r="O965">
        <v>861.47879999999998</v>
      </c>
      <c r="P965">
        <f t="shared" si="45"/>
        <v>1011.3012</v>
      </c>
    </row>
    <row r="966" spans="1:16" x14ac:dyDescent="0.25">
      <c r="A966">
        <v>2</v>
      </c>
      <c r="B966">
        <v>81.39</v>
      </c>
      <c r="C966">
        <f t="shared" si="46"/>
        <v>162.78</v>
      </c>
      <c r="H966">
        <v>2</v>
      </c>
      <c r="I966">
        <v>81.39</v>
      </c>
      <c r="J966" s="11">
        <v>0.06</v>
      </c>
      <c r="K966">
        <f t="shared" si="47"/>
        <v>9.7667999999999999</v>
      </c>
      <c r="N966">
        <v>162.78</v>
      </c>
      <c r="O966">
        <v>9.7667999999999999</v>
      </c>
      <c r="P966">
        <f t="shared" si="45"/>
        <v>153.01320000000001</v>
      </c>
    </row>
    <row r="967" spans="1:16" x14ac:dyDescent="0.25">
      <c r="A967">
        <v>23</v>
      </c>
      <c r="B967">
        <v>19.670000000000002</v>
      </c>
      <c r="C967">
        <f t="shared" si="46"/>
        <v>452.41</v>
      </c>
      <c r="H967">
        <v>23</v>
      </c>
      <c r="I967">
        <v>19.670000000000002</v>
      </c>
      <c r="J967" s="11">
        <v>0.37</v>
      </c>
      <c r="K967">
        <f t="shared" si="47"/>
        <v>167.39170000000001</v>
      </c>
      <c r="N967">
        <v>452.41</v>
      </c>
      <c r="O967">
        <v>167.39170000000001</v>
      </c>
      <c r="P967">
        <f t="shared" si="45"/>
        <v>285.01830000000001</v>
      </c>
    </row>
    <row r="968" spans="1:16" x14ac:dyDescent="0.25">
      <c r="A968">
        <v>26</v>
      </c>
      <c r="B968">
        <v>79.849999999999994</v>
      </c>
      <c r="C968">
        <f t="shared" si="46"/>
        <v>2076.1</v>
      </c>
      <c r="H968">
        <v>26</v>
      </c>
      <c r="I968">
        <v>79.849999999999994</v>
      </c>
      <c r="J968" s="11">
        <v>0.48</v>
      </c>
      <c r="K968">
        <f t="shared" si="47"/>
        <v>996.52799999999991</v>
      </c>
      <c r="N968">
        <v>2076.1</v>
      </c>
      <c r="O968">
        <v>996.52799999999991</v>
      </c>
      <c r="P968">
        <f t="shared" si="45"/>
        <v>1079.5720000000001</v>
      </c>
    </row>
    <row r="969" spans="1:16" x14ac:dyDescent="0.25">
      <c r="A969">
        <v>25</v>
      </c>
      <c r="B969">
        <v>92.61</v>
      </c>
      <c r="C969">
        <f t="shared" si="46"/>
        <v>2315.25</v>
      </c>
      <c r="H969">
        <v>25</v>
      </c>
      <c r="I969">
        <v>92.61</v>
      </c>
      <c r="J969" s="11">
        <v>0.03</v>
      </c>
      <c r="K969">
        <f t="shared" si="47"/>
        <v>69.457499999999996</v>
      </c>
      <c r="N969">
        <v>2315.25</v>
      </c>
      <c r="O969">
        <v>69.457499999999996</v>
      </c>
      <c r="P969">
        <f t="shared" si="45"/>
        <v>2245.7925</v>
      </c>
    </row>
    <row r="970" spans="1:16" x14ac:dyDescent="0.25">
      <c r="A970">
        <v>15</v>
      </c>
      <c r="B970">
        <v>84.36</v>
      </c>
      <c r="C970">
        <f t="shared" si="46"/>
        <v>1265.4000000000001</v>
      </c>
      <c r="H970">
        <v>15</v>
      </c>
      <c r="I970">
        <v>84.36</v>
      </c>
      <c r="J970" s="11">
        <v>0.42</v>
      </c>
      <c r="K970">
        <f t="shared" si="47"/>
        <v>531.46800000000007</v>
      </c>
      <c r="N970">
        <v>1265.4000000000001</v>
      </c>
      <c r="O970">
        <v>531.46800000000007</v>
      </c>
      <c r="P970">
        <f t="shared" si="45"/>
        <v>733.93200000000002</v>
      </c>
    </row>
    <row r="971" spans="1:16" x14ac:dyDescent="0.25">
      <c r="A971">
        <v>29</v>
      </c>
      <c r="B971">
        <v>3.93</v>
      </c>
      <c r="C971">
        <f t="shared" si="46"/>
        <v>113.97</v>
      </c>
      <c r="H971">
        <v>29</v>
      </c>
      <c r="I971">
        <v>3.93</v>
      </c>
      <c r="J971" s="11">
        <v>0.38</v>
      </c>
      <c r="K971">
        <f t="shared" si="47"/>
        <v>43.308599999999998</v>
      </c>
      <c r="N971">
        <v>113.97</v>
      </c>
      <c r="O971">
        <v>43.308599999999998</v>
      </c>
      <c r="P971">
        <f t="shared" si="45"/>
        <v>70.6614</v>
      </c>
    </row>
    <row r="972" spans="1:16" x14ac:dyDescent="0.25">
      <c r="A972">
        <v>28</v>
      </c>
      <c r="B972">
        <v>80.510000000000005</v>
      </c>
      <c r="C972">
        <f t="shared" si="46"/>
        <v>2254.2800000000002</v>
      </c>
      <c r="H972">
        <v>28</v>
      </c>
      <c r="I972">
        <v>80.510000000000005</v>
      </c>
      <c r="J972" s="11">
        <v>0.27</v>
      </c>
      <c r="K972">
        <f t="shared" si="47"/>
        <v>608.65560000000005</v>
      </c>
      <c r="N972">
        <v>2254.2800000000002</v>
      </c>
      <c r="O972">
        <v>608.65560000000005</v>
      </c>
      <c r="P972">
        <f t="shared" si="45"/>
        <v>1645.6244000000002</v>
      </c>
    </row>
    <row r="973" spans="1:16" x14ac:dyDescent="0.25">
      <c r="A973">
        <v>39</v>
      </c>
      <c r="B973">
        <v>77.77</v>
      </c>
      <c r="C973">
        <f t="shared" si="46"/>
        <v>3033.0299999999997</v>
      </c>
      <c r="H973">
        <v>39</v>
      </c>
      <c r="I973">
        <v>77.77</v>
      </c>
      <c r="J973" s="11">
        <v>0.31</v>
      </c>
      <c r="K973">
        <f t="shared" si="47"/>
        <v>940.23929999999996</v>
      </c>
      <c r="N973">
        <v>3033.0299999999997</v>
      </c>
      <c r="O973">
        <v>940.23929999999996</v>
      </c>
      <c r="P973">
        <f t="shared" si="45"/>
        <v>2092.7906999999996</v>
      </c>
    </row>
    <row r="974" spans="1:16" x14ac:dyDescent="0.25">
      <c r="A974">
        <v>48</v>
      </c>
      <c r="B974">
        <v>24.25</v>
      </c>
      <c r="C974">
        <f t="shared" si="46"/>
        <v>1164</v>
      </c>
      <c r="H974">
        <v>48</v>
      </c>
      <c r="I974">
        <v>24.25</v>
      </c>
      <c r="J974" s="11">
        <v>0.36</v>
      </c>
      <c r="K974">
        <f t="shared" si="47"/>
        <v>419.03999999999996</v>
      </c>
      <c r="N974">
        <v>1164</v>
      </c>
      <c r="O974">
        <v>419.03999999999996</v>
      </c>
      <c r="P974">
        <f t="shared" si="45"/>
        <v>744.96</v>
      </c>
    </row>
    <row r="975" spans="1:16" x14ac:dyDescent="0.25">
      <c r="A975">
        <v>4</v>
      </c>
      <c r="B975">
        <v>56.93</v>
      </c>
      <c r="C975">
        <f t="shared" si="46"/>
        <v>227.72</v>
      </c>
      <c r="H975">
        <v>4</v>
      </c>
      <c r="I975">
        <v>56.93</v>
      </c>
      <c r="J975" s="11">
        <v>0.06</v>
      </c>
      <c r="K975">
        <f t="shared" si="47"/>
        <v>13.6632</v>
      </c>
      <c r="N975">
        <v>227.72</v>
      </c>
      <c r="O975">
        <v>13.6632</v>
      </c>
      <c r="P975">
        <f t="shared" si="45"/>
        <v>214.05680000000001</v>
      </c>
    </row>
    <row r="976" spans="1:16" x14ac:dyDescent="0.25">
      <c r="A976">
        <v>30</v>
      </c>
      <c r="B976">
        <v>28.9</v>
      </c>
      <c r="C976">
        <f t="shared" si="46"/>
        <v>867</v>
      </c>
      <c r="H976">
        <v>30</v>
      </c>
      <c r="I976">
        <v>28.9</v>
      </c>
      <c r="J976" s="11">
        <v>0.34</v>
      </c>
      <c r="K976">
        <f t="shared" si="47"/>
        <v>294.78000000000003</v>
      </c>
      <c r="N976">
        <v>867</v>
      </c>
      <c r="O976">
        <v>294.78000000000003</v>
      </c>
      <c r="P976">
        <f t="shared" si="45"/>
        <v>572.22</v>
      </c>
    </row>
    <row r="977" spans="1:16" x14ac:dyDescent="0.25">
      <c r="A977">
        <v>47</v>
      </c>
      <c r="B977">
        <v>36.57</v>
      </c>
      <c r="C977">
        <f t="shared" si="46"/>
        <v>1718.79</v>
      </c>
      <c r="H977">
        <v>47</v>
      </c>
      <c r="I977">
        <v>36.57</v>
      </c>
      <c r="J977" s="11">
        <v>0.16</v>
      </c>
      <c r="K977">
        <f t="shared" si="47"/>
        <v>275.00639999999999</v>
      </c>
      <c r="N977">
        <v>1718.79</v>
      </c>
      <c r="O977">
        <v>275.00639999999999</v>
      </c>
      <c r="P977">
        <f t="shared" si="45"/>
        <v>1443.7836</v>
      </c>
    </row>
    <row r="978" spans="1:16" x14ac:dyDescent="0.25">
      <c r="A978">
        <v>10</v>
      </c>
      <c r="B978">
        <v>2.6</v>
      </c>
      <c r="C978">
        <f t="shared" si="46"/>
        <v>26</v>
      </c>
      <c r="H978">
        <v>10</v>
      </c>
      <c r="I978">
        <v>2.6</v>
      </c>
      <c r="J978" s="11">
        <v>0.05</v>
      </c>
      <c r="K978">
        <f t="shared" si="47"/>
        <v>1.3</v>
      </c>
      <c r="N978">
        <v>26</v>
      </c>
      <c r="O978">
        <v>1.3</v>
      </c>
      <c r="P978">
        <f t="shared" si="45"/>
        <v>24.7</v>
      </c>
    </row>
    <row r="979" spans="1:16" x14ac:dyDescent="0.25">
      <c r="A979">
        <v>42</v>
      </c>
      <c r="B979">
        <v>35.18</v>
      </c>
      <c r="C979">
        <f t="shared" si="46"/>
        <v>1477.56</v>
      </c>
      <c r="H979">
        <v>42</v>
      </c>
      <c r="I979">
        <v>35.18</v>
      </c>
      <c r="J979" s="11">
        <v>0.2</v>
      </c>
      <c r="K979">
        <f t="shared" si="47"/>
        <v>295.512</v>
      </c>
      <c r="N979">
        <v>1477.56</v>
      </c>
      <c r="O979">
        <v>295.512</v>
      </c>
      <c r="P979">
        <f t="shared" si="45"/>
        <v>1182.048</v>
      </c>
    </row>
    <row r="980" spans="1:16" x14ac:dyDescent="0.25">
      <c r="A980">
        <v>10</v>
      </c>
      <c r="B980">
        <v>13.85</v>
      </c>
      <c r="C980">
        <f t="shared" si="46"/>
        <v>138.5</v>
      </c>
      <c r="H980">
        <v>10</v>
      </c>
      <c r="I980">
        <v>13.85</v>
      </c>
      <c r="J980" s="11">
        <v>0.43</v>
      </c>
      <c r="K980">
        <f t="shared" si="47"/>
        <v>59.555</v>
      </c>
      <c r="N980">
        <v>138.5</v>
      </c>
      <c r="O980">
        <v>59.555</v>
      </c>
      <c r="P980">
        <f t="shared" si="45"/>
        <v>78.944999999999993</v>
      </c>
    </row>
    <row r="981" spans="1:16" x14ac:dyDescent="0.25">
      <c r="A981">
        <v>22</v>
      </c>
      <c r="B981">
        <v>92.26</v>
      </c>
      <c r="C981">
        <f t="shared" si="46"/>
        <v>2029.72</v>
      </c>
      <c r="H981">
        <v>22</v>
      </c>
      <c r="I981">
        <v>92.26</v>
      </c>
      <c r="J981" s="11">
        <v>0.47</v>
      </c>
      <c r="K981">
        <f t="shared" si="47"/>
        <v>953.96839999999997</v>
      </c>
      <c r="N981">
        <v>2029.72</v>
      </c>
      <c r="O981">
        <v>953.96839999999997</v>
      </c>
      <c r="P981">
        <f t="shared" si="45"/>
        <v>1075.7516000000001</v>
      </c>
    </row>
    <row r="982" spans="1:16" x14ac:dyDescent="0.25">
      <c r="A982">
        <v>39</v>
      </c>
      <c r="B982">
        <v>9.93</v>
      </c>
      <c r="C982">
        <f t="shared" si="46"/>
        <v>387.27</v>
      </c>
      <c r="H982">
        <v>39</v>
      </c>
      <c r="I982">
        <v>9.93</v>
      </c>
      <c r="J982" s="11">
        <v>0.44</v>
      </c>
      <c r="K982">
        <f t="shared" si="47"/>
        <v>170.39879999999999</v>
      </c>
      <c r="N982">
        <v>387.27</v>
      </c>
      <c r="O982">
        <v>170.39879999999999</v>
      </c>
      <c r="P982">
        <f t="shared" si="45"/>
        <v>216.87119999999999</v>
      </c>
    </row>
    <row r="983" spans="1:16" x14ac:dyDescent="0.25">
      <c r="A983">
        <v>43</v>
      </c>
      <c r="B983">
        <v>80.650000000000006</v>
      </c>
      <c r="C983">
        <f t="shared" si="46"/>
        <v>3467.9500000000003</v>
      </c>
      <c r="H983">
        <v>43</v>
      </c>
      <c r="I983">
        <v>80.650000000000006</v>
      </c>
      <c r="J983" s="11">
        <v>0.3</v>
      </c>
      <c r="K983">
        <f t="shared" si="47"/>
        <v>1040.385</v>
      </c>
      <c r="N983">
        <v>3467.9500000000003</v>
      </c>
      <c r="O983">
        <v>1040.385</v>
      </c>
      <c r="P983">
        <f t="shared" si="45"/>
        <v>2427.5650000000005</v>
      </c>
    </row>
    <row r="984" spans="1:16" x14ac:dyDescent="0.25">
      <c r="A984">
        <v>13</v>
      </c>
      <c r="B984">
        <v>14.29</v>
      </c>
      <c r="C984">
        <f t="shared" si="46"/>
        <v>185.76999999999998</v>
      </c>
      <c r="H984">
        <v>13</v>
      </c>
      <c r="I984">
        <v>14.29</v>
      </c>
      <c r="J984" s="11">
        <v>0.04</v>
      </c>
      <c r="K984">
        <f t="shared" si="47"/>
        <v>7.4307999999999996</v>
      </c>
      <c r="N984">
        <v>185.76999999999998</v>
      </c>
      <c r="O984">
        <v>7.4307999999999996</v>
      </c>
      <c r="P984">
        <f t="shared" si="45"/>
        <v>178.33919999999998</v>
      </c>
    </row>
    <row r="985" spans="1:16" x14ac:dyDescent="0.25">
      <c r="A985">
        <v>30</v>
      </c>
      <c r="B985">
        <v>69.290000000000006</v>
      </c>
      <c r="C985">
        <f t="shared" si="46"/>
        <v>2078.7000000000003</v>
      </c>
      <c r="H985">
        <v>30</v>
      </c>
      <c r="I985">
        <v>69.290000000000006</v>
      </c>
      <c r="J985" s="11">
        <v>0.04</v>
      </c>
      <c r="K985">
        <f t="shared" si="47"/>
        <v>83.14800000000001</v>
      </c>
      <c r="N985">
        <v>2078.7000000000003</v>
      </c>
      <c r="O985">
        <v>83.14800000000001</v>
      </c>
      <c r="P985">
        <f t="shared" si="45"/>
        <v>1995.5520000000004</v>
      </c>
    </row>
    <row r="986" spans="1:16" x14ac:dyDescent="0.25">
      <c r="A986">
        <v>13</v>
      </c>
      <c r="B986">
        <v>56.67</v>
      </c>
      <c r="C986">
        <f t="shared" si="46"/>
        <v>736.71</v>
      </c>
      <c r="H986">
        <v>13</v>
      </c>
      <c r="I986">
        <v>56.67</v>
      </c>
      <c r="J986" s="11">
        <v>0.26</v>
      </c>
      <c r="K986">
        <f t="shared" si="47"/>
        <v>191.5446</v>
      </c>
      <c r="N986">
        <v>736.71</v>
      </c>
      <c r="O986">
        <v>191.5446</v>
      </c>
      <c r="P986">
        <f t="shared" si="45"/>
        <v>545.16540000000009</v>
      </c>
    </row>
    <row r="987" spans="1:16" x14ac:dyDescent="0.25">
      <c r="A987">
        <v>42</v>
      </c>
      <c r="B987">
        <v>26.16</v>
      </c>
      <c r="C987">
        <f t="shared" si="46"/>
        <v>1098.72</v>
      </c>
      <c r="H987">
        <v>42</v>
      </c>
      <c r="I987">
        <v>26.16</v>
      </c>
      <c r="J987" s="11">
        <v>0.01</v>
      </c>
      <c r="K987">
        <f t="shared" si="47"/>
        <v>10.9872</v>
      </c>
      <c r="N987">
        <v>1098.72</v>
      </c>
      <c r="O987">
        <v>10.9872</v>
      </c>
      <c r="P987">
        <f t="shared" si="45"/>
        <v>1087.7328</v>
      </c>
    </row>
    <row r="988" spans="1:16" x14ac:dyDescent="0.25">
      <c r="A988">
        <v>26</v>
      </c>
      <c r="B988">
        <v>35.549999999999997</v>
      </c>
      <c r="C988">
        <f t="shared" si="46"/>
        <v>924.3</v>
      </c>
      <c r="H988">
        <v>26</v>
      </c>
      <c r="I988">
        <v>35.549999999999997</v>
      </c>
      <c r="J988" s="11">
        <v>0.35</v>
      </c>
      <c r="K988">
        <f t="shared" si="47"/>
        <v>323.50499999999994</v>
      </c>
      <c r="N988">
        <v>924.3</v>
      </c>
      <c r="O988">
        <v>323.50499999999994</v>
      </c>
      <c r="P988">
        <f t="shared" si="45"/>
        <v>600.79500000000007</v>
      </c>
    </row>
    <row r="989" spans="1:16" x14ac:dyDescent="0.25">
      <c r="A989">
        <v>39</v>
      </c>
      <c r="B989">
        <v>92.52</v>
      </c>
      <c r="C989">
        <f t="shared" si="46"/>
        <v>3608.2799999999997</v>
      </c>
      <c r="H989">
        <v>39</v>
      </c>
      <c r="I989">
        <v>92.52</v>
      </c>
      <c r="J989" s="11">
        <v>0.28999999999999998</v>
      </c>
      <c r="K989">
        <f t="shared" si="47"/>
        <v>1046.4011999999998</v>
      </c>
      <c r="N989">
        <v>3608.2799999999997</v>
      </c>
      <c r="O989">
        <v>1046.4011999999998</v>
      </c>
      <c r="P989">
        <f t="shared" si="45"/>
        <v>2561.8788</v>
      </c>
    </row>
    <row r="990" spans="1:16" x14ac:dyDescent="0.25">
      <c r="A990">
        <v>27</v>
      </c>
      <c r="B990">
        <v>23.37</v>
      </c>
      <c r="C990">
        <f t="shared" si="46"/>
        <v>630.99</v>
      </c>
      <c r="H990">
        <v>27</v>
      </c>
      <c r="I990">
        <v>23.37</v>
      </c>
      <c r="J990" s="11">
        <v>0.11</v>
      </c>
      <c r="K990">
        <f t="shared" si="47"/>
        <v>69.408900000000003</v>
      </c>
      <c r="N990">
        <v>630.99</v>
      </c>
      <c r="O990">
        <v>69.408900000000003</v>
      </c>
      <c r="P990">
        <f t="shared" si="45"/>
        <v>561.58109999999999</v>
      </c>
    </row>
    <row r="991" spans="1:16" x14ac:dyDescent="0.25">
      <c r="A991">
        <v>4</v>
      </c>
      <c r="B991">
        <v>9.31</v>
      </c>
      <c r="C991">
        <f t="shared" si="46"/>
        <v>37.24</v>
      </c>
      <c r="H991">
        <v>4</v>
      </c>
      <c r="I991">
        <v>9.31</v>
      </c>
      <c r="J991" s="11">
        <v>0.46</v>
      </c>
      <c r="K991">
        <f t="shared" si="47"/>
        <v>17.130400000000002</v>
      </c>
      <c r="N991">
        <v>37.24</v>
      </c>
      <c r="O991">
        <v>17.130400000000002</v>
      </c>
      <c r="P991">
        <f t="shared" si="45"/>
        <v>20.1096</v>
      </c>
    </row>
    <row r="992" spans="1:16" x14ac:dyDescent="0.25">
      <c r="A992">
        <v>48</v>
      </c>
      <c r="B992">
        <v>14.55</v>
      </c>
      <c r="C992">
        <f t="shared" si="46"/>
        <v>698.40000000000009</v>
      </c>
      <c r="H992">
        <v>48</v>
      </c>
      <c r="I992">
        <v>14.55</v>
      </c>
      <c r="J992" s="11">
        <v>0.05</v>
      </c>
      <c r="K992">
        <f t="shared" si="47"/>
        <v>34.920000000000009</v>
      </c>
      <c r="N992">
        <v>698.40000000000009</v>
      </c>
      <c r="O992">
        <v>34.920000000000009</v>
      </c>
      <c r="P992">
        <f t="shared" si="45"/>
        <v>663.48000000000013</v>
      </c>
    </row>
    <row r="993" spans="1:16" x14ac:dyDescent="0.25">
      <c r="A993">
        <v>12</v>
      </c>
      <c r="B993">
        <v>37.81</v>
      </c>
      <c r="C993">
        <f t="shared" si="46"/>
        <v>453.72</v>
      </c>
      <c r="H993">
        <v>12</v>
      </c>
      <c r="I993">
        <v>37.81</v>
      </c>
      <c r="J993" s="11">
        <v>0.36</v>
      </c>
      <c r="K993">
        <f t="shared" si="47"/>
        <v>163.33920000000001</v>
      </c>
      <c r="N993">
        <v>453.72</v>
      </c>
      <c r="O993">
        <v>163.33920000000001</v>
      </c>
      <c r="P993">
        <f t="shared" si="45"/>
        <v>290.38080000000002</v>
      </c>
    </row>
    <row r="994" spans="1:16" x14ac:dyDescent="0.25">
      <c r="A994">
        <v>35</v>
      </c>
      <c r="B994">
        <v>34.93</v>
      </c>
      <c r="C994">
        <f t="shared" si="46"/>
        <v>1222.55</v>
      </c>
      <c r="H994">
        <v>35</v>
      </c>
      <c r="I994">
        <v>34.93</v>
      </c>
      <c r="J994" s="11">
        <v>0.35</v>
      </c>
      <c r="K994">
        <f t="shared" si="47"/>
        <v>427.89249999999998</v>
      </c>
      <c r="N994">
        <v>1222.55</v>
      </c>
      <c r="O994">
        <v>427.89249999999998</v>
      </c>
      <c r="P994">
        <f t="shared" si="45"/>
        <v>794.65750000000003</v>
      </c>
    </row>
    <row r="995" spans="1:16" x14ac:dyDescent="0.25">
      <c r="A995">
        <v>39</v>
      </c>
      <c r="B995">
        <v>1.78</v>
      </c>
      <c r="C995">
        <f t="shared" si="46"/>
        <v>69.42</v>
      </c>
      <c r="H995">
        <v>39</v>
      </c>
      <c r="I995">
        <v>1.78</v>
      </c>
      <c r="J995" s="11">
        <v>0.37</v>
      </c>
      <c r="K995">
        <f t="shared" si="47"/>
        <v>25.685400000000001</v>
      </c>
      <c r="N995">
        <v>69.42</v>
      </c>
      <c r="O995">
        <v>25.685400000000001</v>
      </c>
      <c r="P995">
        <f t="shared" si="45"/>
        <v>43.7346</v>
      </c>
    </row>
    <row r="996" spans="1:16" x14ac:dyDescent="0.25">
      <c r="A996">
        <v>1</v>
      </c>
      <c r="B996">
        <v>73.650000000000006</v>
      </c>
      <c r="C996">
        <f t="shared" si="46"/>
        <v>73.650000000000006</v>
      </c>
      <c r="H996">
        <v>1</v>
      </c>
      <c r="I996">
        <v>73.650000000000006</v>
      </c>
      <c r="J996" s="11">
        <v>0.03</v>
      </c>
      <c r="K996">
        <f t="shared" si="47"/>
        <v>2.2095000000000002</v>
      </c>
      <c r="N996">
        <v>73.650000000000006</v>
      </c>
      <c r="O996">
        <v>2.2095000000000002</v>
      </c>
      <c r="P996">
        <f t="shared" si="45"/>
        <v>71.4405</v>
      </c>
    </row>
    <row r="997" spans="1:16" x14ac:dyDescent="0.25">
      <c r="A997">
        <v>16</v>
      </c>
      <c r="B997">
        <v>61.94</v>
      </c>
      <c r="C997">
        <f t="shared" si="46"/>
        <v>991.04</v>
      </c>
      <c r="H997">
        <v>16</v>
      </c>
      <c r="I997">
        <v>61.94</v>
      </c>
      <c r="J997" s="11">
        <v>7.0000000000000007E-2</v>
      </c>
      <c r="K997">
        <f t="shared" si="47"/>
        <v>69.372799999999998</v>
      </c>
      <c r="N997">
        <v>991.04</v>
      </c>
      <c r="O997">
        <v>69.372799999999998</v>
      </c>
      <c r="P997">
        <f t="shared" si="45"/>
        <v>921.66719999999998</v>
      </c>
    </row>
    <row r="998" spans="1:16" x14ac:dyDescent="0.25">
      <c r="A998">
        <v>22</v>
      </c>
      <c r="B998">
        <v>94.71</v>
      </c>
      <c r="C998">
        <f t="shared" si="46"/>
        <v>2083.62</v>
      </c>
      <c r="H998">
        <v>22</v>
      </c>
      <c r="I998">
        <v>94.71</v>
      </c>
      <c r="J998" s="11">
        <v>0.04</v>
      </c>
      <c r="K998">
        <f t="shared" si="47"/>
        <v>83.344799999999992</v>
      </c>
      <c r="N998">
        <v>2083.62</v>
      </c>
      <c r="O998">
        <v>83.344799999999992</v>
      </c>
      <c r="P998">
        <f t="shared" si="45"/>
        <v>2000.2751999999998</v>
      </c>
    </row>
    <row r="999" spans="1:16" x14ac:dyDescent="0.25">
      <c r="A999">
        <v>45</v>
      </c>
      <c r="B999">
        <v>4.03</v>
      </c>
      <c r="C999">
        <f t="shared" si="46"/>
        <v>181.35000000000002</v>
      </c>
      <c r="H999">
        <v>45</v>
      </c>
      <c r="I999">
        <v>4.03</v>
      </c>
      <c r="J999" s="11">
        <v>0.28000000000000003</v>
      </c>
      <c r="K999">
        <f t="shared" si="47"/>
        <v>50.778000000000013</v>
      </c>
      <c r="N999">
        <v>181.35000000000002</v>
      </c>
      <c r="O999">
        <v>50.778000000000013</v>
      </c>
      <c r="P999">
        <f t="shared" si="45"/>
        <v>130.572</v>
      </c>
    </row>
    <row r="1000" spans="1:16" x14ac:dyDescent="0.25">
      <c r="A1000">
        <v>36</v>
      </c>
      <c r="B1000">
        <v>43.93</v>
      </c>
      <c r="C1000">
        <f t="shared" si="46"/>
        <v>1581.48</v>
      </c>
      <c r="H1000">
        <v>36</v>
      </c>
      <c r="I1000">
        <v>43.93</v>
      </c>
      <c r="J1000" s="11">
        <v>0.18</v>
      </c>
      <c r="K1000">
        <f t="shared" si="47"/>
        <v>284.66640000000001</v>
      </c>
      <c r="N1000">
        <v>1581.48</v>
      </c>
      <c r="O1000">
        <v>284.66640000000001</v>
      </c>
      <c r="P1000">
        <f t="shared" si="45"/>
        <v>1296.8136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000"/>
  <sheetViews>
    <sheetView workbookViewId="0">
      <selection activeCell="S1" sqref="S1"/>
    </sheetView>
  </sheetViews>
  <sheetFormatPr defaultRowHeight="15" x14ac:dyDescent="0.25"/>
  <cols>
    <col min="1" max="1" width="12.85546875" bestFit="1" customWidth="1"/>
    <col min="2" max="2" width="11.42578125" customWidth="1"/>
    <col min="3" max="3" width="13.7109375" bestFit="1" customWidth="1"/>
    <col min="4" max="4" width="15.28515625" bestFit="1" customWidth="1"/>
    <col min="5" max="5" width="9.7109375" style="5" customWidth="1"/>
    <col min="6" max="6" width="11.42578125" style="23" bestFit="1" customWidth="1"/>
    <col min="7" max="7" width="9.140625" style="5"/>
    <col min="8" max="8" width="9.140625" style="38"/>
    <col min="10" max="10" width="14.85546875" style="23" bestFit="1" customWidth="1"/>
    <col min="11" max="11" width="17.7109375" style="5" bestFit="1" customWidth="1"/>
    <col min="17" max="19" width="9.140625" style="23"/>
  </cols>
  <sheetData>
    <row r="1" spans="1:19" x14ac:dyDescent="0.25">
      <c r="A1" s="12" t="s">
        <v>0</v>
      </c>
      <c r="B1" t="s">
        <v>1</v>
      </c>
      <c r="C1" t="s">
        <v>2</v>
      </c>
      <c r="D1" t="s">
        <v>3</v>
      </c>
      <c r="E1" s="5" t="s">
        <v>4</v>
      </c>
      <c r="F1" s="23" t="s">
        <v>5</v>
      </c>
      <c r="G1" s="12" t="s">
        <v>6</v>
      </c>
      <c r="H1" s="37" t="s">
        <v>7</v>
      </c>
      <c r="I1" t="s">
        <v>732</v>
      </c>
      <c r="J1" s="23" t="s">
        <v>9</v>
      </c>
      <c r="K1" s="5" t="s">
        <v>730</v>
      </c>
      <c r="L1" s="14" t="s">
        <v>11</v>
      </c>
      <c r="M1" t="s">
        <v>718</v>
      </c>
      <c r="N1" t="s">
        <v>13</v>
      </c>
      <c r="O1" t="s">
        <v>731</v>
      </c>
      <c r="P1" s="14" t="s">
        <v>719</v>
      </c>
      <c r="Q1" s="23" t="s">
        <v>720</v>
      </c>
      <c r="R1" s="23" t="s">
        <v>721</v>
      </c>
      <c r="S1" s="24" t="s">
        <v>736</v>
      </c>
    </row>
    <row r="2" spans="1:19" hidden="1" x14ac:dyDescent="0.25">
      <c r="A2" s="13">
        <v>45692</v>
      </c>
      <c r="B2" t="s">
        <v>252</v>
      </c>
      <c r="C2">
        <v>63133</v>
      </c>
      <c r="D2" t="s">
        <v>66</v>
      </c>
      <c r="E2" s="5">
        <v>45</v>
      </c>
      <c r="F2">
        <v>48.27</v>
      </c>
      <c r="G2" s="12" t="s">
        <v>47</v>
      </c>
      <c r="H2" s="11">
        <v>0.21</v>
      </c>
      <c r="I2" t="s">
        <v>29</v>
      </c>
      <c r="J2">
        <v>21.11</v>
      </c>
      <c r="K2" s="5" t="s">
        <v>44</v>
      </c>
      <c r="L2" s="14" t="s">
        <v>21</v>
      </c>
      <c r="M2" t="s">
        <v>22</v>
      </c>
      <c r="N2" t="s">
        <v>38</v>
      </c>
      <c r="O2" t="s">
        <v>59</v>
      </c>
      <c r="P2" t="s">
        <v>25</v>
      </c>
      <c r="Q2">
        <v>337.89000000000004</v>
      </c>
      <c r="R2">
        <v>70.956900000000005</v>
      </c>
      <c r="S2" s="12">
        <v>3598.8570000000004</v>
      </c>
    </row>
    <row r="3" spans="1:19" hidden="1" x14ac:dyDescent="0.25">
      <c r="A3" s="13">
        <v>45707</v>
      </c>
      <c r="B3" t="s">
        <v>232</v>
      </c>
      <c r="C3">
        <v>32162</v>
      </c>
      <c r="D3" t="s">
        <v>42</v>
      </c>
      <c r="E3" s="5">
        <v>48</v>
      </c>
      <c r="F3">
        <v>42.81</v>
      </c>
      <c r="G3" s="12" t="s">
        <v>47</v>
      </c>
      <c r="H3" s="11">
        <v>0.22</v>
      </c>
      <c r="I3" t="s">
        <v>734</v>
      </c>
      <c r="J3">
        <v>14.93</v>
      </c>
      <c r="K3" t="s">
        <v>30</v>
      </c>
      <c r="L3" t="s">
        <v>31</v>
      </c>
      <c r="M3" t="s">
        <v>22</v>
      </c>
      <c r="N3" t="s">
        <v>23</v>
      </c>
      <c r="O3" t="s">
        <v>59</v>
      </c>
      <c r="P3" t="s">
        <v>40</v>
      </c>
      <c r="Q3">
        <v>1369.92</v>
      </c>
      <c r="R3">
        <v>301.38240000000002</v>
      </c>
      <c r="S3" s="12">
        <v>3307.2768000000005</v>
      </c>
    </row>
    <row r="4" spans="1:19" hidden="1" x14ac:dyDescent="0.25">
      <c r="A4" s="13">
        <v>45686</v>
      </c>
      <c r="B4" t="s">
        <v>138</v>
      </c>
      <c r="C4">
        <v>39111</v>
      </c>
      <c r="D4" t="s">
        <v>27</v>
      </c>
      <c r="E4" s="5">
        <v>40</v>
      </c>
      <c r="F4">
        <v>64.84</v>
      </c>
      <c r="G4" s="12" t="s">
        <v>47</v>
      </c>
      <c r="H4" s="11">
        <v>0.49</v>
      </c>
      <c r="I4" t="s">
        <v>734</v>
      </c>
      <c r="J4">
        <v>14.39</v>
      </c>
      <c r="K4" t="s">
        <v>37</v>
      </c>
      <c r="L4" t="s">
        <v>31</v>
      </c>
      <c r="M4" t="s">
        <v>22</v>
      </c>
      <c r="N4" t="s">
        <v>53</v>
      </c>
      <c r="O4" t="s">
        <v>59</v>
      </c>
      <c r="P4" t="s">
        <v>25</v>
      </c>
      <c r="Q4">
        <v>1491.3200000000002</v>
      </c>
      <c r="R4">
        <v>730.74680000000012</v>
      </c>
      <c r="S4" s="12">
        <v>3270.9960000000001</v>
      </c>
    </row>
    <row r="5" spans="1:19" hidden="1" x14ac:dyDescent="0.25">
      <c r="A5" s="13">
        <v>45705</v>
      </c>
      <c r="B5" t="s">
        <v>646</v>
      </c>
      <c r="C5">
        <v>11344</v>
      </c>
      <c r="D5" t="s">
        <v>89</v>
      </c>
      <c r="E5" s="5">
        <v>31</v>
      </c>
      <c r="F5">
        <v>57.7</v>
      </c>
      <c r="G5" s="12" t="s">
        <v>47</v>
      </c>
      <c r="H5" s="11">
        <v>0.44</v>
      </c>
      <c r="I5" t="s">
        <v>734</v>
      </c>
      <c r="J5">
        <v>20.76</v>
      </c>
      <c r="K5" t="s">
        <v>50</v>
      </c>
      <c r="L5" s="14" t="s">
        <v>21</v>
      </c>
      <c r="M5" t="s">
        <v>22</v>
      </c>
      <c r="N5" t="s">
        <v>53</v>
      </c>
      <c r="O5" t="s">
        <v>39</v>
      </c>
      <c r="P5" t="s">
        <v>25</v>
      </c>
      <c r="Q5">
        <v>1038.6000000000001</v>
      </c>
      <c r="R5">
        <v>456.98400000000004</v>
      </c>
      <c r="S5" s="12">
        <v>2577.4888000000001</v>
      </c>
    </row>
    <row r="6" spans="1:19" hidden="1" x14ac:dyDescent="0.25">
      <c r="A6" s="13">
        <v>45712</v>
      </c>
      <c r="B6" t="s">
        <v>713</v>
      </c>
      <c r="C6">
        <v>56811</v>
      </c>
      <c r="D6" t="s">
        <v>49</v>
      </c>
      <c r="E6" s="5">
        <v>39</v>
      </c>
      <c r="F6">
        <v>94.71</v>
      </c>
      <c r="G6" s="12" t="s">
        <v>47</v>
      </c>
      <c r="H6" s="11">
        <v>0.04</v>
      </c>
      <c r="I6" t="s">
        <v>19</v>
      </c>
      <c r="J6">
        <v>14.85</v>
      </c>
      <c r="K6" t="s">
        <v>37</v>
      </c>
      <c r="L6" s="14" t="s">
        <v>21</v>
      </c>
      <c r="M6" t="s">
        <v>22</v>
      </c>
      <c r="N6" t="s">
        <v>38</v>
      </c>
      <c r="O6" t="s">
        <v>39</v>
      </c>
      <c r="P6" t="s">
        <v>40</v>
      </c>
      <c r="Q6">
        <v>2083.62</v>
      </c>
      <c r="R6">
        <v>83.344799999999992</v>
      </c>
      <c r="S6" s="12">
        <v>2561.8788</v>
      </c>
    </row>
    <row r="7" spans="1:19" hidden="1" x14ac:dyDescent="0.25">
      <c r="A7" s="13">
        <v>45692</v>
      </c>
      <c r="B7" t="s">
        <v>509</v>
      </c>
      <c r="C7">
        <v>37049</v>
      </c>
      <c r="D7" t="s">
        <v>46</v>
      </c>
      <c r="E7" s="5">
        <v>43</v>
      </c>
      <c r="F7">
        <v>78.98</v>
      </c>
      <c r="G7" s="12" t="s">
        <v>47</v>
      </c>
      <c r="H7" s="11">
        <v>0.42</v>
      </c>
      <c r="I7" t="s">
        <v>19</v>
      </c>
      <c r="J7">
        <v>11.33</v>
      </c>
      <c r="K7" t="s">
        <v>50</v>
      </c>
      <c r="L7" s="14" t="s">
        <v>21</v>
      </c>
      <c r="M7" t="s">
        <v>22</v>
      </c>
      <c r="N7" t="s">
        <v>38</v>
      </c>
      <c r="O7" t="s">
        <v>24</v>
      </c>
      <c r="P7" t="s">
        <v>40</v>
      </c>
      <c r="Q7">
        <v>1184.7</v>
      </c>
      <c r="R7">
        <v>497.57400000000001</v>
      </c>
      <c r="S7" s="12">
        <v>2521.8726000000001</v>
      </c>
    </row>
    <row r="8" spans="1:19" x14ac:dyDescent="0.25">
      <c r="A8" s="13">
        <v>45681</v>
      </c>
      <c r="B8" t="s">
        <v>364</v>
      </c>
      <c r="C8">
        <v>22456</v>
      </c>
      <c r="D8" t="s">
        <v>89</v>
      </c>
      <c r="E8" s="5">
        <v>27</v>
      </c>
      <c r="F8" s="23">
        <v>58.01</v>
      </c>
      <c r="G8" s="12" t="s">
        <v>47</v>
      </c>
      <c r="H8" s="37">
        <v>0.38</v>
      </c>
      <c r="I8" t="s">
        <v>29</v>
      </c>
      <c r="J8" s="23">
        <v>12.98</v>
      </c>
      <c r="K8" t="s">
        <v>20</v>
      </c>
      <c r="L8" s="14" t="s">
        <v>21</v>
      </c>
      <c r="M8" t="s">
        <v>22</v>
      </c>
      <c r="N8" t="s">
        <v>32</v>
      </c>
      <c r="O8" t="s">
        <v>24</v>
      </c>
      <c r="P8" s="14" t="s">
        <v>34</v>
      </c>
      <c r="Q8" s="23">
        <v>2726.47</v>
      </c>
      <c r="R8" s="23">
        <v>1036.0585999999998</v>
      </c>
      <c r="S8" s="24">
        <v>2499.1469999999999</v>
      </c>
    </row>
    <row r="9" spans="1:19" hidden="1" x14ac:dyDescent="0.25">
      <c r="A9" s="13">
        <v>45711</v>
      </c>
      <c r="B9" t="s">
        <v>452</v>
      </c>
      <c r="C9">
        <v>28784</v>
      </c>
      <c r="D9" t="s">
        <v>49</v>
      </c>
      <c r="E9" s="5">
        <v>25</v>
      </c>
      <c r="F9">
        <v>80.510000000000005</v>
      </c>
      <c r="G9" s="12" t="s">
        <v>47</v>
      </c>
      <c r="H9" s="11">
        <v>0.27</v>
      </c>
      <c r="I9" t="s">
        <v>19</v>
      </c>
      <c r="J9">
        <v>8.3800000000000008</v>
      </c>
      <c r="K9" s="5" t="s">
        <v>44</v>
      </c>
      <c r="L9" t="s">
        <v>31</v>
      </c>
      <c r="M9" t="s">
        <v>22</v>
      </c>
      <c r="N9" t="s">
        <v>53</v>
      </c>
      <c r="O9" t="s">
        <v>59</v>
      </c>
      <c r="P9" t="s">
        <v>40</v>
      </c>
      <c r="Q9">
        <v>2254.2800000000002</v>
      </c>
      <c r="R9">
        <v>608.65560000000005</v>
      </c>
      <c r="S9" s="12">
        <v>2245.7925</v>
      </c>
    </row>
    <row r="10" spans="1:19" hidden="1" x14ac:dyDescent="0.25">
      <c r="A10" s="13">
        <v>45701</v>
      </c>
      <c r="B10" t="s">
        <v>609</v>
      </c>
      <c r="C10">
        <v>33789</v>
      </c>
      <c r="D10" t="s">
        <v>70</v>
      </c>
      <c r="E10" s="5">
        <v>43</v>
      </c>
      <c r="F10">
        <v>6.55</v>
      </c>
      <c r="G10" s="12" t="s">
        <v>47</v>
      </c>
      <c r="H10" s="11">
        <v>0.44</v>
      </c>
      <c r="I10" t="s">
        <v>734</v>
      </c>
      <c r="J10">
        <v>20.149999999999999</v>
      </c>
      <c r="K10" t="s">
        <v>20</v>
      </c>
      <c r="L10" t="s">
        <v>31</v>
      </c>
      <c r="M10" t="s">
        <v>111</v>
      </c>
      <c r="N10" t="s">
        <v>53</v>
      </c>
      <c r="O10" t="s">
        <v>33</v>
      </c>
      <c r="P10" t="s">
        <v>40</v>
      </c>
      <c r="Q10">
        <v>104.8</v>
      </c>
      <c r="R10">
        <v>46.112000000000002</v>
      </c>
      <c r="S10" s="12">
        <v>2226.4969999999998</v>
      </c>
    </row>
    <row r="11" spans="1:19" hidden="1" x14ac:dyDescent="0.25">
      <c r="A11" s="13">
        <v>45673</v>
      </c>
      <c r="B11" t="s">
        <v>129</v>
      </c>
      <c r="C11">
        <v>56972</v>
      </c>
      <c r="D11" t="s">
        <v>27</v>
      </c>
      <c r="E11" s="5">
        <v>47</v>
      </c>
      <c r="F11">
        <v>2.57</v>
      </c>
      <c r="G11" s="12" t="s">
        <v>47</v>
      </c>
      <c r="H11" s="11">
        <v>0.08</v>
      </c>
      <c r="I11" t="s">
        <v>29</v>
      </c>
      <c r="J11">
        <v>14.9</v>
      </c>
      <c r="K11" s="5" t="s">
        <v>44</v>
      </c>
      <c r="L11" t="s">
        <v>31</v>
      </c>
      <c r="M11" t="s">
        <v>22</v>
      </c>
      <c r="N11" t="s">
        <v>32</v>
      </c>
      <c r="O11" t="s">
        <v>59</v>
      </c>
      <c r="P11" t="s">
        <v>25</v>
      </c>
      <c r="Q11">
        <v>77.099999999999994</v>
      </c>
      <c r="R11">
        <v>6.1679999999999993</v>
      </c>
      <c r="S11" s="12">
        <v>2206.7910000000002</v>
      </c>
    </row>
    <row r="12" spans="1:19" hidden="1" x14ac:dyDescent="0.25">
      <c r="A12" s="13">
        <v>45704</v>
      </c>
      <c r="B12" t="s">
        <v>642</v>
      </c>
      <c r="C12">
        <v>65719</v>
      </c>
      <c r="D12" t="s">
        <v>70</v>
      </c>
      <c r="E12" s="5">
        <v>32</v>
      </c>
      <c r="F12">
        <v>59.94</v>
      </c>
      <c r="G12" s="12" t="s">
        <v>47</v>
      </c>
      <c r="H12" s="11">
        <v>0.03</v>
      </c>
      <c r="I12" t="s">
        <v>29</v>
      </c>
      <c r="J12">
        <v>21.15</v>
      </c>
      <c r="K12" t="s">
        <v>30</v>
      </c>
      <c r="L12" s="14" t="s">
        <v>21</v>
      </c>
      <c r="M12" t="s">
        <v>22</v>
      </c>
      <c r="N12" t="s">
        <v>32</v>
      </c>
      <c r="O12" t="s">
        <v>59</v>
      </c>
      <c r="P12" t="s">
        <v>40</v>
      </c>
      <c r="Q12">
        <v>119.88</v>
      </c>
      <c r="R12">
        <v>3.5963999999999996</v>
      </c>
      <c r="S12" s="12">
        <v>2065.9584</v>
      </c>
    </row>
    <row r="13" spans="1:19" hidden="1" x14ac:dyDescent="0.25">
      <c r="A13" s="13">
        <v>45663</v>
      </c>
      <c r="B13" t="s">
        <v>107</v>
      </c>
      <c r="C13">
        <v>89857</v>
      </c>
      <c r="D13" t="s">
        <v>89</v>
      </c>
      <c r="E13" s="5">
        <v>31</v>
      </c>
      <c r="F13">
        <v>73.650000000000006</v>
      </c>
      <c r="G13" s="12" t="s">
        <v>47</v>
      </c>
      <c r="H13" s="11">
        <v>0.02</v>
      </c>
      <c r="I13" t="s">
        <v>29</v>
      </c>
      <c r="J13">
        <v>5.0999999999999996</v>
      </c>
      <c r="K13" t="s">
        <v>20</v>
      </c>
      <c r="L13" t="s">
        <v>31</v>
      </c>
      <c r="M13" t="s">
        <v>22</v>
      </c>
      <c r="N13" t="s">
        <v>53</v>
      </c>
      <c r="O13" t="s">
        <v>59</v>
      </c>
      <c r="P13" t="s">
        <v>34</v>
      </c>
      <c r="Q13">
        <v>73.650000000000006</v>
      </c>
      <c r="R13">
        <v>1.4730000000000001</v>
      </c>
      <c r="S13" s="12">
        <v>1978.1720000000003</v>
      </c>
    </row>
    <row r="14" spans="1:19" hidden="1" x14ac:dyDescent="0.25">
      <c r="A14" s="13">
        <v>45706</v>
      </c>
      <c r="B14" t="s">
        <v>277</v>
      </c>
      <c r="C14">
        <v>21483</v>
      </c>
      <c r="D14" t="s">
        <v>70</v>
      </c>
      <c r="E14" s="5">
        <v>43</v>
      </c>
      <c r="F14">
        <v>74.83</v>
      </c>
      <c r="G14" s="12" t="s">
        <v>47</v>
      </c>
      <c r="H14" s="11">
        <v>0.28999999999999998</v>
      </c>
      <c r="I14" t="s">
        <v>29</v>
      </c>
      <c r="J14">
        <v>16.87</v>
      </c>
      <c r="K14" t="s">
        <v>37</v>
      </c>
      <c r="L14" t="s">
        <v>31</v>
      </c>
      <c r="M14" t="s">
        <v>111</v>
      </c>
      <c r="N14" t="s">
        <v>32</v>
      </c>
      <c r="O14" t="s">
        <v>39</v>
      </c>
      <c r="P14" t="s">
        <v>25</v>
      </c>
      <c r="Q14">
        <v>523.80999999999995</v>
      </c>
      <c r="R14">
        <v>151.90489999999997</v>
      </c>
      <c r="S14" s="12">
        <v>1848.8151</v>
      </c>
    </row>
    <row r="15" spans="1:19" hidden="1" x14ac:dyDescent="0.25">
      <c r="A15" s="13">
        <v>45700</v>
      </c>
      <c r="B15" t="s">
        <v>85</v>
      </c>
      <c r="C15">
        <v>24364</v>
      </c>
      <c r="D15" t="s">
        <v>75</v>
      </c>
      <c r="E15" s="5">
        <v>46</v>
      </c>
      <c r="F15">
        <v>40.479999999999997</v>
      </c>
      <c r="G15" s="12" t="s">
        <v>47</v>
      </c>
      <c r="H15" s="11">
        <v>0.21</v>
      </c>
      <c r="I15" t="s">
        <v>734</v>
      </c>
      <c r="J15">
        <v>28.03</v>
      </c>
      <c r="K15" t="s">
        <v>20</v>
      </c>
      <c r="L15" t="s">
        <v>31</v>
      </c>
      <c r="M15" t="s">
        <v>22</v>
      </c>
      <c r="N15" t="s">
        <v>38</v>
      </c>
      <c r="O15" t="s">
        <v>59</v>
      </c>
      <c r="P15" t="s">
        <v>25</v>
      </c>
      <c r="Q15">
        <v>1740.6399999999999</v>
      </c>
      <c r="R15">
        <v>365.53439999999995</v>
      </c>
      <c r="S15" s="12">
        <v>1719.3879999999999</v>
      </c>
    </row>
    <row r="16" spans="1:19" hidden="1" x14ac:dyDescent="0.25">
      <c r="A16" s="13">
        <v>45682</v>
      </c>
      <c r="B16" t="s">
        <v>369</v>
      </c>
      <c r="C16">
        <v>69473</v>
      </c>
      <c r="D16" t="s">
        <v>17</v>
      </c>
      <c r="E16" s="5">
        <v>38</v>
      </c>
      <c r="F16">
        <v>18.239999999999998</v>
      </c>
      <c r="G16" s="12" t="s">
        <v>47</v>
      </c>
      <c r="H16" s="11">
        <v>0.25</v>
      </c>
      <c r="I16" t="s">
        <v>29</v>
      </c>
      <c r="J16">
        <v>16.45</v>
      </c>
      <c r="K16" s="5" t="s">
        <v>44</v>
      </c>
      <c r="L16" s="14" t="s">
        <v>21</v>
      </c>
      <c r="M16" t="s">
        <v>22</v>
      </c>
      <c r="N16" t="s">
        <v>53</v>
      </c>
      <c r="O16" t="s">
        <v>39</v>
      </c>
      <c r="P16" t="s">
        <v>40</v>
      </c>
      <c r="Q16">
        <v>893.75999999999988</v>
      </c>
      <c r="R16">
        <v>223.43999999999997</v>
      </c>
      <c r="S16" s="12">
        <v>1631.34</v>
      </c>
    </row>
    <row r="17" spans="1:19" hidden="1" x14ac:dyDescent="0.25">
      <c r="A17" s="13">
        <v>45693</v>
      </c>
      <c r="B17" t="s">
        <v>520</v>
      </c>
      <c r="C17">
        <v>56585</v>
      </c>
      <c r="D17" t="s">
        <v>42</v>
      </c>
      <c r="E17" s="5">
        <v>25</v>
      </c>
      <c r="F17">
        <v>39.18</v>
      </c>
      <c r="G17" s="12" t="s">
        <v>47</v>
      </c>
      <c r="H17" s="11">
        <v>0.18</v>
      </c>
      <c r="I17" t="s">
        <v>734</v>
      </c>
      <c r="J17">
        <v>17.510000000000002</v>
      </c>
      <c r="K17" t="s">
        <v>20</v>
      </c>
      <c r="L17" s="14" t="s">
        <v>21</v>
      </c>
      <c r="M17" t="s">
        <v>22</v>
      </c>
      <c r="N17" t="s">
        <v>38</v>
      </c>
      <c r="O17" t="s">
        <v>24</v>
      </c>
      <c r="P17" t="s">
        <v>40</v>
      </c>
      <c r="Q17">
        <v>1645.56</v>
      </c>
      <c r="R17">
        <v>296.20079999999996</v>
      </c>
      <c r="S17" s="12">
        <v>1495.04</v>
      </c>
    </row>
    <row r="18" spans="1:19" hidden="1" x14ac:dyDescent="0.25">
      <c r="A18" s="13">
        <v>45663</v>
      </c>
      <c r="B18" t="s">
        <v>144</v>
      </c>
      <c r="C18">
        <v>82934</v>
      </c>
      <c r="D18" t="s">
        <v>66</v>
      </c>
      <c r="E18" s="5">
        <v>18</v>
      </c>
      <c r="F18">
        <v>98.2</v>
      </c>
      <c r="G18" s="12" t="s">
        <v>47</v>
      </c>
      <c r="H18" s="11">
        <v>0.17</v>
      </c>
      <c r="I18" t="s">
        <v>734</v>
      </c>
      <c r="J18">
        <v>29.12</v>
      </c>
      <c r="K18" t="s">
        <v>20</v>
      </c>
      <c r="L18" t="s">
        <v>31</v>
      </c>
      <c r="M18" t="s">
        <v>22</v>
      </c>
      <c r="N18" t="s">
        <v>32</v>
      </c>
      <c r="O18" t="s">
        <v>39</v>
      </c>
      <c r="P18" t="s">
        <v>40</v>
      </c>
      <c r="Q18">
        <v>1767.6000000000001</v>
      </c>
      <c r="R18">
        <v>300.49200000000002</v>
      </c>
      <c r="S18" s="12">
        <v>1466.5536</v>
      </c>
    </row>
    <row r="19" spans="1:19" hidden="1" x14ac:dyDescent="0.25">
      <c r="A19" s="13">
        <v>45695</v>
      </c>
      <c r="B19" t="s">
        <v>540</v>
      </c>
      <c r="C19">
        <v>20586</v>
      </c>
      <c r="D19" t="s">
        <v>70</v>
      </c>
      <c r="E19" s="5">
        <v>39</v>
      </c>
      <c r="F19">
        <v>18.440000000000001</v>
      </c>
      <c r="G19" s="12" t="s">
        <v>47</v>
      </c>
      <c r="H19" s="11">
        <v>0.44</v>
      </c>
      <c r="I19" t="s">
        <v>19</v>
      </c>
      <c r="J19">
        <v>8.8800000000000008</v>
      </c>
      <c r="K19" t="s">
        <v>50</v>
      </c>
      <c r="L19" s="14" t="s">
        <v>21</v>
      </c>
      <c r="M19" t="s">
        <v>22</v>
      </c>
      <c r="N19" t="s">
        <v>38</v>
      </c>
      <c r="O19" t="s">
        <v>81</v>
      </c>
      <c r="P19" t="s">
        <v>40</v>
      </c>
      <c r="Q19">
        <v>774.48</v>
      </c>
      <c r="R19">
        <v>340.77120000000002</v>
      </c>
      <c r="S19" s="12">
        <v>1439.5680000000002</v>
      </c>
    </row>
    <row r="20" spans="1:19" hidden="1" x14ac:dyDescent="0.25">
      <c r="A20" s="13">
        <v>45709</v>
      </c>
      <c r="B20" t="s">
        <v>680</v>
      </c>
      <c r="C20">
        <v>74237</v>
      </c>
      <c r="D20" t="s">
        <v>66</v>
      </c>
      <c r="E20" s="5">
        <v>23</v>
      </c>
      <c r="F20">
        <v>91.36</v>
      </c>
      <c r="G20" s="12" t="s">
        <v>47</v>
      </c>
      <c r="H20" s="11">
        <v>0.32</v>
      </c>
      <c r="I20" t="s">
        <v>19</v>
      </c>
      <c r="J20">
        <v>24.4</v>
      </c>
      <c r="K20" s="5" t="s">
        <v>44</v>
      </c>
      <c r="L20" t="s">
        <v>31</v>
      </c>
      <c r="M20" t="s">
        <v>22</v>
      </c>
      <c r="N20" t="s">
        <v>38</v>
      </c>
      <c r="O20" t="s">
        <v>59</v>
      </c>
      <c r="P20" t="s">
        <v>34</v>
      </c>
      <c r="Q20">
        <v>2101.2800000000002</v>
      </c>
      <c r="R20">
        <v>672.40960000000007</v>
      </c>
      <c r="S20" s="12">
        <v>1428.8704000000002</v>
      </c>
    </row>
    <row r="21" spans="1:19" hidden="1" x14ac:dyDescent="0.25">
      <c r="A21" s="13">
        <v>45702</v>
      </c>
      <c r="B21" t="s">
        <v>619</v>
      </c>
      <c r="C21">
        <v>68604</v>
      </c>
      <c r="D21" t="s">
        <v>17</v>
      </c>
      <c r="E21" s="5">
        <v>27</v>
      </c>
      <c r="F21">
        <v>34.590000000000003</v>
      </c>
      <c r="G21" s="12" t="s">
        <v>47</v>
      </c>
      <c r="H21" s="11">
        <v>0.46</v>
      </c>
      <c r="I21" t="s">
        <v>19</v>
      </c>
      <c r="J21">
        <v>20.57</v>
      </c>
      <c r="K21" t="s">
        <v>30</v>
      </c>
      <c r="L21" t="s">
        <v>31</v>
      </c>
      <c r="M21" t="s">
        <v>22</v>
      </c>
      <c r="N21" t="s">
        <v>23</v>
      </c>
      <c r="O21" t="s">
        <v>81</v>
      </c>
      <c r="P21" t="s">
        <v>25</v>
      </c>
      <c r="Q21">
        <v>1314.42</v>
      </c>
      <c r="R21">
        <v>604.6332000000001</v>
      </c>
      <c r="S21" s="12">
        <v>1400.9760000000001</v>
      </c>
    </row>
    <row r="22" spans="1:19" hidden="1" x14ac:dyDescent="0.25">
      <c r="A22" s="13">
        <v>45661</v>
      </c>
      <c r="B22" t="s">
        <v>110</v>
      </c>
      <c r="C22">
        <v>80061</v>
      </c>
      <c r="D22" t="s">
        <v>17</v>
      </c>
      <c r="E22" s="5">
        <v>19</v>
      </c>
      <c r="F22">
        <v>30.76</v>
      </c>
      <c r="G22" s="12" t="s">
        <v>47</v>
      </c>
      <c r="H22" s="11">
        <v>0.37</v>
      </c>
      <c r="I22" t="s">
        <v>734</v>
      </c>
      <c r="J22">
        <v>25.96</v>
      </c>
      <c r="K22" t="s">
        <v>30</v>
      </c>
      <c r="L22" t="s">
        <v>31</v>
      </c>
      <c r="M22" t="s">
        <v>111</v>
      </c>
      <c r="N22" t="s">
        <v>23</v>
      </c>
      <c r="O22" t="s">
        <v>24</v>
      </c>
      <c r="P22" t="s">
        <v>34</v>
      </c>
      <c r="Q22">
        <v>1230.4000000000001</v>
      </c>
      <c r="R22">
        <v>455.24800000000005</v>
      </c>
      <c r="S22" s="12">
        <v>1383.1923999999999</v>
      </c>
    </row>
    <row r="23" spans="1:19" hidden="1" x14ac:dyDescent="0.25">
      <c r="A23" s="13">
        <v>45694</v>
      </c>
      <c r="B23" t="s">
        <v>114</v>
      </c>
      <c r="C23">
        <v>17800</v>
      </c>
      <c r="D23" t="s">
        <v>27</v>
      </c>
      <c r="E23" s="5">
        <v>24</v>
      </c>
      <c r="F23">
        <v>79.959999999999994</v>
      </c>
      <c r="G23" s="12" t="s">
        <v>47</v>
      </c>
      <c r="H23" s="11">
        <v>0.46</v>
      </c>
      <c r="I23" t="s">
        <v>734</v>
      </c>
      <c r="J23">
        <v>8.6300000000000008</v>
      </c>
      <c r="K23" t="s">
        <v>37</v>
      </c>
      <c r="L23" s="14" t="s">
        <v>21</v>
      </c>
      <c r="M23" t="s">
        <v>22</v>
      </c>
      <c r="N23" t="s">
        <v>38</v>
      </c>
      <c r="O23" t="s">
        <v>24</v>
      </c>
      <c r="P23" t="s">
        <v>40</v>
      </c>
      <c r="Q23">
        <v>319.83999999999997</v>
      </c>
      <c r="R23">
        <v>147.12639999999999</v>
      </c>
      <c r="S23" s="12">
        <v>1332.8951999999999</v>
      </c>
    </row>
    <row r="24" spans="1:19" hidden="1" x14ac:dyDescent="0.25">
      <c r="A24" s="13">
        <v>45685</v>
      </c>
      <c r="B24" t="s">
        <v>178</v>
      </c>
      <c r="C24">
        <v>70987</v>
      </c>
      <c r="D24" t="s">
        <v>89</v>
      </c>
      <c r="E24" s="5">
        <v>32</v>
      </c>
      <c r="F24">
        <v>65.64</v>
      </c>
      <c r="G24" s="12" t="s">
        <v>47</v>
      </c>
      <c r="H24" s="11">
        <v>0.23</v>
      </c>
      <c r="I24" t="s">
        <v>734</v>
      </c>
      <c r="J24">
        <v>26.94</v>
      </c>
      <c r="K24" t="s">
        <v>50</v>
      </c>
      <c r="L24" s="14" t="s">
        <v>21</v>
      </c>
      <c r="M24" t="s">
        <v>22</v>
      </c>
      <c r="N24" t="s">
        <v>23</v>
      </c>
      <c r="O24" t="s">
        <v>33</v>
      </c>
      <c r="P24" t="s">
        <v>25</v>
      </c>
      <c r="Q24">
        <v>262.56</v>
      </c>
      <c r="R24">
        <v>60.388800000000003</v>
      </c>
      <c r="S24" s="12">
        <v>1272.4223999999999</v>
      </c>
    </row>
    <row r="25" spans="1:19" hidden="1" x14ac:dyDescent="0.25">
      <c r="A25" s="13">
        <v>45701</v>
      </c>
      <c r="B25" t="s">
        <v>604</v>
      </c>
      <c r="C25">
        <v>53514</v>
      </c>
      <c r="D25" t="s">
        <v>57</v>
      </c>
      <c r="E25" s="5">
        <v>30</v>
      </c>
      <c r="F25">
        <v>56.9</v>
      </c>
      <c r="G25" s="12" t="s">
        <v>47</v>
      </c>
      <c r="H25" s="11">
        <v>0.09</v>
      </c>
      <c r="I25" t="s">
        <v>29</v>
      </c>
      <c r="J25">
        <v>12.43</v>
      </c>
      <c r="K25" t="s">
        <v>37</v>
      </c>
      <c r="L25" s="14" t="s">
        <v>21</v>
      </c>
      <c r="M25" t="s">
        <v>22</v>
      </c>
      <c r="N25" t="s">
        <v>53</v>
      </c>
      <c r="O25" t="s">
        <v>81</v>
      </c>
      <c r="P25" t="s">
        <v>25</v>
      </c>
      <c r="Q25">
        <v>2446.6999999999998</v>
      </c>
      <c r="R25">
        <v>220.20299999999997</v>
      </c>
      <c r="S25" s="12">
        <v>1270.4189999999999</v>
      </c>
    </row>
    <row r="26" spans="1:19" hidden="1" x14ac:dyDescent="0.25">
      <c r="A26" s="13">
        <v>45705</v>
      </c>
      <c r="B26" t="s">
        <v>650</v>
      </c>
      <c r="C26">
        <v>72811</v>
      </c>
      <c r="D26" t="s">
        <v>70</v>
      </c>
      <c r="E26" s="5">
        <v>31</v>
      </c>
      <c r="F26">
        <v>82.55</v>
      </c>
      <c r="G26" s="12" t="s">
        <v>47</v>
      </c>
      <c r="H26" s="11">
        <v>0.11</v>
      </c>
      <c r="I26" t="s">
        <v>29</v>
      </c>
      <c r="J26">
        <v>20.14</v>
      </c>
      <c r="K26" t="s">
        <v>50</v>
      </c>
      <c r="L26" t="s">
        <v>31</v>
      </c>
      <c r="M26" t="s">
        <v>22</v>
      </c>
      <c r="N26" t="s">
        <v>53</v>
      </c>
      <c r="O26" t="s">
        <v>33</v>
      </c>
      <c r="P26" t="s">
        <v>40</v>
      </c>
      <c r="Q26">
        <v>3302</v>
      </c>
      <c r="R26">
        <v>363.22</v>
      </c>
      <c r="S26" s="12">
        <v>1212.3045999999999</v>
      </c>
    </row>
    <row r="27" spans="1:19" hidden="1" x14ac:dyDescent="0.25">
      <c r="A27" s="13">
        <v>45702</v>
      </c>
      <c r="B27" t="s">
        <v>509</v>
      </c>
      <c r="C27">
        <v>11087</v>
      </c>
      <c r="D27" t="s">
        <v>42</v>
      </c>
      <c r="E27" s="5">
        <v>22</v>
      </c>
      <c r="F27">
        <v>96.08</v>
      </c>
      <c r="G27" s="12" t="s">
        <v>47</v>
      </c>
      <c r="H27" s="11">
        <v>0.02</v>
      </c>
      <c r="I27" t="s">
        <v>734</v>
      </c>
      <c r="J27">
        <v>20.350000000000001</v>
      </c>
      <c r="K27" s="5" t="s">
        <v>44</v>
      </c>
      <c r="L27" s="14" t="s">
        <v>21</v>
      </c>
      <c r="M27" t="s">
        <v>111</v>
      </c>
      <c r="N27" t="s">
        <v>23</v>
      </c>
      <c r="O27" t="s">
        <v>39</v>
      </c>
      <c r="P27" t="s">
        <v>25</v>
      </c>
      <c r="Q27">
        <v>3651.04</v>
      </c>
      <c r="R27">
        <v>73.020799999999994</v>
      </c>
      <c r="S27" s="12">
        <v>1170.3120000000001</v>
      </c>
    </row>
    <row r="28" spans="1:19" hidden="1" x14ac:dyDescent="0.25">
      <c r="A28" s="13">
        <v>45686</v>
      </c>
      <c r="B28" t="s">
        <v>426</v>
      </c>
      <c r="C28">
        <v>93742</v>
      </c>
      <c r="D28" t="s">
        <v>70</v>
      </c>
      <c r="E28" s="5">
        <v>21</v>
      </c>
      <c r="F28">
        <v>23.38</v>
      </c>
      <c r="G28" s="12" t="s">
        <v>47</v>
      </c>
      <c r="H28" s="11">
        <v>0.4</v>
      </c>
      <c r="I28" t="s">
        <v>29</v>
      </c>
      <c r="J28">
        <v>7.75</v>
      </c>
      <c r="K28" t="s">
        <v>30</v>
      </c>
      <c r="L28" s="14" t="s">
        <v>21</v>
      </c>
      <c r="M28" t="s">
        <v>22</v>
      </c>
      <c r="N28" t="s">
        <v>38</v>
      </c>
      <c r="O28" t="s">
        <v>59</v>
      </c>
      <c r="P28" t="s">
        <v>25</v>
      </c>
      <c r="Q28">
        <v>935.19999999999993</v>
      </c>
      <c r="R28">
        <v>374.08</v>
      </c>
      <c r="S28" s="12">
        <v>1144.71</v>
      </c>
    </row>
    <row r="29" spans="1:19" hidden="1" x14ac:dyDescent="0.25">
      <c r="A29" s="13">
        <v>45678</v>
      </c>
      <c r="B29" t="s">
        <v>174</v>
      </c>
      <c r="C29">
        <v>67010</v>
      </c>
      <c r="D29" t="s">
        <v>70</v>
      </c>
      <c r="E29" s="5">
        <v>31</v>
      </c>
      <c r="F29">
        <v>39.64</v>
      </c>
      <c r="G29" s="12" t="s">
        <v>47</v>
      </c>
      <c r="H29" s="11">
        <v>0.1</v>
      </c>
      <c r="I29" t="s">
        <v>19</v>
      </c>
      <c r="J29">
        <v>22.06</v>
      </c>
      <c r="K29" t="s">
        <v>30</v>
      </c>
      <c r="L29" s="14" t="s">
        <v>21</v>
      </c>
      <c r="M29" t="s">
        <v>111</v>
      </c>
      <c r="N29" t="s">
        <v>32</v>
      </c>
      <c r="O29" t="s">
        <v>24</v>
      </c>
      <c r="P29" t="s">
        <v>40</v>
      </c>
      <c r="Q29">
        <v>554.96</v>
      </c>
      <c r="R29">
        <v>55.496000000000009</v>
      </c>
      <c r="S29" s="12">
        <v>1113.1696999999999</v>
      </c>
    </row>
    <row r="30" spans="1:19" hidden="1" x14ac:dyDescent="0.25">
      <c r="A30" s="13">
        <v>45659</v>
      </c>
      <c r="B30" t="s">
        <v>45</v>
      </c>
      <c r="C30">
        <v>84531</v>
      </c>
      <c r="D30" t="s">
        <v>46</v>
      </c>
      <c r="E30" s="5">
        <v>47</v>
      </c>
      <c r="F30">
        <v>14.19</v>
      </c>
      <c r="G30" s="12" t="s">
        <v>47</v>
      </c>
      <c r="H30" s="11">
        <v>0.35</v>
      </c>
      <c r="I30" t="s">
        <v>29</v>
      </c>
      <c r="J30">
        <v>27.15</v>
      </c>
      <c r="K30" s="5" t="s">
        <v>44</v>
      </c>
      <c r="L30" t="s">
        <v>31</v>
      </c>
      <c r="M30" t="s">
        <v>22</v>
      </c>
      <c r="N30" t="s">
        <v>32</v>
      </c>
      <c r="O30" t="s">
        <v>24</v>
      </c>
      <c r="P30" t="s">
        <v>40</v>
      </c>
      <c r="Q30">
        <v>326.37</v>
      </c>
      <c r="R30">
        <v>114.22949999999999</v>
      </c>
      <c r="S30" s="12">
        <v>1086.9830999999999</v>
      </c>
    </row>
    <row r="31" spans="1:19" hidden="1" x14ac:dyDescent="0.25">
      <c r="A31" s="13">
        <v>45711</v>
      </c>
      <c r="B31" t="s">
        <v>706</v>
      </c>
      <c r="C31">
        <v>17092</v>
      </c>
      <c r="D31" t="s">
        <v>46</v>
      </c>
      <c r="E31" s="5">
        <v>26</v>
      </c>
      <c r="F31">
        <v>80.650000000000006</v>
      </c>
      <c r="G31" s="12" t="s">
        <v>47</v>
      </c>
      <c r="H31" s="11">
        <v>0.3</v>
      </c>
      <c r="I31" t="s">
        <v>29</v>
      </c>
      <c r="J31">
        <v>26.77</v>
      </c>
      <c r="K31" t="s">
        <v>50</v>
      </c>
      <c r="L31" t="s">
        <v>31</v>
      </c>
      <c r="M31" t="s">
        <v>22</v>
      </c>
      <c r="N31" t="s">
        <v>53</v>
      </c>
      <c r="O31" t="s">
        <v>39</v>
      </c>
      <c r="P31" t="s">
        <v>25</v>
      </c>
      <c r="Q31">
        <v>3467.9500000000003</v>
      </c>
      <c r="R31">
        <v>1040.385</v>
      </c>
      <c r="S31" s="12">
        <v>1079.5720000000001</v>
      </c>
    </row>
    <row r="32" spans="1:19" x14ac:dyDescent="0.25">
      <c r="A32" s="13">
        <v>45678</v>
      </c>
      <c r="B32" t="s">
        <v>305</v>
      </c>
      <c r="C32">
        <v>44419</v>
      </c>
      <c r="D32" t="s">
        <v>46</v>
      </c>
      <c r="E32" s="5">
        <v>17</v>
      </c>
      <c r="F32" s="23">
        <v>68.94</v>
      </c>
      <c r="G32" s="12" t="s">
        <v>47</v>
      </c>
      <c r="H32" s="37">
        <v>0.16</v>
      </c>
      <c r="I32" t="s">
        <v>29</v>
      </c>
      <c r="J32" s="23">
        <v>26.76</v>
      </c>
      <c r="K32" t="s">
        <v>20</v>
      </c>
      <c r="L32" s="14" t="s">
        <v>21</v>
      </c>
      <c r="M32" t="s">
        <v>22</v>
      </c>
      <c r="N32" t="s">
        <v>53</v>
      </c>
      <c r="O32" t="s">
        <v>39</v>
      </c>
      <c r="P32" s="14" t="s">
        <v>34</v>
      </c>
      <c r="Q32" s="23">
        <v>1171.98</v>
      </c>
      <c r="R32" s="23">
        <v>187.51680000000002</v>
      </c>
      <c r="S32" s="24">
        <v>984.46320000000003</v>
      </c>
    </row>
    <row r="33" spans="1:19" hidden="1" x14ac:dyDescent="0.25">
      <c r="A33" s="13">
        <v>45689</v>
      </c>
      <c r="B33" t="s">
        <v>468</v>
      </c>
      <c r="C33">
        <v>39420</v>
      </c>
      <c r="D33" t="s">
        <v>66</v>
      </c>
      <c r="E33" s="5">
        <v>14</v>
      </c>
      <c r="F33">
        <v>55.62</v>
      </c>
      <c r="G33" s="12" t="s">
        <v>47</v>
      </c>
      <c r="H33" s="11">
        <v>0.12</v>
      </c>
      <c r="I33" t="s">
        <v>29</v>
      </c>
      <c r="J33">
        <v>9.2899999999999991</v>
      </c>
      <c r="K33" t="s">
        <v>37</v>
      </c>
      <c r="L33" t="s">
        <v>31</v>
      </c>
      <c r="M33" t="s">
        <v>22</v>
      </c>
      <c r="N33" t="s">
        <v>53</v>
      </c>
      <c r="O33" t="s">
        <v>24</v>
      </c>
      <c r="P33" t="s">
        <v>34</v>
      </c>
      <c r="Q33">
        <v>2336.04</v>
      </c>
      <c r="R33">
        <v>280.32479999999998</v>
      </c>
      <c r="S33" s="12">
        <v>944.62199999999996</v>
      </c>
    </row>
    <row r="34" spans="1:19" hidden="1" x14ac:dyDescent="0.25">
      <c r="A34" s="13">
        <v>45707</v>
      </c>
      <c r="B34" t="s">
        <v>663</v>
      </c>
      <c r="C34">
        <v>44976</v>
      </c>
      <c r="D34" t="s">
        <v>75</v>
      </c>
      <c r="E34" s="5">
        <v>21</v>
      </c>
      <c r="F34">
        <v>80.16</v>
      </c>
      <c r="G34" s="12" t="s">
        <v>47</v>
      </c>
      <c r="H34" s="11">
        <v>0.46</v>
      </c>
      <c r="I34" t="s">
        <v>19</v>
      </c>
      <c r="J34">
        <v>10.35</v>
      </c>
      <c r="K34" t="s">
        <v>20</v>
      </c>
      <c r="L34" s="14" t="s">
        <v>21</v>
      </c>
      <c r="M34" t="s">
        <v>22</v>
      </c>
      <c r="N34" t="s">
        <v>32</v>
      </c>
      <c r="O34" t="s">
        <v>81</v>
      </c>
      <c r="P34" t="s">
        <v>25</v>
      </c>
      <c r="Q34">
        <v>1683.36</v>
      </c>
      <c r="R34">
        <v>774.34559999999999</v>
      </c>
      <c r="S34" s="12">
        <v>909.01439999999991</v>
      </c>
    </row>
    <row r="35" spans="1:19" hidden="1" x14ac:dyDescent="0.25">
      <c r="A35" s="13">
        <v>45680</v>
      </c>
      <c r="B35" t="s">
        <v>152</v>
      </c>
      <c r="C35">
        <v>14921</v>
      </c>
      <c r="D35" t="s">
        <v>68</v>
      </c>
      <c r="E35" s="5">
        <v>19</v>
      </c>
      <c r="F35">
        <v>59.33</v>
      </c>
      <c r="G35" s="12" t="s">
        <v>47</v>
      </c>
      <c r="H35" s="11">
        <v>0.13</v>
      </c>
      <c r="I35" t="s">
        <v>19</v>
      </c>
      <c r="J35">
        <v>27.24</v>
      </c>
      <c r="K35" s="5" t="s">
        <v>44</v>
      </c>
      <c r="L35" s="14" t="s">
        <v>21</v>
      </c>
      <c r="M35" t="s">
        <v>22</v>
      </c>
      <c r="N35" t="s">
        <v>23</v>
      </c>
      <c r="O35" t="s">
        <v>81</v>
      </c>
      <c r="P35" t="s">
        <v>25</v>
      </c>
      <c r="Q35">
        <v>1067.94</v>
      </c>
      <c r="R35">
        <v>138.8322</v>
      </c>
      <c r="S35" s="12">
        <v>865.75019999999995</v>
      </c>
    </row>
    <row r="36" spans="1:19" hidden="1" x14ac:dyDescent="0.25">
      <c r="A36" s="13">
        <v>45682</v>
      </c>
      <c r="B36" t="s">
        <v>373</v>
      </c>
      <c r="C36">
        <v>43678</v>
      </c>
      <c r="D36" t="s">
        <v>49</v>
      </c>
      <c r="E36" s="5">
        <v>33</v>
      </c>
      <c r="F36">
        <v>53.06</v>
      </c>
      <c r="G36" s="12" t="s">
        <v>47</v>
      </c>
      <c r="H36" s="11">
        <v>0.5</v>
      </c>
      <c r="I36" t="s">
        <v>19</v>
      </c>
      <c r="J36">
        <v>13.67</v>
      </c>
      <c r="K36" t="s">
        <v>30</v>
      </c>
      <c r="L36" t="s">
        <v>31</v>
      </c>
      <c r="M36" t="s">
        <v>22</v>
      </c>
      <c r="N36" t="s">
        <v>38</v>
      </c>
      <c r="O36" t="s">
        <v>81</v>
      </c>
      <c r="P36" t="s">
        <v>40</v>
      </c>
      <c r="Q36">
        <v>583.66000000000008</v>
      </c>
      <c r="R36">
        <v>291.83000000000004</v>
      </c>
      <c r="S36" s="12">
        <v>847.51919999999996</v>
      </c>
    </row>
    <row r="37" spans="1:19" hidden="1" x14ac:dyDescent="0.25">
      <c r="A37" s="13">
        <v>45663</v>
      </c>
      <c r="B37" t="s">
        <v>128</v>
      </c>
      <c r="C37">
        <v>81766</v>
      </c>
      <c r="D37" t="s">
        <v>27</v>
      </c>
      <c r="E37" s="5">
        <v>26</v>
      </c>
      <c r="F37">
        <v>88.56</v>
      </c>
      <c r="G37" s="12" t="s">
        <v>47</v>
      </c>
      <c r="H37" s="11">
        <v>0.08</v>
      </c>
      <c r="I37" t="s">
        <v>29</v>
      </c>
      <c r="J37">
        <v>6.1</v>
      </c>
      <c r="K37" t="s">
        <v>50</v>
      </c>
      <c r="L37" s="14" t="s">
        <v>21</v>
      </c>
      <c r="M37" t="s">
        <v>22</v>
      </c>
      <c r="N37" t="s">
        <v>23</v>
      </c>
      <c r="O37" t="s">
        <v>59</v>
      </c>
      <c r="P37" t="s">
        <v>40</v>
      </c>
      <c r="Q37">
        <v>1594.08</v>
      </c>
      <c r="R37">
        <v>127.5264</v>
      </c>
      <c r="S37" s="12">
        <v>818.56319999999994</v>
      </c>
    </row>
    <row r="38" spans="1:19" hidden="1" x14ac:dyDescent="0.25">
      <c r="A38" s="13">
        <v>45660</v>
      </c>
      <c r="B38" t="s">
        <v>91</v>
      </c>
      <c r="C38">
        <v>59939</v>
      </c>
      <c r="D38" t="s">
        <v>89</v>
      </c>
      <c r="E38" s="5">
        <v>14</v>
      </c>
      <c r="F38">
        <v>65.16</v>
      </c>
      <c r="G38" s="12" t="s">
        <v>47</v>
      </c>
      <c r="H38" s="11">
        <v>0.32</v>
      </c>
      <c r="I38" t="s">
        <v>734</v>
      </c>
      <c r="J38">
        <v>22.18</v>
      </c>
      <c r="K38" t="s">
        <v>30</v>
      </c>
      <c r="L38" t="s">
        <v>31</v>
      </c>
      <c r="M38" t="s">
        <v>22</v>
      </c>
      <c r="N38" t="s">
        <v>23</v>
      </c>
      <c r="O38" t="s">
        <v>33</v>
      </c>
      <c r="P38" t="s">
        <v>34</v>
      </c>
      <c r="Q38">
        <v>2541.2399999999998</v>
      </c>
      <c r="R38">
        <v>813.19679999999994</v>
      </c>
      <c r="S38" s="12">
        <v>812.7518</v>
      </c>
    </row>
    <row r="39" spans="1:19" hidden="1" x14ac:dyDescent="0.25">
      <c r="A39" s="13">
        <v>45690</v>
      </c>
      <c r="B39" t="s">
        <v>486</v>
      </c>
      <c r="C39">
        <v>43559</v>
      </c>
      <c r="D39" t="s">
        <v>75</v>
      </c>
      <c r="E39" s="5">
        <v>17</v>
      </c>
      <c r="F39">
        <v>94.84</v>
      </c>
      <c r="G39" s="12" t="s">
        <v>47</v>
      </c>
      <c r="H39" s="11">
        <v>0.14000000000000001</v>
      </c>
      <c r="I39" t="s">
        <v>19</v>
      </c>
      <c r="J39">
        <v>11.13</v>
      </c>
      <c r="K39" t="s">
        <v>37</v>
      </c>
      <c r="L39" t="s">
        <v>31</v>
      </c>
      <c r="M39" t="s">
        <v>22</v>
      </c>
      <c r="N39" t="s">
        <v>53</v>
      </c>
      <c r="O39" t="s">
        <v>81</v>
      </c>
      <c r="P39" t="s">
        <v>40</v>
      </c>
      <c r="Q39">
        <v>2845.2000000000003</v>
      </c>
      <c r="R39">
        <v>398.32800000000009</v>
      </c>
      <c r="S39" s="12">
        <v>812.11210000000005</v>
      </c>
    </row>
    <row r="40" spans="1:19" x14ac:dyDescent="0.25">
      <c r="A40" s="13">
        <v>45671</v>
      </c>
      <c r="B40" t="s">
        <v>188</v>
      </c>
      <c r="C40">
        <v>45089</v>
      </c>
      <c r="D40" t="s">
        <v>57</v>
      </c>
      <c r="E40" s="5">
        <v>19</v>
      </c>
      <c r="F40" s="23">
        <v>36.31</v>
      </c>
      <c r="G40" s="12" t="s">
        <v>47</v>
      </c>
      <c r="H40" s="37">
        <v>0.04</v>
      </c>
      <c r="I40" t="s">
        <v>29</v>
      </c>
      <c r="J40" s="23">
        <v>21.39</v>
      </c>
      <c r="K40" t="s">
        <v>20</v>
      </c>
      <c r="L40" s="14" t="s">
        <v>21</v>
      </c>
      <c r="M40" t="s">
        <v>22</v>
      </c>
      <c r="N40" t="s">
        <v>23</v>
      </c>
      <c r="O40" t="s">
        <v>24</v>
      </c>
      <c r="P40" s="14" t="s">
        <v>34</v>
      </c>
      <c r="Q40" s="23">
        <v>1016.6800000000001</v>
      </c>
      <c r="R40" s="23">
        <v>40.667200000000001</v>
      </c>
      <c r="S40" s="24">
        <v>799.41740000000004</v>
      </c>
    </row>
    <row r="41" spans="1:19" hidden="1" x14ac:dyDescent="0.25">
      <c r="A41" s="13">
        <v>45675</v>
      </c>
      <c r="B41" t="s">
        <v>254</v>
      </c>
      <c r="C41">
        <v>87150</v>
      </c>
      <c r="D41" t="s">
        <v>57</v>
      </c>
      <c r="E41" s="5">
        <v>26</v>
      </c>
      <c r="F41">
        <v>66.69</v>
      </c>
      <c r="G41" s="12" t="s">
        <v>47</v>
      </c>
      <c r="H41" s="11">
        <v>7.0000000000000007E-2</v>
      </c>
      <c r="I41" t="s">
        <v>29</v>
      </c>
      <c r="J41">
        <v>26.42</v>
      </c>
      <c r="K41" t="s">
        <v>30</v>
      </c>
      <c r="L41" t="s">
        <v>31</v>
      </c>
      <c r="M41" t="s">
        <v>22</v>
      </c>
      <c r="N41" t="s">
        <v>53</v>
      </c>
      <c r="O41" t="s">
        <v>39</v>
      </c>
      <c r="P41" t="s">
        <v>25</v>
      </c>
      <c r="Q41">
        <v>2000.6999999999998</v>
      </c>
      <c r="R41">
        <v>140.04900000000001</v>
      </c>
      <c r="S41" s="12">
        <v>762.37200000000007</v>
      </c>
    </row>
    <row r="42" spans="1:19" hidden="1" x14ac:dyDescent="0.25">
      <c r="A42" s="13">
        <v>45681</v>
      </c>
      <c r="B42" t="s">
        <v>355</v>
      </c>
      <c r="C42">
        <v>43120</v>
      </c>
      <c r="D42" t="s">
        <v>57</v>
      </c>
      <c r="E42" s="5">
        <v>20</v>
      </c>
      <c r="F42">
        <v>38.770000000000003</v>
      </c>
      <c r="G42" s="12" t="s">
        <v>47</v>
      </c>
      <c r="H42" s="11">
        <v>0.09</v>
      </c>
      <c r="I42" t="s">
        <v>19</v>
      </c>
      <c r="J42">
        <v>21.97</v>
      </c>
      <c r="K42" t="s">
        <v>30</v>
      </c>
      <c r="L42" s="14" t="s">
        <v>21</v>
      </c>
      <c r="M42" t="s">
        <v>111</v>
      </c>
      <c r="N42" t="s">
        <v>38</v>
      </c>
      <c r="O42" t="s">
        <v>24</v>
      </c>
      <c r="P42" t="s">
        <v>25</v>
      </c>
      <c r="Q42">
        <v>1783.42</v>
      </c>
      <c r="R42">
        <v>160.5078</v>
      </c>
      <c r="S42" s="12">
        <v>739.17600000000004</v>
      </c>
    </row>
    <row r="43" spans="1:19" hidden="1" x14ac:dyDescent="0.25">
      <c r="A43" s="13">
        <v>45711</v>
      </c>
      <c r="B43" t="s">
        <v>700</v>
      </c>
      <c r="C43">
        <v>47566</v>
      </c>
      <c r="D43" t="s">
        <v>57</v>
      </c>
      <c r="E43" s="5">
        <v>15</v>
      </c>
      <c r="F43">
        <v>84.36</v>
      </c>
      <c r="G43" s="12" t="s">
        <v>47</v>
      </c>
      <c r="H43" s="11">
        <v>0.42</v>
      </c>
      <c r="I43" t="s">
        <v>734</v>
      </c>
      <c r="J43">
        <v>20.86</v>
      </c>
      <c r="K43" s="5" t="s">
        <v>44</v>
      </c>
      <c r="L43" s="14" t="s">
        <v>21</v>
      </c>
      <c r="M43" t="s">
        <v>22</v>
      </c>
      <c r="N43" t="s">
        <v>23</v>
      </c>
      <c r="O43" t="s">
        <v>59</v>
      </c>
      <c r="P43" t="s">
        <v>40</v>
      </c>
      <c r="Q43">
        <v>1265.4000000000001</v>
      </c>
      <c r="R43">
        <v>531.46800000000007</v>
      </c>
      <c r="S43" s="12">
        <v>733.93200000000002</v>
      </c>
    </row>
    <row r="44" spans="1:19" hidden="1" x14ac:dyDescent="0.25">
      <c r="A44" s="13">
        <v>45674</v>
      </c>
      <c r="B44" t="s">
        <v>241</v>
      </c>
      <c r="C44">
        <v>48205</v>
      </c>
      <c r="D44" t="s">
        <v>57</v>
      </c>
      <c r="E44" s="5">
        <v>14</v>
      </c>
      <c r="F44">
        <v>68.78</v>
      </c>
      <c r="G44" s="12" t="s">
        <v>47</v>
      </c>
      <c r="H44" s="11">
        <v>0.45</v>
      </c>
      <c r="I44" t="s">
        <v>29</v>
      </c>
      <c r="J44">
        <v>11.27</v>
      </c>
      <c r="K44" t="s">
        <v>20</v>
      </c>
      <c r="L44" t="s">
        <v>31</v>
      </c>
      <c r="M44" t="s">
        <v>22</v>
      </c>
      <c r="N44" t="s">
        <v>38</v>
      </c>
      <c r="O44" t="s">
        <v>81</v>
      </c>
      <c r="P44" t="s">
        <v>25</v>
      </c>
      <c r="Q44">
        <v>756.58</v>
      </c>
      <c r="R44">
        <v>340.46100000000001</v>
      </c>
      <c r="S44" s="12">
        <v>691.56639999999993</v>
      </c>
    </row>
    <row r="45" spans="1:19" hidden="1" x14ac:dyDescent="0.25">
      <c r="A45" s="13">
        <v>45672</v>
      </c>
      <c r="B45" t="s">
        <v>192</v>
      </c>
      <c r="C45">
        <v>67823</v>
      </c>
      <c r="D45" t="s">
        <v>75</v>
      </c>
      <c r="E45" s="5">
        <v>14</v>
      </c>
      <c r="F45">
        <v>53</v>
      </c>
      <c r="G45" s="12" t="s">
        <v>47</v>
      </c>
      <c r="H45" s="11">
        <v>0.44</v>
      </c>
      <c r="I45" t="s">
        <v>19</v>
      </c>
      <c r="J45">
        <v>11.58</v>
      </c>
      <c r="K45" t="s">
        <v>37</v>
      </c>
      <c r="L45" s="14" t="s">
        <v>21</v>
      </c>
      <c r="M45" t="s">
        <v>22</v>
      </c>
      <c r="N45" t="s">
        <v>38</v>
      </c>
      <c r="O45" t="s">
        <v>81</v>
      </c>
      <c r="P45" t="s">
        <v>40</v>
      </c>
      <c r="Q45">
        <v>1802</v>
      </c>
      <c r="R45">
        <v>792.88</v>
      </c>
      <c r="S45" s="12">
        <v>672.09799999999996</v>
      </c>
    </row>
    <row r="46" spans="1:19" hidden="1" x14ac:dyDescent="0.25">
      <c r="A46" s="13">
        <v>45703</v>
      </c>
      <c r="B46" t="s">
        <v>526</v>
      </c>
      <c r="C46">
        <v>35791</v>
      </c>
      <c r="D46" t="s">
        <v>66</v>
      </c>
      <c r="E46" s="5">
        <v>8</v>
      </c>
      <c r="F46">
        <v>90.05</v>
      </c>
      <c r="G46" s="12" t="s">
        <v>47</v>
      </c>
      <c r="H46" s="11">
        <v>0.28999999999999998</v>
      </c>
      <c r="I46" t="s">
        <v>734</v>
      </c>
      <c r="J46">
        <v>29.01</v>
      </c>
      <c r="K46" s="5" t="s">
        <v>44</v>
      </c>
      <c r="L46" t="s">
        <v>31</v>
      </c>
      <c r="M46" t="s">
        <v>22</v>
      </c>
      <c r="N46" t="s">
        <v>32</v>
      </c>
      <c r="O46" t="s">
        <v>39</v>
      </c>
      <c r="P46" t="s">
        <v>40</v>
      </c>
      <c r="Q46">
        <v>2161.1999999999998</v>
      </c>
      <c r="R46">
        <v>626.74799999999993</v>
      </c>
      <c r="S46" s="12">
        <v>583.53120000000001</v>
      </c>
    </row>
    <row r="47" spans="1:19" hidden="1" x14ac:dyDescent="0.25">
      <c r="A47" s="13">
        <v>45689</v>
      </c>
      <c r="B47" t="s">
        <v>465</v>
      </c>
      <c r="C47">
        <v>99791</v>
      </c>
      <c r="D47" t="s">
        <v>49</v>
      </c>
      <c r="E47" s="5">
        <v>38</v>
      </c>
      <c r="F47">
        <v>76.69</v>
      </c>
      <c r="G47" s="12" t="s">
        <v>47</v>
      </c>
      <c r="H47" s="11">
        <v>0.35</v>
      </c>
      <c r="I47" t="s">
        <v>19</v>
      </c>
      <c r="J47">
        <v>21.65</v>
      </c>
      <c r="K47" t="s">
        <v>30</v>
      </c>
      <c r="L47" s="14" t="s">
        <v>21</v>
      </c>
      <c r="M47" t="s">
        <v>22</v>
      </c>
      <c r="N47" t="s">
        <v>53</v>
      </c>
      <c r="O47" t="s">
        <v>33</v>
      </c>
      <c r="P47" t="s">
        <v>40</v>
      </c>
      <c r="Q47">
        <v>766.9</v>
      </c>
      <c r="R47">
        <v>268.41499999999996</v>
      </c>
      <c r="S47" s="12">
        <v>575.60879999999997</v>
      </c>
    </row>
    <row r="48" spans="1:19" hidden="1" x14ac:dyDescent="0.25">
      <c r="A48" s="13">
        <v>45679</v>
      </c>
      <c r="B48" t="s">
        <v>327</v>
      </c>
      <c r="C48">
        <v>70003</v>
      </c>
      <c r="D48" t="s">
        <v>57</v>
      </c>
      <c r="E48" s="5">
        <v>7</v>
      </c>
      <c r="F48">
        <v>67.739999999999995</v>
      </c>
      <c r="G48" s="12" t="s">
        <v>47</v>
      </c>
      <c r="H48" s="11">
        <v>0.28000000000000003</v>
      </c>
      <c r="I48" t="s">
        <v>734</v>
      </c>
      <c r="J48">
        <v>6.67</v>
      </c>
      <c r="K48" t="s">
        <v>50</v>
      </c>
      <c r="L48" t="s">
        <v>31</v>
      </c>
      <c r="M48" t="s">
        <v>22</v>
      </c>
      <c r="N48" t="s">
        <v>53</v>
      </c>
      <c r="O48" t="s">
        <v>33</v>
      </c>
      <c r="P48" t="s">
        <v>25</v>
      </c>
      <c r="Q48">
        <v>1761.2399999999998</v>
      </c>
      <c r="R48">
        <v>493.1472</v>
      </c>
      <c r="S48" s="12">
        <v>552.77390000000003</v>
      </c>
    </row>
    <row r="49" spans="1:19" hidden="1" x14ac:dyDescent="0.25">
      <c r="A49" s="13">
        <v>45689</v>
      </c>
      <c r="B49" t="s">
        <v>259</v>
      </c>
      <c r="C49">
        <v>72856</v>
      </c>
      <c r="D49" t="s">
        <v>66</v>
      </c>
      <c r="E49" s="5">
        <v>17</v>
      </c>
      <c r="F49">
        <v>44.34</v>
      </c>
      <c r="G49" s="12" t="s">
        <v>47</v>
      </c>
      <c r="H49" s="11">
        <v>0.14000000000000001</v>
      </c>
      <c r="I49" t="s">
        <v>29</v>
      </c>
      <c r="J49">
        <v>28.2</v>
      </c>
      <c r="K49" s="5" t="s">
        <v>44</v>
      </c>
      <c r="L49" s="14" t="s">
        <v>21</v>
      </c>
      <c r="M49" t="s">
        <v>22</v>
      </c>
      <c r="N49" t="s">
        <v>53</v>
      </c>
      <c r="O49" t="s">
        <v>59</v>
      </c>
      <c r="P49" t="s">
        <v>40</v>
      </c>
      <c r="Q49">
        <v>532.08000000000004</v>
      </c>
      <c r="R49">
        <v>74.491200000000006</v>
      </c>
      <c r="S49" s="12">
        <v>539.94719999999995</v>
      </c>
    </row>
    <row r="50" spans="1:19" hidden="1" x14ac:dyDescent="0.25">
      <c r="A50" s="13">
        <v>45689</v>
      </c>
      <c r="B50" t="s">
        <v>475</v>
      </c>
      <c r="C50">
        <v>13934</v>
      </c>
      <c r="D50" t="s">
        <v>66</v>
      </c>
      <c r="E50" s="5">
        <v>10</v>
      </c>
      <c r="F50">
        <v>58.36</v>
      </c>
      <c r="G50" s="12" t="s">
        <v>47</v>
      </c>
      <c r="H50" s="11">
        <v>0.44</v>
      </c>
      <c r="I50" t="s">
        <v>734</v>
      </c>
      <c r="J50">
        <v>27.43</v>
      </c>
      <c r="K50" t="s">
        <v>50</v>
      </c>
      <c r="L50" s="14" t="s">
        <v>21</v>
      </c>
      <c r="M50" t="s">
        <v>22</v>
      </c>
      <c r="N50" t="s">
        <v>23</v>
      </c>
      <c r="O50" t="s">
        <v>33</v>
      </c>
      <c r="P50" t="s">
        <v>25</v>
      </c>
      <c r="Q50">
        <v>1517.36</v>
      </c>
      <c r="R50">
        <v>667.63839999999993</v>
      </c>
      <c r="S50" s="12">
        <v>498.48500000000001</v>
      </c>
    </row>
    <row r="51" spans="1:19" hidden="1" x14ac:dyDescent="0.25">
      <c r="A51" s="13">
        <v>45703</v>
      </c>
      <c r="B51" t="s">
        <v>600</v>
      </c>
      <c r="C51">
        <v>31064</v>
      </c>
      <c r="D51" t="s">
        <v>46</v>
      </c>
      <c r="E51" s="5">
        <v>29</v>
      </c>
      <c r="F51">
        <v>20.7</v>
      </c>
      <c r="G51" s="12" t="s">
        <v>47</v>
      </c>
      <c r="H51" s="11">
        <v>0.15</v>
      </c>
      <c r="I51" t="s">
        <v>29</v>
      </c>
      <c r="J51">
        <v>10.46</v>
      </c>
      <c r="K51" t="s">
        <v>30</v>
      </c>
      <c r="L51" t="s">
        <v>31</v>
      </c>
      <c r="M51" t="s">
        <v>22</v>
      </c>
      <c r="N51" t="s">
        <v>38</v>
      </c>
      <c r="O51" t="s">
        <v>33</v>
      </c>
      <c r="P51" t="s">
        <v>40</v>
      </c>
      <c r="Q51">
        <v>641.69999999999993</v>
      </c>
      <c r="R51">
        <v>96.254999999999981</v>
      </c>
      <c r="S51" s="12">
        <v>462.76750000000004</v>
      </c>
    </row>
    <row r="52" spans="1:19" hidden="1" x14ac:dyDescent="0.25">
      <c r="A52" s="13">
        <v>45689</v>
      </c>
      <c r="B52" t="s">
        <v>470</v>
      </c>
      <c r="C52">
        <v>99178</v>
      </c>
      <c r="D52" t="s">
        <v>89</v>
      </c>
      <c r="E52" s="5">
        <v>12</v>
      </c>
      <c r="F52">
        <v>53.96</v>
      </c>
      <c r="G52" s="12" t="s">
        <v>47</v>
      </c>
      <c r="H52" s="11">
        <v>0.25</v>
      </c>
      <c r="I52" t="s">
        <v>734</v>
      </c>
      <c r="J52">
        <v>26.89</v>
      </c>
      <c r="K52" t="s">
        <v>37</v>
      </c>
      <c r="L52" s="14" t="s">
        <v>21</v>
      </c>
      <c r="M52" t="s">
        <v>22</v>
      </c>
      <c r="N52" t="s">
        <v>32</v>
      </c>
      <c r="O52" t="s">
        <v>81</v>
      </c>
      <c r="P52" t="s">
        <v>40</v>
      </c>
      <c r="Q52">
        <v>2590.08</v>
      </c>
      <c r="R52">
        <v>647.52</v>
      </c>
      <c r="S52" s="12">
        <v>457.58880000000005</v>
      </c>
    </row>
    <row r="53" spans="1:19" hidden="1" x14ac:dyDescent="0.25">
      <c r="A53" s="13">
        <v>45710</v>
      </c>
      <c r="B53" t="s">
        <v>699</v>
      </c>
      <c r="C53">
        <v>42559</v>
      </c>
      <c r="D53" t="s">
        <v>68</v>
      </c>
      <c r="E53" s="5">
        <v>11</v>
      </c>
      <c r="F53">
        <v>19.670000000000002</v>
      </c>
      <c r="G53" s="12" t="s">
        <v>47</v>
      </c>
      <c r="H53" s="11">
        <v>0.37</v>
      </c>
      <c r="I53" t="s">
        <v>29</v>
      </c>
      <c r="J53">
        <v>12.92</v>
      </c>
      <c r="K53" t="s">
        <v>37</v>
      </c>
      <c r="L53" t="s">
        <v>31</v>
      </c>
      <c r="M53" t="s">
        <v>22</v>
      </c>
      <c r="N53" t="s">
        <v>53</v>
      </c>
      <c r="O53" t="s">
        <v>59</v>
      </c>
      <c r="P53" t="s">
        <v>34</v>
      </c>
      <c r="Q53">
        <v>452.41</v>
      </c>
      <c r="R53">
        <v>167.39170000000001</v>
      </c>
      <c r="S53" s="12">
        <v>428.21350000000007</v>
      </c>
    </row>
    <row r="54" spans="1:19" hidden="1" x14ac:dyDescent="0.25">
      <c r="A54" s="13">
        <v>45676</v>
      </c>
      <c r="B54" t="s">
        <v>277</v>
      </c>
      <c r="C54">
        <v>25737</v>
      </c>
      <c r="D54" t="s">
        <v>57</v>
      </c>
      <c r="E54" s="5">
        <v>15</v>
      </c>
      <c r="F54">
        <v>90.13</v>
      </c>
      <c r="G54" s="12" t="s">
        <v>47</v>
      </c>
      <c r="H54" s="11">
        <v>0.12</v>
      </c>
      <c r="I54" t="s">
        <v>734</v>
      </c>
      <c r="J54">
        <v>9.8699999999999992</v>
      </c>
      <c r="K54" t="s">
        <v>50</v>
      </c>
      <c r="L54" t="s">
        <v>31</v>
      </c>
      <c r="M54" t="s">
        <v>735</v>
      </c>
      <c r="N54" t="s">
        <v>32</v>
      </c>
      <c r="O54" t="s">
        <v>39</v>
      </c>
      <c r="P54" t="s">
        <v>25</v>
      </c>
      <c r="Q54">
        <v>1802.6</v>
      </c>
      <c r="R54">
        <v>216.31199999999998</v>
      </c>
      <c r="S54" s="12">
        <v>388.24950000000001</v>
      </c>
    </row>
    <row r="55" spans="1:19" x14ac:dyDescent="0.25">
      <c r="A55" s="13">
        <v>45695</v>
      </c>
      <c r="B55" t="s">
        <v>127</v>
      </c>
      <c r="C55">
        <v>90417</v>
      </c>
      <c r="D55" t="s">
        <v>49</v>
      </c>
      <c r="E55" s="5">
        <v>5</v>
      </c>
      <c r="F55" s="23">
        <v>73.61</v>
      </c>
      <c r="G55" s="12" t="s">
        <v>47</v>
      </c>
      <c r="H55" s="37">
        <v>0.28000000000000003</v>
      </c>
      <c r="I55" t="s">
        <v>19</v>
      </c>
      <c r="J55" s="23">
        <v>11.41</v>
      </c>
      <c r="K55" t="s">
        <v>37</v>
      </c>
      <c r="L55" s="14" t="s">
        <v>21</v>
      </c>
      <c r="M55" t="s">
        <v>22</v>
      </c>
      <c r="N55" t="s">
        <v>32</v>
      </c>
      <c r="O55" t="s">
        <v>81</v>
      </c>
      <c r="P55" s="14" t="s">
        <v>34</v>
      </c>
      <c r="Q55" s="23">
        <v>1766.6399999999999</v>
      </c>
      <c r="R55" s="23">
        <v>494.6592</v>
      </c>
      <c r="S55" s="24">
        <v>384.46199999999999</v>
      </c>
    </row>
    <row r="56" spans="1:19" hidden="1" x14ac:dyDescent="0.25">
      <c r="A56" s="13">
        <v>45687</v>
      </c>
      <c r="B56" t="s">
        <v>153</v>
      </c>
      <c r="C56">
        <v>78003</v>
      </c>
      <c r="D56" t="s">
        <v>49</v>
      </c>
      <c r="E56" s="5">
        <v>38</v>
      </c>
      <c r="F56">
        <v>36.04</v>
      </c>
      <c r="G56" s="12" t="s">
        <v>47</v>
      </c>
      <c r="H56" s="11">
        <v>0.15</v>
      </c>
      <c r="I56" t="s">
        <v>29</v>
      </c>
      <c r="J56">
        <v>6.19</v>
      </c>
      <c r="K56" t="s">
        <v>30</v>
      </c>
      <c r="L56" t="s">
        <v>31</v>
      </c>
      <c r="M56" t="s">
        <v>22</v>
      </c>
      <c r="N56" t="s">
        <v>53</v>
      </c>
      <c r="O56" t="s">
        <v>39</v>
      </c>
      <c r="P56" t="s">
        <v>25</v>
      </c>
      <c r="Q56">
        <v>1729.92</v>
      </c>
      <c r="R56">
        <v>259.488</v>
      </c>
      <c r="S56" s="12">
        <v>378.35839999999996</v>
      </c>
    </row>
    <row r="57" spans="1:19" hidden="1" x14ac:dyDescent="0.25">
      <c r="A57" s="13">
        <v>45705</v>
      </c>
      <c r="B57" t="s">
        <v>534</v>
      </c>
      <c r="C57">
        <v>48136</v>
      </c>
      <c r="D57" t="s">
        <v>57</v>
      </c>
      <c r="E57" s="5">
        <v>10</v>
      </c>
      <c r="F57">
        <v>35.83</v>
      </c>
      <c r="G57" s="12" t="s">
        <v>47</v>
      </c>
      <c r="H57" s="11">
        <v>0.45</v>
      </c>
      <c r="I57" t="s">
        <v>29</v>
      </c>
      <c r="J57">
        <v>15.25</v>
      </c>
      <c r="K57" t="s">
        <v>50</v>
      </c>
      <c r="L57" t="s">
        <v>31</v>
      </c>
      <c r="M57" t="s">
        <v>22</v>
      </c>
      <c r="N57" t="s">
        <v>32</v>
      </c>
      <c r="O57" t="s">
        <v>59</v>
      </c>
      <c r="P57" t="s">
        <v>34</v>
      </c>
      <c r="Q57">
        <v>716.59999999999991</v>
      </c>
      <c r="R57">
        <v>322.46999999999997</v>
      </c>
      <c r="S57" s="12">
        <v>333.22399999999999</v>
      </c>
    </row>
    <row r="58" spans="1:19" hidden="1" x14ac:dyDescent="0.25">
      <c r="A58" s="13">
        <v>45690</v>
      </c>
      <c r="B58" t="s">
        <v>419</v>
      </c>
      <c r="C58">
        <v>19012</v>
      </c>
      <c r="D58" t="s">
        <v>57</v>
      </c>
      <c r="E58" s="5">
        <v>27</v>
      </c>
      <c r="F58">
        <v>84.2</v>
      </c>
      <c r="G58" s="12" t="s">
        <v>47</v>
      </c>
      <c r="H58" s="11">
        <v>0.33</v>
      </c>
      <c r="I58" t="s">
        <v>19</v>
      </c>
      <c r="J58">
        <v>22.18</v>
      </c>
      <c r="K58" s="5" t="s">
        <v>44</v>
      </c>
      <c r="L58" t="s">
        <v>31</v>
      </c>
      <c r="M58" t="s">
        <v>22</v>
      </c>
      <c r="N58" t="s">
        <v>38</v>
      </c>
      <c r="O58" t="s">
        <v>39</v>
      </c>
      <c r="P58" t="s">
        <v>25</v>
      </c>
      <c r="Q58">
        <v>1515.6000000000001</v>
      </c>
      <c r="R58">
        <v>500.14800000000008</v>
      </c>
      <c r="S58" s="12">
        <v>321.07320000000004</v>
      </c>
    </row>
    <row r="59" spans="1:19" hidden="1" x14ac:dyDescent="0.25">
      <c r="A59" s="13">
        <v>45683</v>
      </c>
      <c r="B59" t="s">
        <v>399</v>
      </c>
      <c r="C59">
        <v>94461</v>
      </c>
      <c r="D59" t="s">
        <v>68</v>
      </c>
      <c r="E59" s="5">
        <v>34</v>
      </c>
      <c r="F59">
        <v>53</v>
      </c>
      <c r="G59" s="12" t="s">
        <v>47</v>
      </c>
      <c r="H59" s="11">
        <v>0.15</v>
      </c>
      <c r="I59" t="s">
        <v>19</v>
      </c>
      <c r="J59">
        <v>7.47</v>
      </c>
      <c r="K59" t="s">
        <v>20</v>
      </c>
      <c r="L59" t="s">
        <v>31</v>
      </c>
      <c r="M59" t="s">
        <v>22</v>
      </c>
      <c r="N59" t="s">
        <v>38</v>
      </c>
      <c r="O59" t="s">
        <v>81</v>
      </c>
      <c r="P59" t="s">
        <v>40</v>
      </c>
      <c r="Q59">
        <v>530</v>
      </c>
      <c r="R59">
        <v>79.5</v>
      </c>
      <c r="S59" s="12">
        <v>310.10039999999998</v>
      </c>
    </row>
    <row r="60" spans="1:19" x14ac:dyDescent="0.25">
      <c r="A60" s="13">
        <v>45707</v>
      </c>
      <c r="B60" t="s">
        <v>494</v>
      </c>
      <c r="C60">
        <v>41579</v>
      </c>
      <c r="D60" t="s">
        <v>17</v>
      </c>
      <c r="E60" s="5">
        <v>12</v>
      </c>
      <c r="F60" s="23">
        <v>71.760000000000005</v>
      </c>
      <c r="G60" s="12" t="s">
        <v>47</v>
      </c>
      <c r="H60" s="37">
        <v>0.21</v>
      </c>
      <c r="I60" t="s">
        <v>19</v>
      </c>
      <c r="J60" s="23">
        <v>6.61</v>
      </c>
      <c r="K60" t="s">
        <v>50</v>
      </c>
      <c r="L60" s="14" t="s">
        <v>21</v>
      </c>
      <c r="M60" t="s">
        <v>22</v>
      </c>
      <c r="N60" t="s">
        <v>53</v>
      </c>
      <c r="O60" t="s">
        <v>33</v>
      </c>
      <c r="P60" s="14" t="s">
        <v>34</v>
      </c>
      <c r="Q60" s="23">
        <v>1650.48</v>
      </c>
      <c r="R60" s="23">
        <v>346.60079999999999</v>
      </c>
      <c r="S60" s="24">
        <v>289.08</v>
      </c>
    </row>
    <row r="61" spans="1:19" hidden="1" x14ac:dyDescent="0.25">
      <c r="A61" s="13">
        <v>45680</v>
      </c>
      <c r="B61" t="s">
        <v>347</v>
      </c>
      <c r="C61">
        <v>34864</v>
      </c>
      <c r="D61" t="s">
        <v>68</v>
      </c>
      <c r="E61" s="5">
        <v>27</v>
      </c>
      <c r="F61">
        <v>95.33</v>
      </c>
      <c r="G61" s="12" t="s">
        <v>47</v>
      </c>
      <c r="H61" s="11">
        <v>0.47</v>
      </c>
      <c r="I61" t="s">
        <v>19</v>
      </c>
      <c r="J61">
        <v>13.51</v>
      </c>
      <c r="K61" t="s">
        <v>20</v>
      </c>
      <c r="L61" s="14" t="s">
        <v>21</v>
      </c>
      <c r="M61" t="s">
        <v>22</v>
      </c>
      <c r="N61" t="s">
        <v>23</v>
      </c>
      <c r="O61" t="s">
        <v>24</v>
      </c>
      <c r="P61" t="s">
        <v>40</v>
      </c>
      <c r="Q61">
        <v>95.33</v>
      </c>
      <c r="R61">
        <v>44.805099999999996</v>
      </c>
      <c r="S61" s="12">
        <v>243.41850000000002</v>
      </c>
    </row>
    <row r="62" spans="1:19" hidden="1" x14ac:dyDescent="0.25">
      <c r="A62" s="13">
        <v>45677</v>
      </c>
      <c r="B62" t="s">
        <v>291</v>
      </c>
      <c r="C62">
        <v>77467</v>
      </c>
      <c r="D62" t="s">
        <v>49</v>
      </c>
      <c r="E62" s="5">
        <v>11</v>
      </c>
      <c r="F62">
        <v>77.95</v>
      </c>
      <c r="G62" s="12" t="s">
        <v>47</v>
      </c>
      <c r="H62" s="11">
        <v>0.06</v>
      </c>
      <c r="I62" t="s">
        <v>734</v>
      </c>
      <c r="J62">
        <v>17.7</v>
      </c>
      <c r="K62" s="5" t="s">
        <v>44</v>
      </c>
      <c r="L62" s="14" t="s">
        <v>21</v>
      </c>
      <c r="M62" t="s">
        <v>22</v>
      </c>
      <c r="N62" t="s">
        <v>53</v>
      </c>
      <c r="O62" t="s">
        <v>39</v>
      </c>
      <c r="P62" t="s">
        <v>25</v>
      </c>
      <c r="Q62">
        <v>3118</v>
      </c>
      <c r="R62">
        <v>187.07999999999998</v>
      </c>
      <c r="S62" s="12">
        <v>226.83430000000001</v>
      </c>
    </row>
    <row r="63" spans="1:19" hidden="1" x14ac:dyDescent="0.25">
      <c r="A63" s="13">
        <v>45690</v>
      </c>
      <c r="B63" t="s">
        <v>482</v>
      </c>
      <c r="C63">
        <v>24551</v>
      </c>
      <c r="D63" t="s">
        <v>42</v>
      </c>
      <c r="E63" s="5">
        <v>15</v>
      </c>
      <c r="F63">
        <v>2.66</v>
      </c>
      <c r="G63" s="12" t="s">
        <v>47</v>
      </c>
      <c r="H63" s="11">
        <v>0.46</v>
      </c>
      <c r="I63" t="s">
        <v>734</v>
      </c>
      <c r="J63">
        <v>27.47</v>
      </c>
      <c r="K63" t="s">
        <v>50</v>
      </c>
      <c r="L63" t="s">
        <v>31</v>
      </c>
      <c r="M63" t="s">
        <v>22</v>
      </c>
      <c r="N63" t="s">
        <v>32</v>
      </c>
      <c r="O63" t="s">
        <v>59</v>
      </c>
      <c r="P63" t="s">
        <v>25</v>
      </c>
      <c r="Q63">
        <v>98.42</v>
      </c>
      <c r="R63">
        <v>45.273200000000003</v>
      </c>
      <c r="S63" s="12">
        <v>214.542</v>
      </c>
    </row>
    <row r="64" spans="1:19" hidden="1" x14ac:dyDescent="0.25">
      <c r="A64" s="13">
        <v>45659</v>
      </c>
      <c r="B64" t="s">
        <v>62</v>
      </c>
      <c r="C64">
        <v>12422</v>
      </c>
      <c r="D64" t="s">
        <v>17</v>
      </c>
      <c r="E64" s="5">
        <v>23</v>
      </c>
      <c r="F64">
        <v>68.180000000000007</v>
      </c>
      <c r="G64" s="12" t="s">
        <v>47</v>
      </c>
      <c r="H64" s="11">
        <v>0.33</v>
      </c>
      <c r="I64" t="s">
        <v>734</v>
      </c>
      <c r="J64">
        <v>29.3</v>
      </c>
      <c r="K64" t="s">
        <v>20</v>
      </c>
      <c r="L64" s="14" t="s">
        <v>21</v>
      </c>
      <c r="M64" t="s">
        <v>22</v>
      </c>
      <c r="N64" t="s">
        <v>32</v>
      </c>
      <c r="O64" t="s">
        <v>33</v>
      </c>
      <c r="P64" t="s">
        <v>25</v>
      </c>
      <c r="Q64">
        <v>1499.96</v>
      </c>
      <c r="R64">
        <v>494.98680000000002</v>
      </c>
      <c r="S64" s="12">
        <v>212.14050000000003</v>
      </c>
    </row>
    <row r="65" spans="1:19" hidden="1" x14ac:dyDescent="0.25">
      <c r="A65" s="13">
        <v>45688</v>
      </c>
      <c r="B65" t="s">
        <v>74</v>
      </c>
      <c r="C65">
        <v>16212</v>
      </c>
      <c r="D65" t="s">
        <v>17</v>
      </c>
      <c r="E65" s="5">
        <v>5</v>
      </c>
      <c r="F65">
        <v>61.83</v>
      </c>
      <c r="G65" s="12" t="s">
        <v>47</v>
      </c>
      <c r="H65" s="11">
        <v>0.34</v>
      </c>
      <c r="I65" t="s">
        <v>29</v>
      </c>
      <c r="J65">
        <v>28.89</v>
      </c>
      <c r="K65" t="s">
        <v>20</v>
      </c>
      <c r="L65" s="14" t="s">
        <v>21</v>
      </c>
      <c r="M65" t="s">
        <v>22</v>
      </c>
      <c r="N65" t="s">
        <v>32</v>
      </c>
      <c r="O65" t="s">
        <v>81</v>
      </c>
      <c r="P65" t="s">
        <v>40</v>
      </c>
      <c r="Q65">
        <v>309.14999999999998</v>
      </c>
      <c r="R65">
        <v>105.111</v>
      </c>
      <c r="S65" s="12">
        <v>204.03899999999999</v>
      </c>
    </row>
    <row r="66" spans="1:19" hidden="1" x14ac:dyDescent="0.25">
      <c r="A66" s="13">
        <v>45677</v>
      </c>
      <c r="B66" t="s">
        <v>303</v>
      </c>
      <c r="C66">
        <v>30048</v>
      </c>
      <c r="D66" t="s">
        <v>68</v>
      </c>
      <c r="E66" s="5">
        <v>3</v>
      </c>
      <c r="F66">
        <v>45.47</v>
      </c>
      <c r="G66" s="12" t="s">
        <v>47</v>
      </c>
      <c r="H66" s="11">
        <v>0.25</v>
      </c>
      <c r="I66" t="s">
        <v>19</v>
      </c>
      <c r="J66">
        <v>6.36</v>
      </c>
      <c r="K66" t="s">
        <v>30</v>
      </c>
      <c r="L66" s="14" t="s">
        <v>21</v>
      </c>
      <c r="M66" t="s">
        <v>735</v>
      </c>
      <c r="N66" t="s">
        <v>38</v>
      </c>
      <c r="O66" t="s">
        <v>39</v>
      </c>
      <c r="P66" t="s">
        <v>40</v>
      </c>
      <c r="Q66">
        <v>1500.51</v>
      </c>
      <c r="R66">
        <v>375.1275</v>
      </c>
      <c r="S66" s="12">
        <v>199.92599999999999</v>
      </c>
    </row>
    <row r="67" spans="1:19" hidden="1" x14ac:dyDescent="0.25">
      <c r="A67" s="13">
        <v>45678</v>
      </c>
      <c r="B67" t="s">
        <v>233</v>
      </c>
      <c r="C67">
        <v>77303</v>
      </c>
      <c r="D67" t="s">
        <v>27</v>
      </c>
      <c r="E67" s="5">
        <v>48</v>
      </c>
      <c r="F67">
        <v>54.63</v>
      </c>
      <c r="G67" s="12" t="s">
        <v>47</v>
      </c>
      <c r="H67" s="11">
        <v>0.17</v>
      </c>
      <c r="I67" t="s">
        <v>29</v>
      </c>
      <c r="J67">
        <v>28.15</v>
      </c>
      <c r="K67" t="s">
        <v>30</v>
      </c>
      <c r="L67" t="s">
        <v>31</v>
      </c>
      <c r="M67" t="s">
        <v>22</v>
      </c>
      <c r="N67" t="s">
        <v>53</v>
      </c>
      <c r="O67" t="s">
        <v>81</v>
      </c>
      <c r="P67" t="s">
        <v>25</v>
      </c>
      <c r="Q67">
        <v>655.56000000000006</v>
      </c>
      <c r="R67">
        <v>111.44520000000001</v>
      </c>
      <c r="S67" s="12">
        <v>186.2784</v>
      </c>
    </row>
    <row r="68" spans="1:19" hidden="1" x14ac:dyDescent="0.25">
      <c r="A68" s="13">
        <v>45679</v>
      </c>
      <c r="B68" t="s">
        <v>160</v>
      </c>
      <c r="C68">
        <v>36892</v>
      </c>
      <c r="D68" t="s">
        <v>89</v>
      </c>
      <c r="E68" s="5">
        <v>5</v>
      </c>
      <c r="F68">
        <v>53</v>
      </c>
      <c r="G68" s="12" t="s">
        <v>47</v>
      </c>
      <c r="H68" s="11">
        <v>0.42</v>
      </c>
      <c r="I68" t="s">
        <v>19</v>
      </c>
      <c r="J68">
        <v>11.66</v>
      </c>
      <c r="K68" t="s">
        <v>20</v>
      </c>
      <c r="L68" t="s">
        <v>31</v>
      </c>
      <c r="M68" t="s">
        <v>22</v>
      </c>
      <c r="N68" t="s">
        <v>32</v>
      </c>
      <c r="O68" t="s">
        <v>24</v>
      </c>
      <c r="P68" t="s">
        <v>25</v>
      </c>
      <c r="Q68">
        <v>583</v>
      </c>
      <c r="R68">
        <v>244.85999999999999</v>
      </c>
      <c r="S68" s="12">
        <v>161.30799999999999</v>
      </c>
    </row>
    <row r="69" spans="1:19" hidden="1" x14ac:dyDescent="0.25">
      <c r="A69" s="13">
        <v>45706</v>
      </c>
      <c r="B69" t="s">
        <v>658</v>
      </c>
      <c r="C69">
        <v>41341</v>
      </c>
      <c r="D69" t="s">
        <v>89</v>
      </c>
      <c r="E69" s="5">
        <v>3</v>
      </c>
      <c r="F69">
        <v>60.95</v>
      </c>
      <c r="G69" s="12" t="s">
        <v>47</v>
      </c>
      <c r="H69" s="11">
        <v>0.32</v>
      </c>
      <c r="I69" t="s">
        <v>19</v>
      </c>
      <c r="J69">
        <v>28.47</v>
      </c>
      <c r="K69" t="s">
        <v>20</v>
      </c>
      <c r="L69" t="s">
        <v>31</v>
      </c>
      <c r="M69" t="s">
        <v>22</v>
      </c>
      <c r="N69" t="s">
        <v>53</v>
      </c>
      <c r="O69" t="s">
        <v>81</v>
      </c>
      <c r="P69" t="s">
        <v>25</v>
      </c>
      <c r="Q69">
        <v>853.30000000000007</v>
      </c>
      <c r="R69">
        <v>273.05600000000004</v>
      </c>
      <c r="S69" s="12">
        <v>143.65800000000002</v>
      </c>
    </row>
    <row r="70" spans="1:19" hidden="1" x14ac:dyDescent="0.25">
      <c r="A70" s="13">
        <v>45682</v>
      </c>
      <c r="B70" t="s">
        <v>375</v>
      </c>
      <c r="C70">
        <v>19913</v>
      </c>
      <c r="D70" t="s">
        <v>75</v>
      </c>
      <c r="E70" s="5">
        <v>44</v>
      </c>
      <c r="F70">
        <v>53.14</v>
      </c>
      <c r="G70" s="12" t="s">
        <v>47</v>
      </c>
      <c r="H70" s="11">
        <v>0.47</v>
      </c>
      <c r="I70" t="s">
        <v>734</v>
      </c>
      <c r="J70">
        <v>13.99</v>
      </c>
      <c r="K70" t="s">
        <v>37</v>
      </c>
      <c r="L70" t="s">
        <v>31</v>
      </c>
      <c r="M70" t="s">
        <v>22</v>
      </c>
      <c r="N70" t="s">
        <v>32</v>
      </c>
      <c r="O70" t="s">
        <v>59</v>
      </c>
      <c r="P70" t="s">
        <v>25</v>
      </c>
      <c r="Q70">
        <v>106.28</v>
      </c>
      <c r="R70">
        <v>49.951599999999999</v>
      </c>
      <c r="S70" s="12">
        <v>103.3956</v>
      </c>
    </row>
    <row r="71" spans="1:19" hidden="1" x14ac:dyDescent="0.25">
      <c r="A71" s="13">
        <v>45687</v>
      </c>
      <c r="B71" t="s">
        <v>323</v>
      </c>
      <c r="C71">
        <v>54840</v>
      </c>
      <c r="D71" t="s">
        <v>57</v>
      </c>
      <c r="E71" s="5">
        <v>38</v>
      </c>
      <c r="F71">
        <v>86.03</v>
      </c>
      <c r="G71" s="12" t="s">
        <v>47</v>
      </c>
      <c r="H71" s="11">
        <v>0.26</v>
      </c>
      <c r="I71" t="s">
        <v>734</v>
      </c>
      <c r="J71">
        <v>24.22</v>
      </c>
      <c r="K71" t="s">
        <v>50</v>
      </c>
      <c r="L71" t="s">
        <v>31</v>
      </c>
      <c r="M71" t="s">
        <v>22</v>
      </c>
      <c r="N71" t="s">
        <v>53</v>
      </c>
      <c r="O71" t="s">
        <v>24</v>
      </c>
      <c r="P71" t="s">
        <v>34</v>
      </c>
      <c r="Q71">
        <v>3785.32</v>
      </c>
      <c r="R71">
        <v>984.18320000000006</v>
      </c>
      <c r="S71" s="12">
        <v>71.956799999999987</v>
      </c>
    </row>
    <row r="72" spans="1:19" x14ac:dyDescent="0.25">
      <c r="A72" s="13">
        <v>45711</v>
      </c>
      <c r="B72" t="s">
        <v>228</v>
      </c>
      <c r="C72">
        <v>65634</v>
      </c>
      <c r="D72" t="s">
        <v>68</v>
      </c>
      <c r="E72" s="5">
        <v>29</v>
      </c>
      <c r="F72" s="23">
        <v>13.85</v>
      </c>
      <c r="G72" s="12" t="s">
        <v>47</v>
      </c>
      <c r="H72" s="37">
        <v>0.43</v>
      </c>
      <c r="I72" t="s">
        <v>19</v>
      </c>
      <c r="J72" s="23">
        <v>12.71</v>
      </c>
      <c r="K72" t="s">
        <v>37</v>
      </c>
      <c r="L72" s="14" t="s">
        <v>21</v>
      </c>
      <c r="M72" t="s">
        <v>22</v>
      </c>
      <c r="N72" t="s">
        <v>23</v>
      </c>
      <c r="O72" t="s">
        <v>59</v>
      </c>
      <c r="P72" s="14" t="s">
        <v>34</v>
      </c>
      <c r="Q72" s="23">
        <v>138.5</v>
      </c>
      <c r="R72" s="23">
        <v>59.555</v>
      </c>
      <c r="S72" s="24">
        <v>70.6614</v>
      </c>
    </row>
    <row r="73" spans="1:19" hidden="1" x14ac:dyDescent="0.25">
      <c r="A73" s="13">
        <v>45698</v>
      </c>
      <c r="B73" t="s">
        <v>578</v>
      </c>
      <c r="C73">
        <v>35255</v>
      </c>
      <c r="D73" t="s">
        <v>27</v>
      </c>
      <c r="E73" s="5">
        <v>18</v>
      </c>
      <c r="F73">
        <v>71.75</v>
      </c>
      <c r="G73" s="12" t="s">
        <v>47</v>
      </c>
      <c r="H73" s="11">
        <v>0.39</v>
      </c>
      <c r="I73" t="s">
        <v>19</v>
      </c>
      <c r="J73">
        <v>26.9</v>
      </c>
      <c r="K73" s="5" t="s">
        <v>44</v>
      </c>
      <c r="L73" s="14" t="s">
        <v>21</v>
      </c>
      <c r="M73" t="s">
        <v>22</v>
      </c>
      <c r="N73" t="s">
        <v>23</v>
      </c>
      <c r="O73" t="s">
        <v>33</v>
      </c>
      <c r="P73" t="s">
        <v>40</v>
      </c>
      <c r="Q73">
        <v>2798.25</v>
      </c>
      <c r="R73">
        <v>1091.3175000000001</v>
      </c>
      <c r="S73" s="12">
        <v>69.116399999999999</v>
      </c>
    </row>
    <row r="74" spans="1:19" hidden="1" x14ac:dyDescent="0.25">
      <c r="A74" s="13">
        <v>45689</v>
      </c>
      <c r="B74" t="s">
        <v>472</v>
      </c>
      <c r="C74">
        <v>91026</v>
      </c>
      <c r="D74" t="s">
        <v>42</v>
      </c>
      <c r="E74" s="5">
        <v>5</v>
      </c>
      <c r="F74">
        <v>33.94</v>
      </c>
      <c r="G74" s="12" t="s">
        <v>47</v>
      </c>
      <c r="H74" s="11">
        <v>0.21</v>
      </c>
      <c r="I74" t="s">
        <v>734</v>
      </c>
      <c r="J74">
        <v>12.42</v>
      </c>
      <c r="K74" s="5" t="s">
        <v>44</v>
      </c>
      <c r="L74" s="14" t="s">
        <v>21</v>
      </c>
      <c r="M74" t="s">
        <v>22</v>
      </c>
      <c r="N74" t="s">
        <v>38</v>
      </c>
      <c r="O74" t="s">
        <v>59</v>
      </c>
      <c r="P74" t="s">
        <v>40</v>
      </c>
      <c r="Q74">
        <v>1595.1799999999998</v>
      </c>
      <c r="R74">
        <v>334.98779999999994</v>
      </c>
      <c r="S74" s="12">
        <v>54.832000000000001</v>
      </c>
    </row>
    <row r="75" spans="1:19" hidden="1" x14ac:dyDescent="0.25">
      <c r="A75" s="13">
        <v>45703</v>
      </c>
      <c r="B75" t="s">
        <v>556</v>
      </c>
      <c r="C75">
        <v>13549</v>
      </c>
      <c r="D75" t="s">
        <v>49</v>
      </c>
      <c r="E75" s="5">
        <v>10</v>
      </c>
      <c r="F75">
        <v>27.67</v>
      </c>
      <c r="G75" s="12" t="s">
        <v>47</v>
      </c>
      <c r="H75" s="11">
        <v>0.13</v>
      </c>
      <c r="I75" t="s">
        <v>19</v>
      </c>
      <c r="J75">
        <v>10.15</v>
      </c>
      <c r="K75" s="5" t="s">
        <v>44</v>
      </c>
      <c r="L75" t="s">
        <v>31</v>
      </c>
      <c r="M75" t="s">
        <v>22</v>
      </c>
      <c r="N75" t="s">
        <v>53</v>
      </c>
      <c r="O75" t="s">
        <v>24</v>
      </c>
      <c r="P75" t="s">
        <v>34</v>
      </c>
      <c r="Q75">
        <v>1217.48</v>
      </c>
      <c r="R75">
        <v>158.2724</v>
      </c>
      <c r="S75" s="12">
        <v>29.231999999999999</v>
      </c>
    </row>
    <row r="76" spans="1:19" hidden="1" x14ac:dyDescent="0.25">
      <c r="A76" s="13">
        <v>45698</v>
      </c>
      <c r="B76" t="s">
        <v>480</v>
      </c>
      <c r="C76">
        <v>85535</v>
      </c>
      <c r="D76" t="s">
        <v>49</v>
      </c>
      <c r="E76" s="5">
        <v>31</v>
      </c>
      <c r="F76">
        <v>82.79</v>
      </c>
      <c r="G76" s="12" t="s">
        <v>47</v>
      </c>
      <c r="H76" s="11">
        <v>0.48</v>
      </c>
      <c r="I76" t="s">
        <v>19</v>
      </c>
      <c r="J76">
        <v>25.04</v>
      </c>
      <c r="K76" s="5" t="s">
        <v>44</v>
      </c>
      <c r="L76" s="14" t="s">
        <v>21</v>
      </c>
      <c r="M76" t="s">
        <v>22</v>
      </c>
      <c r="N76" t="s">
        <v>23</v>
      </c>
      <c r="O76" t="s">
        <v>33</v>
      </c>
      <c r="P76" t="s">
        <v>25</v>
      </c>
      <c r="Q76">
        <v>248.37</v>
      </c>
      <c r="R76">
        <v>119.2176</v>
      </c>
      <c r="S76" s="12">
        <v>28.7928</v>
      </c>
    </row>
    <row r="77" spans="1:19" x14ac:dyDescent="0.25">
      <c r="A77" s="13">
        <v>45660</v>
      </c>
      <c r="B77" t="s">
        <v>67</v>
      </c>
      <c r="C77">
        <v>47833</v>
      </c>
      <c r="D77" t="s">
        <v>68</v>
      </c>
      <c r="E77" s="5">
        <v>4</v>
      </c>
      <c r="F77" s="23">
        <v>5.66</v>
      </c>
      <c r="G77" s="12" t="s">
        <v>47</v>
      </c>
      <c r="H77" s="37">
        <v>0</v>
      </c>
      <c r="I77" t="s">
        <v>19</v>
      </c>
      <c r="J77" s="23">
        <v>22.14</v>
      </c>
      <c r="K77" t="s">
        <v>20</v>
      </c>
      <c r="L77" s="14" t="s">
        <v>21</v>
      </c>
      <c r="M77" t="s">
        <v>22</v>
      </c>
      <c r="N77" t="s">
        <v>53</v>
      </c>
      <c r="O77" t="s">
        <v>24</v>
      </c>
      <c r="P77" s="14" t="s">
        <v>34</v>
      </c>
      <c r="Q77" s="23">
        <v>22.64</v>
      </c>
      <c r="R77" s="23">
        <v>0</v>
      </c>
      <c r="S77" s="24">
        <v>22.64</v>
      </c>
    </row>
    <row r="78" spans="1:19" hidden="1" x14ac:dyDescent="0.25">
      <c r="A78" s="13">
        <v>45677</v>
      </c>
      <c r="B78" t="s">
        <v>293</v>
      </c>
      <c r="C78">
        <v>58634</v>
      </c>
      <c r="D78" t="s">
        <v>70</v>
      </c>
      <c r="E78" s="5">
        <v>49</v>
      </c>
      <c r="F78">
        <v>53</v>
      </c>
      <c r="G78" s="12" t="s">
        <v>99</v>
      </c>
      <c r="H78" s="11">
        <v>0.2</v>
      </c>
      <c r="I78" t="s">
        <v>29</v>
      </c>
      <c r="J78">
        <v>15.85</v>
      </c>
      <c r="K78" t="s">
        <v>30</v>
      </c>
      <c r="L78" t="s">
        <v>31</v>
      </c>
      <c r="M78" t="s">
        <v>22</v>
      </c>
      <c r="N78" t="s">
        <v>38</v>
      </c>
      <c r="O78" t="s">
        <v>81</v>
      </c>
      <c r="P78" t="s">
        <v>40</v>
      </c>
      <c r="Q78">
        <v>53</v>
      </c>
      <c r="R78">
        <v>10.600000000000001</v>
      </c>
      <c r="S78" s="12">
        <v>3353.8344000000006</v>
      </c>
    </row>
    <row r="79" spans="1:19" hidden="1" x14ac:dyDescent="0.25">
      <c r="A79" s="13">
        <v>45683</v>
      </c>
      <c r="B79" t="s">
        <v>387</v>
      </c>
      <c r="C79">
        <v>11978</v>
      </c>
      <c r="D79" t="s">
        <v>42</v>
      </c>
      <c r="E79" s="5">
        <v>48</v>
      </c>
      <c r="F79">
        <v>71.349999999999994</v>
      </c>
      <c r="G79" s="12" t="s">
        <v>99</v>
      </c>
      <c r="H79" s="11">
        <v>0.12</v>
      </c>
      <c r="I79" t="s">
        <v>19</v>
      </c>
      <c r="J79">
        <v>19.75</v>
      </c>
      <c r="K79" t="s">
        <v>30</v>
      </c>
      <c r="L79" t="s">
        <v>31</v>
      </c>
      <c r="M79" t="s">
        <v>22</v>
      </c>
      <c r="N79" t="s">
        <v>23</v>
      </c>
      <c r="O79" t="s">
        <v>81</v>
      </c>
      <c r="P79" t="s">
        <v>40</v>
      </c>
      <c r="Q79">
        <v>3424.7999999999997</v>
      </c>
      <c r="R79">
        <v>410.97599999999994</v>
      </c>
      <c r="S79" s="12">
        <v>3013.8239999999996</v>
      </c>
    </row>
    <row r="80" spans="1:19" x14ac:dyDescent="0.25">
      <c r="A80" s="13">
        <v>45661</v>
      </c>
      <c r="B80" t="s">
        <v>107</v>
      </c>
      <c r="C80">
        <v>37588</v>
      </c>
      <c r="D80" t="s">
        <v>42</v>
      </c>
      <c r="E80" s="5">
        <v>43</v>
      </c>
      <c r="F80" s="23">
        <v>43.24</v>
      </c>
      <c r="G80" s="12" t="s">
        <v>99</v>
      </c>
      <c r="H80" s="37">
        <v>0.49</v>
      </c>
      <c r="I80" t="s">
        <v>734</v>
      </c>
      <c r="J80" s="23">
        <v>6.86</v>
      </c>
      <c r="K80" t="s">
        <v>30</v>
      </c>
      <c r="L80" s="14" t="s">
        <v>21</v>
      </c>
      <c r="M80" t="s">
        <v>22</v>
      </c>
      <c r="N80" t="s">
        <v>53</v>
      </c>
      <c r="O80" t="s">
        <v>39</v>
      </c>
      <c r="P80" s="14" t="s">
        <v>34</v>
      </c>
      <c r="Q80" s="23">
        <v>432.40000000000003</v>
      </c>
      <c r="R80" s="23">
        <v>211.876</v>
      </c>
      <c r="S80" s="24">
        <v>2947.0264999999999</v>
      </c>
    </row>
    <row r="81" spans="1:19" hidden="1" x14ac:dyDescent="0.25">
      <c r="A81" s="13">
        <v>45664</v>
      </c>
      <c r="B81" t="s">
        <v>150</v>
      </c>
      <c r="C81">
        <v>95902</v>
      </c>
      <c r="D81" t="s">
        <v>57</v>
      </c>
      <c r="E81" s="5">
        <v>47</v>
      </c>
      <c r="F81">
        <v>28.42</v>
      </c>
      <c r="G81" s="12" t="s">
        <v>99</v>
      </c>
      <c r="H81" s="11">
        <v>0.28999999999999998</v>
      </c>
      <c r="I81" t="s">
        <v>29</v>
      </c>
      <c r="J81">
        <v>13.04</v>
      </c>
      <c r="K81" t="s">
        <v>20</v>
      </c>
      <c r="L81" t="s">
        <v>31</v>
      </c>
      <c r="M81" t="s">
        <v>22</v>
      </c>
      <c r="N81" t="s">
        <v>23</v>
      </c>
      <c r="O81" t="s">
        <v>81</v>
      </c>
      <c r="P81" t="s">
        <v>34</v>
      </c>
      <c r="Q81">
        <v>1108.3800000000001</v>
      </c>
      <c r="R81">
        <v>321.43020000000001</v>
      </c>
      <c r="S81" s="12">
        <v>2870.9526999999998</v>
      </c>
    </row>
    <row r="82" spans="1:19" hidden="1" x14ac:dyDescent="0.25">
      <c r="A82" s="13">
        <v>45699</v>
      </c>
      <c r="B82" t="s">
        <v>581</v>
      </c>
      <c r="C82">
        <v>12938</v>
      </c>
      <c r="D82" t="s">
        <v>89</v>
      </c>
      <c r="E82" s="5">
        <v>38</v>
      </c>
      <c r="F82">
        <v>35.64</v>
      </c>
      <c r="G82" s="12" t="s">
        <v>99</v>
      </c>
      <c r="H82" s="11">
        <v>0.38</v>
      </c>
      <c r="I82" t="s">
        <v>29</v>
      </c>
      <c r="J82">
        <v>13.05</v>
      </c>
      <c r="K82" t="s">
        <v>20</v>
      </c>
      <c r="L82" t="s">
        <v>31</v>
      </c>
      <c r="M82" t="s">
        <v>22</v>
      </c>
      <c r="N82" t="s">
        <v>32</v>
      </c>
      <c r="O82" t="s">
        <v>59</v>
      </c>
      <c r="P82" t="s">
        <v>25</v>
      </c>
      <c r="Q82">
        <v>1425.6</v>
      </c>
      <c r="R82">
        <v>541.72799999999995</v>
      </c>
      <c r="S82" s="12">
        <v>2728.5824000000002</v>
      </c>
    </row>
    <row r="83" spans="1:19" hidden="1" x14ac:dyDescent="0.25">
      <c r="A83" s="13">
        <v>45667</v>
      </c>
      <c r="B83" t="s">
        <v>169</v>
      </c>
      <c r="C83">
        <v>93067</v>
      </c>
      <c r="D83" t="s">
        <v>70</v>
      </c>
      <c r="E83" s="5">
        <v>35</v>
      </c>
      <c r="F83">
        <v>38.08</v>
      </c>
      <c r="G83" s="12" t="s">
        <v>99</v>
      </c>
      <c r="H83" s="11">
        <v>0.23</v>
      </c>
      <c r="I83" t="s">
        <v>29</v>
      </c>
      <c r="J83">
        <v>26.32</v>
      </c>
      <c r="K83" t="s">
        <v>37</v>
      </c>
      <c r="L83" s="14" t="s">
        <v>21</v>
      </c>
      <c r="M83" t="s">
        <v>22</v>
      </c>
      <c r="N83" t="s">
        <v>53</v>
      </c>
      <c r="O83" t="s">
        <v>59</v>
      </c>
      <c r="P83" t="s">
        <v>40</v>
      </c>
      <c r="Q83">
        <v>1447.04</v>
      </c>
      <c r="R83">
        <v>332.81920000000002</v>
      </c>
      <c r="S83" s="12">
        <v>2387.9309999999996</v>
      </c>
    </row>
    <row r="84" spans="1:19" hidden="1" x14ac:dyDescent="0.25">
      <c r="A84" s="13">
        <v>45677</v>
      </c>
      <c r="B84" t="s">
        <v>295</v>
      </c>
      <c r="C84">
        <v>73790</v>
      </c>
      <c r="D84" t="s">
        <v>66</v>
      </c>
      <c r="E84" s="5">
        <v>45</v>
      </c>
      <c r="F84">
        <v>53.04</v>
      </c>
      <c r="G84" s="12" t="s">
        <v>99</v>
      </c>
      <c r="H84" s="11">
        <v>0.09</v>
      </c>
      <c r="I84" t="s">
        <v>29</v>
      </c>
      <c r="J84">
        <v>6.2</v>
      </c>
      <c r="K84" s="5" t="s">
        <v>44</v>
      </c>
      <c r="L84" t="s">
        <v>31</v>
      </c>
      <c r="M84" t="s">
        <v>22</v>
      </c>
      <c r="N84" t="s">
        <v>38</v>
      </c>
      <c r="O84" t="s">
        <v>24</v>
      </c>
      <c r="P84" t="s">
        <v>40</v>
      </c>
      <c r="Q84">
        <v>1379.04</v>
      </c>
      <c r="R84">
        <v>124.11359999999999</v>
      </c>
      <c r="S84" s="12">
        <v>2292.3045000000002</v>
      </c>
    </row>
    <row r="85" spans="1:19" hidden="1" x14ac:dyDescent="0.25">
      <c r="A85" s="13">
        <v>45671</v>
      </c>
      <c r="B85" t="s">
        <v>186</v>
      </c>
      <c r="C85">
        <v>35013</v>
      </c>
      <c r="D85" t="s">
        <v>75</v>
      </c>
      <c r="E85" s="5">
        <v>47</v>
      </c>
      <c r="F85">
        <v>59.49</v>
      </c>
      <c r="G85" s="12" t="s">
        <v>99</v>
      </c>
      <c r="H85" s="11">
        <v>0.24</v>
      </c>
      <c r="I85" t="s">
        <v>19</v>
      </c>
      <c r="J85">
        <v>14.09</v>
      </c>
      <c r="K85" t="s">
        <v>37</v>
      </c>
      <c r="L85" s="14" t="s">
        <v>21</v>
      </c>
      <c r="M85" t="s">
        <v>22</v>
      </c>
      <c r="N85" t="s">
        <v>53</v>
      </c>
      <c r="O85" t="s">
        <v>24</v>
      </c>
      <c r="P85" t="s">
        <v>40</v>
      </c>
      <c r="Q85">
        <v>118.98</v>
      </c>
      <c r="R85">
        <v>28.555199999999999</v>
      </c>
      <c r="S85" s="12">
        <v>2281.38</v>
      </c>
    </row>
    <row r="86" spans="1:19" hidden="1" x14ac:dyDescent="0.25">
      <c r="A86" s="13">
        <v>45682</v>
      </c>
      <c r="B86" t="s">
        <v>371</v>
      </c>
      <c r="C86">
        <v>25039</v>
      </c>
      <c r="D86" t="s">
        <v>68</v>
      </c>
      <c r="E86" s="5">
        <v>33</v>
      </c>
      <c r="F86">
        <v>50.6</v>
      </c>
      <c r="G86" s="12" t="s">
        <v>99</v>
      </c>
      <c r="H86" s="11">
        <v>0.11</v>
      </c>
      <c r="I86" t="s">
        <v>19</v>
      </c>
      <c r="J86">
        <v>21.27</v>
      </c>
      <c r="K86" t="s">
        <v>30</v>
      </c>
      <c r="L86" t="s">
        <v>31</v>
      </c>
      <c r="M86" t="s">
        <v>111</v>
      </c>
      <c r="N86" t="s">
        <v>38</v>
      </c>
      <c r="O86" t="s">
        <v>39</v>
      </c>
      <c r="P86" t="s">
        <v>25</v>
      </c>
      <c r="Q86">
        <v>1467.4</v>
      </c>
      <c r="R86">
        <v>161.41400000000002</v>
      </c>
      <c r="S86" s="12">
        <v>2150.3063999999999</v>
      </c>
    </row>
    <row r="87" spans="1:19" hidden="1" x14ac:dyDescent="0.25">
      <c r="A87" s="13">
        <v>45687</v>
      </c>
      <c r="B87" t="s">
        <v>218</v>
      </c>
      <c r="C87">
        <v>15626</v>
      </c>
      <c r="D87" t="s">
        <v>27</v>
      </c>
      <c r="E87" s="5">
        <v>29</v>
      </c>
      <c r="F87">
        <v>76.8</v>
      </c>
      <c r="G87" s="12" t="s">
        <v>99</v>
      </c>
      <c r="H87" s="11">
        <v>0.15</v>
      </c>
      <c r="I87" t="s">
        <v>29</v>
      </c>
      <c r="J87">
        <v>23.64</v>
      </c>
      <c r="K87" t="s">
        <v>20</v>
      </c>
      <c r="L87" t="s">
        <v>31</v>
      </c>
      <c r="M87" t="s">
        <v>22</v>
      </c>
      <c r="N87" t="s">
        <v>32</v>
      </c>
      <c r="O87" t="s">
        <v>81</v>
      </c>
      <c r="P87" t="s">
        <v>25</v>
      </c>
      <c r="Q87">
        <v>1843.1999999999998</v>
      </c>
      <c r="R87">
        <v>276.47999999999996</v>
      </c>
      <c r="S87" s="12">
        <v>2050.6769999999997</v>
      </c>
    </row>
    <row r="88" spans="1:19" hidden="1" x14ac:dyDescent="0.25">
      <c r="A88" s="13">
        <v>45667</v>
      </c>
      <c r="B88" t="s">
        <v>171</v>
      </c>
      <c r="C88">
        <v>32142</v>
      </c>
      <c r="D88" t="s">
        <v>49</v>
      </c>
      <c r="E88" s="5">
        <v>26</v>
      </c>
      <c r="F88">
        <v>45.18</v>
      </c>
      <c r="G88" s="12" t="s">
        <v>99</v>
      </c>
      <c r="H88" s="11">
        <v>0.1</v>
      </c>
      <c r="I88" t="s">
        <v>19</v>
      </c>
      <c r="J88">
        <v>25.98</v>
      </c>
      <c r="K88" t="s">
        <v>50</v>
      </c>
      <c r="L88" s="14" t="s">
        <v>21</v>
      </c>
      <c r="M88" t="s">
        <v>22</v>
      </c>
      <c r="N88" t="s">
        <v>23</v>
      </c>
      <c r="O88" t="s">
        <v>81</v>
      </c>
      <c r="P88" t="s">
        <v>25</v>
      </c>
      <c r="Q88">
        <v>1987.92</v>
      </c>
      <c r="R88">
        <v>198.79200000000003</v>
      </c>
      <c r="S88" s="12">
        <v>2040.5736000000002</v>
      </c>
    </row>
    <row r="89" spans="1:19" hidden="1" x14ac:dyDescent="0.25">
      <c r="A89" s="13">
        <v>45680</v>
      </c>
      <c r="B89" t="s">
        <v>338</v>
      </c>
      <c r="C89">
        <v>71554</v>
      </c>
      <c r="D89" t="s">
        <v>17</v>
      </c>
      <c r="E89" s="5">
        <v>43</v>
      </c>
      <c r="F89">
        <v>82.53</v>
      </c>
      <c r="G89" s="12" t="s">
        <v>99</v>
      </c>
      <c r="H89" s="11">
        <v>0.43</v>
      </c>
      <c r="I89" t="s">
        <v>19</v>
      </c>
      <c r="J89">
        <v>29.68</v>
      </c>
      <c r="K89" s="5" t="s">
        <v>44</v>
      </c>
      <c r="L89" t="s">
        <v>31</v>
      </c>
      <c r="M89" t="s">
        <v>22</v>
      </c>
      <c r="N89" t="s">
        <v>38</v>
      </c>
      <c r="O89" t="s">
        <v>24</v>
      </c>
      <c r="P89" t="s">
        <v>25</v>
      </c>
      <c r="Q89">
        <v>3548.79</v>
      </c>
      <c r="R89">
        <v>1525.9796999999999</v>
      </c>
      <c r="S89" s="12">
        <v>2022.8103000000001</v>
      </c>
    </row>
    <row r="90" spans="1:19" hidden="1" x14ac:dyDescent="0.25">
      <c r="A90" s="13">
        <v>45696</v>
      </c>
      <c r="B90" t="s">
        <v>54</v>
      </c>
      <c r="C90">
        <v>78364</v>
      </c>
      <c r="D90" t="s">
        <v>66</v>
      </c>
      <c r="E90" s="5">
        <v>49</v>
      </c>
      <c r="F90">
        <v>73.459999999999994</v>
      </c>
      <c r="G90" s="12" t="s">
        <v>99</v>
      </c>
      <c r="H90" s="11">
        <v>0.36</v>
      </c>
      <c r="I90" t="s">
        <v>734</v>
      </c>
      <c r="J90">
        <v>13.18</v>
      </c>
      <c r="K90" t="s">
        <v>50</v>
      </c>
      <c r="L90" s="14" t="s">
        <v>21</v>
      </c>
      <c r="M90" t="s">
        <v>22</v>
      </c>
      <c r="N90" t="s">
        <v>23</v>
      </c>
      <c r="O90" t="s">
        <v>39</v>
      </c>
      <c r="P90" t="s">
        <v>25</v>
      </c>
      <c r="Q90">
        <v>661.14</v>
      </c>
      <c r="R90">
        <v>238.01039999999998</v>
      </c>
      <c r="S90" s="12">
        <v>1994.7900000000002</v>
      </c>
    </row>
    <row r="91" spans="1:19" hidden="1" x14ac:dyDescent="0.25">
      <c r="A91" s="13">
        <v>45694</v>
      </c>
      <c r="B91" t="s">
        <v>98</v>
      </c>
      <c r="C91">
        <v>44085</v>
      </c>
      <c r="D91" t="s">
        <v>57</v>
      </c>
      <c r="E91" s="5">
        <v>22</v>
      </c>
      <c r="F91">
        <v>30.18</v>
      </c>
      <c r="G91" s="12" t="s">
        <v>99</v>
      </c>
      <c r="H91" s="11">
        <v>0.01</v>
      </c>
      <c r="I91" t="s">
        <v>19</v>
      </c>
      <c r="J91">
        <v>17.82</v>
      </c>
      <c r="K91" t="s">
        <v>37</v>
      </c>
      <c r="L91" s="14" t="s">
        <v>21</v>
      </c>
      <c r="M91" t="s">
        <v>22</v>
      </c>
      <c r="N91" t="s">
        <v>23</v>
      </c>
      <c r="O91" t="s">
        <v>59</v>
      </c>
      <c r="P91" t="s">
        <v>40</v>
      </c>
      <c r="Q91">
        <v>965.76</v>
      </c>
      <c r="R91">
        <v>9.6576000000000004</v>
      </c>
      <c r="S91" s="12">
        <v>1748.9472000000001</v>
      </c>
    </row>
    <row r="92" spans="1:19" hidden="1" x14ac:dyDescent="0.25">
      <c r="A92" s="13">
        <v>45706</v>
      </c>
      <c r="B92" t="s">
        <v>558</v>
      </c>
      <c r="C92">
        <v>69355</v>
      </c>
      <c r="D92" t="s">
        <v>70</v>
      </c>
      <c r="E92" s="5">
        <v>36</v>
      </c>
      <c r="F92">
        <v>58.02</v>
      </c>
      <c r="G92" s="12" t="s">
        <v>99</v>
      </c>
      <c r="H92" s="11">
        <v>0.13</v>
      </c>
      <c r="I92" t="s">
        <v>19</v>
      </c>
      <c r="J92">
        <v>25.71</v>
      </c>
      <c r="K92" t="s">
        <v>30</v>
      </c>
      <c r="L92" t="s">
        <v>31</v>
      </c>
      <c r="M92" t="s">
        <v>111</v>
      </c>
      <c r="N92" t="s">
        <v>23</v>
      </c>
      <c r="O92" t="s">
        <v>81</v>
      </c>
      <c r="P92" t="s">
        <v>34</v>
      </c>
      <c r="Q92">
        <v>1450.5</v>
      </c>
      <c r="R92">
        <v>188.565</v>
      </c>
      <c r="S92" s="12">
        <v>1679.9328</v>
      </c>
    </row>
    <row r="93" spans="1:19" hidden="1" x14ac:dyDescent="0.25">
      <c r="A93" s="13">
        <v>45711</v>
      </c>
      <c r="B93" t="s">
        <v>596</v>
      </c>
      <c r="C93">
        <v>77982</v>
      </c>
      <c r="D93" t="s">
        <v>66</v>
      </c>
      <c r="E93" s="5">
        <v>28</v>
      </c>
      <c r="F93">
        <v>56.67</v>
      </c>
      <c r="G93" s="12" t="s">
        <v>99</v>
      </c>
      <c r="H93" s="11">
        <v>0.26</v>
      </c>
      <c r="I93" t="s">
        <v>734</v>
      </c>
      <c r="J93">
        <v>24.32</v>
      </c>
      <c r="K93" t="s">
        <v>30</v>
      </c>
      <c r="L93" s="14" t="s">
        <v>21</v>
      </c>
      <c r="M93" t="s">
        <v>22</v>
      </c>
      <c r="N93" t="s">
        <v>53</v>
      </c>
      <c r="O93" t="s">
        <v>81</v>
      </c>
      <c r="P93" t="s">
        <v>25</v>
      </c>
      <c r="Q93">
        <v>736.71</v>
      </c>
      <c r="R93">
        <v>191.5446</v>
      </c>
      <c r="S93" s="12">
        <v>1645.6244000000002</v>
      </c>
    </row>
    <row r="94" spans="1:19" hidden="1" x14ac:dyDescent="0.25">
      <c r="A94" s="13">
        <v>45686</v>
      </c>
      <c r="B94" t="s">
        <v>410</v>
      </c>
      <c r="C94">
        <v>47577</v>
      </c>
      <c r="D94" t="s">
        <v>46</v>
      </c>
      <c r="E94" s="5">
        <v>22</v>
      </c>
      <c r="F94">
        <v>19.61</v>
      </c>
      <c r="G94" s="12" t="s">
        <v>99</v>
      </c>
      <c r="H94" s="11">
        <v>0.37</v>
      </c>
      <c r="I94" t="s">
        <v>734</v>
      </c>
      <c r="J94">
        <v>27.94</v>
      </c>
      <c r="K94" s="5" t="s">
        <v>44</v>
      </c>
      <c r="L94" t="s">
        <v>31</v>
      </c>
      <c r="M94" t="s">
        <v>22</v>
      </c>
      <c r="N94" t="s">
        <v>32</v>
      </c>
      <c r="O94" t="s">
        <v>24</v>
      </c>
      <c r="P94" t="s">
        <v>25</v>
      </c>
      <c r="Q94">
        <v>941.28</v>
      </c>
      <c r="R94">
        <v>348.27359999999999</v>
      </c>
      <c r="S94" s="12">
        <v>1626.8912</v>
      </c>
    </row>
    <row r="95" spans="1:19" hidden="1" x14ac:dyDescent="0.25">
      <c r="A95" s="13">
        <v>45681</v>
      </c>
      <c r="B95" t="s">
        <v>358</v>
      </c>
      <c r="C95">
        <v>17667</v>
      </c>
      <c r="D95" t="s">
        <v>66</v>
      </c>
      <c r="E95" s="5">
        <v>46</v>
      </c>
      <c r="F95">
        <v>74.239999999999995</v>
      </c>
      <c r="G95" s="12" t="s">
        <v>99</v>
      </c>
      <c r="H95" s="11">
        <v>0.4</v>
      </c>
      <c r="I95" t="s">
        <v>29</v>
      </c>
      <c r="J95">
        <v>25.33</v>
      </c>
      <c r="K95" t="s">
        <v>30</v>
      </c>
      <c r="L95" t="s">
        <v>31</v>
      </c>
      <c r="M95" t="s">
        <v>22</v>
      </c>
      <c r="N95" t="s">
        <v>23</v>
      </c>
      <c r="O95" t="s">
        <v>59</v>
      </c>
      <c r="P95" t="s">
        <v>34</v>
      </c>
      <c r="Q95">
        <v>1781.7599999999998</v>
      </c>
      <c r="R95">
        <v>712.70399999999995</v>
      </c>
      <c r="S95" s="12">
        <v>1622.9122</v>
      </c>
    </row>
    <row r="96" spans="1:19" hidden="1" x14ac:dyDescent="0.25">
      <c r="A96" s="13">
        <v>45686</v>
      </c>
      <c r="B96" t="s">
        <v>423</v>
      </c>
      <c r="C96">
        <v>74130</v>
      </c>
      <c r="D96" t="s">
        <v>68</v>
      </c>
      <c r="E96" s="5">
        <v>47</v>
      </c>
      <c r="F96">
        <v>87.93</v>
      </c>
      <c r="G96" s="12" t="s">
        <v>99</v>
      </c>
      <c r="H96" s="11">
        <v>7.0000000000000007E-2</v>
      </c>
      <c r="I96" t="s">
        <v>734</v>
      </c>
      <c r="J96">
        <v>24.33</v>
      </c>
      <c r="K96" s="5" t="s">
        <v>44</v>
      </c>
      <c r="L96" t="s">
        <v>31</v>
      </c>
      <c r="M96" t="s">
        <v>22</v>
      </c>
      <c r="N96" t="s">
        <v>32</v>
      </c>
      <c r="O96" t="s">
        <v>59</v>
      </c>
      <c r="P96" t="s">
        <v>34</v>
      </c>
      <c r="Q96">
        <v>3517.2000000000003</v>
      </c>
      <c r="R96">
        <v>246.20400000000004</v>
      </c>
      <c r="S96" s="12">
        <v>1591.2131999999999</v>
      </c>
    </row>
    <row r="97" spans="1:19" hidden="1" x14ac:dyDescent="0.25">
      <c r="A97" s="13">
        <v>45695</v>
      </c>
      <c r="B97" t="s">
        <v>319</v>
      </c>
      <c r="C97">
        <v>70391</v>
      </c>
      <c r="D97" t="s">
        <v>70</v>
      </c>
      <c r="E97" s="5">
        <v>45</v>
      </c>
      <c r="F97">
        <v>82.63</v>
      </c>
      <c r="G97" s="12" t="s">
        <v>99</v>
      </c>
      <c r="H97" s="11">
        <v>0.06</v>
      </c>
      <c r="I97" t="s">
        <v>19</v>
      </c>
      <c r="J97">
        <v>25.15</v>
      </c>
      <c r="K97" t="s">
        <v>37</v>
      </c>
      <c r="L97" s="14" t="s">
        <v>21</v>
      </c>
      <c r="M97" t="s">
        <v>22</v>
      </c>
      <c r="N97" t="s">
        <v>38</v>
      </c>
      <c r="O97" t="s">
        <v>81</v>
      </c>
      <c r="P97" t="s">
        <v>40</v>
      </c>
      <c r="Q97">
        <v>2313.64</v>
      </c>
      <c r="R97">
        <v>138.8184</v>
      </c>
      <c r="S97" s="12">
        <v>1431</v>
      </c>
    </row>
    <row r="98" spans="1:19" x14ac:dyDescent="0.25">
      <c r="A98" s="13">
        <v>45691</v>
      </c>
      <c r="B98" t="s">
        <v>493</v>
      </c>
      <c r="C98">
        <v>73916</v>
      </c>
      <c r="D98" t="s">
        <v>57</v>
      </c>
      <c r="E98" s="5">
        <v>35</v>
      </c>
      <c r="F98" s="23">
        <v>8.9</v>
      </c>
      <c r="G98" s="12" t="s">
        <v>99</v>
      </c>
      <c r="H98" s="37">
        <v>0.09</v>
      </c>
      <c r="I98" t="s">
        <v>734</v>
      </c>
      <c r="J98" s="23">
        <v>21.9</v>
      </c>
      <c r="K98" t="s">
        <v>50</v>
      </c>
      <c r="L98" s="14" t="s">
        <v>21</v>
      </c>
      <c r="M98" t="s">
        <v>22</v>
      </c>
      <c r="N98" t="s">
        <v>38</v>
      </c>
      <c r="O98" t="s">
        <v>81</v>
      </c>
      <c r="P98" s="14" t="s">
        <v>34</v>
      </c>
      <c r="Q98" s="23">
        <v>311.5</v>
      </c>
      <c r="R98" s="23">
        <v>28.035</v>
      </c>
      <c r="S98" s="24">
        <v>1421.2170000000001</v>
      </c>
    </row>
    <row r="99" spans="1:19" hidden="1" x14ac:dyDescent="0.25">
      <c r="A99" s="13">
        <v>45699</v>
      </c>
      <c r="B99" t="s">
        <v>238</v>
      </c>
      <c r="C99">
        <v>37331</v>
      </c>
      <c r="D99" t="s">
        <v>46</v>
      </c>
      <c r="E99" s="5">
        <v>19</v>
      </c>
      <c r="F99">
        <v>76.349999999999994</v>
      </c>
      <c r="G99" s="12" t="s">
        <v>99</v>
      </c>
      <c r="H99" s="11">
        <v>0.04</v>
      </c>
      <c r="I99" t="s">
        <v>19</v>
      </c>
      <c r="J99">
        <v>8.1199999999999992</v>
      </c>
      <c r="K99" t="s">
        <v>37</v>
      </c>
      <c r="L99" t="s">
        <v>31</v>
      </c>
      <c r="M99" t="s">
        <v>22</v>
      </c>
      <c r="N99" t="s">
        <v>32</v>
      </c>
      <c r="O99" t="s">
        <v>81</v>
      </c>
      <c r="P99" t="s">
        <v>40</v>
      </c>
      <c r="Q99">
        <v>1450.6499999999999</v>
      </c>
      <c r="R99">
        <v>58.025999999999996</v>
      </c>
      <c r="S99" s="12">
        <v>1392.6239999999998</v>
      </c>
    </row>
    <row r="100" spans="1:19" hidden="1" x14ac:dyDescent="0.25">
      <c r="A100" s="13">
        <v>45673</v>
      </c>
      <c r="B100" t="s">
        <v>225</v>
      </c>
      <c r="C100">
        <v>31320</v>
      </c>
      <c r="D100" t="s">
        <v>46</v>
      </c>
      <c r="E100" s="5">
        <v>26</v>
      </c>
      <c r="F100">
        <v>87.15</v>
      </c>
      <c r="G100" s="12" t="s">
        <v>99</v>
      </c>
      <c r="H100" s="11">
        <v>0.49</v>
      </c>
      <c r="I100" t="s">
        <v>734</v>
      </c>
      <c r="J100">
        <v>26.04</v>
      </c>
      <c r="K100" t="s">
        <v>50</v>
      </c>
      <c r="L100" t="s">
        <v>31</v>
      </c>
      <c r="M100" t="s">
        <v>22</v>
      </c>
      <c r="N100" t="s">
        <v>53</v>
      </c>
      <c r="O100" t="s">
        <v>81</v>
      </c>
      <c r="P100" t="s">
        <v>25</v>
      </c>
      <c r="Q100">
        <v>261.45000000000005</v>
      </c>
      <c r="R100">
        <v>128.11050000000003</v>
      </c>
      <c r="S100" s="12">
        <v>1329.12</v>
      </c>
    </row>
    <row r="101" spans="1:19" hidden="1" x14ac:dyDescent="0.25">
      <c r="A101" s="13">
        <v>45692</v>
      </c>
      <c r="B101" t="s">
        <v>507</v>
      </c>
      <c r="C101">
        <v>59865</v>
      </c>
      <c r="D101" t="s">
        <v>89</v>
      </c>
      <c r="E101" s="5">
        <v>41</v>
      </c>
      <c r="F101">
        <v>75.989999999999995</v>
      </c>
      <c r="G101" s="12" t="s">
        <v>99</v>
      </c>
      <c r="H101" s="11">
        <v>0.41</v>
      </c>
      <c r="I101" t="s">
        <v>29</v>
      </c>
      <c r="J101">
        <v>17.170000000000002</v>
      </c>
      <c r="K101" s="5" t="s">
        <v>44</v>
      </c>
      <c r="L101" s="14" t="s">
        <v>21</v>
      </c>
      <c r="M101" t="s">
        <v>22</v>
      </c>
      <c r="N101" t="s">
        <v>23</v>
      </c>
      <c r="O101" t="s">
        <v>81</v>
      </c>
      <c r="P101" t="s">
        <v>25</v>
      </c>
      <c r="Q101">
        <v>455.93999999999994</v>
      </c>
      <c r="R101">
        <v>186.93539999999996</v>
      </c>
      <c r="S101" s="12">
        <v>1316.1779000000001</v>
      </c>
    </row>
    <row r="102" spans="1:19" hidden="1" x14ac:dyDescent="0.25">
      <c r="A102" s="13">
        <v>45682</v>
      </c>
      <c r="B102" t="s">
        <v>377</v>
      </c>
      <c r="C102">
        <v>84113</v>
      </c>
      <c r="D102" t="s">
        <v>46</v>
      </c>
      <c r="E102" s="5">
        <v>29</v>
      </c>
      <c r="F102">
        <v>12.61</v>
      </c>
      <c r="G102" s="12" t="s">
        <v>99</v>
      </c>
      <c r="H102" s="11">
        <v>0.05</v>
      </c>
      <c r="I102" t="s">
        <v>19</v>
      </c>
      <c r="J102">
        <v>27.25</v>
      </c>
      <c r="K102" t="s">
        <v>37</v>
      </c>
      <c r="L102" s="14" t="s">
        <v>21</v>
      </c>
      <c r="M102" t="s">
        <v>111</v>
      </c>
      <c r="N102" t="s">
        <v>32</v>
      </c>
      <c r="O102" t="s">
        <v>33</v>
      </c>
      <c r="P102" t="s">
        <v>40</v>
      </c>
      <c r="Q102">
        <v>529.62</v>
      </c>
      <c r="R102">
        <v>26.481000000000002</v>
      </c>
      <c r="S102" s="12">
        <v>1305.9860000000001</v>
      </c>
    </row>
    <row r="103" spans="1:19" hidden="1" x14ac:dyDescent="0.25">
      <c r="A103" s="13">
        <v>45672</v>
      </c>
      <c r="B103" t="s">
        <v>191</v>
      </c>
      <c r="C103">
        <v>43191</v>
      </c>
      <c r="D103" t="s">
        <v>66</v>
      </c>
      <c r="E103" s="5">
        <v>18</v>
      </c>
      <c r="F103">
        <v>28.54</v>
      </c>
      <c r="G103" s="12" t="s">
        <v>99</v>
      </c>
      <c r="H103" s="11">
        <v>0.3</v>
      </c>
      <c r="I103" t="s">
        <v>734</v>
      </c>
      <c r="J103">
        <v>28.83</v>
      </c>
      <c r="K103" t="s">
        <v>30</v>
      </c>
      <c r="L103" t="s">
        <v>31</v>
      </c>
      <c r="M103" t="s">
        <v>22</v>
      </c>
      <c r="N103" t="s">
        <v>53</v>
      </c>
      <c r="O103" t="s">
        <v>39</v>
      </c>
      <c r="P103" t="s">
        <v>25</v>
      </c>
      <c r="Q103">
        <v>1341.3799999999999</v>
      </c>
      <c r="R103">
        <v>402.41399999999993</v>
      </c>
      <c r="S103" s="12">
        <v>1228.4136000000001</v>
      </c>
    </row>
    <row r="104" spans="1:19" hidden="1" x14ac:dyDescent="0.25">
      <c r="A104" s="13">
        <v>45678</v>
      </c>
      <c r="B104" t="s">
        <v>311</v>
      </c>
      <c r="C104">
        <v>57828</v>
      </c>
      <c r="D104" t="s">
        <v>17</v>
      </c>
      <c r="E104" s="5">
        <v>26</v>
      </c>
      <c r="F104">
        <v>80.05</v>
      </c>
      <c r="G104" s="12" t="s">
        <v>99</v>
      </c>
      <c r="H104" s="11">
        <v>0.06</v>
      </c>
      <c r="I104" t="s">
        <v>734</v>
      </c>
      <c r="J104">
        <v>7.42</v>
      </c>
      <c r="K104" t="s">
        <v>37</v>
      </c>
      <c r="L104" s="14" t="s">
        <v>21</v>
      </c>
      <c r="M104" t="s">
        <v>22</v>
      </c>
      <c r="N104" t="s">
        <v>23</v>
      </c>
      <c r="O104" t="s">
        <v>81</v>
      </c>
      <c r="P104" t="s">
        <v>40</v>
      </c>
      <c r="Q104">
        <v>1120.7</v>
      </c>
      <c r="R104">
        <v>67.242000000000004</v>
      </c>
      <c r="S104" s="12">
        <v>1171.3</v>
      </c>
    </row>
    <row r="105" spans="1:19" x14ac:dyDescent="0.25">
      <c r="A105" s="13">
        <v>45681</v>
      </c>
      <c r="B105" t="s">
        <v>359</v>
      </c>
      <c r="C105">
        <v>70710</v>
      </c>
      <c r="D105" t="s">
        <v>75</v>
      </c>
      <c r="E105" s="5">
        <v>43</v>
      </c>
      <c r="F105" s="23">
        <v>65.989999999999995</v>
      </c>
      <c r="G105" s="12" t="s">
        <v>99</v>
      </c>
      <c r="H105" s="37">
        <v>0.26</v>
      </c>
      <c r="I105" t="s">
        <v>29</v>
      </c>
      <c r="J105" s="23">
        <v>29.92</v>
      </c>
      <c r="K105" t="s">
        <v>20</v>
      </c>
      <c r="L105" s="14" t="s">
        <v>21</v>
      </c>
      <c r="M105" t="s">
        <v>22</v>
      </c>
      <c r="N105" t="s">
        <v>23</v>
      </c>
      <c r="O105" t="s">
        <v>24</v>
      </c>
      <c r="P105" s="14" t="s">
        <v>34</v>
      </c>
      <c r="Q105" s="23">
        <v>2045.6899999999998</v>
      </c>
      <c r="R105" s="23">
        <v>531.87939999999992</v>
      </c>
      <c r="S105" s="24">
        <v>1170.1074000000001</v>
      </c>
    </row>
    <row r="106" spans="1:19" hidden="1" x14ac:dyDescent="0.25">
      <c r="A106" s="13">
        <v>45674</v>
      </c>
      <c r="B106" t="s">
        <v>239</v>
      </c>
      <c r="C106">
        <v>28512</v>
      </c>
      <c r="D106" t="s">
        <v>49</v>
      </c>
      <c r="E106" s="5">
        <v>26</v>
      </c>
      <c r="F106">
        <v>41.86</v>
      </c>
      <c r="G106" s="12" t="s">
        <v>99</v>
      </c>
      <c r="H106" s="11">
        <v>0.34</v>
      </c>
      <c r="I106" t="s">
        <v>734</v>
      </c>
      <c r="J106">
        <v>22.25</v>
      </c>
      <c r="K106" t="s">
        <v>20</v>
      </c>
      <c r="L106" s="14" t="s">
        <v>21</v>
      </c>
      <c r="M106" t="s">
        <v>111</v>
      </c>
      <c r="N106" t="s">
        <v>38</v>
      </c>
      <c r="O106" t="s">
        <v>39</v>
      </c>
      <c r="P106" t="s">
        <v>25</v>
      </c>
      <c r="Q106">
        <v>1172.08</v>
      </c>
      <c r="R106">
        <v>398.50720000000001</v>
      </c>
      <c r="S106" s="12">
        <v>1143.116</v>
      </c>
    </row>
    <row r="107" spans="1:19" hidden="1" x14ac:dyDescent="0.25">
      <c r="A107" s="13">
        <v>45684</v>
      </c>
      <c r="B107" t="s">
        <v>415</v>
      </c>
      <c r="C107">
        <v>92648</v>
      </c>
      <c r="D107" t="s">
        <v>57</v>
      </c>
      <c r="E107" s="5">
        <v>23</v>
      </c>
      <c r="F107">
        <v>36.200000000000003</v>
      </c>
      <c r="G107" s="12" t="s">
        <v>99</v>
      </c>
      <c r="H107" s="11">
        <v>0.36</v>
      </c>
      <c r="I107" t="s">
        <v>29</v>
      </c>
      <c r="J107">
        <v>27.66</v>
      </c>
      <c r="K107" t="s">
        <v>37</v>
      </c>
      <c r="L107" t="s">
        <v>31</v>
      </c>
      <c r="M107" t="s">
        <v>22</v>
      </c>
      <c r="N107" t="s">
        <v>32</v>
      </c>
      <c r="O107" t="s">
        <v>59</v>
      </c>
      <c r="P107" t="s">
        <v>40</v>
      </c>
      <c r="Q107">
        <v>506.80000000000007</v>
      </c>
      <c r="R107">
        <v>182.44800000000001</v>
      </c>
      <c r="S107" s="12">
        <v>1086.1980000000001</v>
      </c>
    </row>
    <row r="108" spans="1:19" hidden="1" x14ac:dyDescent="0.25">
      <c r="A108" s="13">
        <v>45672</v>
      </c>
      <c r="B108" t="s">
        <v>197</v>
      </c>
      <c r="C108">
        <v>99417</v>
      </c>
      <c r="D108" t="s">
        <v>57</v>
      </c>
      <c r="E108" s="5">
        <v>34</v>
      </c>
      <c r="F108">
        <v>37.71</v>
      </c>
      <c r="G108" s="12" t="s">
        <v>99</v>
      </c>
      <c r="H108" s="11">
        <v>0.11</v>
      </c>
      <c r="I108" t="s">
        <v>734</v>
      </c>
      <c r="J108">
        <v>10.119999999999999</v>
      </c>
      <c r="K108" t="s">
        <v>20</v>
      </c>
      <c r="L108" t="s">
        <v>31</v>
      </c>
      <c r="M108" t="s">
        <v>22</v>
      </c>
      <c r="N108" t="s">
        <v>53</v>
      </c>
      <c r="O108" t="s">
        <v>81</v>
      </c>
      <c r="P108" t="s">
        <v>34</v>
      </c>
      <c r="Q108">
        <v>942.75</v>
      </c>
      <c r="R108">
        <v>103.7025</v>
      </c>
      <c r="S108" s="12">
        <v>1009.12</v>
      </c>
    </row>
    <row r="109" spans="1:19" hidden="1" x14ac:dyDescent="0.25">
      <c r="A109" s="13">
        <v>45699</v>
      </c>
      <c r="B109" t="s">
        <v>278</v>
      </c>
      <c r="C109">
        <v>88856</v>
      </c>
      <c r="D109" t="s">
        <v>17</v>
      </c>
      <c r="E109" s="5">
        <v>18</v>
      </c>
      <c r="F109">
        <v>42.18</v>
      </c>
      <c r="G109" s="12" t="s">
        <v>99</v>
      </c>
      <c r="H109" s="11">
        <v>0.33</v>
      </c>
      <c r="I109" t="s">
        <v>29</v>
      </c>
      <c r="J109">
        <v>25.87</v>
      </c>
      <c r="K109" t="s">
        <v>37</v>
      </c>
      <c r="L109" t="s">
        <v>31</v>
      </c>
      <c r="M109" t="s">
        <v>22</v>
      </c>
      <c r="N109" t="s">
        <v>32</v>
      </c>
      <c r="O109" t="s">
        <v>59</v>
      </c>
      <c r="P109" t="s">
        <v>25</v>
      </c>
      <c r="Q109">
        <v>1982.46</v>
      </c>
      <c r="R109">
        <v>654.21180000000004</v>
      </c>
      <c r="S109" s="12">
        <v>972.25919999999996</v>
      </c>
    </row>
    <row r="110" spans="1:19" hidden="1" x14ac:dyDescent="0.25">
      <c r="A110" s="13">
        <v>45699</v>
      </c>
      <c r="B110" t="s">
        <v>588</v>
      </c>
      <c r="C110">
        <v>73835</v>
      </c>
      <c r="D110" t="s">
        <v>49</v>
      </c>
      <c r="E110" s="5">
        <v>26</v>
      </c>
      <c r="F110">
        <v>46.58</v>
      </c>
      <c r="G110" s="12" t="s">
        <v>99</v>
      </c>
      <c r="H110" s="11">
        <v>0.28999999999999998</v>
      </c>
      <c r="I110" t="s">
        <v>29</v>
      </c>
      <c r="J110">
        <v>12.45</v>
      </c>
      <c r="K110" s="5" t="s">
        <v>44</v>
      </c>
      <c r="L110" s="14" t="s">
        <v>21</v>
      </c>
      <c r="M110" t="s">
        <v>22</v>
      </c>
      <c r="N110" t="s">
        <v>53</v>
      </c>
      <c r="O110" t="s">
        <v>81</v>
      </c>
      <c r="P110" t="s">
        <v>40</v>
      </c>
      <c r="Q110">
        <v>186.32</v>
      </c>
      <c r="R110">
        <v>54.032799999999995</v>
      </c>
      <c r="S110" s="12">
        <v>971.98919999999998</v>
      </c>
    </row>
    <row r="111" spans="1:19" hidden="1" x14ac:dyDescent="0.25">
      <c r="A111" s="13">
        <v>45672</v>
      </c>
      <c r="B111" t="s">
        <v>201</v>
      </c>
      <c r="C111">
        <v>88686</v>
      </c>
      <c r="D111" t="s">
        <v>46</v>
      </c>
      <c r="E111" s="5">
        <v>47</v>
      </c>
      <c r="F111">
        <v>79.34</v>
      </c>
      <c r="G111" s="12" t="s">
        <v>99</v>
      </c>
      <c r="H111" s="11">
        <v>0.26</v>
      </c>
      <c r="I111" t="s">
        <v>734</v>
      </c>
      <c r="J111">
        <v>20.66</v>
      </c>
      <c r="K111" s="5" t="s">
        <v>44</v>
      </c>
      <c r="L111" s="14" t="s">
        <v>21</v>
      </c>
      <c r="M111" t="s">
        <v>22</v>
      </c>
      <c r="N111" t="s">
        <v>38</v>
      </c>
      <c r="O111" t="s">
        <v>39</v>
      </c>
      <c r="P111" t="s">
        <v>25</v>
      </c>
      <c r="Q111">
        <v>1745.48</v>
      </c>
      <c r="R111">
        <v>453.82480000000004</v>
      </c>
      <c r="S111" s="12">
        <v>938.96599999999989</v>
      </c>
    </row>
    <row r="112" spans="1:19" hidden="1" x14ac:dyDescent="0.25">
      <c r="A112" s="13">
        <v>45681</v>
      </c>
      <c r="B112" t="s">
        <v>356</v>
      </c>
      <c r="C112">
        <v>83268</v>
      </c>
      <c r="D112" t="s">
        <v>70</v>
      </c>
      <c r="E112" s="5">
        <v>12</v>
      </c>
      <c r="F112">
        <v>87.11</v>
      </c>
      <c r="G112" s="12" t="s">
        <v>99</v>
      </c>
      <c r="H112" s="11">
        <v>0.12</v>
      </c>
      <c r="I112" t="s">
        <v>734</v>
      </c>
      <c r="J112">
        <v>25.86</v>
      </c>
      <c r="K112" t="s">
        <v>30</v>
      </c>
      <c r="L112" t="s">
        <v>31</v>
      </c>
      <c r="M112" t="s">
        <v>22</v>
      </c>
      <c r="N112" t="s">
        <v>53</v>
      </c>
      <c r="O112" t="s">
        <v>33</v>
      </c>
      <c r="P112" t="s">
        <v>25</v>
      </c>
      <c r="Q112">
        <v>1045.32</v>
      </c>
      <c r="R112">
        <v>125.43839999999999</v>
      </c>
      <c r="S112" s="12">
        <v>919.88159999999993</v>
      </c>
    </row>
    <row r="113" spans="1:19" hidden="1" x14ac:dyDescent="0.25">
      <c r="A113" s="13">
        <v>45674</v>
      </c>
      <c r="B113" t="s">
        <v>243</v>
      </c>
      <c r="C113">
        <v>94433</v>
      </c>
      <c r="D113" t="s">
        <v>66</v>
      </c>
      <c r="E113" s="5">
        <v>29</v>
      </c>
      <c r="F113">
        <v>38.85</v>
      </c>
      <c r="G113" s="12" t="s">
        <v>99</v>
      </c>
      <c r="H113" s="11">
        <v>0.14000000000000001</v>
      </c>
      <c r="I113" t="s">
        <v>734</v>
      </c>
      <c r="J113">
        <v>5.69</v>
      </c>
      <c r="K113" s="5" t="s">
        <v>44</v>
      </c>
      <c r="L113" t="s">
        <v>31</v>
      </c>
      <c r="M113" t="s">
        <v>735</v>
      </c>
      <c r="N113" t="s">
        <v>38</v>
      </c>
      <c r="O113" t="s">
        <v>59</v>
      </c>
      <c r="P113" t="s">
        <v>40</v>
      </c>
      <c r="Q113">
        <v>621.6</v>
      </c>
      <c r="R113">
        <v>87.024000000000015</v>
      </c>
      <c r="S113" s="12">
        <v>904.57380000000012</v>
      </c>
    </row>
    <row r="114" spans="1:19" hidden="1" x14ac:dyDescent="0.25">
      <c r="A114" s="13">
        <v>45698</v>
      </c>
      <c r="B114" t="s">
        <v>571</v>
      </c>
      <c r="C114">
        <v>45795</v>
      </c>
      <c r="D114" t="s">
        <v>57</v>
      </c>
      <c r="E114" s="5">
        <v>49</v>
      </c>
      <c r="F114">
        <v>76.099999999999994</v>
      </c>
      <c r="G114" s="12" t="s">
        <v>99</v>
      </c>
      <c r="H114" s="11">
        <v>0.12</v>
      </c>
      <c r="I114" t="s">
        <v>29</v>
      </c>
      <c r="J114">
        <v>27.12</v>
      </c>
      <c r="K114" s="5" t="s">
        <v>44</v>
      </c>
      <c r="L114" t="s">
        <v>31</v>
      </c>
      <c r="M114" t="s">
        <v>22</v>
      </c>
      <c r="N114" t="s">
        <v>32</v>
      </c>
      <c r="O114" t="s">
        <v>59</v>
      </c>
      <c r="P114" t="s">
        <v>40</v>
      </c>
      <c r="Q114">
        <v>2587.3999999999996</v>
      </c>
      <c r="R114">
        <v>310.48799999999994</v>
      </c>
      <c r="S114" s="12">
        <v>890.71710000000007</v>
      </c>
    </row>
    <row r="115" spans="1:19" hidden="1" x14ac:dyDescent="0.25">
      <c r="A115" s="13">
        <v>45663</v>
      </c>
      <c r="B115" t="s">
        <v>139</v>
      </c>
      <c r="C115">
        <v>23010</v>
      </c>
      <c r="D115" t="s">
        <v>42</v>
      </c>
      <c r="E115" s="5">
        <v>32</v>
      </c>
      <c r="F115">
        <v>22.54</v>
      </c>
      <c r="G115" s="12" t="s">
        <v>99</v>
      </c>
      <c r="H115" s="11">
        <v>0.5</v>
      </c>
      <c r="I115" t="s">
        <v>734</v>
      </c>
      <c r="J115">
        <v>23.82</v>
      </c>
      <c r="K115" t="s">
        <v>37</v>
      </c>
      <c r="L115" t="s">
        <v>31</v>
      </c>
      <c r="M115" t="s">
        <v>22</v>
      </c>
      <c r="N115" t="s">
        <v>38</v>
      </c>
      <c r="O115" t="s">
        <v>81</v>
      </c>
      <c r="P115" t="s">
        <v>25</v>
      </c>
      <c r="Q115">
        <v>563.5</v>
      </c>
      <c r="R115">
        <v>281.75</v>
      </c>
      <c r="S115" s="12">
        <v>787.25119999999993</v>
      </c>
    </row>
    <row r="116" spans="1:19" hidden="1" x14ac:dyDescent="0.25">
      <c r="A116" s="13">
        <v>45681</v>
      </c>
      <c r="B116" t="s">
        <v>351</v>
      </c>
      <c r="C116">
        <v>34059</v>
      </c>
      <c r="D116" t="s">
        <v>70</v>
      </c>
      <c r="E116" s="5">
        <v>40</v>
      </c>
      <c r="F116">
        <v>94.45</v>
      </c>
      <c r="G116" s="12" t="s">
        <v>99</v>
      </c>
      <c r="H116" s="11">
        <v>0.02</v>
      </c>
      <c r="I116" t="s">
        <v>734</v>
      </c>
      <c r="J116">
        <v>28.33</v>
      </c>
      <c r="K116" s="5" t="s">
        <v>44</v>
      </c>
      <c r="L116" t="s">
        <v>31</v>
      </c>
      <c r="M116" t="s">
        <v>22</v>
      </c>
      <c r="N116" t="s">
        <v>38</v>
      </c>
      <c r="O116" t="s">
        <v>33</v>
      </c>
      <c r="P116" t="s">
        <v>34</v>
      </c>
      <c r="Q116">
        <v>2550.15</v>
      </c>
      <c r="R116">
        <v>51.003</v>
      </c>
      <c r="S116" s="12">
        <v>750.52799999999979</v>
      </c>
    </row>
    <row r="117" spans="1:19" hidden="1" x14ac:dyDescent="0.25">
      <c r="A117" s="13">
        <v>45678</v>
      </c>
      <c r="B117" t="s">
        <v>316</v>
      </c>
      <c r="C117">
        <v>93163</v>
      </c>
      <c r="D117" t="s">
        <v>46</v>
      </c>
      <c r="E117" s="5">
        <v>12</v>
      </c>
      <c r="F117">
        <v>78.5</v>
      </c>
      <c r="G117" s="12" t="s">
        <v>99</v>
      </c>
      <c r="H117" s="11">
        <v>0.13</v>
      </c>
      <c r="I117" t="s">
        <v>19</v>
      </c>
      <c r="J117">
        <v>21.81</v>
      </c>
      <c r="K117" t="s">
        <v>50</v>
      </c>
      <c r="L117" s="14" t="s">
        <v>21</v>
      </c>
      <c r="M117" t="s">
        <v>22</v>
      </c>
      <c r="N117" t="s">
        <v>38</v>
      </c>
      <c r="O117" t="s">
        <v>39</v>
      </c>
      <c r="P117" t="s">
        <v>25</v>
      </c>
      <c r="Q117">
        <v>3454</v>
      </c>
      <c r="R117">
        <v>449.02000000000004</v>
      </c>
      <c r="S117" s="12">
        <v>743.4624</v>
      </c>
    </row>
    <row r="118" spans="1:19" hidden="1" x14ac:dyDescent="0.25">
      <c r="A118" s="13">
        <v>45666</v>
      </c>
      <c r="B118" t="s">
        <v>160</v>
      </c>
      <c r="C118">
        <v>55038</v>
      </c>
      <c r="D118" t="s">
        <v>89</v>
      </c>
      <c r="E118" s="5">
        <v>41</v>
      </c>
      <c r="F118">
        <v>72.98</v>
      </c>
      <c r="G118" s="12" t="s">
        <v>99</v>
      </c>
      <c r="H118" s="11">
        <v>0.49</v>
      </c>
      <c r="I118" t="s">
        <v>29</v>
      </c>
      <c r="J118">
        <v>15.19</v>
      </c>
      <c r="K118" s="5" t="s">
        <v>44</v>
      </c>
      <c r="L118" t="s">
        <v>31</v>
      </c>
      <c r="M118" t="s">
        <v>22</v>
      </c>
      <c r="N118" t="s">
        <v>23</v>
      </c>
      <c r="O118" t="s">
        <v>24</v>
      </c>
      <c r="P118" t="s">
        <v>25</v>
      </c>
      <c r="Q118">
        <v>1678.5400000000002</v>
      </c>
      <c r="R118">
        <v>822.48460000000011</v>
      </c>
      <c r="S118" s="12">
        <v>736.22879999999998</v>
      </c>
    </row>
    <row r="119" spans="1:19" hidden="1" x14ac:dyDescent="0.25">
      <c r="A119" s="13">
        <v>45705</v>
      </c>
      <c r="B119" t="s">
        <v>506</v>
      </c>
      <c r="C119">
        <v>50071</v>
      </c>
      <c r="D119" t="s">
        <v>27</v>
      </c>
      <c r="E119" s="5">
        <v>31</v>
      </c>
      <c r="F119">
        <v>11.97</v>
      </c>
      <c r="G119" s="12" t="s">
        <v>99</v>
      </c>
      <c r="H119" s="11">
        <v>0.26</v>
      </c>
      <c r="I119" t="s">
        <v>29</v>
      </c>
      <c r="J119">
        <v>22.46</v>
      </c>
      <c r="K119" t="s">
        <v>50</v>
      </c>
      <c r="L119" t="s">
        <v>31</v>
      </c>
      <c r="M119" t="s">
        <v>22</v>
      </c>
      <c r="N119" t="s">
        <v>38</v>
      </c>
      <c r="O119" t="s">
        <v>33</v>
      </c>
      <c r="P119" t="s">
        <v>25</v>
      </c>
      <c r="Q119">
        <v>311.22000000000003</v>
      </c>
      <c r="R119">
        <v>80.917200000000008</v>
      </c>
      <c r="S119" s="12">
        <v>726.46640000000002</v>
      </c>
    </row>
    <row r="120" spans="1:19" hidden="1" x14ac:dyDescent="0.25">
      <c r="A120" s="13">
        <v>45692</v>
      </c>
      <c r="B120" t="s">
        <v>319</v>
      </c>
      <c r="C120">
        <v>19890</v>
      </c>
      <c r="D120" t="s">
        <v>49</v>
      </c>
      <c r="E120" s="5">
        <v>12</v>
      </c>
      <c r="F120">
        <v>11.83</v>
      </c>
      <c r="G120" s="12" t="s">
        <v>99</v>
      </c>
      <c r="H120" s="11">
        <v>0.08</v>
      </c>
      <c r="I120" t="s">
        <v>29</v>
      </c>
      <c r="J120">
        <v>10.68</v>
      </c>
      <c r="K120" t="s">
        <v>30</v>
      </c>
      <c r="L120" t="s">
        <v>31</v>
      </c>
      <c r="M120" t="s">
        <v>111</v>
      </c>
      <c r="N120" t="s">
        <v>53</v>
      </c>
      <c r="O120" t="s">
        <v>39</v>
      </c>
      <c r="P120" t="s">
        <v>34</v>
      </c>
      <c r="Q120">
        <v>378.56</v>
      </c>
      <c r="R120">
        <v>30.284800000000001</v>
      </c>
      <c r="S120" s="12">
        <v>710.22240000000011</v>
      </c>
    </row>
    <row r="121" spans="1:19" hidden="1" x14ac:dyDescent="0.25">
      <c r="A121" s="13">
        <v>45702</v>
      </c>
      <c r="B121" t="s">
        <v>148</v>
      </c>
      <c r="C121">
        <v>45850</v>
      </c>
      <c r="D121" t="s">
        <v>89</v>
      </c>
      <c r="E121" s="5">
        <v>38</v>
      </c>
      <c r="F121">
        <v>79.78</v>
      </c>
      <c r="G121" s="12" t="s">
        <v>99</v>
      </c>
      <c r="H121" s="11">
        <v>0.36</v>
      </c>
      <c r="I121" t="s">
        <v>29</v>
      </c>
      <c r="J121">
        <v>26.21</v>
      </c>
      <c r="K121" s="5" t="s">
        <v>44</v>
      </c>
      <c r="L121" t="s">
        <v>31</v>
      </c>
      <c r="M121" t="s">
        <v>22</v>
      </c>
      <c r="N121" t="s">
        <v>32</v>
      </c>
      <c r="O121" t="s">
        <v>81</v>
      </c>
      <c r="P121" t="s">
        <v>40</v>
      </c>
      <c r="Q121">
        <v>3749.66</v>
      </c>
      <c r="R121">
        <v>1349.8775999999998</v>
      </c>
      <c r="S121" s="12">
        <v>709.78679999999997</v>
      </c>
    </row>
    <row r="122" spans="1:19" x14ac:dyDescent="0.25">
      <c r="A122" s="13">
        <v>45683</v>
      </c>
      <c r="B122" t="s">
        <v>390</v>
      </c>
      <c r="C122">
        <v>75941</v>
      </c>
      <c r="D122" t="s">
        <v>57</v>
      </c>
      <c r="E122" s="5">
        <v>17</v>
      </c>
      <c r="F122" s="23">
        <v>69.680000000000007</v>
      </c>
      <c r="G122" s="12" t="s">
        <v>99</v>
      </c>
      <c r="H122" s="37">
        <v>0.37</v>
      </c>
      <c r="I122" t="s">
        <v>29</v>
      </c>
      <c r="J122" s="23">
        <v>11.4</v>
      </c>
      <c r="K122" t="s">
        <v>50</v>
      </c>
      <c r="L122" s="14" t="s">
        <v>21</v>
      </c>
      <c r="M122" t="s">
        <v>22</v>
      </c>
      <c r="N122" t="s">
        <v>32</v>
      </c>
      <c r="O122" t="s">
        <v>81</v>
      </c>
      <c r="P122" s="14" t="s">
        <v>34</v>
      </c>
      <c r="Q122" s="23">
        <v>557.44000000000005</v>
      </c>
      <c r="R122" s="23">
        <v>206.25280000000001</v>
      </c>
      <c r="S122" s="24">
        <v>684.76</v>
      </c>
    </row>
    <row r="123" spans="1:19" hidden="1" x14ac:dyDescent="0.25">
      <c r="A123" s="13">
        <v>45682</v>
      </c>
      <c r="B123" t="s">
        <v>381</v>
      </c>
      <c r="C123">
        <v>72862</v>
      </c>
      <c r="D123" t="s">
        <v>89</v>
      </c>
      <c r="E123" s="5">
        <v>49</v>
      </c>
      <c r="F123">
        <v>59.62</v>
      </c>
      <c r="G123" s="12" t="s">
        <v>99</v>
      </c>
      <c r="H123" s="11">
        <v>0.37</v>
      </c>
      <c r="I123" t="s">
        <v>19</v>
      </c>
      <c r="J123">
        <v>10.11</v>
      </c>
      <c r="K123" t="s">
        <v>30</v>
      </c>
      <c r="L123" s="14" t="s">
        <v>21</v>
      </c>
      <c r="M123" t="s">
        <v>22</v>
      </c>
      <c r="N123" t="s">
        <v>32</v>
      </c>
      <c r="O123" t="s">
        <v>81</v>
      </c>
      <c r="P123" t="s">
        <v>25</v>
      </c>
      <c r="Q123">
        <v>2146.3199999999997</v>
      </c>
      <c r="R123">
        <v>794.13839999999993</v>
      </c>
      <c r="S123" s="12">
        <v>670.31999999999994</v>
      </c>
    </row>
    <row r="124" spans="1:19" hidden="1" x14ac:dyDescent="0.25">
      <c r="A124" s="13">
        <v>45661</v>
      </c>
      <c r="B124" t="s">
        <v>98</v>
      </c>
      <c r="C124">
        <v>64425</v>
      </c>
      <c r="D124" t="s">
        <v>66</v>
      </c>
      <c r="E124" s="5">
        <v>40</v>
      </c>
      <c r="F124">
        <v>29.56</v>
      </c>
      <c r="G124" s="12" t="s">
        <v>99</v>
      </c>
      <c r="H124" s="11">
        <v>0.28999999999999998</v>
      </c>
      <c r="I124" t="s">
        <v>29</v>
      </c>
      <c r="J124">
        <v>20.04</v>
      </c>
      <c r="K124" t="s">
        <v>37</v>
      </c>
      <c r="L124" t="s">
        <v>31</v>
      </c>
      <c r="M124" t="s">
        <v>22</v>
      </c>
      <c r="N124" t="s">
        <v>38</v>
      </c>
      <c r="O124" t="s">
        <v>33</v>
      </c>
      <c r="P124" t="s">
        <v>25</v>
      </c>
      <c r="Q124">
        <v>443.4</v>
      </c>
      <c r="R124">
        <v>128.58599999999998</v>
      </c>
      <c r="S124" s="12">
        <v>668.40000000000009</v>
      </c>
    </row>
    <row r="125" spans="1:19" hidden="1" x14ac:dyDescent="0.25">
      <c r="A125" s="13">
        <v>45684</v>
      </c>
      <c r="B125" t="s">
        <v>405</v>
      </c>
      <c r="C125">
        <v>30840</v>
      </c>
      <c r="D125" t="s">
        <v>27</v>
      </c>
      <c r="E125" s="5">
        <v>27</v>
      </c>
      <c r="F125">
        <v>45.21</v>
      </c>
      <c r="G125" s="12" t="s">
        <v>99</v>
      </c>
      <c r="H125" s="11">
        <v>0.16</v>
      </c>
      <c r="I125" t="s">
        <v>19</v>
      </c>
      <c r="J125">
        <v>26.75</v>
      </c>
      <c r="K125" s="5" t="s">
        <v>44</v>
      </c>
      <c r="L125" s="14" t="s">
        <v>21</v>
      </c>
      <c r="M125" t="s">
        <v>22</v>
      </c>
      <c r="N125" t="s">
        <v>53</v>
      </c>
      <c r="O125" t="s">
        <v>59</v>
      </c>
      <c r="P125" t="s">
        <v>40</v>
      </c>
      <c r="Q125">
        <v>1175.46</v>
      </c>
      <c r="R125">
        <v>188.0736</v>
      </c>
      <c r="S125" s="12">
        <v>634.4325</v>
      </c>
    </row>
    <row r="126" spans="1:19" x14ac:dyDescent="0.25">
      <c r="A126" s="13">
        <v>45709</v>
      </c>
      <c r="B126" t="s">
        <v>307</v>
      </c>
      <c r="C126">
        <v>85528</v>
      </c>
      <c r="D126" t="s">
        <v>49</v>
      </c>
      <c r="E126" s="5">
        <v>10</v>
      </c>
      <c r="F126" s="23">
        <v>94.77</v>
      </c>
      <c r="G126" s="12" t="s">
        <v>99</v>
      </c>
      <c r="H126" s="37">
        <v>0.2</v>
      </c>
      <c r="I126" t="s">
        <v>29</v>
      </c>
      <c r="J126" s="23">
        <v>17.45</v>
      </c>
      <c r="K126" t="s">
        <v>20</v>
      </c>
      <c r="L126" s="14" t="s">
        <v>21</v>
      </c>
      <c r="M126" t="s">
        <v>22</v>
      </c>
      <c r="N126" t="s">
        <v>32</v>
      </c>
      <c r="O126" t="s">
        <v>39</v>
      </c>
      <c r="P126" s="14" t="s">
        <v>34</v>
      </c>
      <c r="Q126" s="23">
        <v>4169.88</v>
      </c>
      <c r="R126" s="23">
        <v>833.97600000000011</v>
      </c>
      <c r="S126" s="24">
        <v>627.32799999999997</v>
      </c>
    </row>
    <row r="127" spans="1:19" hidden="1" x14ac:dyDescent="0.25">
      <c r="A127" s="13">
        <v>45699</v>
      </c>
      <c r="B127" t="s">
        <v>351</v>
      </c>
      <c r="C127">
        <v>90655</v>
      </c>
      <c r="D127" t="s">
        <v>68</v>
      </c>
      <c r="E127" s="5">
        <v>46</v>
      </c>
      <c r="F127">
        <v>54.18</v>
      </c>
      <c r="G127" s="12" t="s">
        <v>99</v>
      </c>
      <c r="H127" s="11">
        <v>0.31</v>
      </c>
      <c r="I127" t="s">
        <v>19</v>
      </c>
      <c r="J127">
        <v>27.9</v>
      </c>
      <c r="K127" t="s">
        <v>20</v>
      </c>
      <c r="L127" t="s">
        <v>31</v>
      </c>
      <c r="M127" t="s">
        <v>22</v>
      </c>
      <c r="N127" t="s">
        <v>53</v>
      </c>
      <c r="O127" t="s">
        <v>59</v>
      </c>
      <c r="P127" t="s">
        <v>25</v>
      </c>
      <c r="Q127">
        <v>1408.68</v>
      </c>
      <c r="R127">
        <v>436.69080000000002</v>
      </c>
      <c r="S127" s="12">
        <v>604.10879999999997</v>
      </c>
    </row>
    <row r="128" spans="1:19" hidden="1" x14ac:dyDescent="0.25">
      <c r="A128" s="13">
        <v>45682</v>
      </c>
      <c r="B128" t="s">
        <v>374</v>
      </c>
      <c r="C128">
        <v>81582</v>
      </c>
      <c r="D128" t="s">
        <v>70</v>
      </c>
      <c r="E128" s="5">
        <v>13</v>
      </c>
      <c r="F128">
        <v>53.97</v>
      </c>
      <c r="G128" s="12" t="s">
        <v>99</v>
      </c>
      <c r="H128" s="11">
        <v>0.41</v>
      </c>
      <c r="I128" t="s">
        <v>19</v>
      </c>
      <c r="J128">
        <v>13.17</v>
      </c>
      <c r="K128" t="s">
        <v>50</v>
      </c>
      <c r="L128" t="s">
        <v>31</v>
      </c>
      <c r="M128" t="s">
        <v>22</v>
      </c>
      <c r="N128" t="s">
        <v>53</v>
      </c>
      <c r="O128" t="s">
        <v>33</v>
      </c>
      <c r="P128" t="s">
        <v>40</v>
      </c>
      <c r="Q128">
        <v>2590.56</v>
      </c>
      <c r="R128">
        <v>1062.1296</v>
      </c>
      <c r="S128" s="12">
        <v>601.28250000000003</v>
      </c>
    </row>
    <row r="129" spans="1:19" hidden="1" x14ac:dyDescent="0.25">
      <c r="A129" s="13">
        <v>45705</v>
      </c>
      <c r="B129" t="s">
        <v>260</v>
      </c>
      <c r="C129">
        <v>69134</v>
      </c>
      <c r="D129" t="s">
        <v>46</v>
      </c>
      <c r="E129" s="5">
        <v>18</v>
      </c>
      <c r="F129">
        <v>42.14</v>
      </c>
      <c r="G129" s="12" t="s">
        <v>99</v>
      </c>
      <c r="H129" s="11">
        <v>0.16</v>
      </c>
      <c r="I129" t="s">
        <v>19</v>
      </c>
      <c r="J129">
        <v>26.12</v>
      </c>
      <c r="K129" s="5" t="s">
        <v>44</v>
      </c>
      <c r="L129" t="s">
        <v>31</v>
      </c>
      <c r="M129" t="s">
        <v>22</v>
      </c>
      <c r="N129" t="s">
        <v>38</v>
      </c>
      <c r="O129" t="s">
        <v>33</v>
      </c>
      <c r="P129" t="s">
        <v>34</v>
      </c>
      <c r="Q129">
        <v>589.96</v>
      </c>
      <c r="R129">
        <v>94.393600000000006</v>
      </c>
      <c r="S129" s="12">
        <v>581.6160000000001</v>
      </c>
    </row>
    <row r="130" spans="1:19" hidden="1" x14ac:dyDescent="0.25">
      <c r="A130" s="13">
        <v>45712</v>
      </c>
      <c r="B130" t="s">
        <v>714</v>
      </c>
      <c r="C130">
        <v>82478</v>
      </c>
      <c r="D130" t="s">
        <v>68</v>
      </c>
      <c r="E130" s="5">
        <v>27</v>
      </c>
      <c r="F130">
        <v>4.03</v>
      </c>
      <c r="G130" s="12" t="s">
        <v>99</v>
      </c>
      <c r="H130" s="11">
        <v>0.28000000000000003</v>
      </c>
      <c r="I130" t="s">
        <v>19</v>
      </c>
      <c r="J130">
        <v>9.86</v>
      </c>
      <c r="K130" s="5" t="s">
        <v>44</v>
      </c>
      <c r="L130" t="s">
        <v>31</v>
      </c>
      <c r="M130" t="s">
        <v>22</v>
      </c>
      <c r="N130" t="s">
        <v>32</v>
      </c>
      <c r="O130" t="s">
        <v>39</v>
      </c>
      <c r="P130" t="s">
        <v>40</v>
      </c>
      <c r="Q130">
        <v>181.35000000000002</v>
      </c>
      <c r="R130">
        <v>50.778000000000013</v>
      </c>
      <c r="S130" s="12">
        <v>561.58109999999999</v>
      </c>
    </row>
    <row r="131" spans="1:19" hidden="1" x14ac:dyDescent="0.25">
      <c r="A131" s="13">
        <v>45698</v>
      </c>
      <c r="B131" t="s">
        <v>577</v>
      </c>
      <c r="C131">
        <v>72481</v>
      </c>
      <c r="D131" t="s">
        <v>49</v>
      </c>
      <c r="E131" s="5">
        <v>48</v>
      </c>
      <c r="F131">
        <v>47.85</v>
      </c>
      <c r="G131" s="12" t="s">
        <v>99</v>
      </c>
      <c r="H131" s="11">
        <v>0.46</v>
      </c>
      <c r="I131" t="s">
        <v>19</v>
      </c>
      <c r="J131">
        <v>12.87</v>
      </c>
      <c r="K131" t="s">
        <v>50</v>
      </c>
      <c r="L131" t="s">
        <v>31</v>
      </c>
      <c r="M131" t="s">
        <v>22</v>
      </c>
      <c r="N131" t="s">
        <v>38</v>
      </c>
      <c r="O131" t="s">
        <v>33</v>
      </c>
      <c r="P131" t="s">
        <v>40</v>
      </c>
      <c r="Q131">
        <v>813.45</v>
      </c>
      <c r="R131">
        <v>374.18700000000001</v>
      </c>
      <c r="S131" s="12">
        <v>533.13599999999997</v>
      </c>
    </row>
    <row r="132" spans="1:19" hidden="1" x14ac:dyDescent="0.25">
      <c r="A132" s="13">
        <v>45691</v>
      </c>
      <c r="B132" t="s">
        <v>226</v>
      </c>
      <c r="C132">
        <v>10043</v>
      </c>
      <c r="D132" t="s">
        <v>27</v>
      </c>
      <c r="E132" s="5">
        <v>8</v>
      </c>
      <c r="F132">
        <v>43.68</v>
      </c>
      <c r="G132" s="12" t="s">
        <v>99</v>
      </c>
      <c r="H132" s="11">
        <v>0.06</v>
      </c>
      <c r="I132" t="s">
        <v>29</v>
      </c>
      <c r="J132">
        <v>20.86</v>
      </c>
      <c r="K132" t="s">
        <v>20</v>
      </c>
      <c r="L132" t="s">
        <v>31</v>
      </c>
      <c r="M132" t="s">
        <v>22</v>
      </c>
      <c r="N132" t="s">
        <v>38</v>
      </c>
      <c r="O132" t="s">
        <v>81</v>
      </c>
      <c r="P132" t="s">
        <v>34</v>
      </c>
      <c r="Q132">
        <v>1616.16</v>
      </c>
      <c r="R132">
        <v>96.9696</v>
      </c>
      <c r="S132" s="12">
        <v>531.92399999999998</v>
      </c>
    </row>
    <row r="133" spans="1:19" hidden="1" x14ac:dyDescent="0.25">
      <c r="A133" s="13">
        <v>45675</v>
      </c>
      <c r="B133" t="s">
        <v>261</v>
      </c>
      <c r="C133">
        <v>34445</v>
      </c>
      <c r="D133" t="s">
        <v>75</v>
      </c>
      <c r="E133" s="5">
        <v>29</v>
      </c>
      <c r="F133">
        <v>86.71</v>
      </c>
      <c r="G133" s="12" t="s">
        <v>99</v>
      </c>
      <c r="H133" s="11">
        <v>0.26</v>
      </c>
      <c r="I133" t="s">
        <v>19</v>
      </c>
      <c r="J133">
        <v>28.11</v>
      </c>
      <c r="K133" t="s">
        <v>20</v>
      </c>
      <c r="L133" t="s">
        <v>31</v>
      </c>
      <c r="M133" t="s">
        <v>22</v>
      </c>
      <c r="N133" t="s">
        <v>38</v>
      </c>
      <c r="O133" t="s">
        <v>59</v>
      </c>
      <c r="P133" t="s">
        <v>40</v>
      </c>
      <c r="Q133">
        <v>3641.8199999999997</v>
      </c>
      <c r="R133">
        <v>946.8732</v>
      </c>
      <c r="S133" s="12">
        <v>517.89650000000006</v>
      </c>
    </row>
    <row r="134" spans="1:19" hidden="1" x14ac:dyDescent="0.25">
      <c r="A134" s="13">
        <v>45701</v>
      </c>
      <c r="B134" t="s">
        <v>597</v>
      </c>
      <c r="C134">
        <v>59142</v>
      </c>
      <c r="D134" t="s">
        <v>89</v>
      </c>
      <c r="E134" s="5">
        <v>48</v>
      </c>
      <c r="F134">
        <v>12.47</v>
      </c>
      <c r="G134" s="12" t="s">
        <v>99</v>
      </c>
      <c r="H134" s="11">
        <v>0.18</v>
      </c>
      <c r="I134" t="s">
        <v>29</v>
      </c>
      <c r="J134">
        <v>9.49</v>
      </c>
      <c r="K134" t="s">
        <v>20</v>
      </c>
      <c r="L134" t="s">
        <v>31</v>
      </c>
      <c r="M134" t="s">
        <v>22</v>
      </c>
      <c r="N134" t="s">
        <v>32</v>
      </c>
      <c r="O134" t="s">
        <v>24</v>
      </c>
      <c r="P134" t="s">
        <v>25</v>
      </c>
      <c r="Q134">
        <v>598.56000000000006</v>
      </c>
      <c r="R134">
        <v>107.74080000000001</v>
      </c>
      <c r="S134" s="12">
        <v>490.81920000000002</v>
      </c>
    </row>
    <row r="135" spans="1:19" hidden="1" x14ac:dyDescent="0.25">
      <c r="A135" s="13">
        <v>45687</v>
      </c>
      <c r="B135" t="s">
        <v>440</v>
      </c>
      <c r="C135">
        <v>51623</v>
      </c>
      <c r="D135" t="s">
        <v>46</v>
      </c>
      <c r="E135" s="5">
        <v>19</v>
      </c>
      <c r="F135">
        <v>87.3</v>
      </c>
      <c r="G135" s="12" t="s">
        <v>99</v>
      </c>
      <c r="H135" s="11">
        <v>0.19</v>
      </c>
      <c r="I135" t="s">
        <v>734</v>
      </c>
      <c r="J135">
        <v>8.7799999999999994</v>
      </c>
      <c r="K135" t="s">
        <v>50</v>
      </c>
      <c r="L135" s="14" t="s">
        <v>21</v>
      </c>
      <c r="M135" t="s">
        <v>22</v>
      </c>
      <c r="N135" t="s">
        <v>32</v>
      </c>
      <c r="O135" t="s">
        <v>33</v>
      </c>
      <c r="P135" t="s">
        <v>25</v>
      </c>
      <c r="Q135">
        <v>2531.6999999999998</v>
      </c>
      <c r="R135">
        <v>481.02299999999997</v>
      </c>
      <c r="S135" s="12">
        <v>478.11599999999993</v>
      </c>
    </row>
    <row r="136" spans="1:19" hidden="1" x14ac:dyDescent="0.25">
      <c r="A136" s="13">
        <v>45688</v>
      </c>
      <c r="B136" t="s">
        <v>178</v>
      </c>
      <c r="C136">
        <v>69187</v>
      </c>
      <c r="D136" t="s">
        <v>66</v>
      </c>
      <c r="E136" s="5">
        <v>17</v>
      </c>
      <c r="F136">
        <v>2.21</v>
      </c>
      <c r="G136" s="12" t="s">
        <v>99</v>
      </c>
      <c r="H136" s="11">
        <v>0.28000000000000003</v>
      </c>
      <c r="I136" t="s">
        <v>734</v>
      </c>
      <c r="J136">
        <v>17.670000000000002</v>
      </c>
      <c r="K136" s="5" t="s">
        <v>44</v>
      </c>
      <c r="L136" t="s">
        <v>31</v>
      </c>
      <c r="M136" t="s">
        <v>22</v>
      </c>
      <c r="N136" t="s">
        <v>23</v>
      </c>
      <c r="O136" t="s">
        <v>59</v>
      </c>
      <c r="P136" t="s">
        <v>25</v>
      </c>
      <c r="Q136">
        <v>53.04</v>
      </c>
      <c r="R136">
        <v>14.8512</v>
      </c>
      <c r="S136" s="12">
        <v>461.53640000000001</v>
      </c>
    </row>
    <row r="137" spans="1:19" hidden="1" x14ac:dyDescent="0.25">
      <c r="A137" s="13">
        <v>45693</v>
      </c>
      <c r="B137" t="s">
        <v>521</v>
      </c>
      <c r="C137">
        <v>92154</v>
      </c>
      <c r="D137" t="s">
        <v>46</v>
      </c>
      <c r="E137" s="5">
        <v>34</v>
      </c>
      <c r="F137">
        <v>87.14</v>
      </c>
      <c r="G137" s="12" t="s">
        <v>99</v>
      </c>
      <c r="H137" s="11">
        <v>0.46</v>
      </c>
      <c r="I137" t="s">
        <v>734</v>
      </c>
      <c r="J137">
        <v>17.149999999999999</v>
      </c>
      <c r="K137" t="s">
        <v>50</v>
      </c>
      <c r="L137" t="s">
        <v>31</v>
      </c>
      <c r="M137" t="s">
        <v>22</v>
      </c>
      <c r="N137" t="s">
        <v>23</v>
      </c>
      <c r="O137" t="s">
        <v>24</v>
      </c>
      <c r="P137" t="s">
        <v>25</v>
      </c>
      <c r="Q137">
        <v>3049.9</v>
      </c>
      <c r="R137">
        <v>1402.9540000000002</v>
      </c>
      <c r="S137" s="12">
        <v>459.57119999999998</v>
      </c>
    </row>
    <row r="138" spans="1:19" hidden="1" x14ac:dyDescent="0.25">
      <c r="A138" s="13">
        <v>45673</v>
      </c>
      <c r="B138" t="s">
        <v>220</v>
      </c>
      <c r="C138">
        <v>28209</v>
      </c>
      <c r="D138" t="s">
        <v>68</v>
      </c>
      <c r="E138" s="5">
        <v>10</v>
      </c>
      <c r="F138">
        <v>43.72</v>
      </c>
      <c r="G138" s="12" t="s">
        <v>99</v>
      </c>
      <c r="H138" s="11">
        <v>0.33</v>
      </c>
      <c r="I138" t="s">
        <v>19</v>
      </c>
      <c r="J138">
        <v>22.11</v>
      </c>
      <c r="K138" s="5" t="s">
        <v>44</v>
      </c>
      <c r="L138" t="s">
        <v>31</v>
      </c>
      <c r="M138" t="s">
        <v>22</v>
      </c>
      <c r="N138" t="s">
        <v>38</v>
      </c>
      <c r="O138" t="s">
        <v>39</v>
      </c>
      <c r="P138" t="s">
        <v>40</v>
      </c>
      <c r="Q138">
        <v>1355.32</v>
      </c>
      <c r="R138">
        <v>447.25560000000002</v>
      </c>
      <c r="S138" s="12">
        <v>389.38900000000001</v>
      </c>
    </row>
    <row r="139" spans="1:19" hidden="1" x14ac:dyDescent="0.25">
      <c r="A139" s="13">
        <v>45681</v>
      </c>
      <c r="B139" t="s">
        <v>320</v>
      </c>
      <c r="C139">
        <v>87090</v>
      </c>
      <c r="D139" t="s">
        <v>70</v>
      </c>
      <c r="E139" s="5">
        <v>28</v>
      </c>
      <c r="F139">
        <v>47.57</v>
      </c>
      <c r="G139" s="12" t="s">
        <v>99</v>
      </c>
      <c r="H139" s="11">
        <v>0.03</v>
      </c>
      <c r="I139" t="s">
        <v>734</v>
      </c>
      <c r="J139">
        <v>17.059999999999999</v>
      </c>
      <c r="K139" t="s">
        <v>37</v>
      </c>
      <c r="L139" s="14" t="s">
        <v>21</v>
      </c>
      <c r="M139" t="s">
        <v>22</v>
      </c>
      <c r="N139" t="s">
        <v>53</v>
      </c>
      <c r="O139" t="s">
        <v>59</v>
      </c>
      <c r="P139" t="s">
        <v>25</v>
      </c>
      <c r="Q139">
        <v>2140.65</v>
      </c>
      <c r="R139">
        <v>64.219499999999996</v>
      </c>
      <c r="S139" s="12">
        <v>389.17760000000004</v>
      </c>
    </row>
    <row r="140" spans="1:19" hidden="1" x14ac:dyDescent="0.25">
      <c r="A140" s="13">
        <v>45702</v>
      </c>
      <c r="B140" t="s">
        <v>185</v>
      </c>
      <c r="C140">
        <v>72789</v>
      </c>
      <c r="D140" t="s">
        <v>42</v>
      </c>
      <c r="E140" s="5">
        <v>21</v>
      </c>
      <c r="F140">
        <v>20.61</v>
      </c>
      <c r="G140" s="12" t="s">
        <v>99</v>
      </c>
      <c r="H140" s="11">
        <v>0.12</v>
      </c>
      <c r="I140" t="s">
        <v>734</v>
      </c>
      <c r="J140">
        <v>13.46</v>
      </c>
      <c r="K140" t="s">
        <v>50</v>
      </c>
      <c r="L140" t="s">
        <v>31</v>
      </c>
      <c r="M140" t="s">
        <v>22</v>
      </c>
      <c r="N140" t="s">
        <v>53</v>
      </c>
      <c r="O140" t="s">
        <v>24</v>
      </c>
      <c r="P140" t="s">
        <v>34</v>
      </c>
      <c r="Q140">
        <v>432.81</v>
      </c>
      <c r="R140">
        <v>51.937199999999997</v>
      </c>
      <c r="S140" s="12">
        <v>380.87279999999998</v>
      </c>
    </row>
    <row r="141" spans="1:19" hidden="1" x14ac:dyDescent="0.25">
      <c r="A141" s="13">
        <v>45702</v>
      </c>
      <c r="B141" t="s">
        <v>168</v>
      </c>
      <c r="C141">
        <v>62995</v>
      </c>
      <c r="D141" t="s">
        <v>57</v>
      </c>
      <c r="E141" s="5">
        <v>7</v>
      </c>
      <c r="F141">
        <v>7.45</v>
      </c>
      <c r="G141" s="12" t="s">
        <v>99</v>
      </c>
      <c r="H141" s="11">
        <v>0.13</v>
      </c>
      <c r="I141" t="s">
        <v>29</v>
      </c>
      <c r="J141">
        <v>28.73</v>
      </c>
      <c r="K141" t="s">
        <v>37</v>
      </c>
      <c r="L141" t="s">
        <v>31</v>
      </c>
      <c r="M141" t="s">
        <v>22</v>
      </c>
      <c r="N141" t="s">
        <v>53</v>
      </c>
      <c r="O141" t="s">
        <v>39</v>
      </c>
      <c r="P141" t="s">
        <v>25</v>
      </c>
      <c r="Q141">
        <v>74.5</v>
      </c>
      <c r="R141">
        <v>9.6850000000000005</v>
      </c>
      <c r="S141" s="12">
        <v>359.0181</v>
      </c>
    </row>
    <row r="142" spans="1:19" hidden="1" x14ac:dyDescent="0.25">
      <c r="A142" s="13">
        <v>45694</v>
      </c>
      <c r="B142" t="s">
        <v>529</v>
      </c>
      <c r="C142">
        <v>30705</v>
      </c>
      <c r="D142" t="s">
        <v>46</v>
      </c>
      <c r="E142" s="5">
        <v>47</v>
      </c>
      <c r="F142">
        <v>88.15</v>
      </c>
      <c r="G142" s="12" t="s">
        <v>99</v>
      </c>
      <c r="H142" s="11">
        <v>0.32</v>
      </c>
      <c r="I142" t="s">
        <v>19</v>
      </c>
      <c r="J142">
        <v>23.25</v>
      </c>
      <c r="K142" s="5" t="s">
        <v>44</v>
      </c>
      <c r="L142" t="s">
        <v>31</v>
      </c>
      <c r="M142" t="s">
        <v>22</v>
      </c>
      <c r="N142" t="s">
        <v>53</v>
      </c>
      <c r="O142" t="s">
        <v>33</v>
      </c>
      <c r="P142" t="s">
        <v>25</v>
      </c>
      <c r="Q142">
        <v>2468.2000000000003</v>
      </c>
      <c r="R142">
        <v>789.82400000000007</v>
      </c>
      <c r="S142" s="12">
        <v>352.52820000000003</v>
      </c>
    </row>
    <row r="143" spans="1:19" hidden="1" x14ac:dyDescent="0.25">
      <c r="A143" s="13">
        <v>45708</v>
      </c>
      <c r="B143" t="s">
        <v>677</v>
      </c>
      <c r="C143">
        <v>19390</v>
      </c>
      <c r="D143" t="s">
        <v>49</v>
      </c>
      <c r="E143" s="5">
        <v>14</v>
      </c>
      <c r="F143">
        <v>52.96</v>
      </c>
      <c r="G143" s="12" t="s">
        <v>99</v>
      </c>
      <c r="H143" s="11">
        <v>0.4</v>
      </c>
      <c r="I143" t="s">
        <v>29</v>
      </c>
      <c r="J143">
        <v>17.100000000000001</v>
      </c>
      <c r="K143" t="s">
        <v>30</v>
      </c>
      <c r="L143" s="14" t="s">
        <v>21</v>
      </c>
      <c r="M143" t="s">
        <v>22</v>
      </c>
      <c r="N143" t="s">
        <v>53</v>
      </c>
      <c r="O143" t="s">
        <v>33</v>
      </c>
      <c r="P143" t="s">
        <v>40</v>
      </c>
      <c r="Q143">
        <v>158.88</v>
      </c>
      <c r="R143">
        <v>63.552</v>
      </c>
      <c r="S143" s="12">
        <v>324.2106</v>
      </c>
    </row>
    <row r="144" spans="1:19" hidden="1" x14ac:dyDescent="0.25">
      <c r="A144" s="13">
        <v>45668</v>
      </c>
      <c r="B144" t="s">
        <v>174</v>
      </c>
      <c r="C144">
        <v>98568</v>
      </c>
      <c r="D144" t="s">
        <v>70</v>
      </c>
      <c r="E144" s="5">
        <v>7</v>
      </c>
      <c r="F144">
        <v>79.27</v>
      </c>
      <c r="G144" s="12" t="s">
        <v>99</v>
      </c>
      <c r="H144" s="11">
        <v>0.44</v>
      </c>
      <c r="I144" t="s">
        <v>734</v>
      </c>
      <c r="J144">
        <v>22.39</v>
      </c>
      <c r="K144" t="s">
        <v>37</v>
      </c>
      <c r="L144" s="14" t="s">
        <v>21</v>
      </c>
      <c r="M144" t="s">
        <v>22</v>
      </c>
      <c r="N144" t="s">
        <v>38</v>
      </c>
      <c r="O144" t="s">
        <v>24</v>
      </c>
      <c r="P144" t="s">
        <v>25</v>
      </c>
      <c r="Q144">
        <v>1189.05</v>
      </c>
      <c r="R144">
        <v>523.18200000000002</v>
      </c>
      <c r="S144" s="12">
        <v>319.06</v>
      </c>
    </row>
    <row r="145" spans="1:19" x14ac:dyDescent="0.25">
      <c r="A145" s="13">
        <v>45690</v>
      </c>
      <c r="B145" t="s">
        <v>479</v>
      </c>
      <c r="C145">
        <v>79445</v>
      </c>
      <c r="D145" t="s">
        <v>75</v>
      </c>
      <c r="E145" s="5">
        <v>14</v>
      </c>
      <c r="F145" s="23">
        <v>22.52</v>
      </c>
      <c r="G145" s="12" t="s">
        <v>99</v>
      </c>
      <c r="H145" s="37">
        <v>0.14000000000000001</v>
      </c>
      <c r="I145" t="s">
        <v>19</v>
      </c>
      <c r="J145" s="23">
        <v>16.55</v>
      </c>
      <c r="K145" t="s">
        <v>50</v>
      </c>
      <c r="L145" s="14" t="s">
        <v>21</v>
      </c>
      <c r="M145" t="s">
        <v>22</v>
      </c>
      <c r="N145" t="s">
        <v>23</v>
      </c>
      <c r="O145" t="s">
        <v>24</v>
      </c>
      <c r="P145" s="14" t="s">
        <v>34</v>
      </c>
      <c r="Q145" s="23">
        <v>292.76</v>
      </c>
      <c r="R145" s="23">
        <v>40.986400000000003</v>
      </c>
      <c r="S145" s="24">
        <v>270.5668</v>
      </c>
    </row>
    <row r="146" spans="1:19" hidden="1" x14ac:dyDescent="0.25">
      <c r="A146" s="13">
        <v>45684</v>
      </c>
      <c r="B146" t="s">
        <v>414</v>
      </c>
      <c r="C146">
        <v>86549</v>
      </c>
      <c r="D146" t="s">
        <v>27</v>
      </c>
      <c r="E146" s="5">
        <v>8</v>
      </c>
      <c r="F146">
        <v>82.33</v>
      </c>
      <c r="G146" s="12" t="s">
        <v>99</v>
      </c>
      <c r="H146" s="11">
        <v>0.18</v>
      </c>
      <c r="I146" t="s">
        <v>19</v>
      </c>
      <c r="J146">
        <v>12.27</v>
      </c>
      <c r="K146" t="s">
        <v>37</v>
      </c>
      <c r="L146" t="s">
        <v>31</v>
      </c>
      <c r="M146" t="s">
        <v>22</v>
      </c>
      <c r="N146" t="s">
        <v>38</v>
      </c>
      <c r="O146" t="s">
        <v>81</v>
      </c>
      <c r="P146" t="s">
        <v>34</v>
      </c>
      <c r="Q146">
        <v>740.97</v>
      </c>
      <c r="R146">
        <v>133.37459999999999</v>
      </c>
      <c r="S146" s="12">
        <v>267.12</v>
      </c>
    </row>
    <row r="147" spans="1:19" hidden="1" x14ac:dyDescent="0.25">
      <c r="A147" s="13">
        <v>45690</v>
      </c>
      <c r="B147" t="s">
        <v>128</v>
      </c>
      <c r="C147">
        <v>90316</v>
      </c>
      <c r="D147" t="s">
        <v>70</v>
      </c>
      <c r="E147" s="5">
        <v>13</v>
      </c>
      <c r="F147">
        <v>71.900000000000006</v>
      </c>
      <c r="G147" s="12" t="s">
        <v>99</v>
      </c>
      <c r="H147" s="11">
        <v>0.01</v>
      </c>
      <c r="I147" t="s">
        <v>734</v>
      </c>
      <c r="J147">
        <v>9.68</v>
      </c>
      <c r="K147" t="s">
        <v>37</v>
      </c>
      <c r="L147" t="s">
        <v>31</v>
      </c>
      <c r="M147" t="s">
        <v>22</v>
      </c>
      <c r="N147" t="s">
        <v>38</v>
      </c>
      <c r="O147" t="s">
        <v>24</v>
      </c>
      <c r="P147" t="s">
        <v>40</v>
      </c>
      <c r="Q147">
        <v>3091.7000000000003</v>
      </c>
      <c r="R147">
        <v>30.917000000000005</v>
      </c>
      <c r="S147" s="12">
        <v>251.77359999999999</v>
      </c>
    </row>
    <row r="148" spans="1:19" x14ac:dyDescent="0.25">
      <c r="A148" s="13">
        <v>45692</v>
      </c>
      <c r="B148" t="s">
        <v>336</v>
      </c>
      <c r="C148">
        <v>28363</v>
      </c>
      <c r="D148" t="s">
        <v>27</v>
      </c>
      <c r="E148" s="5">
        <v>5</v>
      </c>
      <c r="F148" s="23">
        <v>82.94</v>
      </c>
      <c r="G148" s="12" t="s">
        <v>99</v>
      </c>
      <c r="H148" s="37">
        <v>0.14000000000000001</v>
      </c>
      <c r="I148" t="s">
        <v>29</v>
      </c>
      <c r="J148" s="23">
        <v>15.71</v>
      </c>
      <c r="K148" t="s">
        <v>30</v>
      </c>
      <c r="L148" s="14" t="s">
        <v>21</v>
      </c>
      <c r="M148" t="s">
        <v>22</v>
      </c>
      <c r="N148" t="s">
        <v>38</v>
      </c>
      <c r="O148" t="s">
        <v>33</v>
      </c>
      <c r="P148" s="14" t="s">
        <v>34</v>
      </c>
      <c r="Q148" s="23">
        <v>82.94</v>
      </c>
      <c r="R148" s="23">
        <v>11.611600000000001</v>
      </c>
      <c r="S148" s="24">
        <v>251.4435</v>
      </c>
    </row>
    <row r="149" spans="1:19" hidden="1" x14ac:dyDescent="0.25">
      <c r="A149" s="13">
        <v>45702</v>
      </c>
      <c r="B149" t="s">
        <v>623</v>
      </c>
      <c r="C149">
        <v>55205</v>
      </c>
      <c r="D149" t="s">
        <v>66</v>
      </c>
      <c r="E149" s="5">
        <v>6</v>
      </c>
      <c r="F149">
        <v>55.16</v>
      </c>
      <c r="G149" s="12" t="s">
        <v>99</v>
      </c>
      <c r="H149" s="11">
        <v>0.26</v>
      </c>
      <c r="I149" t="s">
        <v>19</v>
      </c>
      <c r="J149">
        <v>8.3699999999999992</v>
      </c>
      <c r="K149" s="5" t="s">
        <v>44</v>
      </c>
      <c r="L149" s="14" t="s">
        <v>21</v>
      </c>
      <c r="M149" t="s">
        <v>22</v>
      </c>
      <c r="N149" t="s">
        <v>23</v>
      </c>
      <c r="O149" t="s">
        <v>81</v>
      </c>
      <c r="P149" t="s">
        <v>25</v>
      </c>
      <c r="Q149">
        <v>2206.3999999999996</v>
      </c>
      <c r="R149">
        <v>573.66399999999987</v>
      </c>
      <c r="S149" s="12">
        <v>227.02500000000003</v>
      </c>
    </row>
    <row r="150" spans="1:19" hidden="1" x14ac:dyDescent="0.25">
      <c r="A150" s="13">
        <v>45695</v>
      </c>
      <c r="B150" t="s">
        <v>301</v>
      </c>
      <c r="C150">
        <v>72710</v>
      </c>
      <c r="D150" t="s">
        <v>75</v>
      </c>
      <c r="E150" s="5">
        <v>8</v>
      </c>
      <c r="F150">
        <v>77.650000000000006</v>
      </c>
      <c r="G150" s="12" t="s">
        <v>99</v>
      </c>
      <c r="H150" s="11">
        <v>0.43</v>
      </c>
      <c r="I150" t="s">
        <v>19</v>
      </c>
      <c r="J150">
        <v>26.19</v>
      </c>
      <c r="K150" t="s">
        <v>37</v>
      </c>
      <c r="L150" s="14" t="s">
        <v>21</v>
      </c>
      <c r="M150" t="s">
        <v>22</v>
      </c>
      <c r="N150" t="s">
        <v>32</v>
      </c>
      <c r="O150" t="s">
        <v>39</v>
      </c>
      <c r="P150" t="s">
        <v>25</v>
      </c>
      <c r="Q150">
        <v>1397.7</v>
      </c>
      <c r="R150">
        <v>601.01099999999997</v>
      </c>
      <c r="S150" s="12">
        <v>214.71840000000003</v>
      </c>
    </row>
    <row r="151" spans="1:19" hidden="1" x14ac:dyDescent="0.25">
      <c r="A151" s="13">
        <v>45697</v>
      </c>
      <c r="B151" t="s">
        <v>563</v>
      </c>
      <c r="C151">
        <v>83302</v>
      </c>
      <c r="D151" t="s">
        <v>42</v>
      </c>
      <c r="E151" s="5">
        <v>46</v>
      </c>
      <c r="F151">
        <v>49.93</v>
      </c>
      <c r="G151" s="12" t="s">
        <v>99</v>
      </c>
      <c r="H151" s="11">
        <v>0.49</v>
      </c>
      <c r="I151" t="s">
        <v>734</v>
      </c>
      <c r="J151">
        <v>7.92</v>
      </c>
      <c r="K151" t="s">
        <v>50</v>
      </c>
      <c r="L151" s="14" t="s">
        <v>21</v>
      </c>
      <c r="M151" t="s">
        <v>22</v>
      </c>
      <c r="N151" t="s">
        <v>23</v>
      </c>
      <c r="O151" t="s">
        <v>81</v>
      </c>
      <c r="P151" t="s">
        <v>40</v>
      </c>
      <c r="Q151">
        <v>798.88</v>
      </c>
      <c r="R151">
        <v>391.45119999999997</v>
      </c>
      <c r="S151" s="12">
        <v>213.01680000000002</v>
      </c>
    </row>
    <row r="152" spans="1:19" hidden="1" x14ac:dyDescent="0.25">
      <c r="A152" s="13">
        <v>45683</v>
      </c>
      <c r="B152" t="s">
        <v>401</v>
      </c>
      <c r="C152">
        <v>52927</v>
      </c>
      <c r="D152" t="s">
        <v>17</v>
      </c>
      <c r="E152" s="5">
        <v>18</v>
      </c>
      <c r="F152">
        <v>89.2</v>
      </c>
      <c r="G152" s="12" t="s">
        <v>99</v>
      </c>
      <c r="H152" s="11">
        <v>0.37</v>
      </c>
      <c r="I152" t="s">
        <v>19</v>
      </c>
      <c r="J152">
        <v>12.41</v>
      </c>
      <c r="K152" t="s">
        <v>50</v>
      </c>
      <c r="L152" t="s">
        <v>31</v>
      </c>
      <c r="M152" t="s">
        <v>111</v>
      </c>
      <c r="N152" t="s">
        <v>53</v>
      </c>
      <c r="O152" t="s">
        <v>24</v>
      </c>
      <c r="P152" t="s">
        <v>40</v>
      </c>
      <c r="Q152">
        <v>2943.6</v>
      </c>
      <c r="R152">
        <v>1089.1320000000001</v>
      </c>
      <c r="S152" s="12">
        <v>204.1848</v>
      </c>
    </row>
    <row r="153" spans="1:19" hidden="1" x14ac:dyDescent="0.25">
      <c r="A153" s="13">
        <v>45705</v>
      </c>
      <c r="B153" t="s">
        <v>69</v>
      </c>
      <c r="C153">
        <v>94592</v>
      </c>
      <c r="D153" t="s">
        <v>27</v>
      </c>
      <c r="E153" s="5">
        <v>44</v>
      </c>
      <c r="F153">
        <v>76.3</v>
      </c>
      <c r="G153" s="12" t="s">
        <v>99</v>
      </c>
      <c r="H153" s="11">
        <v>0.13</v>
      </c>
      <c r="I153" t="s">
        <v>29</v>
      </c>
      <c r="J153">
        <v>12.96</v>
      </c>
      <c r="K153" t="s">
        <v>20</v>
      </c>
      <c r="L153" t="s">
        <v>31</v>
      </c>
      <c r="M153" t="s">
        <v>22</v>
      </c>
      <c r="N153" t="s">
        <v>53</v>
      </c>
      <c r="O153" t="s">
        <v>24</v>
      </c>
      <c r="P153" t="s">
        <v>25</v>
      </c>
      <c r="Q153">
        <v>839.3</v>
      </c>
      <c r="R153">
        <v>109.10899999999999</v>
      </c>
      <c r="S153" s="12">
        <v>191.91040000000001</v>
      </c>
    </row>
    <row r="154" spans="1:19" hidden="1" x14ac:dyDescent="0.25">
      <c r="A154" s="13">
        <v>45687</v>
      </c>
      <c r="B154" t="s">
        <v>446</v>
      </c>
      <c r="C154">
        <v>71015</v>
      </c>
      <c r="D154" t="s">
        <v>49</v>
      </c>
      <c r="E154" s="5">
        <v>17</v>
      </c>
      <c r="F154">
        <v>49.05</v>
      </c>
      <c r="G154" s="12" t="s">
        <v>99</v>
      </c>
      <c r="H154" s="11">
        <v>0.05</v>
      </c>
      <c r="I154" t="s">
        <v>734</v>
      </c>
      <c r="J154">
        <v>19.5</v>
      </c>
      <c r="K154" t="s">
        <v>50</v>
      </c>
      <c r="L154" s="14" t="s">
        <v>21</v>
      </c>
      <c r="M154" t="s">
        <v>22</v>
      </c>
      <c r="N154" t="s">
        <v>32</v>
      </c>
      <c r="O154" t="s">
        <v>81</v>
      </c>
      <c r="P154" t="s">
        <v>25</v>
      </c>
      <c r="Q154">
        <v>637.65</v>
      </c>
      <c r="R154">
        <v>31.8825</v>
      </c>
      <c r="S154" s="12">
        <v>190.26060000000001</v>
      </c>
    </row>
    <row r="155" spans="1:19" hidden="1" x14ac:dyDescent="0.25">
      <c r="A155" s="13">
        <v>45700</v>
      </c>
      <c r="B155" t="s">
        <v>597</v>
      </c>
      <c r="C155">
        <v>88802</v>
      </c>
      <c r="D155" t="s">
        <v>46</v>
      </c>
      <c r="E155" s="5">
        <v>3</v>
      </c>
      <c r="F155">
        <v>72.569999999999993</v>
      </c>
      <c r="G155" s="12" t="s">
        <v>99</v>
      </c>
      <c r="H155" s="11">
        <v>0</v>
      </c>
      <c r="I155" t="s">
        <v>734</v>
      </c>
      <c r="J155">
        <v>12.43</v>
      </c>
      <c r="K155" s="5" t="s">
        <v>44</v>
      </c>
      <c r="L155" t="s">
        <v>31</v>
      </c>
      <c r="M155" t="s">
        <v>22</v>
      </c>
      <c r="N155" t="s">
        <v>38</v>
      </c>
      <c r="O155" t="s">
        <v>33</v>
      </c>
      <c r="P155" t="s">
        <v>34</v>
      </c>
      <c r="Q155">
        <v>3555.93</v>
      </c>
      <c r="R155">
        <v>0</v>
      </c>
      <c r="S155" s="12">
        <v>137.57940000000002</v>
      </c>
    </row>
    <row r="156" spans="1:19" hidden="1" x14ac:dyDescent="0.25">
      <c r="A156" s="13">
        <v>45665</v>
      </c>
      <c r="B156" t="s">
        <v>154</v>
      </c>
      <c r="C156">
        <v>94953</v>
      </c>
      <c r="D156" t="s">
        <v>66</v>
      </c>
      <c r="E156" s="5">
        <v>14</v>
      </c>
      <c r="F156">
        <v>68.569999999999993</v>
      </c>
      <c r="G156" s="12" t="s">
        <v>99</v>
      </c>
      <c r="H156" s="11">
        <v>0.37</v>
      </c>
      <c r="I156" t="s">
        <v>29</v>
      </c>
      <c r="J156">
        <v>5.64</v>
      </c>
      <c r="K156" t="s">
        <v>50</v>
      </c>
      <c r="L156" t="s">
        <v>31</v>
      </c>
      <c r="M156" t="s">
        <v>22</v>
      </c>
      <c r="N156" t="s">
        <v>32</v>
      </c>
      <c r="O156" t="s">
        <v>24</v>
      </c>
      <c r="P156" t="s">
        <v>25</v>
      </c>
      <c r="Q156">
        <v>2399.9499999999998</v>
      </c>
      <c r="R156">
        <v>887.98149999999987</v>
      </c>
      <c r="S156" s="12">
        <v>93.384200000000007</v>
      </c>
    </row>
    <row r="157" spans="1:19" hidden="1" x14ac:dyDescent="0.25">
      <c r="A157" s="13">
        <v>45700</v>
      </c>
      <c r="B157" t="s">
        <v>286</v>
      </c>
      <c r="C157">
        <v>24170</v>
      </c>
      <c r="D157" t="s">
        <v>75</v>
      </c>
      <c r="E157" s="5">
        <v>44</v>
      </c>
      <c r="F157">
        <v>81.41</v>
      </c>
      <c r="G157" s="12" t="s">
        <v>99</v>
      </c>
      <c r="H157" s="11">
        <v>0.12</v>
      </c>
      <c r="I157" t="s">
        <v>734</v>
      </c>
      <c r="J157">
        <v>15.64</v>
      </c>
      <c r="K157" s="5" t="s">
        <v>44</v>
      </c>
      <c r="L157" t="s">
        <v>31</v>
      </c>
      <c r="M157" t="s">
        <v>111</v>
      </c>
      <c r="N157" t="s">
        <v>38</v>
      </c>
      <c r="O157" t="s">
        <v>24</v>
      </c>
      <c r="P157" t="s">
        <v>34</v>
      </c>
      <c r="Q157">
        <v>2035.25</v>
      </c>
      <c r="R157">
        <v>244.23</v>
      </c>
      <c r="S157" s="12">
        <v>86.724000000000004</v>
      </c>
    </row>
    <row r="158" spans="1:19" hidden="1" x14ac:dyDescent="0.25">
      <c r="A158" s="13">
        <v>45712</v>
      </c>
      <c r="B158" t="s">
        <v>711</v>
      </c>
      <c r="C158">
        <v>37273</v>
      </c>
      <c r="D158" t="s">
        <v>68</v>
      </c>
      <c r="E158" s="5">
        <v>4</v>
      </c>
      <c r="F158">
        <v>73.650000000000006</v>
      </c>
      <c r="G158" s="12" t="s">
        <v>99</v>
      </c>
      <c r="H158" s="11">
        <v>0.03</v>
      </c>
      <c r="I158" t="s">
        <v>734</v>
      </c>
      <c r="J158">
        <v>26.31</v>
      </c>
      <c r="K158" t="s">
        <v>30</v>
      </c>
      <c r="L158" t="s">
        <v>31</v>
      </c>
      <c r="M158" t="s">
        <v>22</v>
      </c>
      <c r="N158" t="s">
        <v>38</v>
      </c>
      <c r="O158" t="s">
        <v>33</v>
      </c>
      <c r="P158" t="s">
        <v>40</v>
      </c>
      <c r="Q158">
        <v>73.650000000000006</v>
      </c>
      <c r="R158">
        <v>2.2095000000000002</v>
      </c>
      <c r="S158" s="12">
        <v>20.1096</v>
      </c>
    </row>
    <row r="159" spans="1:19" hidden="1" x14ac:dyDescent="0.25">
      <c r="A159" s="13">
        <v>45704</v>
      </c>
      <c r="B159" t="s">
        <v>261</v>
      </c>
      <c r="C159">
        <v>97316</v>
      </c>
      <c r="D159" t="s">
        <v>57</v>
      </c>
      <c r="E159" s="5">
        <v>3</v>
      </c>
      <c r="F159">
        <v>24.85</v>
      </c>
      <c r="G159" s="12" t="s">
        <v>99</v>
      </c>
      <c r="H159" s="11">
        <v>0.39</v>
      </c>
      <c r="I159" t="s">
        <v>29</v>
      </c>
      <c r="J159">
        <v>6.77</v>
      </c>
      <c r="K159" t="s">
        <v>20</v>
      </c>
      <c r="L159" t="s">
        <v>31</v>
      </c>
      <c r="M159" t="s">
        <v>111</v>
      </c>
      <c r="N159" t="s">
        <v>23</v>
      </c>
      <c r="O159" t="s">
        <v>81</v>
      </c>
      <c r="P159" t="s">
        <v>25</v>
      </c>
      <c r="Q159">
        <v>820.05000000000007</v>
      </c>
      <c r="R159">
        <v>319.81950000000006</v>
      </c>
      <c r="S159" s="12">
        <v>11.230799999999999</v>
      </c>
    </row>
    <row r="160" spans="1:19" hidden="1" x14ac:dyDescent="0.25">
      <c r="A160" s="13">
        <v>45672</v>
      </c>
      <c r="B160" t="s">
        <v>119</v>
      </c>
      <c r="C160">
        <v>82177</v>
      </c>
      <c r="D160" t="s">
        <v>49</v>
      </c>
      <c r="E160" s="5">
        <v>41</v>
      </c>
      <c r="F160">
        <v>42.61</v>
      </c>
      <c r="G160" s="12" t="s">
        <v>58</v>
      </c>
      <c r="H160" s="11">
        <v>0.37</v>
      </c>
      <c r="I160" t="s">
        <v>29</v>
      </c>
      <c r="J160">
        <v>14.31</v>
      </c>
      <c r="K160" s="5" t="s">
        <v>44</v>
      </c>
      <c r="L160" t="s">
        <v>31</v>
      </c>
      <c r="M160" t="s">
        <v>22</v>
      </c>
      <c r="N160" t="s">
        <v>53</v>
      </c>
      <c r="O160" t="s">
        <v>81</v>
      </c>
      <c r="P160" t="s">
        <v>34</v>
      </c>
      <c r="Q160">
        <v>1789.62</v>
      </c>
      <c r="R160">
        <v>662.15940000000001</v>
      </c>
      <c r="S160" s="12">
        <v>3610.2960000000003</v>
      </c>
    </row>
    <row r="161" spans="1:19" hidden="1" x14ac:dyDescent="0.25">
      <c r="A161" s="13">
        <v>45700</v>
      </c>
      <c r="B161" t="s">
        <v>593</v>
      </c>
      <c r="C161">
        <v>25840</v>
      </c>
      <c r="D161" t="s">
        <v>27</v>
      </c>
      <c r="E161" s="5">
        <v>49</v>
      </c>
      <c r="F161">
        <v>75.180000000000007</v>
      </c>
      <c r="G161" s="12" t="s">
        <v>58</v>
      </c>
      <c r="H161" s="11">
        <v>0.39</v>
      </c>
      <c r="I161" t="s">
        <v>29</v>
      </c>
      <c r="J161">
        <v>29.79</v>
      </c>
      <c r="K161" t="s">
        <v>37</v>
      </c>
      <c r="L161" t="s">
        <v>31</v>
      </c>
      <c r="M161" t="s">
        <v>22</v>
      </c>
      <c r="N161" t="s">
        <v>32</v>
      </c>
      <c r="O161" t="s">
        <v>59</v>
      </c>
      <c r="P161" t="s">
        <v>25</v>
      </c>
      <c r="Q161">
        <v>225.54000000000002</v>
      </c>
      <c r="R161">
        <v>87.960600000000014</v>
      </c>
      <c r="S161" s="12">
        <v>3555.93</v>
      </c>
    </row>
    <row r="162" spans="1:19" hidden="1" x14ac:dyDescent="0.25">
      <c r="A162" s="13">
        <v>45696</v>
      </c>
      <c r="B162" t="s">
        <v>550</v>
      </c>
      <c r="C162">
        <v>92314</v>
      </c>
      <c r="D162" t="s">
        <v>70</v>
      </c>
      <c r="E162" s="5">
        <v>48</v>
      </c>
      <c r="F162">
        <v>43.9</v>
      </c>
      <c r="G162" s="12" t="s">
        <v>58</v>
      </c>
      <c r="H162" s="11">
        <v>0.45</v>
      </c>
      <c r="I162" t="s">
        <v>19</v>
      </c>
      <c r="J162">
        <v>25.77</v>
      </c>
      <c r="K162" t="s">
        <v>20</v>
      </c>
      <c r="L162" t="s">
        <v>31</v>
      </c>
      <c r="M162" t="s">
        <v>22</v>
      </c>
      <c r="N162" t="s">
        <v>53</v>
      </c>
      <c r="O162" t="s">
        <v>81</v>
      </c>
      <c r="P162" t="s">
        <v>25</v>
      </c>
      <c r="Q162">
        <v>1843.8</v>
      </c>
      <c r="R162">
        <v>829.71</v>
      </c>
      <c r="S162" s="12">
        <v>3450.4128000000001</v>
      </c>
    </row>
    <row r="163" spans="1:19" x14ac:dyDescent="0.25">
      <c r="A163" s="13">
        <v>45672</v>
      </c>
      <c r="B163" t="s">
        <v>202</v>
      </c>
      <c r="C163">
        <v>71918</v>
      </c>
      <c r="D163" t="s">
        <v>75</v>
      </c>
      <c r="E163" s="5">
        <v>36</v>
      </c>
      <c r="F163" s="23">
        <v>53</v>
      </c>
      <c r="G163" s="12" t="s">
        <v>58</v>
      </c>
      <c r="H163" s="37">
        <v>0.38</v>
      </c>
      <c r="I163" t="s">
        <v>734</v>
      </c>
      <c r="J163" s="23">
        <v>12.26</v>
      </c>
      <c r="K163" s="5" t="s">
        <v>44</v>
      </c>
      <c r="L163" s="14" t="s">
        <v>21</v>
      </c>
      <c r="M163" t="s">
        <v>22</v>
      </c>
      <c r="N163" t="s">
        <v>53</v>
      </c>
      <c r="O163" t="s">
        <v>59</v>
      </c>
      <c r="P163" s="14" t="s">
        <v>34</v>
      </c>
      <c r="Q163" s="23">
        <v>1484</v>
      </c>
      <c r="R163" s="23">
        <v>563.91999999999996</v>
      </c>
      <c r="S163" s="24">
        <v>3324.924</v>
      </c>
    </row>
    <row r="164" spans="1:19" hidden="1" x14ac:dyDescent="0.25">
      <c r="A164" s="13">
        <v>45690</v>
      </c>
      <c r="B164" t="s">
        <v>130</v>
      </c>
      <c r="C164">
        <v>73186</v>
      </c>
      <c r="D164" t="s">
        <v>46</v>
      </c>
      <c r="E164" s="5">
        <v>42</v>
      </c>
      <c r="F164">
        <v>65.66</v>
      </c>
      <c r="G164" s="12" t="s">
        <v>58</v>
      </c>
      <c r="H164" s="11">
        <v>7.0000000000000007E-2</v>
      </c>
      <c r="I164" t="s">
        <v>734</v>
      </c>
      <c r="J164">
        <v>18.079999999999998</v>
      </c>
      <c r="K164" t="s">
        <v>20</v>
      </c>
      <c r="L164" t="s">
        <v>31</v>
      </c>
      <c r="M164" t="s">
        <v>22</v>
      </c>
      <c r="N164" t="s">
        <v>38</v>
      </c>
      <c r="O164" t="s">
        <v>39</v>
      </c>
      <c r="P164" t="s">
        <v>40</v>
      </c>
      <c r="Q164">
        <v>1116.22</v>
      </c>
      <c r="R164">
        <v>78.135400000000004</v>
      </c>
      <c r="S164" s="12">
        <v>3176.04</v>
      </c>
    </row>
    <row r="165" spans="1:19" hidden="1" x14ac:dyDescent="0.25">
      <c r="A165" s="13">
        <v>45701</v>
      </c>
      <c r="B165" t="s">
        <v>612</v>
      </c>
      <c r="C165">
        <v>48221</v>
      </c>
      <c r="D165" t="s">
        <v>42</v>
      </c>
      <c r="E165" s="5">
        <v>39</v>
      </c>
      <c r="F165">
        <v>99.17</v>
      </c>
      <c r="G165" s="12" t="s">
        <v>58</v>
      </c>
      <c r="H165" s="11">
        <v>0.28000000000000003</v>
      </c>
      <c r="I165" t="s">
        <v>29</v>
      </c>
      <c r="J165">
        <v>21.08</v>
      </c>
      <c r="K165" s="5" t="s">
        <v>44</v>
      </c>
      <c r="L165" t="s">
        <v>31</v>
      </c>
      <c r="M165" t="s">
        <v>22</v>
      </c>
      <c r="N165" t="s">
        <v>32</v>
      </c>
      <c r="O165" t="s">
        <v>39</v>
      </c>
      <c r="P165" t="s">
        <v>40</v>
      </c>
      <c r="Q165">
        <v>1090.8700000000001</v>
      </c>
      <c r="R165">
        <v>305.44360000000006</v>
      </c>
      <c r="S165" s="12">
        <v>3164.4911999999995</v>
      </c>
    </row>
    <row r="166" spans="1:19" x14ac:dyDescent="0.25">
      <c r="A166" s="13">
        <v>45690</v>
      </c>
      <c r="B166" t="s">
        <v>257</v>
      </c>
      <c r="C166">
        <v>10600</v>
      </c>
      <c r="D166" t="s">
        <v>70</v>
      </c>
      <c r="E166" s="5">
        <v>43</v>
      </c>
      <c r="F166" s="23">
        <v>27.22</v>
      </c>
      <c r="G166" s="12" t="s">
        <v>58</v>
      </c>
      <c r="H166" s="37">
        <v>0.28999999999999998</v>
      </c>
      <c r="I166" t="s">
        <v>734</v>
      </c>
      <c r="J166" s="23">
        <v>9.3800000000000008</v>
      </c>
      <c r="K166" t="s">
        <v>30</v>
      </c>
      <c r="L166" s="14" t="s">
        <v>21</v>
      </c>
      <c r="M166" t="s">
        <v>22</v>
      </c>
      <c r="N166" t="s">
        <v>23</v>
      </c>
      <c r="O166" t="s">
        <v>33</v>
      </c>
      <c r="P166" s="14" t="s">
        <v>34</v>
      </c>
      <c r="Q166" s="23">
        <v>381.08</v>
      </c>
      <c r="R166" s="23">
        <v>110.51319999999998</v>
      </c>
      <c r="S166" s="24">
        <v>3060.7830000000004</v>
      </c>
    </row>
    <row r="167" spans="1:19" hidden="1" x14ac:dyDescent="0.25">
      <c r="A167" s="13">
        <v>45685</v>
      </c>
      <c r="B167" t="s">
        <v>391</v>
      </c>
      <c r="C167">
        <v>89484</v>
      </c>
      <c r="D167" t="s">
        <v>57</v>
      </c>
      <c r="E167" s="5">
        <v>44</v>
      </c>
      <c r="F167">
        <v>71.25</v>
      </c>
      <c r="G167" s="12" t="s">
        <v>58</v>
      </c>
      <c r="H167" s="11">
        <v>0.35</v>
      </c>
      <c r="I167" t="s">
        <v>19</v>
      </c>
      <c r="J167">
        <v>5.84</v>
      </c>
      <c r="K167" t="s">
        <v>50</v>
      </c>
      <c r="L167" t="s">
        <v>31</v>
      </c>
      <c r="M167" t="s">
        <v>22</v>
      </c>
      <c r="N167" t="s">
        <v>53</v>
      </c>
      <c r="O167" t="s">
        <v>24</v>
      </c>
      <c r="P167" t="s">
        <v>40</v>
      </c>
      <c r="Q167">
        <v>1710</v>
      </c>
      <c r="R167">
        <v>598.5</v>
      </c>
      <c r="S167" s="12">
        <v>2940.52</v>
      </c>
    </row>
    <row r="168" spans="1:19" hidden="1" x14ac:dyDescent="0.25">
      <c r="A168" s="13">
        <v>45677</v>
      </c>
      <c r="B168" t="s">
        <v>290</v>
      </c>
      <c r="C168">
        <v>48684</v>
      </c>
      <c r="D168" t="s">
        <v>46</v>
      </c>
      <c r="E168" s="5">
        <v>40</v>
      </c>
      <c r="F168">
        <v>90.06</v>
      </c>
      <c r="G168" s="12" t="s">
        <v>58</v>
      </c>
      <c r="H168" s="11">
        <v>0.24</v>
      </c>
      <c r="I168" t="s">
        <v>734</v>
      </c>
      <c r="J168">
        <v>23.18</v>
      </c>
      <c r="K168" t="s">
        <v>20</v>
      </c>
      <c r="L168" s="14" t="s">
        <v>21</v>
      </c>
      <c r="M168" t="s">
        <v>22</v>
      </c>
      <c r="N168" t="s">
        <v>38</v>
      </c>
      <c r="O168" t="s">
        <v>81</v>
      </c>
      <c r="P168" t="s">
        <v>40</v>
      </c>
      <c r="Q168">
        <v>4412.9400000000005</v>
      </c>
      <c r="R168">
        <v>1059.1056000000001</v>
      </c>
      <c r="S168" s="12">
        <v>2930.92</v>
      </c>
    </row>
    <row r="169" spans="1:19" hidden="1" x14ac:dyDescent="0.25">
      <c r="A169" s="13">
        <v>45710</v>
      </c>
      <c r="B169" t="s">
        <v>206</v>
      </c>
      <c r="C169">
        <v>35297</v>
      </c>
      <c r="D169" t="s">
        <v>66</v>
      </c>
      <c r="E169" s="5">
        <v>35</v>
      </c>
      <c r="F169">
        <v>38.22</v>
      </c>
      <c r="G169" s="12" t="s">
        <v>58</v>
      </c>
      <c r="H169" s="11">
        <v>0.46</v>
      </c>
      <c r="I169" t="s">
        <v>19</v>
      </c>
      <c r="J169">
        <v>9.61</v>
      </c>
      <c r="K169" t="s">
        <v>50</v>
      </c>
      <c r="L169" t="s">
        <v>31</v>
      </c>
      <c r="M169" t="s">
        <v>22</v>
      </c>
      <c r="N169" t="s">
        <v>32</v>
      </c>
      <c r="O169" t="s">
        <v>39</v>
      </c>
      <c r="P169" t="s">
        <v>25</v>
      </c>
      <c r="Q169">
        <v>1872.78</v>
      </c>
      <c r="R169">
        <v>861.47879999999998</v>
      </c>
      <c r="S169" s="12">
        <v>2643.2</v>
      </c>
    </row>
    <row r="170" spans="1:19" hidden="1" x14ac:dyDescent="0.25">
      <c r="A170" s="13">
        <v>45664</v>
      </c>
      <c r="B170" t="s">
        <v>146</v>
      </c>
      <c r="C170">
        <v>57608</v>
      </c>
      <c r="D170" t="s">
        <v>89</v>
      </c>
      <c r="E170" s="5">
        <v>43</v>
      </c>
      <c r="F170">
        <v>88.49</v>
      </c>
      <c r="G170" s="12" t="s">
        <v>58</v>
      </c>
      <c r="H170" s="11">
        <v>0.33</v>
      </c>
      <c r="I170" t="s">
        <v>29</v>
      </c>
      <c r="J170">
        <v>27.94</v>
      </c>
      <c r="K170" t="s">
        <v>20</v>
      </c>
      <c r="L170" t="s">
        <v>31</v>
      </c>
      <c r="M170" t="s">
        <v>22</v>
      </c>
      <c r="N170" t="s">
        <v>23</v>
      </c>
      <c r="O170" t="s">
        <v>39</v>
      </c>
      <c r="P170" t="s">
        <v>34</v>
      </c>
      <c r="Q170">
        <v>3805.0699999999997</v>
      </c>
      <c r="R170">
        <v>1255.6731</v>
      </c>
      <c r="S170" s="12">
        <v>2549.3968999999997</v>
      </c>
    </row>
    <row r="171" spans="1:19" x14ac:dyDescent="0.25">
      <c r="A171" s="13">
        <v>45702</v>
      </c>
      <c r="B171" t="s">
        <v>624</v>
      </c>
      <c r="C171">
        <v>87789</v>
      </c>
      <c r="D171" t="s">
        <v>27</v>
      </c>
      <c r="E171" s="5">
        <v>47</v>
      </c>
      <c r="F171" s="23">
        <v>9.48</v>
      </c>
      <c r="G171" s="12" t="s">
        <v>58</v>
      </c>
      <c r="H171" s="37">
        <v>0.14000000000000001</v>
      </c>
      <c r="I171" t="s">
        <v>734</v>
      </c>
      <c r="J171" s="23">
        <v>5.71</v>
      </c>
      <c r="K171" s="5" t="s">
        <v>44</v>
      </c>
      <c r="L171" s="14" t="s">
        <v>21</v>
      </c>
      <c r="M171" t="s">
        <v>22</v>
      </c>
      <c r="N171" t="s">
        <v>38</v>
      </c>
      <c r="O171" t="s">
        <v>39</v>
      </c>
      <c r="P171" s="14" t="s">
        <v>34</v>
      </c>
      <c r="Q171" s="23">
        <v>132.72</v>
      </c>
      <c r="R171" s="23">
        <v>18.5808</v>
      </c>
      <c r="S171" s="24">
        <v>2399.7824000000001</v>
      </c>
    </row>
    <row r="172" spans="1:19" hidden="1" x14ac:dyDescent="0.25">
      <c r="A172" s="13">
        <v>45708</v>
      </c>
      <c r="B172" t="s">
        <v>671</v>
      </c>
      <c r="C172">
        <v>75040</v>
      </c>
      <c r="D172" t="s">
        <v>66</v>
      </c>
      <c r="E172" s="5">
        <v>31</v>
      </c>
      <c r="F172">
        <v>29.72</v>
      </c>
      <c r="G172" s="12" t="s">
        <v>58</v>
      </c>
      <c r="H172" s="11">
        <v>0.47</v>
      </c>
      <c r="I172" t="s">
        <v>29</v>
      </c>
      <c r="J172">
        <v>6.36</v>
      </c>
      <c r="K172" t="s">
        <v>50</v>
      </c>
      <c r="L172" t="s">
        <v>31</v>
      </c>
      <c r="M172" t="s">
        <v>22</v>
      </c>
      <c r="N172" t="s">
        <v>53</v>
      </c>
      <c r="O172" t="s">
        <v>24</v>
      </c>
      <c r="P172" t="s">
        <v>40</v>
      </c>
      <c r="Q172">
        <v>208.04</v>
      </c>
      <c r="R172">
        <v>97.77879999999999</v>
      </c>
      <c r="S172" s="12">
        <v>2345.0322000000001</v>
      </c>
    </row>
    <row r="173" spans="1:19" hidden="1" x14ac:dyDescent="0.25">
      <c r="A173" s="13">
        <v>45684</v>
      </c>
      <c r="B173" t="s">
        <v>320</v>
      </c>
      <c r="C173">
        <v>38309</v>
      </c>
      <c r="D173" t="s">
        <v>49</v>
      </c>
      <c r="E173" s="5">
        <v>40</v>
      </c>
      <c r="F173">
        <v>50.81</v>
      </c>
      <c r="G173" s="12" t="s">
        <v>58</v>
      </c>
      <c r="H173" s="11">
        <v>0.5</v>
      </c>
      <c r="I173" t="s">
        <v>29</v>
      </c>
      <c r="J173">
        <v>16.73</v>
      </c>
      <c r="K173" s="5" t="s">
        <v>44</v>
      </c>
      <c r="L173" s="14" t="s">
        <v>21</v>
      </c>
      <c r="M173" t="s">
        <v>22</v>
      </c>
      <c r="N173" t="s">
        <v>38</v>
      </c>
      <c r="O173" t="s">
        <v>81</v>
      </c>
      <c r="P173" t="s">
        <v>25</v>
      </c>
      <c r="Q173">
        <v>1117.8200000000002</v>
      </c>
      <c r="R173">
        <v>558.91000000000008</v>
      </c>
      <c r="S173" s="12">
        <v>2330.4080000000004</v>
      </c>
    </row>
    <row r="174" spans="1:19" hidden="1" x14ac:dyDescent="0.25">
      <c r="A174" s="13">
        <v>45711</v>
      </c>
      <c r="B174" t="s">
        <v>708</v>
      </c>
      <c r="C174">
        <v>85853</v>
      </c>
      <c r="D174" t="s">
        <v>70</v>
      </c>
      <c r="E174" s="5">
        <v>39</v>
      </c>
      <c r="F174">
        <v>35.549999999999997</v>
      </c>
      <c r="G174" s="12" t="s">
        <v>58</v>
      </c>
      <c r="H174" s="11">
        <v>0.35</v>
      </c>
      <c r="I174" t="s">
        <v>29</v>
      </c>
      <c r="J174">
        <v>29.84</v>
      </c>
      <c r="K174" t="s">
        <v>37</v>
      </c>
      <c r="L174" t="s">
        <v>31</v>
      </c>
      <c r="M174" t="s">
        <v>22</v>
      </c>
      <c r="N174" t="s">
        <v>53</v>
      </c>
      <c r="O174" t="s">
        <v>24</v>
      </c>
      <c r="P174" t="s">
        <v>34</v>
      </c>
      <c r="Q174">
        <v>924.3</v>
      </c>
      <c r="R174">
        <v>323.50499999999994</v>
      </c>
      <c r="S174" s="12">
        <v>2092.7906999999996</v>
      </c>
    </row>
    <row r="175" spans="1:19" hidden="1" x14ac:dyDescent="0.25">
      <c r="A175" s="13">
        <v>45703</v>
      </c>
      <c r="B175" t="s">
        <v>620</v>
      </c>
      <c r="C175">
        <v>58505</v>
      </c>
      <c r="D175" t="s">
        <v>68</v>
      </c>
      <c r="E175" s="5">
        <v>39</v>
      </c>
      <c r="F175">
        <v>24.55</v>
      </c>
      <c r="G175" s="12" t="s">
        <v>58</v>
      </c>
      <c r="H175" s="11">
        <v>0.35</v>
      </c>
      <c r="I175" t="s">
        <v>734</v>
      </c>
      <c r="J175">
        <v>25.31</v>
      </c>
      <c r="K175" t="s">
        <v>30</v>
      </c>
      <c r="L175" t="s">
        <v>31</v>
      </c>
      <c r="M175" t="s">
        <v>22</v>
      </c>
      <c r="N175" t="s">
        <v>53</v>
      </c>
      <c r="O175" t="s">
        <v>33</v>
      </c>
      <c r="P175" t="s">
        <v>25</v>
      </c>
      <c r="Q175">
        <v>711.95</v>
      </c>
      <c r="R175">
        <v>249.1825</v>
      </c>
      <c r="S175" s="12">
        <v>2087.8883999999998</v>
      </c>
    </row>
    <row r="176" spans="1:19" hidden="1" x14ac:dyDescent="0.25">
      <c r="A176" s="13">
        <v>45696</v>
      </c>
      <c r="B176" t="s">
        <v>549</v>
      </c>
      <c r="C176">
        <v>56075</v>
      </c>
      <c r="D176" t="s">
        <v>46</v>
      </c>
      <c r="E176" s="5">
        <v>21</v>
      </c>
      <c r="F176">
        <v>32.5</v>
      </c>
      <c r="G176" s="12" t="s">
        <v>58</v>
      </c>
      <c r="H176" s="11">
        <v>0.45</v>
      </c>
      <c r="I176" t="s">
        <v>734</v>
      </c>
      <c r="J176">
        <v>5.0599999999999996</v>
      </c>
      <c r="K176" t="s">
        <v>37</v>
      </c>
      <c r="L176" t="s">
        <v>31</v>
      </c>
      <c r="M176" t="s">
        <v>22</v>
      </c>
      <c r="N176" t="s">
        <v>32</v>
      </c>
      <c r="O176" t="s">
        <v>24</v>
      </c>
      <c r="P176" t="s">
        <v>25</v>
      </c>
      <c r="Q176">
        <v>747.5</v>
      </c>
      <c r="R176">
        <v>336.375</v>
      </c>
      <c r="S176" s="12">
        <v>1941.0867000000001</v>
      </c>
    </row>
    <row r="177" spans="1:19" hidden="1" x14ac:dyDescent="0.25">
      <c r="A177" s="13">
        <v>45673</v>
      </c>
      <c r="B177" t="s">
        <v>215</v>
      </c>
      <c r="C177">
        <v>75820</v>
      </c>
      <c r="D177" t="s">
        <v>42</v>
      </c>
      <c r="E177" s="5">
        <v>34</v>
      </c>
      <c r="F177">
        <v>53</v>
      </c>
      <c r="G177" s="12" t="s">
        <v>58</v>
      </c>
      <c r="H177" s="11">
        <v>0.45</v>
      </c>
      <c r="I177" t="s">
        <v>734</v>
      </c>
      <c r="J177">
        <v>20.82</v>
      </c>
      <c r="K177" t="s">
        <v>37</v>
      </c>
      <c r="L177" s="14" t="s">
        <v>21</v>
      </c>
      <c r="M177" t="s">
        <v>22</v>
      </c>
      <c r="N177" t="s">
        <v>53</v>
      </c>
      <c r="O177" t="s">
        <v>59</v>
      </c>
      <c r="P177" t="s">
        <v>25</v>
      </c>
      <c r="Q177">
        <v>2491</v>
      </c>
      <c r="R177">
        <v>1120.95</v>
      </c>
      <c r="S177" s="12">
        <v>1921.1461999999999</v>
      </c>
    </row>
    <row r="178" spans="1:19" hidden="1" x14ac:dyDescent="0.25">
      <c r="A178" s="13">
        <v>45688</v>
      </c>
      <c r="B178" t="s">
        <v>247</v>
      </c>
      <c r="C178">
        <v>49695</v>
      </c>
      <c r="D178" t="s">
        <v>68</v>
      </c>
      <c r="E178" s="5">
        <v>25</v>
      </c>
      <c r="F178">
        <v>57.05</v>
      </c>
      <c r="G178" s="12" t="s">
        <v>58</v>
      </c>
      <c r="H178" s="11">
        <v>0.46</v>
      </c>
      <c r="I178" t="s">
        <v>29</v>
      </c>
      <c r="J178">
        <v>16.43</v>
      </c>
      <c r="K178" t="s">
        <v>30</v>
      </c>
      <c r="L178" t="s">
        <v>31</v>
      </c>
      <c r="M178" t="s">
        <v>22</v>
      </c>
      <c r="N178" t="s">
        <v>23</v>
      </c>
      <c r="O178" t="s">
        <v>33</v>
      </c>
      <c r="P178" t="s">
        <v>25</v>
      </c>
      <c r="Q178">
        <v>285.25</v>
      </c>
      <c r="R178">
        <v>131.215</v>
      </c>
      <c r="S178" s="12">
        <v>1785.145</v>
      </c>
    </row>
    <row r="179" spans="1:19" hidden="1" x14ac:dyDescent="0.25">
      <c r="A179" s="13">
        <v>45704</v>
      </c>
      <c r="B179" t="s">
        <v>600</v>
      </c>
      <c r="C179">
        <v>46846</v>
      </c>
      <c r="D179" t="s">
        <v>42</v>
      </c>
      <c r="E179" s="5">
        <v>43</v>
      </c>
      <c r="F179">
        <v>13.22</v>
      </c>
      <c r="G179" s="12" t="s">
        <v>58</v>
      </c>
      <c r="H179" s="11">
        <v>0.04</v>
      </c>
      <c r="I179" t="s">
        <v>19</v>
      </c>
      <c r="J179">
        <v>22.21</v>
      </c>
      <c r="K179" t="s">
        <v>20</v>
      </c>
      <c r="L179" t="s">
        <v>31</v>
      </c>
      <c r="M179" t="s">
        <v>22</v>
      </c>
      <c r="N179" t="s">
        <v>23</v>
      </c>
      <c r="O179" t="s">
        <v>24</v>
      </c>
      <c r="P179" t="s">
        <v>34</v>
      </c>
      <c r="Q179">
        <v>594.9</v>
      </c>
      <c r="R179">
        <v>23.795999999999999</v>
      </c>
      <c r="S179" s="12">
        <v>1745.4560000000001</v>
      </c>
    </row>
    <row r="180" spans="1:19" hidden="1" x14ac:dyDescent="0.25">
      <c r="A180" s="13">
        <v>45692</v>
      </c>
      <c r="B180" t="s">
        <v>439</v>
      </c>
      <c r="C180">
        <v>26003</v>
      </c>
      <c r="D180" t="s">
        <v>46</v>
      </c>
      <c r="E180" s="5">
        <v>26</v>
      </c>
      <c r="F180">
        <v>59.92</v>
      </c>
      <c r="G180" s="12" t="s">
        <v>58</v>
      </c>
      <c r="H180" s="11">
        <v>0.11</v>
      </c>
      <c r="I180" t="s">
        <v>19</v>
      </c>
      <c r="J180">
        <v>8.52</v>
      </c>
      <c r="K180" s="5" t="s">
        <v>44</v>
      </c>
      <c r="L180" s="14" t="s">
        <v>21</v>
      </c>
      <c r="M180" t="s">
        <v>22</v>
      </c>
      <c r="N180" t="s">
        <v>53</v>
      </c>
      <c r="O180" t="s">
        <v>24</v>
      </c>
      <c r="P180" t="s">
        <v>25</v>
      </c>
      <c r="Q180">
        <v>299.60000000000002</v>
      </c>
      <c r="R180">
        <v>32.956000000000003</v>
      </c>
      <c r="S180" s="12">
        <v>1683.8692000000001</v>
      </c>
    </row>
    <row r="181" spans="1:19" hidden="1" x14ac:dyDescent="0.25">
      <c r="A181" s="13">
        <v>45665</v>
      </c>
      <c r="B181" t="s">
        <v>155</v>
      </c>
      <c r="C181">
        <v>26202</v>
      </c>
      <c r="D181" t="s">
        <v>57</v>
      </c>
      <c r="E181" s="5">
        <v>19</v>
      </c>
      <c r="F181">
        <v>42.98</v>
      </c>
      <c r="G181" s="12" t="s">
        <v>58</v>
      </c>
      <c r="H181" s="11">
        <v>0.12</v>
      </c>
      <c r="I181" t="s">
        <v>734</v>
      </c>
      <c r="J181">
        <v>26.37</v>
      </c>
      <c r="K181" t="s">
        <v>20</v>
      </c>
      <c r="L181" s="14" t="s">
        <v>21</v>
      </c>
      <c r="M181" t="s">
        <v>22</v>
      </c>
      <c r="N181" t="s">
        <v>23</v>
      </c>
      <c r="O181" t="s">
        <v>59</v>
      </c>
      <c r="P181" t="s">
        <v>25</v>
      </c>
      <c r="Q181">
        <v>343.84</v>
      </c>
      <c r="R181">
        <v>41.260799999999996</v>
      </c>
      <c r="S181" s="12">
        <v>1661.6488000000002</v>
      </c>
    </row>
    <row r="182" spans="1:19" hidden="1" x14ac:dyDescent="0.25">
      <c r="A182" s="13">
        <v>45696</v>
      </c>
      <c r="B182" t="s">
        <v>554</v>
      </c>
      <c r="C182">
        <v>72045</v>
      </c>
      <c r="D182" t="s">
        <v>89</v>
      </c>
      <c r="E182" s="5">
        <v>30</v>
      </c>
      <c r="F182">
        <v>51.33</v>
      </c>
      <c r="G182" s="12" t="s">
        <v>58</v>
      </c>
      <c r="H182" s="11">
        <v>0.14000000000000001</v>
      </c>
      <c r="I182" t="s">
        <v>29</v>
      </c>
      <c r="J182">
        <v>25.04</v>
      </c>
      <c r="K182" s="5" t="s">
        <v>44</v>
      </c>
      <c r="L182" s="14" t="s">
        <v>21</v>
      </c>
      <c r="M182" t="s">
        <v>22</v>
      </c>
      <c r="N182" t="s">
        <v>38</v>
      </c>
      <c r="O182" t="s">
        <v>24</v>
      </c>
      <c r="P182" t="s">
        <v>25</v>
      </c>
      <c r="Q182">
        <v>1283.25</v>
      </c>
      <c r="R182">
        <v>179.65500000000003</v>
      </c>
      <c r="S182" s="12">
        <v>1573.2</v>
      </c>
    </row>
    <row r="183" spans="1:19" x14ac:dyDescent="0.25">
      <c r="A183" s="13">
        <v>45682</v>
      </c>
      <c r="B183" t="s">
        <v>382</v>
      </c>
      <c r="C183">
        <v>82279</v>
      </c>
      <c r="D183" t="s">
        <v>46</v>
      </c>
      <c r="E183" s="5">
        <v>48</v>
      </c>
      <c r="F183" s="23">
        <v>92.97</v>
      </c>
      <c r="G183" s="12" t="s">
        <v>58</v>
      </c>
      <c r="H183" s="37">
        <v>0.49</v>
      </c>
      <c r="I183" t="s">
        <v>19</v>
      </c>
      <c r="J183" s="23">
        <v>28.12</v>
      </c>
      <c r="K183" t="s">
        <v>50</v>
      </c>
      <c r="L183" s="14" t="s">
        <v>21</v>
      </c>
      <c r="M183" t="s">
        <v>22</v>
      </c>
      <c r="N183" t="s">
        <v>32</v>
      </c>
      <c r="O183" t="s">
        <v>59</v>
      </c>
      <c r="P183" s="14" t="s">
        <v>34</v>
      </c>
      <c r="Q183" s="23">
        <v>743.76</v>
      </c>
      <c r="R183" s="23">
        <v>364.44239999999996</v>
      </c>
      <c r="S183" s="24">
        <v>1528.4304</v>
      </c>
    </row>
    <row r="184" spans="1:19" hidden="1" x14ac:dyDescent="0.25">
      <c r="A184" s="13">
        <v>45672</v>
      </c>
      <c r="B184" t="s">
        <v>194</v>
      </c>
      <c r="C184">
        <v>92731</v>
      </c>
      <c r="D184" t="s">
        <v>75</v>
      </c>
      <c r="E184" s="5">
        <v>26</v>
      </c>
      <c r="F184">
        <v>94.9</v>
      </c>
      <c r="G184" s="12" t="s">
        <v>58</v>
      </c>
      <c r="H184" s="11">
        <v>0.39</v>
      </c>
      <c r="I184" t="s">
        <v>29</v>
      </c>
      <c r="J184">
        <v>8.51</v>
      </c>
      <c r="K184" t="s">
        <v>30</v>
      </c>
      <c r="L184" t="s">
        <v>31</v>
      </c>
      <c r="M184" t="s">
        <v>22</v>
      </c>
      <c r="N184" t="s">
        <v>23</v>
      </c>
      <c r="O184" t="s">
        <v>24</v>
      </c>
      <c r="P184" t="s">
        <v>34</v>
      </c>
      <c r="Q184">
        <v>2467.4</v>
      </c>
      <c r="R184">
        <v>962.28600000000006</v>
      </c>
      <c r="S184" s="12">
        <v>1505.114</v>
      </c>
    </row>
    <row r="185" spans="1:19" hidden="1" x14ac:dyDescent="0.25">
      <c r="A185" s="13">
        <v>45692</v>
      </c>
      <c r="B185" t="s">
        <v>508</v>
      </c>
      <c r="C185">
        <v>20551</v>
      </c>
      <c r="D185" t="s">
        <v>68</v>
      </c>
      <c r="E185" s="5">
        <v>26</v>
      </c>
      <c r="F185">
        <v>42.98</v>
      </c>
      <c r="G185" s="12" t="s">
        <v>58</v>
      </c>
      <c r="H185" s="11">
        <v>0.27</v>
      </c>
      <c r="I185" t="s">
        <v>19</v>
      </c>
      <c r="J185">
        <v>16.329999999999998</v>
      </c>
      <c r="K185" t="s">
        <v>37</v>
      </c>
      <c r="L185" s="14" t="s">
        <v>21</v>
      </c>
      <c r="M185" t="s">
        <v>22</v>
      </c>
      <c r="N185" t="s">
        <v>32</v>
      </c>
      <c r="O185" t="s">
        <v>81</v>
      </c>
      <c r="P185" t="s">
        <v>25</v>
      </c>
      <c r="Q185">
        <v>85.96</v>
      </c>
      <c r="R185">
        <v>23.209199999999999</v>
      </c>
      <c r="S185" s="12">
        <v>1457.664</v>
      </c>
    </row>
    <row r="186" spans="1:19" hidden="1" x14ac:dyDescent="0.25">
      <c r="A186" s="13">
        <v>45666</v>
      </c>
      <c r="B186" t="s">
        <v>163</v>
      </c>
      <c r="C186">
        <v>95209</v>
      </c>
      <c r="D186" t="s">
        <v>70</v>
      </c>
      <c r="E186" s="5">
        <v>26</v>
      </c>
      <c r="F186">
        <v>62.79</v>
      </c>
      <c r="G186" s="12" t="s">
        <v>58</v>
      </c>
      <c r="H186" s="11">
        <v>0.2</v>
      </c>
      <c r="I186" t="s">
        <v>19</v>
      </c>
      <c r="J186">
        <v>17</v>
      </c>
      <c r="K186" t="s">
        <v>50</v>
      </c>
      <c r="L186" t="s">
        <v>31</v>
      </c>
      <c r="M186" t="s">
        <v>22</v>
      </c>
      <c r="N186" t="s">
        <v>53</v>
      </c>
      <c r="O186" t="s">
        <v>33</v>
      </c>
      <c r="P186" t="s">
        <v>40</v>
      </c>
      <c r="Q186">
        <v>1193.01</v>
      </c>
      <c r="R186">
        <v>238.602</v>
      </c>
      <c r="S186" s="12">
        <v>1427.374</v>
      </c>
    </row>
    <row r="187" spans="1:19" hidden="1" x14ac:dyDescent="0.25">
      <c r="A187" s="13">
        <v>45659</v>
      </c>
      <c r="B187" t="s">
        <v>56</v>
      </c>
      <c r="C187">
        <v>31295</v>
      </c>
      <c r="D187" t="s">
        <v>57</v>
      </c>
      <c r="E187" s="5">
        <v>33</v>
      </c>
      <c r="F187">
        <v>28.96</v>
      </c>
      <c r="G187" s="12" t="s">
        <v>58</v>
      </c>
      <c r="H187" s="11">
        <v>0.18</v>
      </c>
      <c r="I187" t="s">
        <v>19</v>
      </c>
      <c r="J187">
        <v>13.81</v>
      </c>
      <c r="K187" t="s">
        <v>37</v>
      </c>
      <c r="L187" s="14" t="s">
        <v>21</v>
      </c>
      <c r="M187" t="s">
        <v>22</v>
      </c>
      <c r="N187" t="s">
        <v>32</v>
      </c>
      <c r="O187" t="s">
        <v>59</v>
      </c>
      <c r="P187" t="s">
        <v>40</v>
      </c>
      <c r="Q187">
        <v>608.16</v>
      </c>
      <c r="R187">
        <v>109.46879999999999</v>
      </c>
      <c r="S187" s="12">
        <v>1376.3343</v>
      </c>
    </row>
    <row r="188" spans="1:19" x14ac:dyDescent="0.25">
      <c r="A188" s="13">
        <v>45710</v>
      </c>
      <c r="B188" t="s">
        <v>698</v>
      </c>
      <c r="C188">
        <v>76117</v>
      </c>
      <c r="D188" t="s">
        <v>27</v>
      </c>
      <c r="E188" s="5">
        <v>34</v>
      </c>
      <c r="F188" s="23">
        <v>47.9</v>
      </c>
      <c r="G188" s="12" t="s">
        <v>58</v>
      </c>
      <c r="H188" s="37">
        <v>0.11</v>
      </c>
      <c r="I188" t="s">
        <v>19</v>
      </c>
      <c r="J188" s="23">
        <v>11.22</v>
      </c>
      <c r="K188" t="s">
        <v>30</v>
      </c>
      <c r="L188" s="14" t="s">
        <v>21</v>
      </c>
      <c r="M188" t="s">
        <v>22</v>
      </c>
      <c r="N188" t="s">
        <v>38</v>
      </c>
      <c r="O188" t="s">
        <v>24</v>
      </c>
      <c r="P188" s="14" t="s">
        <v>34</v>
      </c>
      <c r="Q188" s="23">
        <v>47.9</v>
      </c>
      <c r="R188" s="23">
        <v>5.2690000000000001</v>
      </c>
      <c r="S188" s="24">
        <v>1373.3518000000001</v>
      </c>
    </row>
    <row r="189" spans="1:19" hidden="1" x14ac:dyDescent="0.25">
      <c r="A189" s="13">
        <v>45703</v>
      </c>
      <c r="B189" t="s">
        <v>67</v>
      </c>
      <c r="C189">
        <v>10462</v>
      </c>
      <c r="D189" t="s">
        <v>17</v>
      </c>
      <c r="E189" s="5">
        <v>19</v>
      </c>
      <c r="F189">
        <v>99.14</v>
      </c>
      <c r="G189" s="12" t="s">
        <v>58</v>
      </c>
      <c r="H189" s="11">
        <v>0.46</v>
      </c>
      <c r="I189" t="s">
        <v>29</v>
      </c>
      <c r="J189">
        <v>8.3000000000000007</v>
      </c>
      <c r="K189" t="s">
        <v>37</v>
      </c>
      <c r="L189" s="14" t="s">
        <v>21</v>
      </c>
      <c r="M189" t="s">
        <v>22</v>
      </c>
      <c r="N189" t="s">
        <v>32</v>
      </c>
      <c r="O189" t="s">
        <v>39</v>
      </c>
      <c r="P189" t="s">
        <v>40</v>
      </c>
      <c r="Q189">
        <v>3866.46</v>
      </c>
      <c r="R189">
        <v>1778.5716</v>
      </c>
      <c r="S189" s="12">
        <v>1228.9466000000002</v>
      </c>
    </row>
    <row r="190" spans="1:19" hidden="1" x14ac:dyDescent="0.25">
      <c r="A190" s="13">
        <v>45706</v>
      </c>
      <c r="B190" t="s">
        <v>660</v>
      </c>
      <c r="C190">
        <v>19711</v>
      </c>
      <c r="D190" t="s">
        <v>27</v>
      </c>
      <c r="E190" s="5">
        <v>23</v>
      </c>
      <c r="F190">
        <v>32.86</v>
      </c>
      <c r="G190" s="12" t="s">
        <v>58</v>
      </c>
      <c r="H190" s="11">
        <v>0.38</v>
      </c>
      <c r="I190" t="s">
        <v>734</v>
      </c>
      <c r="J190">
        <v>20.07</v>
      </c>
      <c r="K190" t="s">
        <v>20</v>
      </c>
      <c r="L190" t="s">
        <v>31</v>
      </c>
      <c r="M190" t="s">
        <v>22</v>
      </c>
      <c r="N190" t="s">
        <v>23</v>
      </c>
      <c r="O190" t="s">
        <v>39</v>
      </c>
      <c r="P190" t="s">
        <v>34</v>
      </c>
      <c r="Q190">
        <v>591.48</v>
      </c>
      <c r="R190">
        <v>224.76240000000001</v>
      </c>
      <c r="S190" s="12">
        <v>1202.3112000000001</v>
      </c>
    </row>
    <row r="191" spans="1:19" hidden="1" x14ac:dyDescent="0.25">
      <c r="A191" s="13">
        <v>45700</v>
      </c>
      <c r="B191" t="s">
        <v>62</v>
      </c>
      <c r="C191">
        <v>23673</v>
      </c>
      <c r="D191" t="s">
        <v>42</v>
      </c>
      <c r="E191" s="5">
        <v>27</v>
      </c>
      <c r="F191">
        <v>69.33</v>
      </c>
      <c r="G191" s="12" t="s">
        <v>58</v>
      </c>
      <c r="H191" s="11">
        <v>0.43</v>
      </c>
      <c r="I191" t="s">
        <v>734</v>
      </c>
      <c r="J191">
        <v>23.65</v>
      </c>
      <c r="K191" t="s">
        <v>50</v>
      </c>
      <c r="L191" s="14" t="s">
        <v>21</v>
      </c>
      <c r="M191" t="s">
        <v>22</v>
      </c>
      <c r="N191" t="s">
        <v>32</v>
      </c>
      <c r="O191" t="s">
        <v>39</v>
      </c>
      <c r="P191" t="s">
        <v>25</v>
      </c>
      <c r="Q191">
        <v>1871.9099999999999</v>
      </c>
      <c r="R191">
        <v>804.92129999999997</v>
      </c>
      <c r="S191" s="12">
        <v>1162.3716000000002</v>
      </c>
    </row>
    <row r="192" spans="1:19" hidden="1" x14ac:dyDescent="0.25">
      <c r="A192" s="13">
        <v>45697</v>
      </c>
      <c r="B192" t="s">
        <v>556</v>
      </c>
      <c r="C192">
        <v>52670</v>
      </c>
      <c r="D192" t="s">
        <v>46</v>
      </c>
      <c r="E192" s="5">
        <v>34</v>
      </c>
      <c r="F192">
        <v>86.01</v>
      </c>
      <c r="G192" s="12" t="s">
        <v>58</v>
      </c>
      <c r="H192" s="11">
        <v>0.39</v>
      </c>
      <c r="I192" t="s">
        <v>19</v>
      </c>
      <c r="J192">
        <v>22.99</v>
      </c>
      <c r="K192" t="s">
        <v>20</v>
      </c>
      <c r="L192" t="s">
        <v>31</v>
      </c>
      <c r="M192" t="s">
        <v>22</v>
      </c>
      <c r="N192" t="s">
        <v>23</v>
      </c>
      <c r="O192" t="s">
        <v>24</v>
      </c>
      <c r="P192" t="s">
        <v>40</v>
      </c>
      <c r="Q192">
        <v>860.1</v>
      </c>
      <c r="R192">
        <v>335.43900000000002</v>
      </c>
      <c r="S192" s="12">
        <v>1089.2647999999999</v>
      </c>
    </row>
    <row r="193" spans="1:19" hidden="1" x14ac:dyDescent="0.25">
      <c r="A193" s="13">
        <v>45681</v>
      </c>
      <c r="B193" t="s">
        <v>345</v>
      </c>
      <c r="C193">
        <v>72759</v>
      </c>
      <c r="D193" t="s">
        <v>57</v>
      </c>
      <c r="E193" s="5">
        <v>24</v>
      </c>
      <c r="F193">
        <v>20.440000000000001</v>
      </c>
      <c r="G193" s="12" t="s">
        <v>58</v>
      </c>
      <c r="H193" s="11">
        <v>0.32</v>
      </c>
      <c r="I193" t="s">
        <v>29</v>
      </c>
      <c r="J193">
        <v>14.3</v>
      </c>
      <c r="K193" s="5" t="s">
        <v>44</v>
      </c>
      <c r="L193" t="s">
        <v>31</v>
      </c>
      <c r="M193" t="s">
        <v>22</v>
      </c>
      <c r="N193" t="s">
        <v>32</v>
      </c>
      <c r="O193" t="s">
        <v>59</v>
      </c>
      <c r="P193" t="s">
        <v>34</v>
      </c>
      <c r="Q193">
        <v>572.32000000000005</v>
      </c>
      <c r="R193">
        <v>183.14240000000001</v>
      </c>
      <c r="S193" s="12">
        <v>1069.0559999999998</v>
      </c>
    </row>
    <row r="194" spans="1:19" hidden="1" x14ac:dyDescent="0.25">
      <c r="A194" s="13">
        <v>45708</v>
      </c>
      <c r="B194" t="s">
        <v>232</v>
      </c>
      <c r="C194">
        <v>86755</v>
      </c>
      <c r="D194" t="s">
        <v>57</v>
      </c>
      <c r="E194" s="5">
        <v>27</v>
      </c>
      <c r="F194">
        <v>77.73</v>
      </c>
      <c r="G194" s="12" t="s">
        <v>58</v>
      </c>
      <c r="H194" s="11">
        <v>0.48</v>
      </c>
      <c r="I194" t="s">
        <v>734</v>
      </c>
      <c r="J194">
        <v>10.94</v>
      </c>
      <c r="K194" t="s">
        <v>20</v>
      </c>
      <c r="L194" t="s">
        <v>31</v>
      </c>
      <c r="M194" t="s">
        <v>22</v>
      </c>
      <c r="N194" t="s">
        <v>23</v>
      </c>
      <c r="O194" t="s">
        <v>33</v>
      </c>
      <c r="P194" t="s">
        <v>25</v>
      </c>
      <c r="Q194">
        <v>3653.3100000000004</v>
      </c>
      <c r="R194">
        <v>1753.5888000000002</v>
      </c>
      <c r="S194" s="12">
        <v>1023.0732</v>
      </c>
    </row>
    <row r="195" spans="1:19" hidden="1" x14ac:dyDescent="0.25">
      <c r="A195" s="13">
        <v>45662</v>
      </c>
      <c r="B195" t="s">
        <v>125</v>
      </c>
      <c r="C195">
        <v>15751</v>
      </c>
      <c r="D195" t="s">
        <v>89</v>
      </c>
      <c r="E195" s="5">
        <v>20</v>
      </c>
      <c r="F195">
        <v>71.94</v>
      </c>
      <c r="G195" s="12" t="s">
        <v>58</v>
      </c>
      <c r="H195" s="11">
        <v>0.02</v>
      </c>
      <c r="I195" t="s">
        <v>29</v>
      </c>
      <c r="J195">
        <v>23</v>
      </c>
      <c r="K195" s="5" t="s">
        <v>44</v>
      </c>
      <c r="L195" t="s">
        <v>31</v>
      </c>
      <c r="M195" t="s">
        <v>22</v>
      </c>
      <c r="N195" t="s">
        <v>53</v>
      </c>
      <c r="O195" t="s">
        <v>81</v>
      </c>
      <c r="P195" t="s">
        <v>34</v>
      </c>
      <c r="Q195">
        <v>2805.66</v>
      </c>
      <c r="R195">
        <v>56.113199999999999</v>
      </c>
      <c r="S195" s="12">
        <v>1014.8359999999999</v>
      </c>
    </row>
    <row r="196" spans="1:19" hidden="1" x14ac:dyDescent="0.25">
      <c r="A196" s="13">
        <v>45673</v>
      </c>
      <c r="B196" t="s">
        <v>223</v>
      </c>
      <c r="C196">
        <v>82134</v>
      </c>
      <c r="D196" t="s">
        <v>70</v>
      </c>
      <c r="E196" s="5">
        <v>24</v>
      </c>
      <c r="F196">
        <v>23.44</v>
      </c>
      <c r="G196" s="12" t="s">
        <v>58</v>
      </c>
      <c r="H196" s="11">
        <v>0.35</v>
      </c>
      <c r="I196" t="s">
        <v>29</v>
      </c>
      <c r="J196">
        <v>22.73</v>
      </c>
      <c r="K196" t="s">
        <v>20</v>
      </c>
      <c r="L196" s="14" t="s">
        <v>21</v>
      </c>
      <c r="M196" t="s">
        <v>22</v>
      </c>
      <c r="N196" t="s">
        <v>38</v>
      </c>
      <c r="O196" t="s">
        <v>39</v>
      </c>
      <c r="P196" t="s">
        <v>25</v>
      </c>
      <c r="Q196">
        <v>468.8</v>
      </c>
      <c r="R196">
        <v>164.07999999999998</v>
      </c>
      <c r="S196" s="12">
        <v>1005.0768</v>
      </c>
    </row>
    <row r="197" spans="1:19" hidden="1" x14ac:dyDescent="0.25">
      <c r="A197" s="13">
        <v>45684</v>
      </c>
      <c r="B197" t="s">
        <v>410</v>
      </c>
      <c r="C197">
        <v>13470</v>
      </c>
      <c r="D197" t="s">
        <v>42</v>
      </c>
      <c r="E197" s="5">
        <v>26</v>
      </c>
      <c r="F197">
        <v>48.07</v>
      </c>
      <c r="G197" s="12" t="s">
        <v>58</v>
      </c>
      <c r="H197" s="11">
        <v>0.34</v>
      </c>
      <c r="I197" t="s">
        <v>734</v>
      </c>
      <c r="J197">
        <v>26.23</v>
      </c>
      <c r="K197" t="s">
        <v>30</v>
      </c>
      <c r="L197" t="s">
        <v>31</v>
      </c>
      <c r="M197" t="s">
        <v>22</v>
      </c>
      <c r="N197" t="s">
        <v>38</v>
      </c>
      <c r="O197" t="s">
        <v>59</v>
      </c>
      <c r="P197" t="s">
        <v>40</v>
      </c>
      <c r="Q197">
        <v>192.28</v>
      </c>
      <c r="R197">
        <v>65.375200000000007</v>
      </c>
      <c r="S197" s="12">
        <v>987.38640000000009</v>
      </c>
    </row>
    <row r="198" spans="1:19" hidden="1" x14ac:dyDescent="0.25">
      <c r="A198" s="13">
        <v>45672</v>
      </c>
      <c r="B198" t="s">
        <v>200</v>
      </c>
      <c r="C198">
        <v>90369</v>
      </c>
      <c r="D198" t="s">
        <v>49</v>
      </c>
      <c r="E198" s="5">
        <v>36</v>
      </c>
      <c r="F198">
        <v>93.51</v>
      </c>
      <c r="G198" s="12" t="s">
        <v>58</v>
      </c>
      <c r="H198" s="11">
        <v>0.15</v>
      </c>
      <c r="I198" t="s">
        <v>29</v>
      </c>
      <c r="J198">
        <v>12.16</v>
      </c>
      <c r="K198" t="s">
        <v>20</v>
      </c>
      <c r="L198" t="s">
        <v>31</v>
      </c>
      <c r="M198" t="s">
        <v>22</v>
      </c>
      <c r="N198" t="s">
        <v>23</v>
      </c>
      <c r="O198" t="s">
        <v>39</v>
      </c>
      <c r="P198" t="s">
        <v>40</v>
      </c>
      <c r="Q198">
        <v>2805.3</v>
      </c>
      <c r="R198">
        <v>420.79500000000002</v>
      </c>
      <c r="S198" s="12">
        <v>976.57559999999989</v>
      </c>
    </row>
    <row r="199" spans="1:19" hidden="1" x14ac:dyDescent="0.25">
      <c r="A199" s="13">
        <v>45698</v>
      </c>
      <c r="B199" t="s">
        <v>576</v>
      </c>
      <c r="C199">
        <v>56000</v>
      </c>
      <c r="D199" t="s">
        <v>89</v>
      </c>
      <c r="E199" s="5">
        <v>25</v>
      </c>
      <c r="F199">
        <v>89.69</v>
      </c>
      <c r="G199" s="12" t="s">
        <v>58</v>
      </c>
      <c r="H199" s="11">
        <v>0.31</v>
      </c>
      <c r="I199" t="s">
        <v>29</v>
      </c>
      <c r="J199">
        <v>21.24</v>
      </c>
      <c r="K199" t="s">
        <v>50</v>
      </c>
      <c r="L199" s="14" t="s">
        <v>21</v>
      </c>
      <c r="M199" t="s">
        <v>22</v>
      </c>
      <c r="N199" t="s">
        <v>38</v>
      </c>
      <c r="O199" t="s">
        <v>59</v>
      </c>
      <c r="P199" t="s">
        <v>25</v>
      </c>
      <c r="Q199">
        <v>4305.12</v>
      </c>
      <c r="R199">
        <v>1334.5871999999999</v>
      </c>
      <c r="S199" s="12">
        <v>958.60249999999996</v>
      </c>
    </row>
    <row r="200" spans="1:19" hidden="1" x14ac:dyDescent="0.25">
      <c r="A200" s="13">
        <v>45680</v>
      </c>
      <c r="B200" t="s">
        <v>349</v>
      </c>
      <c r="C200">
        <v>48605</v>
      </c>
      <c r="D200" t="s">
        <v>27</v>
      </c>
      <c r="E200" s="5">
        <v>18</v>
      </c>
      <c r="F200">
        <v>71.150000000000006</v>
      </c>
      <c r="G200" s="12" t="s">
        <v>58</v>
      </c>
      <c r="H200" s="11">
        <v>0.26</v>
      </c>
      <c r="I200" t="s">
        <v>19</v>
      </c>
      <c r="J200">
        <v>5.93</v>
      </c>
      <c r="K200" s="5" t="s">
        <v>44</v>
      </c>
      <c r="L200" t="s">
        <v>31</v>
      </c>
      <c r="M200" t="s">
        <v>735</v>
      </c>
      <c r="N200" t="s">
        <v>32</v>
      </c>
      <c r="O200" t="s">
        <v>39</v>
      </c>
      <c r="P200" t="s">
        <v>34</v>
      </c>
      <c r="Q200">
        <v>2490.25</v>
      </c>
      <c r="R200">
        <v>647.46500000000003</v>
      </c>
      <c r="S200" s="12">
        <v>929.1078</v>
      </c>
    </row>
    <row r="201" spans="1:19" hidden="1" x14ac:dyDescent="0.25">
      <c r="A201" s="13">
        <v>45699</v>
      </c>
      <c r="B201" t="s">
        <v>585</v>
      </c>
      <c r="C201">
        <v>39484</v>
      </c>
      <c r="D201" t="s">
        <v>46</v>
      </c>
      <c r="E201" s="5">
        <v>40</v>
      </c>
      <c r="F201">
        <v>85.41</v>
      </c>
      <c r="G201" s="12" t="s">
        <v>58</v>
      </c>
      <c r="H201" s="11">
        <v>0.35</v>
      </c>
      <c r="I201" t="s">
        <v>734</v>
      </c>
      <c r="J201">
        <v>6.85</v>
      </c>
      <c r="K201" t="s">
        <v>50</v>
      </c>
      <c r="L201" t="s">
        <v>31</v>
      </c>
      <c r="M201" t="s">
        <v>22</v>
      </c>
      <c r="N201" t="s">
        <v>32</v>
      </c>
      <c r="O201" t="s">
        <v>33</v>
      </c>
      <c r="P201" t="s">
        <v>34</v>
      </c>
      <c r="Q201">
        <v>2989.35</v>
      </c>
      <c r="R201">
        <v>1046.2724999999998</v>
      </c>
      <c r="S201" s="12">
        <v>883.87199999999996</v>
      </c>
    </row>
    <row r="202" spans="1:19" hidden="1" x14ac:dyDescent="0.25">
      <c r="A202" s="13">
        <v>45707</v>
      </c>
      <c r="B202" t="s">
        <v>238</v>
      </c>
      <c r="C202">
        <v>93820</v>
      </c>
      <c r="D202" t="s">
        <v>57</v>
      </c>
      <c r="E202" s="5">
        <v>34</v>
      </c>
      <c r="F202">
        <v>4.49</v>
      </c>
      <c r="G202" s="12" t="s">
        <v>58</v>
      </c>
      <c r="H202" s="11">
        <v>0.37</v>
      </c>
      <c r="I202" t="s">
        <v>19</v>
      </c>
      <c r="J202">
        <v>11.11</v>
      </c>
      <c r="K202" t="s">
        <v>20</v>
      </c>
      <c r="L202" s="14" t="s">
        <v>21</v>
      </c>
      <c r="M202" t="s">
        <v>22</v>
      </c>
      <c r="N202" t="s">
        <v>23</v>
      </c>
      <c r="O202" t="s">
        <v>39</v>
      </c>
      <c r="P202" t="s">
        <v>25</v>
      </c>
      <c r="Q202">
        <v>112.25</v>
      </c>
      <c r="R202">
        <v>41.532499999999999</v>
      </c>
      <c r="S202" s="12">
        <v>804.16800000000001</v>
      </c>
    </row>
    <row r="203" spans="1:19" hidden="1" x14ac:dyDescent="0.25">
      <c r="A203" s="13">
        <v>45695</v>
      </c>
      <c r="B203" t="s">
        <v>403</v>
      </c>
      <c r="C203">
        <v>72921</v>
      </c>
      <c r="D203" t="s">
        <v>17</v>
      </c>
      <c r="E203" s="5">
        <v>12</v>
      </c>
      <c r="F203">
        <v>79.89</v>
      </c>
      <c r="G203" s="12" t="s">
        <v>58</v>
      </c>
      <c r="H203" s="11">
        <v>0.36</v>
      </c>
      <c r="I203" t="s">
        <v>734</v>
      </c>
      <c r="J203">
        <v>24.33</v>
      </c>
      <c r="K203" t="s">
        <v>20</v>
      </c>
      <c r="L203" t="s">
        <v>31</v>
      </c>
      <c r="M203" t="s">
        <v>22</v>
      </c>
      <c r="N203" t="s">
        <v>32</v>
      </c>
      <c r="O203" t="s">
        <v>81</v>
      </c>
      <c r="P203" t="s">
        <v>34</v>
      </c>
      <c r="Q203">
        <v>3435.27</v>
      </c>
      <c r="R203">
        <v>1236.6971999999998</v>
      </c>
      <c r="S203" s="12">
        <v>793.66560000000004</v>
      </c>
    </row>
    <row r="204" spans="1:19" hidden="1" x14ac:dyDescent="0.25">
      <c r="A204" s="13">
        <v>45677</v>
      </c>
      <c r="B204" t="s">
        <v>292</v>
      </c>
      <c r="C204">
        <v>21293</v>
      </c>
      <c r="D204" t="s">
        <v>75</v>
      </c>
      <c r="E204" s="5">
        <v>27</v>
      </c>
      <c r="F204">
        <v>46.25</v>
      </c>
      <c r="G204" s="12" t="s">
        <v>58</v>
      </c>
      <c r="H204" s="11">
        <v>0.38</v>
      </c>
      <c r="I204" t="s">
        <v>19</v>
      </c>
      <c r="J204">
        <v>20.239999999999998</v>
      </c>
      <c r="K204" t="s">
        <v>20</v>
      </c>
      <c r="L204" s="14" t="s">
        <v>21</v>
      </c>
      <c r="M204" t="s">
        <v>111</v>
      </c>
      <c r="N204" t="s">
        <v>32</v>
      </c>
      <c r="O204" t="s">
        <v>39</v>
      </c>
      <c r="P204" t="s">
        <v>40</v>
      </c>
      <c r="Q204">
        <v>1248.75</v>
      </c>
      <c r="R204">
        <v>474.52499999999998</v>
      </c>
      <c r="S204" s="12">
        <v>774.22500000000002</v>
      </c>
    </row>
    <row r="205" spans="1:19" hidden="1" x14ac:dyDescent="0.25">
      <c r="A205" s="13">
        <v>45704</v>
      </c>
      <c r="B205" t="s">
        <v>228</v>
      </c>
      <c r="C205">
        <v>47046</v>
      </c>
      <c r="D205" t="s">
        <v>17</v>
      </c>
      <c r="E205" s="5">
        <v>28</v>
      </c>
      <c r="F205">
        <v>52.44</v>
      </c>
      <c r="G205" s="12" t="s">
        <v>58</v>
      </c>
      <c r="H205" s="11">
        <v>0.48</v>
      </c>
      <c r="I205" t="s">
        <v>19</v>
      </c>
      <c r="J205">
        <v>10.52</v>
      </c>
      <c r="K205" t="s">
        <v>37</v>
      </c>
      <c r="L205" t="s">
        <v>31</v>
      </c>
      <c r="M205" t="s">
        <v>22</v>
      </c>
      <c r="N205" t="s">
        <v>53</v>
      </c>
      <c r="O205" t="s">
        <v>39</v>
      </c>
      <c r="P205" t="s">
        <v>25</v>
      </c>
      <c r="Q205">
        <v>1468.32</v>
      </c>
      <c r="R205">
        <v>704.79359999999997</v>
      </c>
      <c r="S205" s="12">
        <v>763.52639999999997</v>
      </c>
    </row>
    <row r="206" spans="1:19" hidden="1" x14ac:dyDescent="0.25">
      <c r="A206" s="13">
        <v>45711</v>
      </c>
      <c r="B206" t="s">
        <v>551</v>
      </c>
      <c r="C206">
        <v>77880</v>
      </c>
      <c r="D206" t="s">
        <v>66</v>
      </c>
      <c r="E206" s="5">
        <v>48</v>
      </c>
      <c r="F206">
        <v>9.93</v>
      </c>
      <c r="G206" s="12" t="s">
        <v>58</v>
      </c>
      <c r="H206" s="11">
        <v>0.44</v>
      </c>
      <c r="I206" t="s">
        <v>734</v>
      </c>
      <c r="J206">
        <v>20.65</v>
      </c>
      <c r="K206" s="5" t="s">
        <v>44</v>
      </c>
      <c r="L206" t="s">
        <v>31</v>
      </c>
      <c r="M206" t="s">
        <v>22</v>
      </c>
      <c r="N206" t="s">
        <v>38</v>
      </c>
      <c r="O206" t="s">
        <v>81</v>
      </c>
      <c r="P206" t="s">
        <v>25</v>
      </c>
      <c r="Q206">
        <v>387.27</v>
      </c>
      <c r="R206">
        <v>170.39879999999999</v>
      </c>
      <c r="S206" s="12">
        <v>744.96</v>
      </c>
    </row>
    <row r="207" spans="1:19" hidden="1" x14ac:dyDescent="0.25">
      <c r="A207" s="13">
        <v>45678</v>
      </c>
      <c r="B207" t="s">
        <v>309</v>
      </c>
      <c r="C207">
        <v>48338</v>
      </c>
      <c r="D207" t="s">
        <v>70</v>
      </c>
      <c r="E207" s="5">
        <v>16</v>
      </c>
      <c r="F207">
        <v>72.489999999999995</v>
      </c>
      <c r="G207" s="12" t="s">
        <v>58</v>
      </c>
      <c r="H207" s="11">
        <v>0.31</v>
      </c>
      <c r="I207" t="s">
        <v>734</v>
      </c>
      <c r="J207">
        <v>23.26</v>
      </c>
      <c r="K207" t="s">
        <v>37</v>
      </c>
      <c r="L207" t="s">
        <v>31</v>
      </c>
      <c r="M207" t="s">
        <v>22</v>
      </c>
      <c r="N207" t="s">
        <v>38</v>
      </c>
      <c r="O207" t="s">
        <v>33</v>
      </c>
      <c r="P207" t="s">
        <v>25</v>
      </c>
      <c r="Q207">
        <v>144.97999999999999</v>
      </c>
      <c r="R207">
        <v>44.943799999999996</v>
      </c>
      <c r="S207" s="12">
        <v>738.57600000000002</v>
      </c>
    </row>
    <row r="208" spans="1:19" hidden="1" x14ac:dyDescent="0.25">
      <c r="A208" s="13">
        <v>45686</v>
      </c>
      <c r="B208" t="s">
        <v>436</v>
      </c>
      <c r="C208">
        <v>66129</v>
      </c>
      <c r="D208" t="s">
        <v>17</v>
      </c>
      <c r="E208" s="5">
        <v>15</v>
      </c>
      <c r="F208">
        <v>34.47</v>
      </c>
      <c r="G208" s="12" t="s">
        <v>58</v>
      </c>
      <c r="H208" s="11">
        <v>0.42</v>
      </c>
      <c r="I208" t="s">
        <v>19</v>
      </c>
      <c r="J208">
        <v>8.0500000000000007</v>
      </c>
      <c r="K208" t="s">
        <v>37</v>
      </c>
      <c r="L208" s="14" t="s">
        <v>21</v>
      </c>
      <c r="M208" t="s">
        <v>22</v>
      </c>
      <c r="N208" t="s">
        <v>23</v>
      </c>
      <c r="O208" t="s">
        <v>39</v>
      </c>
      <c r="P208" t="s">
        <v>40</v>
      </c>
      <c r="Q208">
        <v>1689.03</v>
      </c>
      <c r="R208">
        <v>709.39260000000002</v>
      </c>
      <c r="S208" s="12">
        <v>667.8</v>
      </c>
    </row>
    <row r="209" spans="1:19" hidden="1" x14ac:dyDescent="0.25">
      <c r="A209" s="13">
        <v>45672</v>
      </c>
      <c r="B209" t="s">
        <v>203</v>
      </c>
      <c r="C209">
        <v>16717</v>
      </c>
      <c r="D209" t="s">
        <v>66</v>
      </c>
      <c r="E209" s="5">
        <v>16</v>
      </c>
      <c r="F209">
        <v>10.96</v>
      </c>
      <c r="G209" s="12" t="s">
        <v>58</v>
      </c>
      <c r="H209" s="11">
        <v>0.45</v>
      </c>
      <c r="I209" t="s">
        <v>19</v>
      </c>
      <c r="J209">
        <v>15.62</v>
      </c>
      <c r="K209" t="s">
        <v>50</v>
      </c>
      <c r="L209" s="14" t="s">
        <v>21</v>
      </c>
      <c r="M209" t="s">
        <v>22</v>
      </c>
      <c r="N209" t="s">
        <v>23</v>
      </c>
      <c r="O209" t="s">
        <v>24</v>
      </c>
      <c r="P209" t="s">
        <v>25</v>
      </c>
      <c r="Q209">
        <v>405.52000000000004</v>
      </c>
      <c r="R209">
        <v>182.48400000000001</v>
      </c>
      <c r="S209" s="12">
        <v>628.31999999999994</v>
      </c>
    </row>
    <row r="210" spans="1:19" hidden="1" x14ac:dyDescent="0.25">
      <c r="A210" s="13">
        <v>45674</v>
      </c>
      <c r="B210" t="s">
        <v>232</v>
      </c>
      <c r="C210">
        <v>39231</v>
      </c>
      <c r="D210" t="s">
        <v>75</v>
      </c>
      <c r="E210" s="5">
        <v>10</v>
      </c>
      <c r="F210">
        <v>88.14</v>
      </c>
      <c r="G210" s="12" t="s">
        <v>58</v>
      </c>
      <c r="H210" s="11">
        <v>0.31</v>
      </c>
      <c r="I210" t="s">
        <v>29</v>
      </c>
      <c r="J210">
        <v>20.5</v>
      </c>
      <c r="K210" s="5" t="s">
        <v>44</v>
      </c>
      <c r="L210" t="s">
        <v>31</v>
      </c>
      <c r="M210" t="s">
        <v>22</v>
      </c>
      <c r="N210" t="s">
        <v>23</v>
      </c>
      <c r="O210" t="s">
        <v>24</v>
      </c>
      <c r="P210" t="s">
        <v>40</v>
      </c>
      <c r="Q210">
        <v>881.4</v>
      </c>
      <c r="R210">
        <v>273.23399999999998</v>
      </c>
      <c r="S210" s="12">
        <v>608.16599999999994</v>
      </c>
    </row>
    <row r="211" spans="1:19" hidden="1" x14ac:dyDescent="0.25">
      <c r="A211" s="13">
        <v>45676</v>
      </c>
      <c r="B211" t="s">
        <v>287</v>
      </c>
      <c r="C211">
        <v>86524</v>
      </c>
      <c r="D211" t="s">
        <v>75</v>
      </c>
      <c r="E211" s="5">
        <v>34</v>
      </c>
      <c r="F211">
        <v>14.21</v>
      </c>
      <c r="G211" s="12" t="s">
        <v>58</v>
      </c>
      <c r="H211" s="11">
        <v>0.14000000000000001</v>
      </c>
      <c r="I211" t="s">
        <v>734</v>
      </c>
      <c r="J211">
        <v>12.73</v>
      </c>
      <c r="K211" s="5" t="s">
        <v>44</v>
      </c>
      <c r="L211" t="s">
        <v>31</v>
      </c>
      <c r="M211" t="s">
        <v>22</v>
      </c>
      <c r="N211" t="s">
        <v>32</v>
      </c>
      <c r="O211" t="s">
        <v>59</v>
      </c>
      <c r="P211" t="s">
        <v>34</v>
      </c>
      <c r="Q211">
        <v>42.63</v>
      </c>
      <c r="R211">
        <v>5.9682000000000013</v>
      </c>
      <c r="S211" s="12">
        <v>593.43599999999992</v>
      </c>
    </row>
    <row r="212" spans="1:19" hidden="1" x14ac:dyDescent="0.25">
      <c r="A212" s="13">
        <v>45686</v>
      </c>
      <c r="B212" t="s">
        <v>425</v>
      </c>
      <c r="C212">
        <v>24369</v>
      </c>
      <c r="D212" t="s">
        <v>57</v>
      </c>
      <c r="E212" s="5">
        <v>40</v>
      </c>
      <c r="F212">
        <v>38.04</v>
      </c>
      <c r="G212" s="12" t="s">
        <v>58</v>
      </c>
      <c r="H212" s="11">
        <v>0.11</v>
      </c>
      <c r="I212" t="s">
        <v>734</v>
      </c>
      <c r="J212">
        <v>28.24</v>
      </c>
      <c r="K212" t="s">
        <v>50</v>
      </c>
      <c r="L212" t="s">
        <v>31</v>
      </c>
      <c r="M212" t="s">
        <v>22</v>
      </c>
      <c r="N212" t="s">
        <v>23</v>
      </c>
      <c r="O212" t="s">
        <v>81</v>
      </c>
      <c r="P212" t="s">
        <v>34</v>
      </c>
      <c r="Q212">
        <v>1787.8799999999999</v>
      </c>
      <c r="R212">
        <v>196.66679999999999</v>
      </c>
      <c r="S212" s="12">
        <v>561.11999999999989</v>
      </c>
    </row>
    <row r="213" spans="1:19" hidden="1" x14ac:dyDescent="0.25">
      <c r="A213" s="13">
        <v>45675</v>
      </c>
      <c r="B213" t="s">
        <v>253</v>
      </c>
      <c r="C213">
        <v>78738</v>
      </c>
      <c r="D213" t="s">
        <v>57</v>
      </c>
      <c r="E213" s="5">
        <v>12</v>
      </c>
      <c r="F213">
        <v>46.19</v>
      </c>
      <c r="G213" s="12" t="s">
        <v>58</v>
      </c>
      <c r="H213" s="11">
        <v>0.15</v>
      </c>
      <c r="I213" t="s">
        <v>29</v>
      </c>
      <c r="J213">
        <v>26.63</v>
      </c>
      <c r="K213" t="s">
        <v>30</v>
      </c>
      <c r="L213" t="s">
        <v>31</v>
      </c>
      <c r="M213" t="s">
        <v>22</v>
      </c>
      <c r="N213" t="s">
        <v>32</v>
      </c>
      <c r="O213" t="s">
        <v>24</v>
      </c>
      <c r="P213" t="s">
        <v>40</v>
      </c>
      <c r="Q213">
        <v>1847.6</v>
      </c>
      <c r="R213">
        <v>277.14</v>
      </c>
      <c r="S213" s="12">
        <v>558.89519999999993</v>
      </c>
    </row>
    <row r="214" spans="1:19" hidden="1" x14ac:dyDescent="0.25">
      <c r="A214" s="13">
        <v>45678</v>
      </c>
      <c r="B214" t="s">
        <v>312</v>
      </c>
      <c r="C214">
        <v>19463</v>
      </c>
      <c r="D214" t="s">
        <v>42</v>
      </c>
      <c r="E214" s="5">
        <v>12</v>
      </c>
      <c r="F214">
        <v>31.9</v>
      </c>
      <c r="G214" s="12" t="s">
        <v>58</v>
      </c>
      <c r="H214" s="11">
        <v>0.06</v>
      </c>
      <c r="I214" t="s">
        <v>29</v>
      </c>
      <c r="J214">
        <v>7.18</v>
      </c>
      <c r="K214" s="5" t="s">
        <v>44</v>
      </c>
      <c r="L214" s="14" t="s">
        <v>21</v>
      </c>
      <c r="M214" t="s">
        <v>22</v>
      </c>
      <c r="N214" t="s">
        <v>32</v>
      </c>
      <c r="O214" t="s">
        <v>39</v>
      </c>
      <c r="P214" t="s">
        <v>40</v>
      </c>
      <c r="Q214">
        <v>95.699999999999989</v>
      </c>
      <c r="R214">
        <v>5.7419999999999991</v>
      </c>
      <c r="S214" s="12">
        <v>544.11480000000006</v>
      </c>
    </row>
    <row r="215" spans="1:19" hidden="1" x14ac:dyDescent="0.25">
      <c r="A215" s="13">
        <v>45710</v>
      </c>
      <c r="B215" t="s">
        <v>123</v>
      </c>
      <c r="C215">
        <v>69281</v>
      </c>
      <c r="D215" t="s">
        <v>75</v>
      </c>
      <c r="E215" s="5">
        <v>9</v>
      </c>
      <c r="F215">
        <v>38.04</v>
      </c>
      <c r="G215" s="12" t="s">
        <v>58</v>
      </c>
      <c r="H215" s="11">
        <v>0.17</v>
      </c>
      <c r="I215" t="s">
        <v>734</v>
      </c>
      <c r="J215">
        <v>27.94</v>
      </c>
      <c r="K215" t="s">
        <v>37</v>
      </c>
      <c r="L215" t="s">
        <v>31</v>
      </c>
      <c r="M215" t="s">
        <v>22</v>
      </c>
      <c r="N215" t="s">
        <v>23</v>
      </c>
      <c r="O215" t="s">
        <v>81</v>
      </c>
      <c r="P215" t="s">
        <v>25</v>
      </c>
      <c r="Q215">
        <v>76.08</v>
      </c>
      <c r="R215">
        <v>12.9336</v>
      </c>
      <c r="S215" s="12">
        <v>538.15589999999997</v>
      </c>
    </row>
    <row r="216" spans="1:19" hidden="1" x14ac:dyDescent="0.25">
      <c r="A216" s="13">
        <v>45674</v>
      </c>
      <c r="B216" t="s">
        <v>233</v>
      </c>
      <c r="C216">
        <v>50297</v>
      </c>
      <c r="D216" t="s">
        <v>57</v>
      </c>
      <c r="E216" s="5">
        <v>29</v>
      </c>
      <c r="F216">
        <v>64.37</v>
      </c>
      <c r="G216" s="12" t="s">
        <v>58</v>
      </c>
      <c r="H216" s="11">
        <v>0.38</v>
      </c>
      <c r="I216" t="s">
        <v>29</v>
      </c>
      <c r="J216">
        <v>25.05</v>
      </c>
      <c r="K216" t="s">
        <v>30</v>
      </c>
      <c r="L216" s="14" t="s">
        <v>21</v>
      </c>
      <c r="M216" t="s">
        <v>22</v>
      </c>
      <c r="N216" t="s">
        <v>53</v>
      </c>
      <c r="O216" t="s">
        <v>81</v>
      </c>
      <c r="P216" t="s">
        <v>25</v>
      </c>
      <c r="Q216">
        <v>2703.54</v>
      </c>
      <c r="R216">
        <v>1027.3452</v>
      </c>
      <c r="S216" s="12">
        <v>530.35199999999998</v>
      </c>
    </row>
    <row r="217" spans="1:19" x14ac:dyDescent="0.25">
      <c r="A217" s="13">
        <v>45697</v>
      </c>
      <c r="B217" t="s">
        <v>566</v>
      </c>
      <c r="C217">
        <v>49635</v>
      </c>
      <c r="D217" t="s">
        <v>66</v>
      </c>
      <c r="E217" s="5">
        <v>38</v>
      </c>
      <c r="F217" s="23">
        <v>42.42</v>
      </c>
      <c r="G217" s="12" t="s">
        <v>58</v>
      </c>
      <c r="H217" s="37">
        <v>0.42</v>
      </c>
      <c r="I217" t="s">
        <v>734</v>
      </c>
      <c r="J217" s="23">
        <v>24.17</v>
      </c>
      <c r="K217" t="s">
        <v>37</v>
      </c>
      <c r="L217" s="14" t="s">
        <v>21</v>
      </c>
      <c r="M217" t="s">
        <v>22</v>
      </c>
      <c r="N217" t="s">
        <v>23</v>
      </c>
      <c r="O217" t="s">
        <v>59</v>
      </c>
      <c r="P217" s="14" t="s">
        <v>34</v>
      </c>
      <c r="Q217" s="23">
        <v>1272.6000000000001</v>
      </c>
      <c r="R217" s="23">
        <v>534.49200000000008</v>
      </c>
      <c r="S217" s="24">
        <v>529.15</v>
      </c>
    </row>
    <row r="218" spans="1:19" hidden="1" x14ac:dyDescent="0.25">
      <c r="A218" s="13">
        <v>45660</v>
      </c>
      <c r="B218" t="s">
        <v>73</v>
      </c>
      <c r="C218">
        <v>25664</v>
      </c>
      <c r="D218" t="s">
        <v>27</v>
      </c>
      <c r="E218" s="5">
        <v>19</v>
      </c>
      <c r="F218">
        <v>75.5</v>
      </c>
      <c r="G218" s="12" t="s">
        <v>58</v>
      </c>
      <c r="H218" s="11">
        <v>0.42</v>
      </c>
      <c r="I218" t="s">
        <v>734</v>
      </c>
      <c r="J218">
        <v>15.13</v>
      </c>
      <c r="K218" s="5" t="s">
        <v>44</v>
      </c>
      <c r="L218" t="s">
        <v>31</v>
      </c>
      <c r="M218" t="s">
        <v>22</v>
      </c>
      <c r="N218" t="s">
        <v>38</v>
      </c>
      <c r="O218" t="s">
        <v>33</v>
      </c>
      <c r="P218" t="s">
        <v>34</v>
      </c>
      <c r="Q218">
        <v>1887.5</v>
      </c>
      <c r="R218">
        <v>792.75</v>
      </c>
      <c r="S218" s="12">
        <v>506.94659999999993</v>
      </c>
    </row>
    <row r="219" spans="1:19" hidden="1" x14ac:dyDescent="0.25">
      <c r="A219" s="13">
        <v>45661</v>
      </c>
      <c r="B219" t="s">
        <v>100</v>
      </c>
      <c r="C219">
        <v>34686</v>
      </c>
      <c r="D219" t="s">
        <v>42</v>
      </c>
      <c r="E219" s="5">
        <v>8</v>
      </c>
      <c r="F219">
        <v>26.41</v>
      </c>
      <c r="G219" s="12" t="s">
        <v>58</v>
      </c>
      <c r="H219" s="11">
        <v>0.31</v>
      </c>
      <c r="I219" t="s">
        <v>29</v>
      </c>
      <c r="J219">
        <v>27.71</v>
      </c>
      <c r="K219" t="s">
        <v>20</v>
      </c>
      <c r="L219" t="s">
        <v>31</v>
      </c>
      <c r="M219" t="s">
        <v>22</v>
      </c>
      <c r="N219" t="s">
        <v>23</v>
      </c>
      <c r="O219" t="s">
        <v>39</v>
      </c>
      <c r="P219" t="s">
        <v>40</v>
      </c>
      <c r="Q219">
        <v>554.61</v>
      </c>
      <c r="R219">
        <v>171.92910000000001</v>
      </c>
      <c r="S219" s="12">
        <v>469.35840000000002</v>
      </c>
    </row>
    <row r="220" spans="1:19" hidden="1" x14ac:dyDescent="0.25">
      <c r="A220" s="13">
        <v>45710</v>
      </c>
      <c r="B220" t="s">
        <v>696</v>
      </c>
      <c r="C220">
        <v>93011</v>
      </c>
      <c r="D220" t="s">
        <v>57</v>
      </c>
      <c r="E220" s="5">
        <v>17</v>
      </c>
      <c r="F220">
        <v>58.35</v>
      </c>
      <c r="G220" s="12" t="s">
        <v>58</v>
      </c>
      <c r="H220" s="11">
        <v>0.39</v>
      </c>
      <c r="I220" t="s">
        <v>734</v>
      </c>
      <c r="J220">
        <v>21.92</v>
      </c>
      <c r="K220" t="s">
        <v>50</v>
      </c>
      <c r="L220" s="14" t="s">
        <v>21</v>
      </c>
      <c r="M220" t="s">
        <v>22</v>
      </c>
      <c r="N220" t="s">
        <v>32</v>
      </c>
      <c r="O220" t="s">
        <v>59</v>
      </c>
      <c r="P220" t="s">
        <v>40</v>
      </c>
      <c r="Q220">
        <v>1283.7</v>
      </c>
      <c r="R220">
        <v>500.64300000000003</v>
      </c>
      <c r="S220" s="12">
        <v>467.55099999999993</v>
      </c>
    </row>
    <row r="221" spans="1:19" hidden="1" x14ac:dyDescent="0.25">
      <c r="A221" s="13">
        <v>45687</v>
      </c>
      <c r="B221" t="s">
        <v>443</v>
      </c>
      <c r="C221">
        <v>58109</v>
      </c>
      <c r="D221" t="s">
        <v>89</v>
      </c>
      <c r="E221" s="5">
        <v>12</v>
      </c>
      <c r="F221">
        <v>47.6</v>
      </c>
      <c r="G221" s="12" t="s">
        <v>58</v>
      </c>
      <c r="H221" s="11">
        <v>0.19</v>
      </c>
      <c r="I221" t="s">
        <v>19</v>
      </c>
      <c r="J221">
        <v>27.3</v>
      </c>
      <c r="K221" t="s">
        <v>30</v>
      </c>
      <c r="L221" s="14" t="s">
        <v>21</v>
      </c>
      <c r="M221" t="s">
        <v>22</v>
      </c>
      <c r="N221" t="s">
        <v>32</v>
      </c>
      <c r="O221" t="s">
        <v>59</v>
      </c>
      <c r="P221" t="s">
        <v>40</v>
      </c>
      <c r="Q221">
        <v>856.80000000000007</v>
      </c>
      <c r="R221">
        <v>162.792</v>
      </c>
      <c r="S221" s="12">
        <v>434.64959999999996</v>
      </c>
    </row>
    <row r="222" spans="1:19" hidden="1" x14ac:dyDescent="0.25">
      <c r="A222" s="13">
        <v>45700</v>
      </c>
      <c r="B222" t="s">
        <v>599</v>
      </c>
      <c r="C222">
        <v>20613</v>
      </c>
      <c r="D222" t="s">
        <v>75</v>
      </c>
      <c r="E222" s="5">
        <v>14</v>
      </c>
      <c r="F222">
        <v>65.88</v>
      </c>
      <c r="G222" s="12" t="s">
        <v>58</v>
      </c>
      <c r="H222" s="11">
        <v>0.18</v>
      </c>
      <c r="I222" t="s">
        <v>734</v>
      </c>
      <c r="J222">
        <v>10.92</v>
      </c>
      <c r="K222" t="s">
        <v>20</v>
      </c>
      <c r="L222" s="14" t="s">
        <v>21</v>
      </c>
      <c r="M222" t="s">
        <v>22</v>
      </c>
      <c r="N222" t="s">
        <v>53</v>
      </c>
      <c r="O222" t="s">
        <v>59</v>
      </c>
      <c r="P222" t="s">
        <v>40</v>
      </c>
      <c r="Q222">
        <v>2042.2799999999997</v>
      </c>
      <c r="R222">
        <v>367.61039999999991</v>
      </c>
      <c r="S222" s="12">
        <v>432.3648</v>
      </c>
    </row>
    <row r="223" spans="1:19" hidden="1" x14ac:dyDescent="0.25">
      <c r="A223" s="13">
        <v>45701</v>
      </c>
      <c r="B223" t="s">
        <v>617</v>
      </c>
      <c r="C223">
        <v>35544</v>
      </c>
      <c r="D223" t="s">
        <v>27</v>
      </c>
      <c r="E223" s="5">
        <v>49</v>
      </c>
      <c r="F223">
        <v>68.92</v>
      </c>
      <c r="G223" s="12" t="s">
        <v>58</v>
      </c>
      <c r="H223" s="11">
        <v>0.38</v>
      </c>
      <c r="I223" t="s">
        <v>29</v>
      </c>
      <c r="J223">
        <v>15.96</v>
      </c>
      <c r="K223" t="s">
        <v>20</v>
      </c>
      <c r="L223" t="s">
        <v>31</v>
      </c>
      <c r="M223" t="s">
        <v>22</v>
      </c>
      <c r="N223" t="s">
        <v>32</v>
      </c>
      <c r="O223" t="s">
        <v>39</v>
      </c>
      <c r="P223" t="s">
        <v>34</v>
      </c>
      <c r="Q223">
        <v>3170.32</v>
      </c>
      <c r="R223">
        <v>1204.7216000000001</v>
      </c>
      <c r="S223" s="12">
        <v>412.54570000000001</v>
      </c>
    </row>
    <row r="224" spans="1:19" hidden="1" x14ac:dyDescent="0.25">
      <c r="A224" s="13">
        <v>45662</v>
      </c>
      <c r="B224" t="s">
        <v>123</v>
      </c>
      <c r="C224">
        <v>46223</v>
      </c>
      <c r="D224" t="s">
        <v>27</v>
      </c>
      <c r="E224" s="5">
        <v>5</v>
      </c>
      <c r="F224">
        <v>70.89</v>
      </c>
      <c r="G224" s="12" t="s">
        <v>58</v>
      </c>
      <c r="H224" s="11">
        <v>0.09</v>
      </c>
      <c r="I224" t="s">
        <v>19</v>
      </c>
      <c r="J224">
        <v>18.09</v>
      </c>
      <c r="K224" t="s">
        <v>37</v>
      </c>
      <c r="L224" s="14" t="s">
        <v>21</v>
      </c>
      <c r="M224" t="s">
        <v>22</v>
      </c>
      <c r="N224" t="s">
        <v>38</v>
      </c>
      <c r="O224" t="s">
        <v>59</v>
      </c>
      <c r="P224" t="s">
        <v>25</v>
      </c>
      <c r="Q224">
        <v>2339.37</v>
      </c>
      <c r="R224">
        <v>210.54329999999999</v>
      </c>
      <c r="S224" s="12">
        <v>412.327</v>
      </c>
    </row>
    <row r="225" spans="1:19" hidden="1" x14ac:dyDescent="0.25">
      <c r="A225" s="13">
        <v>45667</v>
      </c>
      <c r="B225" t="s">
        <v>51</v>
      </c>
      <c r="C225">
        <v>40346</v>
      </c>
      <c r="D225" t="s">
        <v>49</v>
      </c>
      <c r="E225" s="5">
        <v>12</v>
      </c>
      <c r="F225">
        <v>87.47</v>
      </c>
      <c r="G225" s="12" t="s">
        <v>58</v>
      </c>
      <c r="H225" s="11">
        <v>0.22</v>
      </c>
      <c r="I225" t="s">
        <v>734</v>
      </c>
      <c r="J225">
        <v>7.79</v>
      </c>
      <c r="K225" s="5" t="s">
        <v>44</v>
      </c>
      <c r="L225" t="s">
        <v>31</v>
      </c>
      <c r="M225" t="s">
        <v>22</v>
      </c>
      <c r="N225" t="s">
        <v>32</v>
      </c>
      <c r="O225" t="s">
        <v>24</v>
      </c>
      <c r="P225" t="s">
        <v>34</v>
      </c>
      <c r="Q225">
        <v>3061.45</v>
      </c>
      <c r="R225">
        <v>673.51900000000001</v>
      </c>
      <c r="S225" s="12">
        <v>400.68</v>
      </c>
    </row>
    <row r="226" spans="1:19" hidden="1" x14ac:dyDescent="0.25">
      <c r="A226" s="13">
        <v>45662</v>
      </c>
      <c r="B226" t="s">
        <v>124</v>
      </c>
      <c r="C226">
        <v>19484</v>
      </c>
      <c r="D226" t="s">
        <v>57</v>
      </c>
      <c r="E226" s="5">
        <v>10</v>
      </c>
      <c r="F226">
        <v>78.33</v>
      </c>
      <c r="G226" s="12" t="s">
        <v>58</v>
      </c>
      <c r="H226" s="11">
        <v>0.2</v>
      </c>
      <c r="I226" t="s">
        <v>734</v>
      </c>
      <c r="J226">
        <v>10.8</v>
      </c>
      <c r="K226" t="s">
        <v>37</v>
      </c>
      <c r="L226" s="14" t="s">
        <v>21</v>
      </c>
      <c r="M226" t="s">
        <v>22</v>
      </c>
      <c r="N226" t="s">
        <v>53</v>
      </c>
      <c r="O226" t="s">
        <v>59</v>
      </c>
      <c r="P226" t="s">
        <v>25</v>
      </c>
      <c r="Q226">
        <v>1253.28</v>
      </c>
      <c r="R226">
        <v>250.65600000000001</v>
      </c>
      <c r="S226" s="12">
        <v>393.005</v>
      </c>
    </row>
    <row r="227" spans="1:19" hidden="1" x14ac:dyDescent="0.25">
      <c r="A227" s="13">
        <v>45697</v>
      </c>
      <c r="B227" t="s">
        <v>567</v>
      </c>
      <c r="C227">
        <v>63885</v>
      </c>
      <c r="D227" t="s">
        <v>70</v>
      </c>
      <c r="E227" s="5">
        <v>19</v>
      </c>
      <c r="F227">
        <v>95.28</v>
      </c>
      <c r="G227" s="12" t="s">
        <v>58</v>
      </c>
      <c r="H227" s="11">
        <v>0.14000000000000001</v>
      </c>
      <c r="I227" t="s">
        <v>29</v>
      </c>
      <c r="J227">
        <v>7.43</v>
      </c>
      <c r="K227" t="s">
        <v>30</v>
      </c>
      <c r="L227" t="s">
        <v>31</v>
      </c>
      <c r="M227" t="s">
        <v>22</v>
      </c>
      <c r="N227" t="s">
        <v>38</v>
      </c>
      <c r="O227" t="s">
        <v>33</v>
      </c>
      <c r="P227" t="s">
        <v>40</v>
      </c>
      <c r="Q227">
        <v>3048.96</v>
      </c>
      <c r="R227">
        <v>426.85440000000006</v>
      </c>
      <c r="S227" s="12">
        <v>338.84410000000003</v>
      </c>
    </row>
    <row r="228" spans="1:19" hidden="1" x14ac:dyDescent="0.25">
      <c r="A228" s="13">
        <v>45661</v>
      </c>
      <c r="B228" t="s">
        <v>109</v>
      </c>
      <c r="C228">
        <v>29459</v>
      </c>
      <c r="D228" t="s">
        <v>27</v>
      </c>
      <c r="E228" s="5">
        <v>15</v>
      </c>
      <c r="F228">
        <v>38.39</v>
      </c>
      <c r="G228" s="12" t="s">
        <v>58</v>
      </c>
      <c r="H228" s="11">
        <v>0.09</v>
      </c>
      <c r="I228" t="s">
        <v>29</v>
      </c>
      <c r="J228">
        <v>14.71</v>
      </c>
      <c r="K228" s="5" t="s">
        <v>44</v>
      </c>
      <c r="L228" s="14" t="s">
        <v>21</v>
      </c>
      <c r="M228" t="s">
        <v>22</v>
      </c>
      <c r="N228" t="s">
        <v>53</v>
      </c>
      <c r="O228" t="s">
        <v>81</v>
      </c>
      <c r="P228" t="s">
        <v>40</v>
      </c>
      <c r="Q228">
        <v>1190.0899999999999</v>
      </c>
      <c r="R228">
        <v>107.10809999999999</v>
      </c>
      <c r="S228" s="12">
        <v>314.81399999999996</v>
      </c>
    </row>
    <row r="229" spans="1:19" x14ac:dyDescent="0.25">
      <c r="A229" s="13">
        <v>45682</v>
      </c>
      <c r="B229" t="s">
        <v>383</v>
      </c>
      <c r="C229">
        <v>43773</v>
      </c>
      <c r="D229" t="s">
        <v>27</v>
      </c>
      <c r="E229" s="5">
        <v>11</v>
      </c>
      <c r="F229" s="23">
        <v>21.66</v>
      </c>
      <c r="G229" s="12" t="s">
        <v>58</v>
      </c>
      <c r="H229" s="37">
        <v>0.31</v>
      </c>
      <c r="I229" t="s">
        <v>19</v>
      </c>
      <c r="J229" s="23">
        <v>25.58</v>
      </c>
      <c r="K229" t="s">
        <v>37</v>
      </c>
      <c r="L229" s="14" t="s">
        <v>21</v>
      </c>
      <c r="M229" t="s">
        <v>22</v>
      </c>
      <c r="N229" t="s">
        <v>38</v>
      </c>
      <c r="O229" t="s">
        <v>59</v>
      </c>
      <c r="P229" s="14" t="s">
        <v>34</v>
      </c>
      <c r="Q229" s="23">
        <v>606.48</v>
      </c>
      <c r="R229" s="23">
        <v>188.00880000000001</v>
      </c>
      <c r="S229" s="24">
        <v>291.83000000000004</v>
      </c>
    </row>
    <row r="230" spans="1:19" hidden="1" x14ac:dyDescent="0.25">
      <c r="A230" s="13">
        <v>45681</v>
      </c>
      <c r="B230" t="s">
        <v>119</v>
      </c>
      <c r="C230">
        <v>25987</v>
      </c>
      <c r="D230" t="s">
        <v>46</v>
      </c>
      <c r="E230" s="5">
        <v>5</v>
      </c>
      <c r="F230">
        <v>76.8</v>
      </c>
      <c r="G230" s="12" t="s">
        <v>58</v>
      </c>
      <c r="H230" s="11">
        <v>0.4</v>
      </c>
      <c r="I230" t="s">
        <v>734</v>
      </c>
      <c r="J230">
        <v>17.2</v>
      </c>
      <c r="K230" t="s">
        <v>30</v>
      </c>
      <c r="L230" s="14" t="s">
        <v>21</v>
      </c>
      <c r="M230" t="s">
        <v>22</v>
      </c>
      <c r="N230" t="s">
        <v>32</v>
      </c>
      <c r="O230" t="s">
        <v>33</v>
      </c>
      <c r="P230" t="s">
        <v>40</v>
      </c>
      <c r="Q230">
        <v>1305.5999999999999</v>
      </c>
      <c r="R230">
        <v>522.24</v>
      </c>
      <c r="S230" s="12">
        <v>287.14</v>
      </c>
    </row>
    <row r="231" spans="1:19" hidden="1" x14ac:dyDescent="0.25">
      <c r="A231" s="13">
        <v>45699</v>
      </c>
      <c r="B231" t="s">
        <v>579</v>
      </c>
      <c r="C231">
        <v>94124</v>
      </c>
      <c r="D231" t="s">
        <v>70</v>
      </c>
      <c r="E231" s="5">
        <v>28</v>
      </c>
      <c r="F231">
        <v>75.02</v>
      </c>
      <c r="G231" s="12" t="s">
        <v>58</v>
      </c>
      <c r="H231" s="11">
        <v>0.28000000000000003</v>
      </c>
      <c r="I231" t="s">
        <v>19</v>
      </c>
      <c r="J231">
        <v>25.96</v>
      </c>
      <c r="K231" t="s">
        <v>50</v>
      </c>
      <c r="L231" s="14" t="s">
        <v>21</v>
      </c>
      <c r="M231" t="s">
        <v>111</v>
      </c>
      <c r="N231" t="s">
        <v>53</v>
      </c>
      <c r="O231" t="s">
        <v>24</v>
      </c>
      <c r="P231" t="s">
        <v>40</v>
      </c>
      <c r="Q231">
        <v>1350.36</v>
      </c>
      <c r="R231">
        <v>378.10079999999999</v>
      </c>
      <c r="S231" s="12">
        <v>287.07839999999999</v>
      </c>
    </row>
    <row r="232" spans="1:19" hidden="1" x14ac:dyDescent="0.25">
      <c r="A232" s="13">
        <v>45693</v>
      </c>
      <c r="B232" t="s">
        <v>517</v>
      </c>
      <c r="C232">
        <v>83310</v>
      </c>
      <c r="D232" t="s">
        <v>42</v>
      </c>
      <c r="E232" s="5">
        <v>3</v>
      </c>
      <c r="F232">
        <v>26.06</v>
      </c>
      <c r="G232" s="12" t="s">
        <v>58</v>
      </c>
      <c r="H232" s="11">
        <v>0.25</v>
      </c>
      <c r="I232" t="s">
        <v>734</v>
      </c>
      <c r="J232">
        <v>8.7200000000000006</v>
      </c>
      <c r="K232" s="5" t="s">
        <v>44</v>
      </c>
      <c r="L232" t="s">
        <v>31</v>
      </c>
      <c r="M232" t="s">
        <v>22</v>
      </c>
      <c r="N232" t="s">
        <v>53</v>
      </c>
      <c r="O232" t="s">
        <v>59</v>
      </c>
      <c r="P232" t="s">
        <v>34</v>
      </c>
      <c r="Q232">
        <v>1016.3399999999999</v>
      </c>
      <c r="R232">
        <v>254.08499999999998</v>
      </c>
      <c r="S232" s="12">
        <v>283.36770000000001</v>
      </c>
    </row>
    <row r="233" spans="1:19" hidden="1" x14ac:dyDescent="0.25">
      <c r="A233" s="13">
        <v>45692</v>
      </c>
      <c r="B233" t="s">
        <v>131</v>
      </c>
      <c r="C233">
        <v>50662</v>
      </c>
      <c r="D233" t="s">
        <v>66</v>
      </c>
      <c r="E233" s="5">
        <v>5</v>
      </c>
      <c r="F233">
        <v>90.04</v>
      </c>
      <c r="G233" s="12" t="s">
        <v>58</v>
      </c>
      <c r="H233" s="11">
        <v>0.25</v>
      </c>
      <c r="I233" t="s">
        <v>29</v>
      </c>
      <c r="J233">
        <v>23.77</v>
      </c>
      <c r="K233" t="s">
        <v>20</v>
      </c>
      <c r="L233" s="14" t="s">
        <v>21</v>
      </c>
      <c r="M233" t="s">
        <v>22</v>
      </c>
      <c r="N233" t="s">
        <v>23</v>
      </c>
      <c r="O233" t="s">
        <v>39</v>
      </c>
      <c r="P233" t="s">
        <v>40</v>
      </c>
      <c r="Q233">
        <v>3511.5600000000004</v>
      </c>
      <c r="R233">
        <v>877.8900000000001</v>
      </c>
      <c r="S233" s="12">
        <v>266.64400000000001</v>
      </c>
    </row>
    <row r="234" spans="1:19" hidden="1" x14ac:dyDescent="0.25">
      <c r="A234" s="13">
        <v>45683</v>
      </c>
      <c r="B234" t="s">
        <v>388</v>
      </c>
      <c r="C234">
        <v>76202</v>
      </c>
      <c r="D234" t="s">
        <v>27</v>
      </c>
      <c r="E234" s="5">
        <v>47</v>
      </c>
      <c r="F234">
        <v>12.33</v>
      </c>
      <c r="G234" s="12" t="s">
        <v>58</v>
      </c>
      <c r="H234" s="11">
        <v>0.08</v>
      </c>
      <c r="I234" t="s">
        <v>734</v>
      </c>
      <c r="J234">
        <v>28.76</v>
      </c>
      <c r="K234" t="s">
        <v>30</v>
      </c>
      <c r="L234" s="14" t="s">
        <v>21</v>
      </c>
      <c r="M234" t="s">
        <v>22</v>
      </c>
      <c r="N234" t="s">
        <v>38</v>
      </c>
      <c r="O234" t="s">
        <v>39</v>
      </c>
      <c r="P234" t="s">
        <v>25</v>
      </c>
      <c r="Q234">
        <v>221.94</v>
      </c>
      <c r="R234">
        <v>17.755199999999999</v>
      </c>
      <c r="S234" s="12">
        <v>265.17399999999998</v>
      </c>
    </row>
    <row r="235" spans="1:19" hidden="1" x14ac:dyDescent="0.25">
      <c r="A235" s="13">
        <v>45676</v>
      </c>
      <c r="B235" t="s">
        <v>285</v>
      </c>
      <c r="C235">
        <v>88106</v>
      </c>
      <c r="D235" t="s">
        <v>46</v>
      </c>
      <c r="E235" s="5">
        <v>7</v>
      </c>
      <c r="F235">
        <v>62.26</v>
      </c>
      <c r="G235" s="12" t="s">
        <v>58</v>
      </c>
      <c r="H235" s="11">
        <v>0.16</v>
      </c>
      <c r="I235" t="s">
        <v>29</v>
      </c>
      <c r="J235">
        <v>12.51</v>
      </c>
      <c r="K235" t="s">
        <v>30</v>
      </c>
      <c r="L235" s="14" t="s">
        <v>21</v>
      </c>
      <c r="M235" t="s">
        <v>22</v>
      </c>
      <c r="N235" t="s">
        <v>32</v>
      </c>
      <c r="O235" t="s">
        <v>24</v>
      </c>
      <c r="P235" t="s">
        <v>25</v>
      </c>
      <c r="Q235">
        <v>1431.98</v>
      </c>
      <c r="R235">
        <v>229.11680000000001</v>
      </c>
      <c r="S235" s="12">
        <v>232.2432</v>
      </c>
    </row>
    <row r="236" spans="1:19" hidden="1" x14ac:dyDescent="0.25">
      <c r="A236" s="13">
        <v>45705</v>
      </c>
      <c r="B236" t="s">
        <v>238</v>
      </c>
      <c r="C236">
        <v>36296</v>
      </c>
      <c r="D236" t="s">
        <v>46</v>
      </c>
      <c r="E236" s="5">
        <v>26</v>
      </c>
      <c r="F236">
        <v>36.22</v>
      </c>
      <c r="G236" s="12" t="s">
        <v>58</v>
      </c>
      <c r="H236" s="11">
        <v>0.08</v>
      </c>
      <c r="I236" t="s">
        <v>29</v>
      </c>
      <c r="J236">
        <v>10.71</v>
      </c>
      <c r="K236" t="s">
        <v>30</v>
      </c>
      <c r="L236" t="s">
        <v>31</v>
      </c>
      <c r="M236" t="s">
        <v>22</v>
      </c>
      <c r="N236" t="s">
        <v>53</v>
      </c>
      <c r="O236" t="s">
        <v>81</v>
      </c>
      <c r="P236" t="s">
        <v>40</v>
      </c>
      <c r="Q236">
        <v>362.2</v>
      </c>
      <c r="R236">
        <v>28.975999999999999</v>
      </c>
      <c r="S236" s="12">
        <v>230.30280000000002</v>
      </c>
    </row>
    <row r="237" spans="1:19" x14ac:dyDescent="0.25">
      <c r="A237" s="13">
        <v>45669</v>
      </c>
      <c r="B237" t="s">
        <v>183</v>
      </c>
      <c r="C237">
        <v>91445</v>
      </c>
      <c r="D237" t="s">
        <v>70</v>
      </c>
      <c r="E237" s="5">
        <v>9</v>
      </c>
      <c r="F237" s="23">
        <v>82.16</v>
      </c>
      <c r="G237" s="12" t="s">
        <v>58</v>
      </c>
      <c r="H237" s="37">
        <v>0.13</v>
      </c>
      <c r="I237" t="s">
        <v>734</v>
      </c>
      <c r="J237" s="23">
        <v>20.68</v>
      </c>
      <c r="K237" t="s">
        <v>50</v>
      </c>
      <c r="L237" s="14" t="s">
        <v>21</v>
      </c>
      <c r="M237" t="s">
        <v>111</v>
      </c>
      <c r="N237" t="s">
        <v>38</v>
      </c>
      <c r="O237" t="s">
        <v>33</v>
      </c>
      <c r="P237" s="14" t="s">
        <v>34</v>
      </c>
      <c r="Q237" s="23">
        <v>3861.52</v>
      </c>
      <c r="R237" s="23">
        <v>501.99760000000003</v>
      </c>
      <c r="S237" s="24">
        <v>225.72809999999998</v>
      </c>
    </row>
    <row r="238" spans="1:19" hidden="1" x14ac:dyDescent="0.25">
      <c r="A238" s="13">
        <v>45686</v>
      </c>
      <c r="B238" t="s">
        <v>429</v>
      </c>
      <c r="C238">
        <v>74485</v>
      </c>
      <c r="D238" t="s">
        <v>66</v>
      </c>
      <c r="E238" s="5">
        <v>8</v>
      </c>
      <c r="F238">
        <v>84.77</v>
      </c>
      <c r="G238" s="12" t="s">
        <v>58</v>
      </c>
      <c r="H238" s="11">
        <v>0.44</v>
      </c>
      <c r="I238" t="s">
        <v>734</v>
      </c>
      <c r="J238">
        <v>10.33</v>
      </c>
      <c r="K238" t="s">
        <v>37</v>
      </c>
      <c r="L238" s="14" t="s">
        <v>21</v>
      </c>
      <c r="M238" t="s">
        <v>22</v>
      </c>
      <c r="N238" t="s">
        <v>23</v>
      </c>
      <c r="O238" t="s">
        <v>33</v>
      </c>
      <c r="P238" t="s">
        <v>40</v>
      </c>
      <c r="Q238">
        <v>593.39</v>
      </c>
      <c r="R238">
        <v>261.09159999999997</v>
      </c>
      <c r="S238" s="12">
        <v>209.16800000000001</v>
      </c>
    </row>
    <row r="239" spans="1:19" hidden="1" x14ac:dyDescent="0.25">
      <c r="A239" s="13">
        <v>45707</v>
      </c>
      <c r="B239" t="s">
        <v>667</v>
      </c>
      <c r="C239">
        <v>50318</v>
      </c>
      <c r="D239" t="s">
        <v>66</v>
      </c>
      <c r="E239" s="5">
        <v>10</v>
      </c>
      <c r="F239">
        <v>33.99</v>
      </c>
      <c r="G239" s="12" t="s">
        <v>58</v>
      </c>
      <c r="H239" s="11">
        <v>0.44</v>
      </c>
      <c r="I239" t="s">
        <v>29</v>
      </c>
      <c r="J239">
        <v>7.83</v>
      </c>
      <c r="K239" s="5" t="s">
        <v>44</v>
      </c>
      <c r="L239" t="s">
        <v>31</v>
      </c>
      <c r="M239" t="s">
        <v>22</v>
      </c>
      <c r="N239" t="s">
        <v>32</v>
      </c>
      <c r="O239" t="s">
        <v>33</v>
      </c>
      <c r="P239" t="s">
        <v>40</v>
      </c>
      <c r="Q239">
        <v>577.83000000000004</v>
      </c>
      <c r="R239">
        <v>254.24520000000001</v>
      </c>
      <c r="S239" s="12">
        <v>203.55999999999997</v>
      </c>
    </row>
    <row r="240" spans="1:19" hidden="1" x14ac:dyDescent="0.25">
      <c r="A240" s="13">
        <v>45685</v>
      </c>
      <c r="B240" t="s">
        <v>234</v>
      </c>
      <c r="C240">
        <v>96268</v>
      </c>
      <c r="D240" t="s">
        <v>70</v>
      </c>
      <c r="E240" s="5">
        <v>3</v>
      </c>
      <c r="F240">
        <v>62.13</v>
      </c>
      <c r="G240" s="12" t="s">
        <v>58</v>
      </c>
      <c r="H240" s="11">
        <v>0.36</v>
      </c>
      <c r="I240" t="s">
        <v>29</v>
      </c>
      <c r="J240">
        <v>29.6</v>
      </c>
      <c r="K240" t="s">
        <v>30</v>
      </c>
      <c r="L240" t="s">
        <v>31</v>
      </c>
      <c r="M240" t="s">
        <v>22</v>
      </c>
      <c r="N240" t="s">
        <v>38</v>
      </c>
      <c r="O240" t="s">
        <v>24</v>
      </c>
      <c r="P240" t="s">
        <v>40</v>
      </c>
      <c r="Q240">
        <v>1988.16</v>
      </c>
      <c r="R240">
        <v>715.73760000000004</v>
      </c>
      <c r="S240" s="12">
        <v>155.82</v>
      </c>
    </row>
    <row r="241" spans="1:19" hidden="1" x14ac:dyDescent="0.25">
      <c r="A241" s="13">
        <v>45680</v>
      </c>
      <c r="B241" t="s">
        <v>324</v>
      </c>
      <c r="C241">
        <v>59991</v>
      </c>
      <c r="D241" t="s">
        <v>70</v>
      </c>
      <c r="E241" s="5">
        <v>2</v>
      </c>
      <c r="F241">
        <v>65.930000000000007</v>
      </c>
      <c r="G241" s="12" t="s">
        <v>58</v>
      </c>
      <c r="H241" s="11">
        <v>0.13</v>
      </c>
      <c r="I241" t="s">
        <v>19</v>
      </c>
      <c r="J241">
        <v>10.7</v>
      </c>
      <c r="K241" s="5" t="s">
        <v>44</v>
      </c>
      <c r="L241" t="s">
        <v>31</v>
      </c>
      <c r="M241" t="s">
        <v>22</v>
      </c>
      <c r="N241" t="s">
        <v>23</v>
      </c>
      <c r="O241" t="s">
        <v>24</v>
      </c>
      <c r="P241" t="s">
        <v>25</v>
      </c>
      <c r="Q241">
        <v>3032.78</v>
      </c>
      <c r="R241">
        <v>394.26140000000004</v>
      </c>
      <c r="S241" s="12">
        <v>147.17399999999998</v>
      </c>
    </row>
    <row r="242" spans="1:19" hidden="1" x14ac:dyDescent="0.25">
      <c r="A242" s="13">
        <v>45673</v>
      </c>
      <c r="B242" t="s">
        <v>224</v>
      </c>
      <c r="C242">
        <v>16291</v>
      </c>
      <c r="D242" t="s">
        <v>27</v>
      </c>
      <c r="E242" s="5">
        <v>7</v>
      </c>
      <c r="F242">
        <v>66.099999999999994</v>
      </c>
      <c r="G242" s="12" t="s">
        <v>58</v>
      </c>
      <c r="H242" s="11">
        <v>0.02</v>
      </c>
      <c r="I242" t="s">
        <v>19</v>
      </c>
      <c r="J242">
        <v>23.11</v>
      </c>
      <c r="K242" t="s">
        <v>50</v>
      </c>
      <c r="L242" t="s">
        <v>31</v>
      </c>
      <c r="M242" t="s">
        <v>22</v>
      </c>
      <c r="N242" t="s">
        <v>32</v>
      </c>
      <c r="O242" t="s">
        <v>81</v>
      </c>
      <c r="P242" t="s">
        <v>25</v>
      </c>
      <c r="Q242">
        <v>793.19999999999993</v>
      </c>
      <c r="R242">
        <v>15.863999999999999</v>
      </c>
      <c r="S242" s="12">
        <v>131.78829999999999</v>
      </c>
    </row>
    <row r="243" spans="1:19" hidden="1" x14ac:dyDescent="0.25">
      <c r="A243" s="13">
        <v>45708</v>
      </c>
      <c r="B243" t="s">
        <v>656</v>
      </c>
      <c r="C243">
        <v>87853</v>
      </c>
      <c r="D243" t="s">
        <v>42</v>
      </c>
      <c r="E243" s="5">
        <v>7</v>
      </c>
      <c r="F243">
        <v>73.739999999999995</v>
      </c>
      <c r="G243" s="12" t="s">
        <v>58</v>
      </c>
      <c r="H243" s="11">
        <v>0.28999999999999998</v>
      </c>
      <c r="I243" t="s">
        <v>29</v>
      </c>
      <c r="J243">
        <v>26.09</v>
      </c>
      <c r="K243" t="s">
        <v>50</v>
      </c>
      <c r="L243" s="14" t="s">
        <v>21</v>
      </c>
      <c r="M243" t="s">
        <v>22</v>
      </c>
      <c r="N243" t="s">
        <v>32</v>
      </c>
      <c r="O243" t="s">
        <v>81</v>
      </c>
      <c r="P243" t="s">
        <v>25</v>
      </c>
      <c r="Q243">
        <v>1179.8399999999999</v>
      </c>
      <c r="R243">
        <v>342.15359999999993</v>
      </c>
      <c r="S243" s="12">
        <v>110.2612</v>
      </c>
    </row>
    <row r="244" spans="1:19" hidden="1" x14ac:dyDescent="0.25">
      <c r="A244" s="13">
        <v>45678</v>
      </c>
      <c r="B244" t="s">
        <v>310</v>
      </c>
      <c r="C244">
        <v>63049</v>
      </c>
      <c r="D244" t="s">
        <v>68</v>
      </c>
      <c r="E244" s="5">
        <v>2</v>
      </c>
      <c r="F244">
        <v>51.29</v>
      </c>
      <c r="G244" s="12" t="s">
        <v>58</v>
      </c>
      <c r="H244" s="11">
        <v>0.1</v>
      </c>
      <c r="I244" t="s">
        <v>29</v>
      </c>
      <c r="J244">
        <v>26.79</v>
      </c>
      <c r="K244" t="s">
        <v>20</v>
      </c>
      <c r="L244" t="s">
        <v>31</v>
      </c>
      <c r="M244" t="s">
        <v>22</v>
      </c>
      <c r="N244" t="s">
        <v>53</v>
      </c>
      <c r="O244" t="s">
        <v>81</v>
      </c>
      <c r="P244" t="s">
        <v>40</v>
      </c>
      <c r="Q244">
        <v>820.64</v>
      </c>
      <c r="R244">
        <v>82.064000000000007</v>
      </c>
      <c r="S244" s="12">
        <v>100.03619999999999</v>
      </c>
    </row>
    <row r="245" spans="1:19" x14ac:dyDescent="0.25">
      <c r="A245" s="13">
        <v>45688</v>
      </c>
      <c r="B245" t="s">
        <v>453</v>
      </c>
      <c r="C245">
        <v>85667</v>
      </c>
      <c r="D245" t="s">
        <v>49</v>
      </c>
      <c r="E245" s="5">
        <v>16</v>
      </c>
      <c r="F245" s="23">
        <v>54.36</v>
      </c>
      <c r="G245" s="12" t="s">
        <v>58</v>
      </c>
      <c r="H245" s="37">
        <v>0.01</v>
      </c>
      <c r="I245" t="s">
        <v>734</v>
      </c>
      <c r="J245" s="23">
        <v>9.61</v>
      </c>
      <c r="K245" t="s">
        <v>37</v>
      </c>
      <c r="L245" s="14" t="s">
        <v>21</v>
      </c>
      <c r="M245" t="s">
        <v>22</v>
      </c>
      <c r="N245" t="s">
        <v>23</v>
      </c>
      <c r="O245" t="s">
        <v>81</v>
      </c>
      <c r="P245" s="14" t="s">
        <v>34</v>
      </c>
      <c r="Q245" s="23">
        <v>1413.36</v>
      </c>
      <c r="R245" s="23">
        <v>14.133599999999999</v>
      </c>
      <c r="S245" s="24">
        <v>93.012799999999999</v>
      </c>
    </row>
    <row r="246" spans="1:19" hidden="1" x14ac:dyDescent="0.25">
      <c r="A246" s="13">
        <v>45697</v>
      </c>
      <c r="B246" t="s">
        <v>502</v>
      </c>
      <c r="C246">
        <v>59319</v>
      </c>
      <c r="D246" t="s">
        <v>66</v>
      </c>
      <c r="E246" s="5">
        <v>48</v>
      </c>
      <c r="F246">
        <v>27.85</v>
      </c>
      <c r="G246" s="12" t="s">
        <v>58</v>
      </c>
      <c r="H246" s="11">
        <v>0.5</v>
      </c>
      <c r="I246" t="s">
        <v>734</v>
      </c>
      <c r="J246">
        <v>25.27</v>
      </c>
      <c r="K246" s="5" t="s">
        <v>44</v>
      </c>
      <c r="L246" t="s">
        <v>31</v>
      </c>
      <c r="M246" t="s">
        <v>22</v>
      </c>
      <c r="N246" t="s">
        <v>23</v>
      </c>
      <c r="O246" t="s">
        <v>81</v>
      </c>
      <c r="P246" t="s">
        <v>34</v>
      </c>
      <c r="Q246">
        <v>1058.3</v>
      </c>
      <c r="R246">
        <v>529.15</v>
      </c>
      <c r="S246" s="12">
        <v>86.083200000000005</v>
      </c>
    </row>
    <row r="247" spans="1:19" hidden="1" x14ac:dyDescent="0.25">
      <c r="A247" s="13">
        <v>45682</v>
      </c>
      <c r="B247" t="s">
        <v>385</v>
      </c>
      <c r="C247">
        <v>24216</v>
      </c>
      <c r="D247" t="s">
        <v>17</v>
      </c>
      <c r="E247" s="5">
        <v>10</v>
      </c>
      <c r="F247">
        <v>73.900000000000006</v>
      </c>
      <c r="G247" s="12" t="s">
        <v>58</v>
      </c>
      <c r="H247" s="11">
        <v>0.35</v>
      </c>
      <c r="I247" t="s">
        <v>734</v>
      </c>
      <c r="J247">
        <v>24.49</v>
      </c>
      <c r="K247" t="s">
        <v>50</v>
      </c>
      <c r="L247" t="s">
        <v>31</v>
      </c>
      <c r="M247" t="s">
        <v>22</v>
      </c>
      <c r="N247" t="s">
        <v>23</v>
      </c>
      <c r="O247" t="s">
        <v>81</v>
      </c>
      <c r="P247" t="s">
        <v>34</v>
      </c>
      <c r="Q247">
        <v>1330.2</v>
      </c>
      <c r="R247">
        <v>465.57</v>
      </c>
      <c r="S247" s="12">
        <v>71.36</v>
      </c>
    </row>
    <row r="248" spans="1:19" hidden="1" x14ac:dyDescent="0.25">
      <c r="A248" s="13">
        <v>45702</v>
      </c>
      <c r="B248" t="s">
        <v>135</v>
      </c>
      <c r="C248">
        <v>45616</v>
      </c>
      <c r="D248" t="s">
        <v>68</v>
      </c>
      <c r="E248" s="5">
        <v>10</v>
      </c>
      <c r="F248">
        <v>86.56</v>
      </c>
      <c r="G248" s="12" t="s">
        <v>58</v>
      </c>
      <c r="H248" s="11">
        <v>0.15</v>
      </c>
      <c r="I248" t="s">
        <v>19</v>
      </c>
      <c r="J248">
        <v>15.15</v>
      </c>
      <c r="K248" t="s">
        <v>20</v>
      </c>
      <c r="L248" s="14" t="s">
        <v>21</v>
      </c>
      <c r="M248" t="s">
        <v>111</v>
      </c>
      <c r="N248" t="s">
        <v>38</v>
      </c>
      <c r="O248" t="s">
        <v>81</v>
      </c>
      <c r="P248" t="s">
        <v>25</v>
      </c>
      <c r="Q248">
        <v>2943.04</v>
      </c>
      <c r="R248">
        <v>441.45599999999996</v>
      </c>
      <c r="S248" s="12">
        <v>64.814999999999998</v>
      </c>
    </row>
    <row r="249" spans="1:19" hidden="1" x14ac:dyDescent="0.25">
      <c r="A249" s="13">
        <v>45682</v>
      </c>
      <c r="B249" t="s">
        <v>372</v>
      </c>
      <c r="C249">
        <v>22793</v>
      </c>
      <c r="D249" t="s">
        <v>75</v>
      </c>
      <c r="E249" s="5">
        <v>2</v>
      </c>
      <c r="F249">
        <v>11.15</v>
      </c>
      <c r="G249" s="12" t="s">
        <v>58</v>
      </c>
      <c r="H249" s="11">
        <v>0.36</v>
      </c>
      <c r="I249" t="s">
        <v>734</v>
      </c>
      <c r="J249">
        <v>22.78</v>
      </c>
      <c r="K249" t="s">
        <v>37</v>
      </c>
      <c r="L249" t="s">
        <v>31</v>
      </c>
      <c r="M249" t="s">
        <v>22</v>
      </c>
      <c r="N249" t="s">
        <v>32</v>
      </c>
      <c r="O249" t="s">
        <v>59</v>
      </c>
      <c r="P249" t="s">
        <v>25</v>
      </c>
      <c r="Q249">
        <v>111.5</v>
      </c>
      <c r="R249">
        <v>40.14</v>
      </c>
      <c r="S249" s="12">
        <v>56.328400000000002</v>
      </c>
    </row>
    <row r="250" spans="1:19" x14ac:dyDescent="0.25">
      <c r="A250" s="13">
        <v>45700</v>
      </c>
      <c r="B250" t="s">
        <v>598</v>
      </c>
      <c r="C250">
        <v>18907</v>
      </c>
      <c r="D250" t="s">
        <v>89</v>
      </c>
      <c r="E250" s="5">
        <v>8</v>
      </c>
      <c r="F250" s="23">
        <v>94.65</v>
      </c>
      <c r="G250" s="12" t="s">
        <v>58</v>
      </c>
      <c r="H250" s="37">
        <v>0.25</v>
      </c>
      <c r="I250" t="s">
        <v>29</v>
      </c>
      <c r="J250" s="23">
        <v>22.59</v>
      </c>
      <c r="K250" t="s">
        <v>50</v>
      </c>
      <c r="L250" s="14" t="s">
        <v>21</v>
      </c>
      <c r="M250" t="s">
        <v>22</v>
      </c>
      <c r="N250" t="s">
        <v>23</v>
      </c>
      <c r="O250" t="s">
        <v>59</v>
      </c>
      <c r="P250" s="14" t="s">
        <v>34</v>
      </c>
      <c r="Q250" s="23">
        <v>3407.4</v>
      </c>
      <c r="R250" s="23">
        <v>851.85</v>
      </c>
      <c r="S250" s="24">
        <v>54.745600000000003</v>
      </c>
    </row>
    <row r="251" spans="1:19" hidden="1" x14ac:dyDescent="0.25">
      <c r="A251" s="13">
        <v>45685</v>
      </c>
      <c r="B251" t="s">
        <v>359</v>
      </c>
      <c r="C251">
        <v>87913</v>
      </c>
      <c r="D251" t="s">
        <v>89</v>
      </c>
      <c r="E251" s="5">
        <v>2</v>
      </c>
      <c r="F251">
        <v>78.81</v>
      </c>
      <c r="G251" s="12" t="s">
        <v>58</v>
      </c>
      <c r="H251" s="11">
        <v>0.14000000000000001</v>
      </c>
      <c r="I251" t="s">
        <v>19</v>
      </c>
      <c r="J251">
        <v>28.97</v>
      </c>
      <c r="K251" t="s">
        <v>30</v>
      </c>
      <c r="L251" t="s">
        <v>31</v>
      </c>
      <c r="M251" t="s">
        <v>22</v>
      </c>
      <c r="N251" t="s">
        <v>38</v>
      </c>
      <c r="O251" t="s">
        <v>81</v>
      </c>
      <c r="P251" t="s">
        <v>34</v>
      </c>
      <c r="Q251">
        <v>2049.06</v>
      </c>
      <c r="R251">
        <v>286.86840000000001</v>
      </c>
      <c r="S251" s="12">
        <v>43.492800000000003</v>
      </c>
    </row>
    <row r="252" spans="1:19" x14ac:dyDescent="0.25">
      <c r="A252" s="13">
        <v>45677</v>
      </c>
      <c r="B252" t="s">
        <v>297</v>
      </c>
      <c r="C252">
        <v>28651</v>
      </c>
      <c r="D252" t="s">
        <v>75</v>
      </c>
      <c r="E252" s="5">
        <v>1</v>
      </c>
      <c r="F252" s="23">
        <v>93.61</v>
      </c>
      <c r="G252" s="12" t="s">
        <v>58</v>
      </c>
      <c r="H252" s="37">
        <v>0.32</v>
      </c>
      <c r="I252" t="s">
        <v>19</v>
      </c>
      <c r="J252" s="23">
        <v>11.36</v>
      </c>
      <c r="K252" t="s">
        <v>30</v>
      </c>
      <c r="L252" s="14" t="s">
        <v>21</v>
      </c>
      <c r="M252" t="s">
        <v>22</v>
      </c>
      <c r="N252" t="s">
        <v>32</v>
      </c>
      <c r="O252" t="s">
        <v>59</v>
      </c>
      <c r="P252" s="14" t="s">
        <v>34</v>
      </c>
      <c r="Q252" s="23">
        <v>374.44</v>
      </c>
      <c r="R252" s="23">
        <v>119.82080000000001</v>
      </c>
      <c r="S252" s="24">
        <v>42.4</v>
      </c>
    </row>
    <row r="253" spans="1:19" hidden="1" x14ac:dyDescent="0.25">
      <c r="A253" s="13">
        <v>45705</v>
      </c>
      <c r="B253" t="s">
        <v>481</v>
      </c>
      <c r="C253">
        <v>57073</v>
      </c>
      <c r="D253" t="s">
        <v>89</v>
      </c>
      <c r="E253" s="5">
        <v>1</v>
      </c>
      <c r="F253">
        <v>91.76</v>
      </c>
      <c r="G253" s="12" t="s">
        <v>58</v>
      </c>
      <c r="H253" s="11">
        <v>0</v>
      </c>
      <c r="I253" t="s">
        <v>19</v>
      </c>
      <c r="J253">
        <v>8.44</v>
      </c>
      <c r="K253" s="5" t="s">
        <v>44</v>
      </c>
      <c r="L253" t="s">
        <v>31</v>
      </c>
      <c r="M253" t="s">
        <v>22</v>
      </c>
      <c r="N253" t="s">
        <v>23</v>
      </c>
      <c r="O253" t="s">
        <v>81</v>
      </c>
      <c r="P253" t="s">
        <v>25</v>
      </c>
      <c r="Q253">
        <v>642.32000000000005</v>
      </c>
      <c r="R253">
        <v>0</v>
      </c>
      <c r="S253" s="12">
        <v>36.615200000000002</v>
      </c>
    </row>
    <row r="254" spans="1:19" hidden="1" x14ac:dyDescent="0.25">
      <c r="A254" s="13">
        <v>45675</v>
      </c>
      <c r="B254" t="s">
        <v>227</v>
      </c>
      <c r="C254">
        <v>58426</v>
      </c>
      <c r="D254" t="s">
        <v>17</v>
      </c>
      <c r="E254" s="5">
        <v>3</v>
      </c>
      <c r="F254">
        <v>32.47</v>
      </c>
      <c r="G254" s="12" t="s">
        <v>58</v>
      </c>
      <c r="H254" s="11">
        <v>0.45</v>
      </c>
      <c r="I254" t="s">
        <v>19</v>
      </c>
      <c r="J254">
        <v>27.85</v>
      </c>
      <c r="K254" t="s">
        <v>30</v>
      </c>
      <c r="L254" t="s">
        <v>31</v>
      </c>
      <c r="M254" t="s">
        <v>22</v>
      </c>
      <c r="N254" t="s">
        <v>32</v>
      </c>
      <c r="O254" t="s">
        <v>81</v>
      </c>
      <c r="P254" t="s">
        <v>40</v>
      </c>
      <c r="Q254">
        <v>941.63</v>
      </c>
      <c r="R254">
        <v>423.73349999999999</v>
      </c>
      <c r="S254" s="12">
        <v>30</v>
      </c>
    </row>
    <row r="255" spans="1:19" x14ac:dyDescent="0.25">
      <c r="A255" s="13">
        <v>45695</v>
      </c>
      <c r="B255" t="s">
        <v>129</v>
      </c>
      <c r="C255">
        <v>56533</v>
      </c>
      <c r="D255" t="s">
        <v>27</v>
      </c>
      <c r="E255" s="5">
        <v>1</v>
      </c>
      <c r="F255" s="23">
        <v>38.450000000000003</v>
      </c>
      <c r="G255" s="12" t="s">
        <v>58</v>
      </c>
      <c r="H255" s="37">
        <v>0.04</v>
      </c>
      <c r="I255" t="s">
        <v>19</v>
      </c>
      <c r="J255" s="23">
        <v>26.38</v>
      </c>
      <c r="K255" t="s">
        <v>37</v>
      </c>
      <c r="L255" s="14" t="s">
        <v>21</v>
      </c>
      <c r="M255" t="s">
        <v>22</v>
      </c>
      <c r="N255" t="s">
        <v>53</v>
      </c>
      <c r="O255" t="s">
        <v>33</v>
      </c>
      <c r="P255" s="14" t="s">
        <v>34</v>
      </c>
      <c r="Q255" s="23">
        <v>1499.5500000000002</v>
      </c>
      <c r="R255" s="23">
        <v>59.982000000000006</v>
      </c>
      <c r="S255" s="24">
        <v>13.703999999999999</v>
      </c>
    </row>
    <row r="256" spans="1:19" hidden="1" x14ac:dyDescent="0.25">
      <c r="A256" s="13">
        <v>45678</v>
      </c>
      <c r="B256" t="s">
        <v>322</v>
      </c>
      <c r="C256">
        <v>67476</v>
      </c>
      <c r="D256" t="s">
        <v>57</v>
      </c>
      <c r="E256" s="5">
        <v>3</v>
      </c>
      <c r="F256">
        <v>46.31</v>
      </c>
      <c r="G256" s="12" t="s">
        <v>58</v>
      </c>
      <c r="H256" s="11">
        <v>0.17</v>
      </c>
      <c r="I256" t="s">
        <v>29</v>
      </c>
      <c r="J256">
        <v>21.67</v>
      </c>
      <c r="K256" t="s">
        <v>20</v>
      </c>
      <c r="L256" t="s">
        <v>31</v>
      </c>
      <c r="M256" t="s">
        <v>22</v>
      </c>
      <c r="N256" t="s">
        <v>23</v>
      </c>
      <c r="O256" t="s">
        <v>81</v>
      </c>
      <c r="P256" t="s">
        <v>40</v>
      </c>
      <c r="Q256">
        <v>1250.3700000000001</v>
      </c>
      <c r="R256">
        <v>212.56290000000004</v>
      </c>
      <c r="S256" s="12">
        <v>10.0962</v>
      </c>
    </row>
    <row r="257" spans="1:19" hidden="1" x14ac:dyDescent="0.25">
      <c r="A257" s="13">
        <v>45707</v>
      </c>
      <c r="B257" t="s">
        <v>664</v>
      </c>
      <c r="C257">
        <v>33054</v>
      </c>
      <c r="D257" t="s">
        <v>17</v>
      </c>
      <c r="E257" s="5">
        <v>45</v>
      </c>
      <c r="F257">
        <v>25.57</v>
      </c>
      <c r="G257" s="12" t="s">
        <v>55</v>
      </c>
      <c r="H257" s="11">
        <v>0.03</v>
      </c>
      <c r="I257" t="s">
        <v>734</v>
      </c>
      <c r="J257">
        <v>28.14</v>
      </c>
      <c r="K257" s="5" t="s">
        <v>44</v>
      </c>
      <c r="L257" t="s">
        <v>31</v>
      </c>
      <c r="M257" t="s">
        <v>22</v>
      </c>
      <c r="N257" t="s">
        <v>23</v>
      </c>
      <c r="O257" t="s">
        <v>24</v>
      </c>
      <c r="P257" t="s">
        <v>25</v>
      </c>
      <c r="Q257">
        <v>843.81000000000006</v>
      </c>
      <c r="R257">
        <v>25.314299999999999</v>
      </c>
      <c r="S257" s="12">
        <v>2542.4639999999999</v>
      </c>
    </row>
    <row r="258" spans="1:19" x14ac:dyDescent="0.25">
      <c r="A258" s="13">
        <v>45676</v>
      </c>
      <c r="B258" t="s">
        <v>270</v>
      </c>
      <c r="C258">
        <v>82206</v>
      </c>
      <c r="D258" t="s">
        <v>46</v>
      </c>
      <c r="E258" s="5">
        <v>40</v>
      </c>
      <c r="F258" s="23">
        <v>56.88</v>
      </c>
      <c r="G258" s="12" t="s">
        <v>55</v>
      </c>
      <c r="H258" s="37">
        <v>0.05</v>
      </c>
      <c r="I258" t="s">
        <v>734</v>
      </c>
      <c r="J258" s="23">
        <v>5.08</v>
      </c>
      <c r="K258" t="s">
        <v>20</v>
      </c>
      <c r="L258" s="14" t="s">
        <v>21</v>
      </c>
      <c r="M258" t="s">
        <v>22</v>
      </c>
      <c r="N258" t="s">
        <v>38</v>
      </c>
      <c r="O258" t="s">
        <v>81</v>
      </c>
      <c r="P258" s="14" t="s">
        <v>34</v>
      </c>
      <c r="Q258" s="23">
        <v>2275.2000000000003</v>
      </c>
      <c r="R258" s="23">
        <v>113.76000000000002</v>
      </c>
      <c r="S258" s="24">
        <v>2161.44</v>
      </c>
    </row>
    <row r="259" spans="1:19" hidden="1" x14ac:dyDescent="0.25">
      <c r="A259" s="13">
        <v>45704</v>
      </c>
      <c r="B259" t="s">
        <v>636</v>
      </c>
      <c r="C259">
        <v>21877</v>
      </c>
      <c r="D259" t="s">
        <v>70</v>
      </c>
      <c r="E259" s="5">
        <v>39</v>
      </c>
      <c r="F259">
        <v>69.34</v>
      </c>
      <c r="G259" s="12" t="s">
        <v>55</v>
      </c>
      <c r="H259" s="11">
        <v>0.17</v>
      </c>
      <c r="I259" t="s">
        <v>29</v>
      </c>
      <c r="J259">
        <v>15.15</v>
      </c>
      <c r="K259" t="s">
        <v>30</v>
      </c>
      <c r="L259" t="s">
        <v>31</v>
      </c>
      <c r="M259" t="s">
        <v>22</v>
      </c>
      <c r="N259" t="s">
        <v>32</v>
      </c>
      <c r="O259" t="s">
        <v>59</v>
      </c>
      <c r="P259" t="s">
        <v>25</v>
      </c>
      <c r="Q259">
        <v>1525.48</v>
      </c>
      <c r="R259">
        <v>259.33160000000004</v>
      </c>
      <c r="S259" s="12">
        <v>2133.9044999999996</v>
      </c>
    </row>
    <row r="260" spans="1:19" hidden="1" x14ac:dyDescent="0.25">
      <c r="A260" s="13">
        <v>45710</v>
      </c>
      <c r="B260" t="s">
        <v>691</v>
      </c>
      <c r="C260">
        <v>63859</v>
      </c>
      <c r="D260" t="s">
        <v>57</v>
      </c>
      <c r="E260" s="5">
        <v>46</v>
      </c>
      <c r="F260">
        <v>75.69</v>
      </c>
      <c r="G260" s="12" t="s">
        <v>55</v>
      </c>
      <c r="H260" s="11">
        <v>0.21</v>
      </c>
      <c r="I260" t="s">
        <v>29</v>
      </c>
      <c r="J260">
        <v>8.2799999999999994</v>
      </c>
      <c r="K260" t="s">
        <v>37</v>
      </c>
      <c r="L260" s="14" t="s">
        <v>21</v>
      </c>
      <c r="M260" t="s">
        <v>111</v>
      </c>
      <c r="N260" t="s">
        <v>38</v>
      </c>
      <c r="O260" t="s">
        <v>39</v>
      </c>
      <c r="P260" t="s">
        <v>40</v>
      </c>
      <c r="Q260">
        <v>681.21</v>
      </c>
      <c r="R260">
        <v>143.05410000000001</v>
      </c>
      <c r="S260" s="12">
        <v>2056.7565999999997</v>
      </c>
    </row>
    <row r="261" spans="1:19" hidden="1" x14ac:dyDescent="0.25">
      <c r="A261" s="13">
        <v>45689</v>
      </c>
      <c r="B261" t="s">
        <v>463</v>
      </c>
      <c r="C261">
        <v>90287</v>
      </c>
      <c r="D261" t="s">
        <v>57</v>
      </c>
      <c r="E261" s="5">
        <v>42</v>
      </c>
      <c r="F261">
        <v>74.97</v>
      </c>
      <c r="G261" s="12" t="s">
        <v>55</v>
      </c>
      <c r="H261" s="11">
        <v>0.1</v>
      </c>
      <c r="I261" t="s">
        <v>29</v>
      </c>
      <c r="J261">
        <v>22.26</v>
      </c>
      <c r="K261" s="5" t="s">
        <v>44</v>
      </c>
      <c r="L261" t="s">
        <v>31</v>
      </c>
      <c r="M261" t="s">
        <v>22</v>
      </c>
      <c r="N261" t="s">
        <v>53</v>
      </c>
      <c r="O261" t="s">
        <v>24</v>
      </c>
      <c r="P261" t="s">
        <v>40</v>
      </c>
      <c r="Q261">
        <v>1049.58</v>
      </c>
      <c r="R261">
        <v>104.958</v>
      </c>
      <c r="S261" s="12">
        <v>2055.7152000000001</v>
      </c>
    </row>
    <row r="262" spans="1:19" hidden="1" x14ac:dyDescent="0.25">
      <c r="A262" s="13">
        <v>45703</v>
      </c>
      <c r="B262" t="s">
        <v>628</v>
      </c>
      <c r="C262">
        <v>14277</v>
      </c>
      <c r="D262" t="s">
        <v>66</v>
      </c>
      <c r="E262" s="5">
        <v>36</v>
      </c>
      <c r="F262">
        <v>35.71</v>
      </c>
      <c r="G262" s="12" t="s">
        <v>55</v>
      </c>
      <c r="H262" s="11">
        <v>0.08</v>
      </c>
      <c r="I262" t="s">
        <v>19</v>
      </c>
      <c r="J262">
        <v>8.43</v>
      </c>
      <c r="K262" s="5" t="s">
        <v>44</v>
      </c>
      <c r="L262" s="14" t="s">
        <v>21</v>
      </c>
      <c r="M262" t="s">
        <v>22</v>
      </c>
      <c r="N262" t="s">
        <v>38</v>
      </c>
      <c r="O262" t="s">
        <v>24</v>
      </c>
      <c r="P262" t="s">
        <v>25</v>
      </c>
      <c r="Q262">
        <v>1749.79</v>
      </c>
      <c r="R262">
        <v>139.98320000000001</v>
      </c>
      <c r="S262" s="12">
        <v>1980.432</v>
      </c>
    </row>
    <row r="263" spans="1:19" hidden="1" x14ac:dyDescent="0.25">
      <c r="A263" s="13">
        <v>45690</v>
      </c>
      <c r="B263" t="s">
        <v>120</v>
      </c>
      <c r="C263">
        <v>18753</v>
      </c>
      <c r="D263" t="s">
        <v>42</v>
      </c>
      <c r="E263" s="5">
        <v>44</v>
      </c>
      <c r="F263">
        <v>19.18</v>
      </c>
      <c r="G263" s="12" t="s">
        <v>55</v>
      </c>
      <c r="H263" s="11">
        <v>0.38</v>
      </c>
      <c r="I263" t="s">
        <v>19</v>
      </c>
      <c r="J263">
        <v>7.21</v>
      </c>
      <c r="K263" s="5" t="s">
        <v>44</v>
      </c>
      <c r="L263" s="14" t="s">
        <v>21</v>
      </c>
      <c r="M263" t="s">
        <v>22</v>
      </c>
      <c r="N263" t="s">
        <v>23</v>
      </c>
      <c r="O263" t="s">
        <v>24</v>
      </c>
      <c r="P263" t="s">
        <v>40</v>
      </c>
      <c r="Q263">
        <v>517.86</v>
      </c>
      <c r="R263">
        <v>196.7868</v>
      </c>
      <c r="S263" s="12">
        <v>1880.6788000000001</v>
      </c>
    </row>
    <row r="264" spans="1:19" hidden="1" x14ac:dyDescent="0.25">
      <c r="A264" s="13">
        <v>45675</v>
      </c>
      <c r="B264" t="s">
        <v>266</v>
      </c>
      <c r="C264">
        <v>19828</v>
      </c>
      <c r="D264" t="s">
        <v>75</v>
      </c>
      <c r="E264" s="5">
        <v>30</v>
      </c>
      <c r="F264">
        <v>76.97</v>
      </c>
      <c r="G264" s="12" t="s">
        <v>55</v>
      </c>
      <c r="H264" s="11">
        <v>0.3</v>
      </c>
      <c r="I264" t="s">
        <v>19</v>
      </c>
      <c r="J264">
        <v>11.38</v>
      </c>
      <c r="K264" t="s">
        <v>20</v>
      </c>
      <c r="L264" s="14" t="s">
        <v>21</v>
      </c>
      <c r="M264" t="s">
        <v>22</v>
      </c>
      <c r="N264" t="s">
        <v>32</v>
      </c>
      <c r="O264" t="s">
        <v>81</v>
      </c>
      <c r="P264" t="s">
        <v>25</v>
      </c>
      <c r="Q264">
        <v>1308.49</v>
      </c>
      <c r="R264">
        <v>392.54699999999997</v>
      </c>
      <c r="S264" s="12">
        <v>1860.6509999999998</v>
      </c>
    </row>
    <row r="265" spans="1:19" hidden="1" x14ac:dyDescent="0.25">
      <c r="A265" s="13">
        <v>45676</v>
      </c>
      <c r="B265" t="s">
        <v>228</v>
      </c>
      <c r="C265">
        <v>62050</v>
      </c>
      <c r="D265" t="s">
        <v>27</v>
      </c>
      <c r="E265" s="5">
        <v>21</v>
      </c>
      <c r="F265">
        <v>87</v>
      </c>
      <c r="G265" s="12" t="s">
        <v>55</v>
      </c>
      <c r="H265" s="11">
        <v>0.37</v>
      </c>
      <c r="I265" t="s">
        <v>19</v>
      </c>
      <c r="J265">
        <v>26.58</v>
      </c>
      <c r="K265" s="5" t="s">
        <v>44</v>
      </c>
      <c r="L265" s="14" t="s">
        <v>21</v>
      </c>
      <c r="M265" t="s">
        <v>22</v>
      </c>
      <c r="N265" t="s">
        <v>32</v>
      </c>
      <c r="O265" t="s">
        <v>39</v>
      </c>
      <c r="P265" t="s">
        <v>40</v>
      </c>
      <c r="Q265">
        <v>1914</v>
      </c>
      <c r="R265">
        <v>708.18</v>
      </c>
      <c r="S265" s="12">
        <v>1827.441</v>
      </c>
    </row>
    <row r="266" spans="1:19" hidden="1" x14ac:dyDescent="0.25">
      <c r="A266" s="13">
        <v>45700</v>
      </c>
      <c r="B266" t="s">
        <v>602</v>
      </c>
      <c r="C266">
        <v>92099</v>
      </c>
      <c r="D266" t="s">
        <v>27</v>
      </c>
      <c r="E266" s="5">
        <v>25</v>
      </c>
      <c r="F266">
        <v>57.92</v>
      </c>
      <c r="G266" s="12" t="s">
        <v>55</v>
      </c>
      <c r="H266" s="11">
        <v>0.5</v>
      </c>
      <c r="I266" t="s">
        <v>734</v>
      </c>
      <c r="J266">
        <v>5.68</v>
      </c>
      <c r="K266" t="s">
        <v>20</v>
      </c>
      <c r="L266" t="s">
        <v>31</v>
      </c>
      <c r="M266" t="s">
        <v>111</v>
      </c>
      <c r="N266" t="s">
        <v>32</v>
      </c>
      <c r="O266" t="s">
        <v>59</v>
      </c>
      <c r="P266" t="s">
        <v>40</v>
      </c>
      <c r="Q266">
        <v>695.04</v>
      </c>
      <c r="R266">
        <v>347.52</v>
      </c>
      <c r="S266" s="12">
        <v>1791.02</v>
      </c>
    </row>
    <row r="267" spans="1:19" hidden="1" x14ac:dyDescent="0.25">
      <c r="A267" s="13">
        <v>45674</v>
      </c>
      <c r="B267" t="s">
        <v>231</v>
      </c>
      <c r="C267">
        <v>71984</v>
      </c>
      <c r="D267" t="s">
        <v>49</v>
      </c>
      <c r="E267" s="5">
        <v>39</v>
      </c>
      <c r="F267">
        <v>30.48</v>
      </c>
      <c r="G267" s="12" t="s">
        <v>55</v>
      </c>
      <c r="H267" s="11">
        <v>0.4</v>
      </c>
      <c r="I267" t="s">
        <v>29</v>
      </c>
      <c r="J267">
        <v>22.63</v>
      </c>
      <c r="K267" t="s">
        <v>50</v>
      </c>
      <c r="L267" t="s">
        <v>31</v>
      </c>
      <c r="M267" t="s">
        <v>111</v>
      </c>
      <c r="N267" t="s">
        <v>32</v>
      </c>
      <c r="O267" t="s">
        <v>59</v>
      </c>
      <c r="P267" t="s">
        <v>25</v>
      </c>
      <c r="Q267">
        <v>883.92</v>
      </c>
      <c r="R267">
        <v>353.56799999999998</v>
      </c>
      <c r="S267" s="12">
        <v>1765.9862999999998</v>
      </c>
    </row>
    <row r="268" spans="1:19" hidden="1" x14ac:dyDescent="0.25">
      <c r="A268" s="13">
        <v>45663</v>
      </c>
      <c r="B268" t="s">
        <v>134</v>
      </c>
      <c r="C268">
        <v>28924</v>
      </c>
      <c r="D268" t="s">
        <v>27</v>
      </c>
      <c r="E268" s="5">
        <v>21</v>
      </c>
      <c r="F268">
        <v>27.12</v>
      </c>
      <c r="G268" s="12" t="s">
        <v>55</v>
      </c>
      <c r="H268" s="11">
        <v>0.01</v>
      </c>
      <c r="I268" t="s">
        <v>29</v>
      </c>
      <c r="J268">
        <v>13.58</v>
      </c>
      <c r="K268" t="s">
        <v>37</v>
      </c>
      <c r="L268" t="s">
        <v>31</v>
      </c>
      <c r="M268" t="s">
        <v>22</v>
      </c>
      <c r="N268" t="s">
        <v>53</v>
      </c>
      <c r="O268" t="s">
        <v>39</v>
      </c>
      <c r="P268" t="s">
        <v>25</v>
      </c>
      <c r="Q268">
        <v>27.12</v>
      </c>
      <c r="R268">
        <v>0.2712</v>
      </c>
      <c r="S268" s="12">
        <v>1745.9484</v>
      </c>
    </row>
    <row r="269" spans="1:19" hidden="1" x14ac:dyDescent="0.25">
      <c r="A269" s="13">
        <v>45674</v>
      </c>
      <c r="B269" t="s">
        <v>234</v>
      </c>
      <c r="C269">
        <v>47253</v>
      </c>
      <c r="D269" t="s">
        <v>70</v>
      </c>
      <c r="E269" s="5">
        <v>42</v>
      </c>
      <c r="F269">
        <v>37.5</v>
      </c>
      <c r="G269" s="12" t="s">
        <v>55</v>
      </c>
      <c r="H269" s="11">
        <v>0.44</v>
      </c>
      <c r="I269" t="s">
        <v>734</v>
      </c>
      <c r="J269">
        <v>14.64</v>
      </c>
      <c r="K269" t="s">
        <v>50</v>
      </c>
      <c r="L269" s="14" t="s">
        <v>21</v>
      </c>
      <c r="M269" t="s">
        <v>22</v>
      </c>
      <c r="N269" t="s">
        <v>23</v>
      </c>
      <c r="O269" t="s">
        <v>24</v>
      </c>
      <c r="P269" t="s">
        <v>40</v>
      </c>
      <c r="Q269">
        <v>1537.5</v>
      </c>
      <c r="R269">
        <v>676.5</v>
      </c>
      <c r="S269" s="12">
        <v>1676.1948</v>
      </c>
    </row>
    <row r="270" spans="1:19" hidden="1" x14ac:dyDescent="0.25">
      <c r="A270" s="13">
        <v>45703</v>
      </c>
      <c r="B270" t="s">
        <v>129</v>
      </c>
      <c r="C270">
        <v>74396</v>
      </c>
      <c r="D270" t="s">
        <v>68</v>
      </c>
      <c r="E270" s="5">
        <v>49</v>
      </c>
      <c r="F270">
        <v>46.61</v>
      </c>
      <c r="G270" s="12" t="s">
        <v>55</v>
      </c>
      <c r="H270" s="11">
        <v>0.24</v>
      </c>
      <c r="I270" t="s">
        <v>19</v>
      </c>
      <c r="J270">
        <v>11.04</v>
      </c>
      <c r="K270" t="s">
        <v>50</v>
      </c>
      <c r="L270" t="s">
        <v>31</v>
      </c>
      <c r="M270" t="s">
        <v>22</v>
      </c>
      <c r="N270" t="s">
        <v>32</v>
      </c>
      <c r="O270" t="s">
        <v>59</v>
      </c>
      <c r="P270" t="s">
        <v>25</v>
      </c>
      <c r="Q270">
        <v>1025.42</v>
      </c>
      <c r="R270">
        <v>246.10080000000002</v>
      </c>
      <c r="S270" s="12">
        <v>1609.8067999999998</v>
      </c>
    </row>
    <row r="271" spans="1:19" hidden="1" x14ac:dyDescent="0.25">
      <c r="A271" s="13">
        <v>45675</v>
      </c>
      <c r="B271" t="s">
        <v>256</v>
      </c>
      <c r="C271">
        <v>21796</v>
      </c>
      <c r="D271" t="s">
        <v>75</v>
      </c>
      <c r="E271" s="5">
        <v>40</v>
      </c>
      <c r="F271">
        <v>26.85</v>
      </c>
      <c r="G271" s="12" t="s">
        <v>55</v>
      </c>
      <c r="H271" s="11">
        <v>0.08</v>
      </c>
      <c r="I271" t="s">
        <v>29</v>
      </c>
      <c r="J271">
        <v>6.28</v>
      </c>
      <c r="K271" s="5" t="s">
        <v>44</v>
      </c>
      <c r="L271" s="14" t="s">
        <v>21</v>
      </c>
      <c r="M271" t="s">
        <v>22</v>
      </c>
      <c r="N271" t="s">
        <v>32</v>
      </c>
      <c r="O271" t="s">
        <v>81</v>
      </c>
      <c r="P271" t="s">
        <v>40</v>
      </c>
      <c r="Q271">
        <v>1127.7</v>
      </c>
      <c r="R271">
        <v>90.216000000000008</v>
      </c>
      <c r="S271" s="12">
        <v>1570.46</v>
      </c>
    </row>
    <row r="272" spans="1:19" hidden="1" x14ac:dyDescent="0.25">
      <c r="A272" s="13">
        <v>45679</v>
      </c>
      <c r="B272" t="s">
        <v>264</v>
      </c>
      <c r="C272">
        <v>46710</v>
      </c>
      <c r="D272" t="s">
        <v>89</v>
      </c>
      <c r="E272" s="5">
        <v>34</v>
      </c>
      <c r="F272">
        <v>89.48</v>
      </c>
      <c r="G272" s="12" t="s">
        <v>55</v>
      </c>
      <c r="H272" s="11">
        <v>0.5</v>
      </c>
      <c r="I272" t="s">
        <v>29</v>
      </c>
      <c r="J272">
        <v>9.07</v>
      </c>
      <c r="K272" s="5" t="s">
        <v>44</v>
      </c>
      <c r="L272" t="s">
        <v>31</v>
      </c>
      <c r="M272" t="s">
        <v>22</v>
      </c>
      <c r="N272" t="s">
        <v>53</v>
      </c>
      <c r="O272" t="s">
        <v>81</v>
      </c>
      <c r="P272" t="s">
        <v>25</v>
      </c>
      <c r="Q272">
        <v>2415.96</v>
      </c>
      <c r="R272">
        <v>1207.98</v>
      </c>
      <c r="S272" s="12">
        <v>1531.7</v>
      </c>
    </row>
    <row r="273" spans="1:19" hidden="1" x14ac:dyDescent="0.25">
      <c r="A273" s="13">
        <v>45681</v>
      </c>
      <c r="B273" t="s">
        <v>361</v>
      </c>
      <c r="C273">
        <v>30860</v>
      </c>
      <c r="D273" t="s">
        <v>46</v>
      </c>
      <c r="E273" s="5">
        <v>31</v>
      </c>
      <c r="F273">
        <v>21.93</v>
      </c>
      <c r="G273" s="12" t="s">
        <v>55</v>
      </c>
      <c r="H273" s="11">
        <v>0.04</v>
      </c>
      <c r="I273" t="s">
        <v>29</v>
      </c>
      <c r="J273">
        <v>27.88</v>
      </c>
      <c r="K273" t="s">
        <v>50</v>
      </c>
      <c r="L273" t="s">
        <v>31</v>
      </c>
      <c r="M273" t="s">
        <v>22</v>
      </c>
      <c r="N273" t="s">
        <v>23</v>
      </c>
      <c r="O273" t="s">
        <v>81</v>
      </c>
      <c r="P273" t="s">
        <v>40</v>
      </c>
      <c r="Q273">
        <v>1074.57</v>
      </c>
      <c r="R273">
        <v>42.982799999999997</v>
      </c>
      <c r="S273" s="12">
        <v>1513.8105999999998</v>
      </c>
    </row>
    <row r="274" spans="1:19" hidden="1" x14ac:dyDescent="0.25">
      <c r="A274" s="13">
        <v>45665</v>
      </c>
      <c r="B274" t="s">
        <v>112</v>
      </c>
      <c r="C274">
        <v>72448</v>
      </c>
      <c r="D274" t="s">
        <v>70</v>
      </c>
      <c r="E274" s="5">
        <v>35</v>
      </c>
      <c r="F274">
        <v>17.75</v>
      </c>
      <c r="G274" s="12" t="s">
        <v>55</v>
      </c>
      <c r="H274" s="11">
        <v>0.08</v>
      </c>
      <c r="I274" t="s">
        <v>734</v>
      </c>
      <c r="J274">
        <v>23.51</v>
      </c>
      <c r="K274" t="s">
        <v>30</v>
      </c>
      <c r="L274" s="14" t="s">
        <v>21</v>
      </c>
      <c r="M274" t="s">
        <v>22</v>
      </c>
      <c r="N274" t="s">
        <v>53</v>
      </c>
      <c r="O274" t="s">
        <v>39</v>
      </c>
      <c r="P274" t="s">
        <v>25</v>
      </c>
      <c r="Q274">
        <v>603.5</v>
      </c>
      <c r="R274">
        <v>48.28</v>
      </c>
      <c r="S274" s="12">
        <v>1511.9684999999999</v>
      </c>
    </row>
    <row r="275" spans="1:19" hidden="1" x14ac:dyDescent="0.25">
      <c r="A275" s="13">
        <v>45675</v>
      </c>
      <c r="B275" t="s">
        <v>62</v>
      </c>
      <c r="C275">
        <v>22787</v>
      </c>
      <c r="D275" t="s">
        <v>70</v>
      </c>
      <c r="E275" s="5">
        <v>39</v>
      </c>
      <c r="F275">
        <v>53</v>
      </c>
      <c r="G275" s="12" t="s">
        <v>55</v>
      </c>
      <c r="H275" s="11">
        <v>0.21</v>
      </c>
      <c r="I275" t="s">
        <v>734</v>
      </c>
      <c r="J275">
        <v>20.54</v>
      </c>
      <c r="K275" t="s">
        <v>50</v>
      </c>
      <c r="L275" s="14" t="s">
        <v>21</v>
      </c>
      <c r="M275" t="s">
        <v>22</v>
      </c>
      <c r="N275" t="s">
        <v>32</v>
      </c>
      <c r="O275" t="s">
        <v>33</v>
      </c>
      <c r="P275" t="s">
        <v>40</v>
      </c>
      <c r="Q275">
        <v>477</v>
      </c>
      <c r="R275">
        <v>100.17</v>
      </c>
      <c r="S275" s="12">
        <v>1499.4017999999999</v>
      </c>
    </row>
    <row r="276" spans="1:19" x14ac:dyDescent="0.25">
      <c r="A276" s="13">
        <v>45687</v>
      </c>
      <c r="B276" t="s">
        <v>449</v>
      </c>
      <c r="C276">
        <v>12954</v>
      </c>
      <c r="D276" t="s">
        <v>17</v>
      </c>
      <c r="E276" s="5">
        <v>48</v>
      </c>
      <c r="F276" s="23">
        <v>41.27</v>
      </c>
      <c r="G276" s="12" t="s">
        <v>55</v>
      </c>
      <c r="H276" s="37">
        <v>0.31</v>
      </c>
      <c r="I276" t="s">
        <v>19</v>
      </c>
      <c r="J276" s="23">
        <v>12.09</v>
      </c>
      <c r="K276" t="s">
        <v>20</v>
      </c>
      <c r="L276" s="14" t="s">
        <v>21</v>
      </c>
      <c r="M276" t="s">
        <v>22</v>
      </c>
      <c r="N276" t="s">
        <v>38</v>
      </c>
      <c r="O276" t="s">
        <v>24</v>
      </c>
      <c r="P276" s="14" t="s">
        <v>34</v>
      </c>
      <c r="Q276" s="23">
        <v>1403.18</v>
      </c>
      <c r="R276" s="23">
        <v>434.98580000000004</v>
      </c>
      <c r="S276" s="24">
        <v>1470.432</v>
      </c>
    </row>
    <row r="277" spans="1:19" hidden="1" x14ac:dyDescent="0.25">
      <c r="A277" s="13">
        <v>45688</v>
      </c>
      <c r="B277" t="s">
        <v>451</v>
      </c>
      <c r="C277">
        <v>24020</v>
      </c>
      <c r="D277" t="s">
        <v>70</v>
      </c>
      <c r="E277" s="5">
        <v>26</v>
      </c>
      <c r="F277">
        <v>9.5299999999999994</v>
      </c>
      <c r="G277" s="12" t="s">
        <v>55</v>
      </c>
      <c r="H277" s="11">
        <v>0.39</v>
      </c>
      <c r="I277" t="s">
        <v>29</v>
      </c>
      <c r="J277">
        <v>13.89</v>
      </c>
      <c r="K277" t="s">
        <v>50</v>
      </c>
      <c r="L277" t="s">
        <v>31</v>
      </c>
      <c r="M277" t="s">
        <v>22</v>
      </c>
      <c r="N277" t="s">
        <v>23</v>
      </c>
      <c r="O277" t="s">
        <v>24</v>
      </c>
      <c r="P277" t="s">
        <v>25</v>
      </c>
      <c r="Q277">
        <v>152.47999999999999</v>
      </c>
      <c r="R277">
        <v>59.467199999999998</v>
      </c>
      <c r="S277" s="12">
        <v>1399.2264</v>
      </c>
    </row>
    <row r="278" spans="1:19" x14ac:dyDescent="0.25">
      <c r="A278" s="13">
        <v>45702</v>
      </c>
      <c r="B278" t="s">
        <v>334</v>
      </c>
      <c r="C278">
        <v>90393</v>
      </c>
      <c r="D278" t="s">
        <v>68</v>
      </c>
      <c r="E278" s="5">
        <v>16</v>
      </c>
      <c r="F278" s="23">
        <v>50.45</v>
      </c>
      <c r="G278" s="12" t="s">
        <v>55</v>
      </c>
      <c r="H278" s="37">
        <v>0.25</v>
      </c>
      <c r="I278" t="s">
        <v>19</v>
      </c>
      <c r="J278" s="23">
        <v>27.28</v>
      </c>
      <c r="K278" t="s">
        <v>20</v>
      </c>
      <c r="L278" s="14" t="s">
        <v>21</v>
      </c>
      <c r="M278" t="s">
        <v>22</v>
      </c>
      <c r="N278" t="s">
        <v>38</v>
      </c>
      <c r="O278" t="s">
        <v>39</v>
      </c>
      <c r="P278" s="14" t="s">
        <v>34</v>
      </c>
      <c r="Q278" s="23">
        <v>302.70000000000005</v>
      </c>
      <c r="R278" s="23">
        <v>75.675000000000011</v>
      </c>
      <c r="S278" s="24">
        <v>1383.5519999999999</v>
      </c>
    </row>
    <row r="279" spans="1:19" hidden="1" x14ac:dyDescent="0.25">
      <c r="A279" s="13">
        <v>45679</v>
      </c>
      <c r="B279" t="s">
        <v>323</v>
      </c>
      <c r="C279">
        <v>65833</v>
      </c>
      <c r="D279" t="s">
        <v>89</v>
      </c>
      <c r="E279" s="5">
        <v>32</v>
      </c>
      <c r="F279">
        <v>81.41</v>
      </c>
      <c r="G279" s="12" t="s">
        <v>55</v>
      </c>
      <c r="H279" s="11">
        <v>0.03</v>
      </c>
      <c r="I279" t="s">
        <v>29</v>
      </c>
      <c r="J279">
        <v>9.17</v>
      </c>
      <c r="K279" t="s">
        <v>37</v>
      </c>
      <c r="L279" t="s">
        <v>31</v>
      </c>
      <c r="M279" t="s">
        <v>22</v>
      </c>
      <c r="N279" t="s">
        <v>53</v>
      </c>
      <c r="O279" t="s">
        <v>33</v>
      </c>
      <c r="P279" t="s">
        <v>40</v>
      </c>
      <c r="Q279">
        <v>569.87</v>
      </c>
      <c r="R279">
        <v>17.0961</v>
      </c>
      <c r="S279" s="12">
        <v>1380.96</v>
      </c>
    </row>
    <row r="280" spans="1:19" hidden="1" x14ac:dyDescent="0.25">
      <c r="A280" s="13">
        <v>45673</v>
      </c>
      <c r="B280" t="s">
        <v>210</v>
      </c>
      <c r="C280">
        <v>13520</v>
      </c>
      <c r="D280" t="s">
        <v>57</v>
      </c>
      <c r="E280" s="5">
        <v>47</v>
      </c>
      <c r="F280">
        <v>72</v>
      </c>
      <c r="G280" s="12" t="s">
        <v>55</v>
      </c>
      <c r="H280" s="11">
        <v>0.28999999999999998</v>
      </c>
      <c r="I280" t="s">
        <v>29</v>
      </c>
      <c r="J280">
        <v>16.64</v>
      </c>
      <c r="K280" t="s">
        <v>37</v>
      </c>
      <c r="L280" t="s">
        <v>31</v>
      </c>
      <c r="M280" t="s">
        <v>22</v>
      </c>
      <c r="N280" t="s">
        <v>53</v>
      </c>
      <c r="O280" t="s">
        <v>81</v>
      </c>
      <c r="P280" t="s">
        <v>40</v>
      </c>
      <c r="Q280">
        <v>1872</v>
      </c>
      <c r="R280">
        <v>542.88</v>
      </c>
      <c r="S280" s="12">
        <v>1370.05</v>
      </c>
    </row>
    <row r="281" spans="1:19" hidden="1" x14ac:dyDescent="0.25">
      <c r="A281" s="13">
        <v>45699</v>
      </c>
      <c r="B281" t="s">
        <v>472</v>
      </c>
      <c r="C281">
        <v>44314</v>
      </c>
      <c r="D281" t="s">
        <v>42</v>
      </c>
      <c r="E281" s="5">
        <v>47</v>
      </c>
      <c r="F281">
        <v>79.16</v>
      </c>
      <c r="G281" s="12" t="s">
        <v>55</v>
      </c>
      <c r="H281" s="11">
        <v>0.11</v>
      </c>
      <c r="I281" t="s">
        <v>29</v>
      </c>
      <c r="J281">
        <v>16.760000000000002</v>
      </c>
      <c r="K281" t="s">
        <v>20</v>
      </c>
      <c r="L281" t="s">
        <v>31</v>
      </c>
      <c r="M281" t="s">
        <v>22</v>
      </c>
      <c r="N281" t="s">
        <v>38</v>
      </c>
      <c r="O281" t="s">
        <v>24</v>
      </c>
      <c r="P281" t="s">
        <v>25</v>
      </c>
      <c r="Q281">
        <v>3087.24</v>
      </c>
      <c r="R281">
        <v>339.59639999999996</v>
      </c>
      <c r="S281" s="12">
        <v>1328.2482</v>
      </c>
    </row>
    <row r="282" spans="1:19" hidden="1" x14ac:dyDescent="0.25">
      <c r="A282" s="13">
        <v>45707</v>
      </c>
      <c r="B282" t="s">
        <v>606</v>
      </c>
      <c r="C282">
        <v>54577</v>
      </c>
      <c r="D282" t="s">
        <v>66</v>
      </c>
      <c r="E282" s="5">
        <v>23</v>
      </c>
      <c r="F282">
        <v>26.28</v>
      </c>
      <c r="G282" s="12" t="s">
        <v>55</v>
      </c>
      <c r="H282" s="11">
        <v>0.1</v>
      </c>
      <c r="I282" t="s">
        <v>19</v>
      </c>
      <c r="J282">
        <v>18.96</v>
      </c>
      <c r="K282" t="s">
        <v>37</v>
      </c>
      <c r="L282" s="14" t="s">
        <v>21</v>
      </c>
      <c r="M282" t="s">
        <v>111</v>
      </c>
      <c r="N282" t="s">
        <v>38</v>
      </c>
      <c r="O282" t="s">
        <v>59</v>
      </c>
      <c r="P282" t="s">
        <v>25</v>
      </c>
      <c r="Q282">
        <v>893.52</v>
      </c>
      <c r="R282">
        <v>89.352000000000004</v>
      </c>
      <c r="S282" s="12">
        <v>1303.8792000000001</v>
      </c>
    </row>
    <row r="283" spans="1:19" hidden="1" x14ac:dyDescent="0.25">
      <c r="A283" s="13">
        <v>45679</v>
      </c>
      <c r="B283" t="s">
        <v>330</v>
      </c>
      <c r="C283">
        <v>95713</v>
      </c>
      <c r="D283" t="s">
        <v>17</v>
      </c>
      <c r="E283" s="5">
        <v>26</v>
      </c>
      <c r="F283">
        <v>15.52</v>
      </c>
      <c r="G283" s="12" t="s">
        <v>55</v>
      </c>
      <c r="H283" s="11">
        <v>0.14000000000000001</v>
      </c>
      <c r="I283" t="s">
        <v>734</v>
      </c>
      <c r="J283">
        <v>21.57</v>
      </c>
      <c r="K283" t="s">
        <v>30</v>
      </c>
      <c r="L283" s="14" t="s">
        <v>21</v>
      </c>
      <c r="M283" t="s">
        <v>111</v>
      </c>
      <c r="N283" t="s">
        <v>53</v>
      </c>
      <c r="O283" t="s">
        <v>24</v>
      </c>
      <c r="P283" t="s">
        <v>40</v>
      </c>
      <c r="Q283">
        <v>170.72</v>
      </c>
      <c r="R283">
        <v>23.900800000000004</v>
      </c>
      <c r="S283" s="12">
        <v>1268.0927999999999</v>
      </c>
    </row>
    <row r="284" spans="1:19" hidden="1" x14ac:dyDescent="0.25">
      <c r="A284" s="13">
        <v>45704</v>
      </c>
      <c r="B284" t="s">
        <v>638</v>
      </c>
      <c r="C284">
        <v>83577</v>
      </c>
      <c r="D284" t="s">
        <v>57</v>
      </c>
      <c r="E284" s="5">
        <v>22</v>
      </c>
      <c r="F284">
        <v>17.899999999999999</v>
      </c>
      <c r="G284" s="12" t="s">
        <v>55</v>
      </c>
      <c r="H284" s="11">
        <v>0.09</v>
      </c>
      <c r="I284" t="s">
        <v>734</v>
      </c>
      <c r="J284">
        <v>18.13</v>
      </c>
      <c r="K284" t="s">
        <v>20</v>
      </c>
      <c r="L284" s="14" t="s">
        <v>21</v>
      </c>
      <c r="M284" t="s">
        <v>22</v>
      </c>
      <c r="N284" t="s">
        <v>23</v>
      </c>
      <c r="O284" t="s">
        <v>81</v>
      </c>
      <c r="P284" t="s">
        <v>25</v>
      </c>
      <c r="Q284">
        <v>805.49999999999989</v>
      </c>
      <c r="R284">
        <v>72.49499999999999</v>
      </c>
      <c r="S284" s="12">
        <v>1266.1484</v>
      </c>
    </row>
    <row r="285" spans="1:19" hidden="1" x14ac:dyDescent="0.25">
      <c r="A285" s="13">
        <v>45671</v>
      </c>
      <c r="B285" t="s">
        <v>189</v>
      </c>
      <c r="C285">
        <v>48196</v>
      </c>
      <c r="D285" t="s">
        <v>57</v>
      </c>
      <c r="E285" s="5">
        <v>33</v>
      </c>
      <c r="F285">
        <v>11.9</v>
      </c>
      <c r="G285" s="12" t="s">
        <v>55</v>
      </c>
      <c r="H285" s="11">
        <v>0.21</v>
      </c>
      <c r="I285" t="s">
        <v>734</v>
      </c>
      <c r="J285">
        <v>10.7</v>
      </c>
      <c r="K285" t="s">
        <v>30</v>
      </c>
      <c r="L285" t="s">
        <v>31</v>
      </c>
      <c r="M285" t="s">
        <v>735</v>
      </c>
      <c r="N285" t="s">
        <v>53</v>
      </c>
      <c r="O285" t="s">
        <v>59</v>
      </c>
      <c r="P285" t="s">
        <v>34</v>
      </c>
      <c r="Q285">
        <v>23.8</v>
      </c>
      <c r="R285">
        <v>4.9980000000000002</v>
      </c>
      <c r="S285" s="12">
        <v>1169.2889999999998</v>
      </c>
    </row>
    <row r="286" spans="1:19" hidden="1" x14ac:dyDescent="0.25">
      <c r="A286" s="13">
        <v>45688</v>
      </c>
      <c r="B286" t="s">
        <v>460</v>
      </c>
      <c r="C286">
        <v>81608</v>
      </c>
      <c r="D286" t="s">
        <v>17</v>
      </c>
      <c r="E286" s="5">
        <v>31</v>
      </c>
      <c r="F286">
        <v>33.020000000000003</v>
      </c>
      <c r="G286" s="12" t="s">
        <v>55</v>
      </c>
      <c r="H286" s="11">
        <v>0</v>
      </c>
      <c r="I286" t="s">
        <v>19</v>
      </c>
      <c r="J286">
        <v>8.4499999999999993</v>
      </c>
      <c r="K286" t="s">
        <v>20</v>
      </c>
      <c r="L286" t="s">
        <v>31</v>
      </c>
      <c r="M286" t="s">
        <v>22</v>
      </c>
      <c r="N286" t="s">
        <v>38</v>
      </c>
      <c r="O286" t="s">
        <v>59</v>
      </c>
      <c r="P286" t="s">
        <v>40</v>
      </c>
      <c r="Q286">
        <v>1023.6200000000001</v>
      </c>
      <c r="R286">
        <v>0</v>
      </c>
      <c r="S286" s="12">
        <v>1134.2497000000001</v>
      </c>
    </row>
    <row r="287" spans="1:19" hidden="1" x14ac:dyDescent="0.25">
      <c r="A287" s="13">
        <v>45696</v>
      </c>
      <c r="B287" t="s">
        <v>160</v>
      </c>
      <c r="C287">
        <v>43969</v>
      </c>
      <c r="D287" t="s">
        <v>68</v>
      </c>
      <c r="E287" s="5">
        <v>25</v>
      </c>
      <c r="F287">
        <v>83.81</v>
      </c>
      <c r="G287" s="12" t="s">
        <v>55</v>
      </c>
      <c r="H287" s="11">
        <v>0.4</v>
      </c>
      <c r="I287" t="s">
        <v>19</v>
      </c>
      <c r="J287">
        <v>10.64</v>
      </c>
      <c r="K287" t="s">
        <v>30</v>
      </c>
      <c r="L287" t="s">
        <v>31</v>
      </c>
      <c r="M287" t="s">
        <v>22</v>
      </c>
      <c r="N287" t="s">
        <v>23</v>
      </c>
      <c r="O287" t="s">
        <v>24</v>
      </c>
      <c r="P287" t="s">
        <v>40</v>
      </c>
      <c r="Q287">
        <v>3184.78</v>
      </c>
      <c r="R287">
        <v>1273.9120000000003</v>
      </c>
      <c r="S287" s="12">
        <v>1079.415</v>
      </c>
    </row>
    <row r="288" spans="1:19" hidden="1" x14ac:dyDescent="0.25">
      <c r="A288" s="13">
        <v>45675</v>
      </c>
      <c r="B288" t="s">
        <v>264</v>
      </c>
      <c r="C288">
        <v>65792</v>
      </c>
      <c r="D288" t="s">
        <v>57</v>
      </c>
      <c r="E288" s="5">
        <v>42</v>
      </c>
      <c r="F288">
        <v>11.97</v>
      </c>
      <c r="G288" s="12" t="s">
        <v>55</v>
      </c>
      <c r="H288" s="11">
        <v>0.14000000000000001</v>
      </c>
      <c r="I288" t="s">
        <v>29</v>
      </c>
      <c r="J288">
        <v>13.55</v>
      </c>
      <c r="K288" t="s">
        <v>30</v>
      </c>
      <c r="L288" t="s">
        <v>31</v>
      </c>
      <c r="M288" t="s">
        <v>22</v>
      </c>
      <c r="N288" t="s">
        <v>23</v>
      </c>
      <c r="O288" t="s">
        <v>24</v>
      </c>
      <c r="P288" t="s">
        <v>25</v>
      </c>
      <c r="Q288">
        <v>239.4</v>
      </c>
      <c r="R288">
        <v>33.516000000000005</v>
      </c>
      <c r="S288" s="12">
        <v>1037.4839999999999</v>
      </c>
    </row>
    <row r="289" spans="1:19" x14ac:dyDescent="0.25">
      <c r="A289" s="13">
        <v>45684</v>
      </c>
      <c r="B289" t="s">
        <v>411</v>
      </c>
      <c r="C289">
        <v>30424</v>
      </c>
      <c r="D289" t="s">
        <v>68</v>
      </c>
      <c r="E289" s="5">
        <v>23</v>
      </c>
      <c r="F289" s="23">
        <v>51.5</v>
      </c>
      <c r="G289" s="12" t="s">
        <v>55</v>
      </c>
      <c r="H289" s="37">
        <v>0.16</v>
      </c>
      <c r="I289" t="s">
        <v>29</v>
      </c>
      <c r="J289" s="23">
        <v>11.53</v>
      </c>
      <c r="K289" s="5" t="s">
        <v>44</v>
      </c>
      <c r="L289" s="14" t="s">
        <v>21</v>
      </c>
      <c r="M289" t="s">
        <v>22</v>
      </c>
      <c r="N289" t="s">
        <v>32</v>
      </c>
      <c r="O289" t="s">
        <v>33</v>
      </c>
      <c r="P289" s="14" t="s">
        <v>34</v>
      </c>
      <c r="Q289" s="23">
        <v>257.5</v>
      </c>
      <c r="R289" s="23">
        <v>41.2</v>
      </c>
      <c r="S289" s="24">
        <v>989.09199999999987</v>
      </c>
    </row>
    <row r="290" spans="1:19" hidden="1" x14ac:dyDescent="0.25">
      <c r="A290" s="13">
        <v>45668</v>
      </c>
      <c r="B290" t="s">
        <v>178</v>
      </c>
      <c r="C290">
        <v>36709</v>
      </c>
      <c r="D290" t="s">
        <v>66</v>
      </c>
      <c r="E290" s="5">
        <v>42</v>
      </c>
      <c r="F290">
        <v>22.54</v>
      </c>
      <c r="G290" s="12" t="s">
        <v>55</v>
      </c>
      <c r="H290" s="11">
        <v>0.05</v>
      </c>
      <c r="I290" t="s">
        <v>734</v>
      </c>
      <c r="J290">
        <v>9.56</v>
      </c>
      <c r="K290" t="s">
        <v>37</v>
      </c>
      <c r="L290" s="14" t="s">
        <v>21</v>
      </c>
      <c r="M290" t="s">
        <v>22</v>
      </c>
      <c r="N290" t="s">
        <v>23</v>
      </c>
      <c r="O290" t="s">
        <v>24</v>
      </c>
      <c r="P290" t="s">
        <v>40</v>
      </c>
      <c r="Q290">
        <v>45.08</v>
      </c>
      <c r="R290">
        <v>2.254</v>
      </c>
      <c r="S290" s="12">
        <v>976.45800000000008</v>
      </c>
    </row>
    <row r="291" spans="1:19" hidden="1" x14ac:dyDescent="0.25">
      <c r="A291" s="13">
        <v>45676</v>
      </c>
      <c r="B291" t="s">
        <v>271</v>
      </c>
      <c r="C291">
        <v>63565</v>
      </c>
      <c r="D291" t="s">
        <v>49</v>
      </c>
      <c r="E291" s="5">
        <v>49</v>
      </c>
      <c r="F291">
        <v>51.84</v>
      </c>
      <c r="G291" s="12" t="s">
        <v>55</v>
      </c>
      <c r="H291" s="11">
        <v>0.36</v>
      </c>
      <c r="I291" t="s">
        <v>29</v>
      </c>
      <c r="J291">
        <v>28.08</v>
      </c>
      <c r="K291" t="s">
        <v>50</v>
      </c>
      <c r="L291" s="14" t="s">
        <v>21</v>
      </c>
      <c r="M291" t="s">
        <v>22</v>
      </c>
      <c r="N291" t="s">
        <v>23</v>
      </c>
      <c r="O291" t="s">
        <v>81</v>
      </c>
      <c r="P291" t="s">
        <v>25</v>
      </c>
      <c r="Q291">
        <v>362.88</v>
      </c>
      <c r="R291">
        <v>130.63679999999999</v>
      </c>
      <c r="S291" s="12">
        <v>960.78219999999988</v>
      </c>
    </row>
    <row r="292" spans="1:19" hidden="1" x14ac:dyDescent="0.25">
      <c r="A292" s="13">
        <v>45694</v>
      </c>
      <c r="B292" t="s">
        <v>528</v>
      </c>
      <c r="C292">
        <v>48793</v>
      </c>
      <c r="D292" t="s">
        <v>27</v>
      </c>
      <c r="E292" s="5">
        <v>32</v>
      </c>
      <c r="F292">
        <v>46.33</v>
      </c>
      <c r="G292" s="12" t="s">
        <v>55</v>
      </c>
      <c r="H292" s="11">
        <v>0.06</v>
      </c>
      <c r="I292" t="s">
        <v>19</v>
      </c>
      <c r="J292">
        <v>13.4</v>
      </c>
      <c r="K292" s="5" t="s">
        <v>44</v>
      </c>
      <c r="L292" t="s">
        <v>31</v>
      </c>
      <c r="M292" t="s">
        <v>22</v>
      </c>
      <c r="N292" t="s">
        <v>38</v>
      </c>
      <c r="O292" t="s">
        <v>33</v>
      </c>
      <c r="P292" t="s">
        <v>34</v>
      </c>
      <c r="Q292">
        <v>602.29</v>
      </c>
      <c r="R292">
        <v>36.1374</v>
      </c>
      <c r="S292" s="12">
        <v>956.10239999999999</v>
      </c>
    </row>
    <row r="293" spans="1:19" hidden="1" x14ac:dyDescent="0.25">
      <c r="A293" s="13">
        <v>45706</v>
      </c>
      <c r="B293" t="s">
        <v>653</v>
      </c>
      <c r="C293">
        <v>50603</v>
      </c>
      <c r="D293" t="s">
        <v>70</v>
      </c>
      <c r="E293" s="5">
        <v>22</v>
      </c>
      <c r="F293">
        <v>79.81</v>
      </c>
      <c r="G293" s="12" t="s">
        <v>55</v>
      </c>
      <c r="H293" s="11">
        <v>0.4</v>
      </c>
      <c r="I293" t="s">
        <v>734</v>
      </c>
      <c r="J293">
        <v>6.44</v>
      </c>
      <c r="K293" s="5" t="s">
        <v>44</v>
      </c>
      <c r="L293" t="s">
        <v>31</v>
      </c>
      <c r="M293" t="s">
        <v>22</v>
      </c>
      <c r="N293" t="s">
        <v>23</v>
      </c>
      <c r="O293" t="s">
        <v>39</v>
      </c>
      <c r="P293" t="s">
        <v>25</v>
      </c>
      <c r="Q293">
        <v>239.43</v>
      </c>
      <c r="R293">
        <v>95.772000000000006</v>
      </c>
      <c r="S293" s="12">
        <v>922.35659999999996</v>
      </c>
    </row>
    <row r="294" spans="1:19" hidden="1" x14ac:dyDescent="0.25">
      <c r="A294" s="13">
        <v>45674</v>
      </c>
      <c r="B294" t="s">
        <v>238</v>
      </c>
      <c r="C294">
        <v>23789</v>
      </c>
      <c r="D294" t="s">
        <v>49</v>
      </c>
      <c r="E294" s="5">
        <v>41</v>
      </c>
      <c r="F294">
        <v>60.12</v>
      </c>
      <c r="G294" s="12" t="s">
        <v>55</v>
      </c>
      <c r="H294" s="11">
        <v>0.19</v>
      </c>
      <c r="I294" t="s">
        <v>734</v>
      </c>
      <c r="J294">
        <v>16.149999999999999</v>
      </c>
      <c r="K294" s="5" t="s">
        <v>44</v>
      </c>
      <c r="L294" t="s">
        <v>31</v>
      </c>
      <c r="M294" t="s">
        <v>22</v>
      </c>
      <c r="N294" t="s">
        <v>32</v>
      </c>
      <c r="O294" t="s">
        <v>24</v>
      </c>
      <c r="P294" t="s">
        <v>34</v>
      </c>
      <c r="Q294">
        <v>781.56</v>
      </c>
      <c r="R294">
        <v>148.49639999999999</v>
      </c>
      <c r="S294" s="12">
        <v>861</v>
      </c>
    </row>
    <row r="295" spans="1:19" hidden="1" x14ac:dyDescent="0.25">
      <c r="A295" s="13">
        <v>45672</v>
      </c>
      <c r="B295" t="s">
        <v>65</v>
      </c>
      <c r="C295">
        <v>24430</v>
      </c>
      <c r="D295" t="s">
        <v>89</v>
      </c>
      <c r="E295" s="5">
        <v>25</v>
      </c>
      <c r="F295">
        <v>78.7</v>
      </c>
      <c r="G295" s="12" t="s">
        <v>55</v>
      </c>
      <c r="H295" s="11">
        <v>0.39</v>
      </c>
      <c r="I295" t="s">
        <v>734</v>
      </c>
      <c r="J295">
        <v>23.23</v>
      </c>
      <c r="K295" t="s">
        <v>20</v>
      </c>
      <c r="L295" t="s">
        <v>31</v>
      </c>
      <c r="M295" t="s">
        <v>22</v>
      </c>
      <c r="N295" t="s">
        <v>53</v>
      </c>
      <c r="O295" t="s">
        <v>24</v>
      </c>
      <c r="P295" t="s">
        <v>40</v>
      </c>
      <c r="Q295">
        <v>1101.8</v>
      </c>
      <c r="R295">
        <v>429.702</v>
      </c>
      <c r="S295" s="12">
        <v>839.04750000000001</v>
      </c>
    </row>
    <row r="296" spans="1:19" hidden="1" x14ac:dyDescent="0.25">
      <c r="A296" s="13">
        <v>45704</v>
      </c>
      <c r="B296" t="s">
        <v>644</v>
      </c>
      <c r="C296">
        <v>18378</v>
      </c>
      <c r="D296" t="s">
        <v>70</v>
      </c>
      <c r="E296" s="5">
        <v>15</v>
      </c>
      <c r="F296">
        <v>82.34</v>
      </c>
      <c r="G296" s="12" t="s">
        <v>55</v>
      </c>
      <c r="H296" s="11">
        <v>0.15</v>
      </c>
      <c r="I296" t="s">
        <v>19</v>
      </c>
      <c r="J296">
        <v>22.64</v>
      </c>
      <c r="K296" t="s">
        <v>37</v>
      </c>
      <c r="L296" t="s">
        <v>31</v>
      </c>
      <c r="M296" t="s">
        <v>22</v>
      </c>
      <c r="N296" t="s">
        <v>38</v>
      </c>
      <c r="O296" t="s">
        <v>81</v>
      </c>
      <c r="P296" t="s">
        <v>40</v>
      </c>
      <c r="Q296">
        <v>2305.52</v>
      </c>
      <c r="R296">
        <v>345.82799999999997</v>
      </c>
      <c r="S296" s="12">
        <v>786.42000000000007</v>
      </c>
    </row>
    <row r="297" spans="1:19" hidden="1" x14ac:dyDescent="0.25">
      <c r="A297" s="13">
        <v>45693</v>
      </c>
      <c r="B297" t="s">
        <v>515</v>
      </c>
      <c r="C297">
        <v>55469</v>
      </c>
      <c r="D297" t="s">
        <v>42</v>
      </c>
      <c r="E297" s="5">
        <v>39</v>
      </c>
      <c r="F297">
        <v>20.48</v>
      </c>
      <c r="G297" s="12" t="s">
        <v>55</v>
      </c>
      <c r="H297" s="11">
        <v>0.34</v>
      </c>
      <c r="I297" t="s">
        <v>734</v>
      </c>
      <c r="J297">
        <v>26.14</v>
      </c>
      <c r="K297" t="s">
        <v>30</v>
      </c>
      <c r="L297" s="14" t="s">
        <v>21</v>
      </c>
      <c r="M297" t="s">
        <v>22</v>
      </c>
      <c r="N297" t="s">
        <v>53</v>
      </c>
      <c r="O297" t="s">
        <v>33</v>
      </c>
      <c r="P297" t="s">
        <v>40</v>
      </c>
      <c r="Q297">
        <v>696.32</v>
      </c>
      <c r="R297">
        <v>236.74880000000005</v>
      </c>
      <c r="S297" s="12">
        <v>762.25499999999988</v>
      </c>
    </row>
    <row r="298" spans="1:19" hidden="1" x14ac:dyDescent="0.25">
      <c r="A298" s="13">
        <v>45661</v>
      </c>
      <c r="B298" t="s">
        <v>96</v>
      </c>
      <c r="C298">
        <v>80747</v>
      </c>
      <c r="D298" t="s">
        <v>49</v>
      </c>
      <c r="E298" s="5">
        <v>17</v>
      </c>
      <c r="F298">
        <v>33.42</v>
      </c>
      <c r="G298" s="12" t="s">
        <v>55</v>
      </c>
      <c r="H298" s="11">
        <v>0.5</v>
      </c>
      <c r="I298" t="s">
        <v>19</v>
      </c>
      <c r="J298">
        <v>12.85</v>
      </c>
      <c r="K298" t="s">
        <v>30</v>
      </c>
      <c r="L298" t="s">
        <v>31</v>
      </c>
      <c r="M298" t="s">
        <v>22</v>
      </c>
      <c r="N298" t="s">
        <v>38</v>
      </c>
      <c r="O298" t="s">
        <v>81</v>
      </c>
      <c r="P298" t="s">
        <v>34</v>
      </c>
      <c r="Q298">
        <v>1336.8000000000002</v>
      </c>
      <c r="R298">
        <v>668.40000000000009</v>
      </c>
      <c r="S298" s="12">
        <v>747.82999999999993</v>
      </c>
    </row>
    <row r="299" spans="1:19" x14ac:dyDescent="0.25">
      <c r="A299" s="13">
        <v>45685</v>
      </c>
      <c r="B299" t="s">
        <v>391</v>
      </c>
      <c r="C299">
        <v>19766</v>
      </c>
      <c r="D299" t="s">
        <v>66</v>
      </c>
      <c r="E299" s="5">
        <v>42</v>
      </c>
      <c r="F299" s="23">
        <v>54.12</v>
      </c>
      <c r="G299" s="12" t="s">
        <v>55</v>
      </c>
      <c r="H299" s="37">
        <v>0.11</v>
      </c>
      <c r="I299" t="s">
        <v>734</v>
      </c>
      <c r="J299" s="23">
        <v>22.51</v>
      </c>
      <c r="K299" t="s">
        <v>37</v>
      </c>
      <c r="L299" s="14" t="s">
        <v>21</v>
      </c>
      <c r="M299" t="s">
        <v>22</v>
      </c>
      <c r="N299" t="s">
        <v>38</v>
      </c>
      <c r="O299" t="s">
        <v>59</v>
      </c>
      <c r="P299" s="14" t="s">
        <v>34</v>
      </c>
      <c r="Q299" s="23">
        <v>378.84</v>
      </c>
      <c r="R299" s="23">
        <v>41.672399999999996</v>
      </c>
      <c r="S299" s="24">
        <v>708.93900000000008</v>
      </c>
    </row>
    <row r="300" spans="1:19" hidden="1" x14ac:dyDescent="0.25">
      <c r="A300" s="13">
        <v>45710</v>
      </c>
      <c r="B300" t="s">
        <v>174</v>
      </c>
      <c r="C300">
        <v>29621</v>
      </c>
      <c r="D300" t="s">
        <v>66</v>
      </c>
      <c r="E300" s="5">
        <v>40</v>
      </c>
      <c r="F300">
        <v>39.29</v>
      </c>
      <c r="G300" s="12" t="s">
        <v>55</v>
      </c>
      <c r="H300" s="11">
        <v>0.3</v>
      </c>
      <c r="I300" t="s">
        <v>29</v>
      </c>
      <c r="J300">
        <v>7.4</v>
      </c>
      <c r="K300" t="s">
        <v>50</v>
      </c>
      <c r="L300" s="14" t="s">
        <v>21</v>
      </c>
      <c r="M300" t="s">
        <v>22</v>
      </c>
      <c r="N300" t="s">
        <v>53</v>
      </c>
      <c r="O300" t="s">
        <v>24</v>
      </c>
      <c r="P300" t="s">
        <v>25</v>
      </c>
      <c r="Q300">
        <v>667.93</v>
      </c>
      <c r="R300">
        <v>200.37899999999999</v>
      </c>
      <c r="S300" s="12">
        <v>690.68000000000006</v>
      </c>
    </row>
    <row r="301" spans="1:19" hidden="1" x14ac:dyDescent="0.25">
      <c r="A301" s="13">
        <v>45701</v>
      </c>
      <c r="B301" t="s">
        <v>615</v>
      </c>
      <c r="C301">
        <v>39808</v>
      </c>
      <c r="D301" t="s">
        <v>75</v>
      </c>
      <c r="E301" s="5">
        <v>17</v>
      </c>
      <c r="F301">
        <v>30.39</v>
      </c>
      <c r="G301" s="12" t="s">
        <v>55</v>
      </c>
      <c r="H301" s="11">
        <v>0.1</v>
      </c>
      <c r="I301" t="s">
        <v>19</v>
      </c>
      <c r="J301">
        <v>21.53</v>
      </c>
      <c r="K301" t="s">
        <v>50</v>
      </c>
      <c r="L301" t="s">
        <v>31</v>
      </c>
      <c r="M301" t="s">
        <v>22</v>
      </c>
      <c r="N301" t="s">
        <v>53</v>
      </c>
      <c r="O301" t="s">
        <v>59</v>
      </c>
      <c r="P301" t="s">
        <v>25</v>
      </c>
      <c r="Q301">
        <v>1428.33</v>
      </c>
      <c r="R301">
        <v>142.833</v>
      </c>
      <c r="S301" s="12">
        <v>684.49649999999997</v>
      </c>
    </row>
    <row r="302" spans="1:19" hidden="1" x14ac:dyDescent="0.25">
      <c r="A302" s="13">
        <v>45680</v>
      </c>
      <c r="B302" t="s">
        <v>340</v>
      </c>
      <c r="C302">
        <v>41650</v>
      </c>
      <c r="D302" t="s">
        <v>49</v>
      </c>
      <c r="E302" s="5">
        <v>33</v>
      </c>
      <c r="F302">
        <v>40.340000000000003</v>
      </c>
      <c r="G302" s="12" t="s">
        <v>55</v>
      </c>
      <c r="H302" s="11">
        <v>0.49</v>
      </c>
      <c r="I302" t="s">
        <v>19</v>
      </c>
      <c r="J302">
        <v>14.14</v>
      </c>
      <c r="K302" t="s">
        <v>30</v>
      </c>
      <c r="L302" s="14" t="s">
        <v>21</v>
      </c>
      <c r="M302" t="s">
        <v>22</v>
      </c>
      <c r="N302" t="s">
        <v>38</v>
      </c>
      <c r="O302" t="s">
        <v>33</v>
      </c>
      <c r="P302" t="s">
        <v>40</v>
      </c>
      <c r="Q302">
        <v>1331.22</v>
      </c>
      <c r="R302">
        <v>652.29780000000005</v>
      </c>
      <c r="S302" s="12">
        <v>678.92219999999998</v>
      </c>
    </row>
    <row r="303" spans="1:19" hidden="1" x14ac:dyDescent="0.25">
      <c r="A303" s="13">
        <v>45710</v>
      </c>
      <c r="B303" t="s">
        <v>689</v>
      </c>
      <c r="C303">
        <v>19084</v>
      </c>
      <c r="D303" t="s">
        <v>68</v>
      </c>
      <c r="E303" s="5">
        <v>30</v>
      </c>
      <c r="F303">
        <v>73.45</v>
      </c>
      <c r="G303" s="12" t="s">
        <v>55</v>
      </c>
      <c r="H303" s="11">
        <v>0.47</v>
      </c>
      <c r="I303" t="s">
        <v>19</v>
      </c>
      <c r="J303">
        <v>20.85</v>
      </c>
      <c r="K303" t="s">
        <v>30</v>
      </c>
      <c r="L303" s="14" t="s">
        <v>21</v>
      </c>
      <c r="M303" t="s">
        <v>22</v>
      </c>
      <c r="N303" t="s">
        <v>32</v>
      </c>
      <c r="O303" t="s">
        <v>33</v>
      </c>
      <c r="P303" t="s">
        <v>40</v>
      </c>
      <c r="Q303">
        <v>807.95</v>
      </c>
      <c r="R303">
        <v>379.73649999999998</v>
      </c>
      <c r="S303" s="12">
        <v>673.31700000000001</v>
      </c>
    </row>
    <row r="304" spans="1:19" hidden="1" x14ac:dyDescent="0.25">
      <c r="A304" s="13">
        <v>45687</v>
      </c>
      <c r="B304" t="s">
        <v>444</v>
      </c>
      <c r="C304">
        <v>72136</v>
      </c>
      <c r="D304" t="s">
        <v>42</v>
      </c>
      <c r="E304" s="5">
        <v>14</v>
      </c>
      <c r="F304">
        <v>70.55</v>
      </c>
      <c r="G304" s="12" t="s">
        <v>55</v>
      </c>
      <c r="H304" s="11">
        <v>0.32</v>
      </c>
      <c r="I304" t="s">
        <v>19</v>
      </c>
      <c r="J304">
        <v>27.54</v>
      </c>
      <c r="K304" t="s">
        <v>37</v>
      </c>
      <c r="L304" t="s">
        <v>31</v>
      </c>
      <c r="M304" t="s">
        <v>22</v>
      </c>
      <c r="N304" t="s">
        <v>38</v>
      </c>
      <c r="O304" t="s">
        <v>24</v>
      </c>
      <c r="P304" t="s">
        <v>25</v>
      </c>
      <c r="Q304">
        <v>1622.6499999999999</v>
      </c>
      <c r="R304">
        <v>519.24799999999993</v>
      </c>
      <c r="S304" s="12">
        <v>668.37959999999998</v>
      </c>
    </row>
    <row r="305" spans="1:19" x14ac:dyDescent="0.25">
      <c r="A305" s="13">
        <v>45659</v>
      </c>
      <c r="B305" t="s">
        <v>54</v>
      </c>
      <c r="C305">
        <v>57761</v>
      </c>
      <c r="D305" t="s">
        <v>42</v>
      </c>
      <c r="E305" s="5">
        <v>23</v>
      </c>
      <c r="F305" s="23">
        <v>28.54</v>
      </c>
      <c r="G305" s="12" t="s">
        <v>55</v>
      </c>
      <c r="H305" s="37">
        <v>0.02</v>
      </c>
      <c r="I305" t="s">
        <v>19</v>
      </c>
      <c r="J305" s="23">
        <v>19.82</v>
      </c>
      <c r="K305" t="s">
        <v>37</v>
      </c>
      <c r="L305" s="14" t="s">
        <v>21</v>
      </c>
      <c r="M305" t="s">
        <v>22</v>
      </c>
      <c r="N305" t="s">
        <v>38</v>
      </c>
      <c r="O305" t="s">
        <v>24</v>
      </c>
      <c r="P305" s="14" t="s">
        <v>34</v>
      </c>
      <c r="Q305" s="23">
        <v>656.42</v>
      </c>
      <c r="R305" s="23">
        <v>13.128399999999999</v>
      </c>
      <c r="S305" s="24">
        <v>643.29160000000002</v>
      </c>
    </row>
    <row r="306" spans="1:19" x14ac:dyDescent="0.25">
      <c r="A306" s="13">
        <v>45682</v>
      </c>
      <c r="B306" t="s">
        <v>367</v>
      </c>
      <c r="C306">
        <v>82797</v>
      </c>
      <c r="D306" t="s">
        <v>75</v>
      </c>
      <c r="E306" s="5">
        <v>13</v>
      </c>
      <c r="F306" s="23">
        <v>3.73</v>
      </c>
      <c r="G306" s="12" t="s">
        <v>55</v>
      </c>
      <c r="H306" s="37">
        <v>0.37</v>
      </c>
      <c r="I306" t="s">
        <v>19</v>
      </c>
      <c r="J306" s="23">
        <v>20.27</v>
      </c>
      <c r="K306" s="5" t="s">
        <v>44</v>
      </c>
      <c r="L306" s="14" t="s">
        <v>21</v>
      </c>
      <c r="M306" t="s">
        <v>22</v>
      </c>
      <c r="N306" t="s">
        <v>38</v>
      </c>
      <c r="O306" t="s">
        <v>39</v>
      </c>
      <c r="P306" s="14" t="s">
        <v>34</v>
      </c>
      <c r="Q306" s="23">
        <v>164.12</v>
      </c>
      <c r="R306" s="23">
        <v>60.724400000000003</v>
      </c>
      <c r="S306" s="24">
        <v>640.45800000000008</v>
      </c>
    </row>
    <row r="307" spans="1:19" hidden="1" x14ac:dyDescent="0.25">
      <c r="A307" s="13">
        <v>45676</v>
      </c>
      <c r="B307" t="s">
        <v>270</v>
      </c>
      <c r="C307">
        <v>64301</v>
      </c>
      <c r="D307" t="s">
        <v>75</v>
      </c>
      <c r="E307" s="5">
        <v>13</v>
      </c>
      <c r="F307">
        <v>43.87</v>
      </c>
      <c r="G307" s="12" t="s">
        <v>55</v>
      </c>
      <c r="H307" s="11">
        <v>0.41</v>
      </c>
      <c r="I307" t="s">
        <v>19</v>
      </c>
      <c r="J307">
        <v>11.34</v>
      </c>
      <c r="K307" t="s">
        <v>37</v>
      </c>
      <c r="L307" s="14" t="s">
        <v>21</v>
      </c>
      <c r="M307" t="s">
        <v>111</v>
      </c>
      <c r="N307" t="s">
        <v>53</v>
      </c>
      <c r="O307" t="s">
        <v>59</v>
      </c>
      <c r="P307" t="s">
        <v>40</v>
      </c>
      <c r="Q307">
        <v>658.05</v>
      </c>
      <c r="R307">
        <v>269.80049999999994</v>
      </c>
      <c r="S307" s="12">
        <v>637.8735999999999</v>
      </c>
    </row>
    <row r="308" spans="1:19" x14ac:dyDescent="0.25">
      <c r="A308" s="13">
        <v>45673</v>
      </c>
      <c r="B308" t="s">
        <v>227</v>
      </c>
      <c r="C308">
        <v>56819</v>
      </c>
      <c r="D308" t="s">
        <v>57</v>
      </c>
      <c r="E308" s="5">
        <v>12</v>
      </c>
      <c r="F308" s="23">
        <v>53</v>
      </c>
      <c r="G308" s="12" t="s">
        <v>55</v>
      </c>
      <c r="H308" s="37">
        <v>0.46</v>
      </c>
      <c r="I308" t="s">
        <v>19</v>
      </c>
      <c r="J308" s="23">
        <v>27.45</v>
      </c>
      <c r="K308" t="s">
        <v>50</v>
      </c>
      <c r="L308" s="14" t="s">
        <v>21</v>
      </c>
      <c r="M308" t="s">
        <v>22</v>
      </c>
      <c r="N308" t="s">
        <v>32</v>
      </c>
      <c r="O308" t="s">
        <v>39</v>
      </c>
      <c r="P308" s="14" t="s">
        <v>34</v>
      </c>
      <c r="Q308" s="23">
        <v>2544</v>
      </c>
      <c r="R308" s="23">
        <v>1170.24</v>
      </c>
      <c r="S308" s="24">
        <v>632.19600000000003</v>
      </c>
    </row>
    <row r="309" spans="1:19" hidden="1" x14ac:dyDescent="0.25">
      <c r="A309" s="13">
        <v>45663</v>
      </c>
      <c r="B309" t="s">
        <v>114</v>
      </c>
      <c r="C309">
        <v>67424</v>
      </c>
      <c r="D309" t="s">
        <v>66</v>
      </c>
      <c r="E309" s="5">
        <v>23</v>
      </c>
      <c r="F309">
        <v>9.94</v>
      </c>
      <c r="G309" s="12" t="s">
        <v>55</v>
      </c>
      <c r="H309" s="11">
        <v>0.09</v>
      </c>
      <c r="I309" t="s">
        <v>29</v>
      </c>
      <c r="J309">
        <v>26.08</v>
      </c>
      <c r="K309" t="s">
        <v>30</v>
      </c>
      <c r="L309" s="14" t="s">
        <v>21</v>
      </c>
      <c r="M309" t="s">
        <v>22</v>
      </c>
      <c r="N309" t="s">
        <v>53</v>
      </c>
      <c r="O309" t="s">
        <v>81</v>
      </c>
      <c r="P309" t="s">
        <v>40</v>
      </c>
      <c r="Q309">
        <v>347.9</v>
      </c>
      <c r="R309">
        <v>31.310999999999996</v>
      </c>
      <c r="S309" s="12">
        <v>629.31450000000007</v>
      </c>
    </row>
    <row r="310" spans="1:19" hidden="1" x14ac:dyDescent="0.25">
      <c r="A310" s="13">
        <v>45704</v>
      </c>
      <c r="B310" t="s">
        <v>389</v>
      </c>
      <c r="C310">
        <v>90144</v>
      </c>
      <c r="D310" t="s">
        <v>46</v>
      </c>
      <c r="E310" s="5">
        <v>42</v>
      </c>
      <c r="F310">
        <v>95.75</v>
      </c>
      <c r="G310" s="12" t="s">
        <v>55</v>
      </c>
      <c r="H310" s="11">
        <v>0.04</v>
      </c>
      <c r="I310" t="s">
        <v>734</v>
      </c>
      <c r="J310">
        <v>11.43</v>
      </c>
      <c r="K310" t="s">
        <v>37</v>
      </c>
      <c r="L310" s="14" t="s">
        <v>21</v>
      </c>
      <c r="M310" t="s">
        <v>22</v>
      </c>
      <c r="N310" t="s">
        <v>23</v>
      </c>
      <c r="O310" t="s">
        <v>24</v>
      </c>
      <c r="P310" t="s">
        <v>40</v>
      </c>
      <c r="Q310">
        <v>3734.25</v>
      </c>
      <c r="R310">
        <v>149.37</v>
      </c>
      <c r="S310" s="12">
        <v>607.06799999999998</v>
      </c>
    </row>
    <row r="311" spans="1:19" hidden="1" x14ac:dyDescent="0.25">
      <c r="A311" s="13">
        <v>45708</v>
      </c>
      <c r="B311" t="s">
        <v>673</v>
      </c>
      <c r="C311">
        <v>55797</v>
      </c>
      <c r="D311" t="s">
        <v>27</v>
      </c>
      <c r="E311" s="5">
        <v>12</v>
      </c>
      <c r="F311">
        <v>58.14</v>
      </c>
      <c r="G311" s="12" t="s">
        <v>55</v>
      </c>
      <c r="H311" s="11">
        <v>0.26</v>
      </c>
      <c r="I311" t="s">
        <v>19</v>
      </c>
      <c r="J311">
        <v>15.68</v>
      </c>
      <c r="K311" t="s">
        <v>50</v>
      </c>
      <c r="L311" t="s">
        <v>31</v>
      </c>
      <c r="M311" t="s">
        <v>22</v>
      </c>
      <c r="N311" t="s">
        <v>38</v>
      </c>
      <c r="O311" t="s">
        <v>24</v>
      </c>
      <c r="P311" t="s">
        <v>34</v>
      </c>
      <c r="Q311">
        <v>697.68000000000006</v>
      </c>
      <c r="R311">
        <v>181.39680000000001</v>
      </c>
      <c r="S311" s="12">
        <v>516.28320000000008</v>
      </c>
    </row>
    <row r="312" spans="1:19" hidden="1" x14ac:dyDescent="0.25">
      <c r="A312" s="13">
        <v>45696</v>
      </c>
      <c r="B312" t="s">
        <v>133</v>
      </c>
      <c r="C312">
        <v>43168</v>
      </c>
      <c r="D312" t="s">
        <v>57</v>
      </c>
      <c r="E312" s="5">
        <v>7</v>
      </c>
      <c r="F312">
        <v>37.08</v>
      </c>
      <c r="G312" s="12" t="s">
        <v>55</v>
      </c>
      <c r="H312" s="11">
        <v>0</v>
      </c>
      <c r="I312" t="s">
        <v>734</v>
      </c>
      <c r="J312">
        <v>19.940000000000001</v>
      </c>
      <c r="K312" s="5" t="s">
        <v>44</v>
      </c>
      <c r="L312" t="s">
        <v>31</v>
      </c>
      <c r="M312" t="s">
        <v>22</v>
      </c>
      <c r="N312" t="s">
        <v>53</v>
      </c>
      <c r="O312" t="s">
        <v>39</v>
      </c>
      <c r="P312" t="s">
        <v>40</v>
      </c>
      <c r="Q312">
        <v>1186.56</v>
      </c>
      <c r="R312">
        <v>0</v>
      </c>
      <c r="S312" s="12">
        <v>513.57600000000002</v>
      </c>
    </row>
    <row r="313" spans="1:19" hidden="1" x14ac:dyDescent="0.25">
      <c r="A313" s="13">
        <v>45663</v>
      </c>
      <c r="B313" t="s">
        <v>114</v>
      </c>
      <c r="C313">
        <v>45448</v>
      </c>
      <c r="D313" t="s">
        <v>70</v>
      </c>
      <c r="E313" s="5">
        <v>15</v>
      </c>
      <c r="F313">
        <v>9.68</v>
      </c>
      <c r="G313" s="12" t="s">
        <v>55</v>
      </c>
      <c r="H313" s="11">
        <v>0.41</v>
      </c>
      <c r="I313" t="s">
        <v>734</v>
      </c>
      <c r="J313">
        <v>15.4</v>
      </c>
      <c r="K313" t="s">
        <v>50</v>
      </c>
      <c r="L313" s="14" t="s">
        <v>21</v>
      </c>
      <c r="M313" t="s">
        <v>22</v>
      </c>
      <c r="N313" t="s">
        <v>32</v>
      </c>
      <c r="O313" t="s">
        <v>24</v>
      </c>
      <c r="P313" t="s">
        <v>25</v>
      </c>
      <c r="Q313">
        <v>290.39999999999998</v>
      </c>
      <c r="R313">
        <v>119.06399999999998</v>
      </c>
      <c r="S313" s="12">
        <v>508.8</v>
      </c>
    </row>
    <row r="314" spans="1:19" hidden="1" x14ac:dyDescent="0.25">
      <c r="A314" s="13">
        <v>45678</v>
      </c>
      <c r="B314" t="s">
        <v>313</v>
      </c>
      <c r="C314">
        <v>15296</v>
      </c>
      <c r="D314" t="s">
        <v>89</v>
      </c>
      <c r="E314" s="5">
        <v>14</v>
      </c>
      <c r="F314">
        <v>45.88</v>
      </c>
      <c r="G314" s="12" t="s">
        <v>55</v>
      </c>
      <c r="H314" s="11">
        <v>0.01</v>
      </c>
      <c r="I314" t="s">
        <v>19</v>
      </c>
      <c r="J314">
        <v>25.39</v>
      </c>
      <c r="K314" t="s">
        <v>37</v>
      </c>
      <c r="L314" s="14" t="s">
        <v>21</v>
      </c>
      <c r="M314" t="s">
        <v>22</v>
      </c>
      <c r="N314" t="s">
        <v>32</v>
      </c>
      <c r="O314" t="s">
        <v>39</v>
      </c>
      <c r="P314" t="s">
        <v>40</v>
      </c>
      <c r="Q314">
        <v>229.4</v>
      </c>
      <c r="R314">
        <v>2.294</v>
      </c>
      <c r="S314" s="12">
        <v>499.46400000000006</v>
      </c>
    </row>
    <row r="315" spans="1:19" hidden="1" x14ac:dyDescent="0.25">
      <c r="A315" s="13">
        <v>45704</v>
      </c>
      <c r="B315" t="s">
        <v>572</v>
      </c>
      <c r="C315">
        <v>67095</v>
      </c>
      <c r="D315" t="s">
        <v>70</v>
      </c>
      <c r="E315" s="5">
        <v>40</v>
      </c>
      <c r="F315">
        <v>61.68</v>
      </c>
      <c r="G315" s="12" t="s">
        <v>55</v>
      </c>
      <c r="H315" s="11">
        <v>0.15</v>
      </c>
      <c r="I315" t="s">
        <v>29</v>
      </c>
      <c r="J315">
        <v>25.72</v>
      </c>
      <c r="K315" t="s">
        <v>30</v>
      </c>
      <c r="L315" t="s">
        <v>31</v>
      </c>
      <c r="M315" t="s">
        <v>22</v>
      </c>
      <c r="N315" t="s">
        <v>53</v>
      </c>
      <c r="O315" t="s">
        <v>39</v>
      </c>
      <c r="P315" t="s">
        <v>40</v>
      </c>
      <c r="Q315">
        <v>925.2</v>
      </c>
      <c r="R315">
        <v>138.78</v>
      </c>
      <c r="S315" s="12">
        <v>478.01600000000002</v>
      </c>
    </row>
    <row r="316" spans="1:19" hidden="1" x14ac:dyDescent="0.25">
      <c r="A316" s="13">
        <v>45677</v>
      </c>
      <c r="B316" t="s">
        <v>300</v>
      </c>
      <c r="C316">
        <v>58381</v>
      </c>
      <c r="D316" t="s">
        <v>89</v>
      </c>
      <c r="E316" s="5">
        <v>7</v>
      </c>
      <c r="F316">
        <v>5.9</v>
      </c>
      <c r="G316" s="12" t="s">
        <v>55</v>
      </c>
      <c r="H316" s="11">
        <v>0.01</v>
      </c>
      <c r="I316" t="s">
        <v>19</v>
      </c>
      <c r="J316">
        <v>17.329999999999998</v>
      </c>
      <c r="K316" t="s">
        <v>20</v>
      </c>
      <c r="L316" t="s">
        <v>31</v>
      </c>
      <c r="M316" t="s">
        <v>735</v>
      </c>
      <c r="N316" t="s">
        <v>38</v>
      </c>
      <c r="O316" t="s">
        <v>39</v>
      </c>
      <c r="P316" t="s">
        <v>40</v>
      </c>
      <c r="Q316">
        <v>100.30000000000001</v>
      </c>
      <c r="R316">
        <v>1.0030000000000001</v>
      </c>
      <c r="S316" s="12">
        <v>437.44399999999996</v>
      </c>
    </row>
    <row r="317" spans="1:19" hidden="1" x14ac:dyDescent="0.25">
      <c r="A317" s="13">
        <v>45661</v>
      </c>
      <c r="B317" t="s">
        <v>116</v>
      </c>
      <c r="C317">
        <v>23776</v>
      </c>
      <c r="D317" t="s">
        <v>27</v>
      </c>
      <c r="E317" s="5">
        <v>21</v>
      </c>
      <c r="F317">
        <v>53</v>
      </c>
      <c r="G317" s="12" t="s">
        <v>55</v>
      </c>
      <c r="H317" s="11">
        <v>0.33</v>
      </c>
      <c r="I317" t="s">
        <v>734</v>
      </c>
      <c r="J317">
        <v>24.95</v>
      </c>
      <c r="K317" s="5" t="s">
        <v>44</v>
      </c>
      <c r="L317" t="s">
        <v>31</v>
      </c>
      <c r="M317" t="s">
        <v>22</v>
      </c>
      <c r="N317" t="s">
        <v>23</v>
      </c>
      <c r="O317" t="s">
        <v>39</v>
      </c>
      <c r="P317" t="s">
        <v>25</v>
      </c>
      <c r="Q317">
        <v>1378</v>
      </c>
      <c r="R317">
        <v>454.74</v>
      </c>
      <c r="S317" s="12">
        <v>382.68090000000001</v>
      </c>
    </row>
    <row r="318" spans="1:19" x14ac:dyDescent="0.25">
      <c r="A318" s="13">
        <v>45683</v>
      </c>
      <c r="B318" t="s">
        <v>394</v>
      </c>
      <c r="C318">
        <v>19776</v>
      </c>
      <c r="D318" t="s">
        <v>27</v>
      </c>
      <c r="E318" s="5">
        <v>8</v>
      </c>
      <c r="F318" s="23">
        <v>17.27</v>
      </c>
      <c r="G318" s="12" t="s">
        <v>55</v>
      </c>
      <c r="H318" s="37">
        <v>0.17</v>
      </c>
      <c r="I318" t="s">
        <v>19</v>
      </c>
      <c r="J318" s="23">
        <v>29.78</v>
      </c>
      <c r="K318" t="s">
        <v>20</v>
      </c>
      <c r="L318" s="14" t="s">
        <v>21</v>
      </c>
      <c r="M318" t="s">
        <v>22</v>
      </c>
      <c r="N318" t="s">
        <v>23</v>
      </c>
      <c r="O318" t="s">
        <v>33</v>
      </c>
      <c r="P318" s="14" t="s">
        <v>34</v>
      </c>
      <c r="Q318" s="23">
        <v>397.21</v>
      </c>
      <c r="R318" s="23">
        <v>67.525700000000001</v>
      </c>
      <c r="S318" s="24">
        <v>351.18720000000008</v>
      </c>
    </row>
    <row r="319" spans="1:19" hidden="1" x14ac:dyDescent="0.25">
      <c r="A319" s="13">
        <v>45704</v>
      </c>
      <c r="B319" t="s">
        <v>351</v>
      </c>
      <c r="C319">
        <v>38444</v>
      </c>
      <c r="D319" t="s">
        <v>46</v>
      </c>
      <c r="E319" s="5">
        <v>19</v>
      </c>
      <c r="F319">
        <v>14.6</v>
      </c>
      <c r="G319" s="12" t="s">
        <v>55</v>
      </c>
      <c r="H319" s="11">
        <v>0.01</v>
      </c>
      <c r="I319" t="s">
        <v>734</v>
      </c>
      <c r="J319">
        <v>12.78</v>
      </c>
      <c r="K319" t="s">
        <v>50</v>
      </c>
      <c r="L319" t="s">
        <v>31</v>
      </c>
      <c r="M319" t="s">
        <v>22</v>
      </c>
      <c r="N319" t="s">
        <v>32</v>
      </c>
      <c r="O319" t="s">
        <v>39</v>
      </c>
      <c r="P319" t="s">
        <v>40</v>
      </c>
      <c r="Q319">
        <v>613.19999999999993</v>
      </c>
      <c r="R319">
        <v>6.1319999999999997</v>
      </c>
      <c r="S319" s="12">
        <v>323.4522</v>
      </c>
    </row>
    <row r="320" spans="1:19" hidden="1" x14ac:dyDescent="0.25">
      <c r="A320" s="13">
        <v>45684</v>
      </c>
      <c r="B320" t="s">
        <v>408</v>
      </c>
      <c r="C320">
        <v>87202</v>
      </c>
      <c r="D320" t="s">
        <v>89</v>
      </c>
      <c r="E320" s="5">
        <v>7</v>
      </c>
      <c r="F320">
        <v>65.09</v>
      </c>
      <c r="G320" s="12" t="s">
        <v>55</v>
      </c>
      <c r="H320" s="11">
        <v>0.12</v>
      </c>
      <c r="I320" t="s">
        <v>29</v>
      </c>
      <c r="J320">
        <v>27.93</v>
      </c>
      <c r="K320" t="s">
        <v>37</v>
      </c>
      <c r="L320" t="s">
        <v>31</v>
      </c>
      <c r="M320" t="s">
        <v>22</v>
      </c>
      <c r="N320" t="s">
        <v>38</v>
      </c>
      <c r="O320" t="s">
        <v>81</v>
      </c>
      <c r="P320" t="s">
        <v>40</v>
      </c>
      <c r="Q320">
        <v>2668.69</v>
      </c>
      <c r="R320">
        <v>320.24279999999999</v>
      </c>
      <c r="S320" s="12">
        <v>320.81280000000004</v>
      </c>
    </row>
    <row r="321" spans="1:19" hidden="1" x14ac:dyDescent="0.25">
      <c r="A321" s="13">
        <v>45709</v>
      </c>
      <c r="B321" t="s">
        <v>411</v>
      </c>
      <c r="C321">
        <v>15053</v>
      </c>
      <c r="D321" t="s">
        <v>42</v>
      </c>
      <c r="E321" s="5">
        <v>12</v>
      </c>
      <c r="F321">
        <v>90.15</v>
      </c>
      <c r="G321" s="12" t="s">
        <v>55</v>
      </c>
      <c r="H321" s="11">
        <v>0.48</v>
      </c>
      <c r="I321" t="s">
        <v>29</v>
      </c>
      <c r="J321">
        <v>8.1</v>
      </c>
      <c r="K321" t="s">
        <v>30</v>
      </c>
      <c r="L321" s="14" t="s">
        <v>21</v>
      </c>
      <c r="M321" t="s">
        <v>22</v>
      </c>
      <c r="N321" t="s">
        <v>53</v>
      </c>
      <c r="O321" t="s">
        <v>81</v>
      </c>
      <c r="P321" t="s">
        <v>25</v>
      </c>
      <c r="Q321">
        <v>4237.05</v>
      </c>
      <c r="R321">
        <v>2033.7840000000001</v>
      </c>
      <c r="S321" s="12">
        <v>295.31399999999996</v>
      </c>
    </row>
    <row r="322" spans="1:19" hidden="1" x14ac:dyDescent="0.25">
      <c r="A322" s="13">
        <v>45675</v>
      </c>
      <c r="B322" t="s">
        <v>258</v>
      </c>
      <c r="C322">
        <v>25001</v>
      </c>
      <c r="D322" t="s">
        <v>27</v>
      </c>
      <c r="E322" s="5">
        <v>18</v>
      </c>
      <c r="F322">
        <v>33.6</v>
      </c>
      <c r="G322" s="12" t="s">
        <v>55</v>
      </c>
      <c r="H322" s="11">
        <v>0.3</v>
      </c>
      <c r="I322" t="s">
        <v>29</v>
      </c>
      <c r="J322">
        <v>29.7</v>
      </c>
      <c r="K322" t="s">
        <v>20</v>
      </c>
      <c r="L322" t="s">
        <v>31</v>
      </c>
      <c r="M322" t="s">
        <v>22</v>
      </c>
      <c r="N322" t="s">
        <v>32</v>
      </c>
      <c r="O322" t="s">
        <v>33</v>
      </c>
      <c r="P322" t="s">
        <v>34</v>
      </c>
      <c r="Q322">
        <v>1646.4</v>
      </c>
      <c r="R322">
        <v>493.92</v>
      </c>
      <c r="S322" s="12">
        <v>246.40199999999999</v>
      </c>
    </row>
    <row r="323" spans="1:19" hidden="1" x14ac:dyDescent="0.25">
      <c r="A323" s="13">
        <v>45674</v>
      </c>
      <c r="B323" t="s">
        <v>203</v>
      </c>
      <c r="C323">
        <v>90102</v>
      </c>
      <c r="D323" t="s">
        <v>17</v>
      </c>
      <c r="E323" s="5">
        <v>33</v>
      </c>
      <c r="F323">
        <v>12.47</v>
      </c>
      <c r="G323" s="12" t="s">
        <v>55</v>
      </c>
      <c r="H323" s="11">
        <v>0.46</v>
      </c>
      <c r="I323" t="s">
        <v>734</v>
      </c>
      <c r="J323">
        <v>11.56</v>
      </c>
      <c r="K323" t="s">
        <v>20</v>
      </c>
      <c r="L323" t="s">
        <v>31</v>
      </c>
      <c r="M323" t="s">
        <v>22</v>
      </c>
      <c r="N323" t="s">
        <v>23</v>
      </c>
      <c r="O323" t="s">
        <v>81</v>
      </c>
      <c r="P323" t="s">
        <v>25</v>
      </c>
      <c r="Q323">
        <v>411.51000000000005</v>
      </c>
      <c r="R323">
        <v>189.29460000000003</v>
      </c>
      <c r="S323" s="12">
        <v>222.21540000000002</v>
      </c>
    </row>
    <row r="324" spans="1:19" hidden="1" x14ac:dyDescent="0.25">
      <c r="A324" s="13">
        <v>45692</v>
      </c>
      <c r="B324" t="s">
        <v>215</v>
      </c>
      <c r="C324">
        <v>80865</v>
      </c>
      <c r="D324" t="s">
        <v>49</v>
      </c>
      <c r="E324" s="5">
        <v>10</v>
      </c>
      <c r="F324">
        <v>54.41</v>
      </c>
      <c r="G324" s="12" t="s">
        <v>55</v>
      </c>
      <c r="H324" s="11">
        <v>0.41</v>
      </c>
      <c r="I324" t="s">
        <v>19</v>
      </c>
      <c r="J324">
        <v>20.79</v>
      </c>
      <c r="K324" t="s">
        <v>50</v>
      </c>
      <c r="L324" t="s">
        <v>31</v>
      </c>
      <c r="M324" t="s">
        <v>22</v>
      </c>
      <c r="N324" t="s">
        <v>38</v>
      </c>
      <c r="O324" t="s">
        <v>81</v>
      </c>
      <c r="P324" t="s">
        <v>25</v>
      </c>
      <c r="Q324">
        <v>2230.81</v>
      </c>
      <c r="R324">
        <v>914.63209999999992</v>
      </c>
      <c r="S324" s="12">
        <v>220.40999999999997</v>
      </c>
    </row>
    <row r="325" spans="1:19" hidden="1" x14ac:dyDescent="0.25">
      <c r="A325" s="13">
        <v>45711</v>
      </c>
      <c r="B325" t="s">
        <v>707</v>
      </c>
      <c r="C325">
        <v>51550</v>
      </c>
      <c r="D325" t="s">
        <v>70</v>
      </c>
      <c r="E325" s="5">
        <v>4</v>
      </c>
      <c r="F325">
        <v>69.290000000000006</v>
      </c>
      <c r="G325" s="12" t="s">
        <v>55</v>
      </c>
      <c r="H325" s="11">
        <v>0.04</v>
      </c>
      <c r="I325" t="s">
        <v>734</v>
      </c>
      <c r="J325">
        <v>29.28</v>
      </c>
      <c r="K325" t="s">
        <v>20</v>
      </c>
      <c r="L325" t="s">
        <v>31</v>
      </c>
      <c r="M325" t="s">
        <v>22</v>
      </c>
      <c r="N325" t="s">
        <v>38</v>
      </c>
      <c r="O325" t="s">
        <v>39</v>
      </c>
      <c r="P325" t="s">
        <v>40</v>
      </c>
      <c r="Q325">
        <v>2078.7000000000003</v>
      </c>
      <c r="R325">
        <v>83.14800000000001</v>
      </c>
      <c r="S325" s="12">
        <v>214.05680000000001</v>
      </c>
    </row>
    <row r="326" spans="1:19" hidden="1" x14ac:dyDescent="0.25">
      <c r="A326" s="13">
        <v>45708</v>
      </c>
      <c r="B326" t="s">
        <v>207</v>
      </c>
      <c r="C326">
        <v>24779</v>
      </c>
      <c r="D326" t="s">
        <v>68</v>
      </c>
      <c r="E326" s="5">
        <v>2</v>
      </c>
      <c r="F326">
        <v>91.6</v>
      </c>
      <c r="G326" s="12" t="s">
        <v>55</v>
      </c>
      <c r="H326" s="11">
        <v>0.02</v>
      </c>
      <c r="I326" t="s">
        <v>734</v>
      </c>
      <c r="J326">
        <v>5.55</v>
      </c>
      <c r="K326" t="s">
        <v>20</v>
      </c>
      <c r="L326" s="14" t="s">
        <v>21</v>
      </c>
      <c r="M326" t="s">
        <v>22</v>
      </c>
      <c r="N326" t="s">
        <v>38</v>
      </c>
      <c r="O326" t="s">
        <v>24</v>
      </c>
      <c r="P326" t="s">
        <v>25</v>
      </c>
      <c r="Q326">
        <v>183.2</v>
      </c>
      <c r="R326">
        <v>3.6639999999999997</v>
      </c>
      <c r="S326" s="12">
        <v>179.536</v>
      </c>
    </row>
    <row r="327" spans="1:19" hidden="1" x14ac:dyDescent="0.25">
      <c r="A327" s="13">
        <v>45691</v>
      </c>
      <c r="B327" t="s">
        <v>26</v>
      </c>
      <c r="C327">
        <v>92781</v>
      </c>
      <c r="D327" t="s">
        <v>89</v>
      </c>
      <c r="E327" s="5">
        <v>3</v>
      </c>
      <c r="F327">
        <v>75.099999999999994</v>
      </c>
      <c r="G327" s="12" t="s">
        <v>55</v>
      </c>
      <c r="H327" s="11">
        <v>0.28000000000000003</v>
      </c>
      <c r="I327" t="s">
        <v>19</v>
      </c>
      <c r="J327">
        <v>16.72</v>
      </c>
      <c r="K327" t="s">
        <v>50</v>
      </c>
      <c r="L327" t="s">
        <v>31</v>
      </c>
      <c r="M327" t="s">
        <v>22</v>
      </c>
      <c r="N327" t="s">
        <v>53</v>
      </c>
      <c r="O327" t="s">
        <v>39</v>
      </c>
      <c r="P327" t="s">
        <v>34</v>
      </c>
      <c r="Q327">
        <v>225.29999999999998</v>
      </c>
      <c r="R327">
        <v>63.084000000000003</v>
      </c>
      <c r="S327" s="12">
        <v>162.21599999999998</v>
      </c>
    </row>
    <row r="328" spans="1:19" hidden="1" x14ac:dyDescent="0.25">
      <c r="A328" s="13">
        <v>45705</v>
      </c>
      <c r="B328" t="s">
        <v>645</v>
      </c>
      <c r="C328">
        <v>98433</v>
      </c>
      <c r="D328" t="s">
        <v>46</v>
      </c>
      <c r="E328" s="5">
        <v>15</v>
      </c>
      <c r="F328">
        <v>43.94</v>
      </c>
      <c r="G328" s="12" t="s">
        <v>55</v>
      </c>
      <c r="H328" s="11">
        <v>0.11</v>
      </c>
      <c r="I328" t="s">
        <v>734</v>
      </c>
      <c r="J328">
        <v>26.43</v>
      </c>
      <c r="K328" t="s">
        <v>50</v>
      </c>
      <c r="L328" t="s">
        <v>31</v>
      </c>
      <c r="M328" t="s">
        <v>22</v>
      </c>
      <c r="N328" t="s">
        <v>38</v>
      </c>
      <c r="O328" t="s">
        <v>39</v>
      </c>
      <c r="P328" t="s">
        <v>25</v>
      </c>
      <c r="Q328">
        <v>1362.1399999999999</v>
      </c>
      <c r="R328">
        <v>149.83539999999999</v>
      </c>
      <c r="S328" s="12">
        <v>136.85850000000002</v>
      </c>
    </row>
    <row r="329" spans="1:19" hidden="1" x14ac:dyDescent="0.25">
      <c r="A329" s="13">
        <v>45701</v>
      </c>
      <c r="B329" t="s">
        <v>618</v>
      </c>
      <c r="C329">
        <v>35150</v>
      </c>
      <c r="D329" t="s">
        <v>70</v>
      </c>
      <c r="E329" s="5">
        <v>4</v>
      </c>
      <c r="F329">
        <v>83.44</v>
      </c>
      <c r="G329" s="12" t="s">
        <v>55</v>
      </c>
      <c r="H329" s="11">
        <v>0.24</v>
      </c>
      <c r="I329" t="s">
        <v>19</v>
      </c>
      <c r="J329">
        <v>21.49</v>
      </c>
      <c r="K329" t="s">
        <v>37</v>
      </c>
      <c r="L329" t="s">
        <v>31</v>
      </c>
      <c r="M329" t="s">
        <v>111</v>
      </c>
      <c r="N329" t="s">
        <v>32</v>
      </c>
      <c r="O329" t="s">
        <v>81</v>
      </c>
      <c r="P329" t="s">
        <v>25</v>
      </c>
      <c r="Q329">
        <v>3838.24</v>
      </c>
      <c r="R329">
        <v>921.17759999999987</v>
      </c>
      <c r="S329" s="12">
        <v>112.56</v>
      </c>
    </row>
    <row r="330" spans="1:19" hidden="1" x14ac:dyDescent="0.25">
      <c r="A330" s="13">
        <v>45689</v>
      </c>
      <c r="B330" t="s">
        <v>467</v>
      </c>
      <c r="C330">
        <v>48871</v>
      </c>
      <c r="D330" t="s">
        <v>57</v>
      </c>
      <c r="E330" s="5">
        <v>29</v>
      </c>
      <c r="F330">
        <v>61.08</v>
      </c>
      <c r="G330" s="12" t="s">
        <v>55</v>
      </c>
      <c r="H330" s="11">
        <v>0.48</v>
      </c>
      <c r="I330" t="s">
        <v>734</v>
      </c>
      <c r="J330">
        <v>12.5</v>
      </c>
      <c r="K330" t="s">
        <v>30</v>
      </c>
      <c r="L330" t="s">
        <v>31</v>
      </c>
      <c r="M330" t="s">
        <v>22</v>
      </c>
      <c r="N330" t="s">
        <v>38</v>
      </c>
      <c r="O330" t="s">
        <v>39</v>
      </c>
      <c r="P330" t="s">
        <v>40</v>
      </c>
      <c r="Q330">
        <v>1038.3599999999999</v>
      </c>
      <c r="R330">
        <v>498.41279999999995</v>
      </c>
      <c r="S330" s="12">
        <v>107.45659999999999</v>
      </c>
    </row>
    <row r="331" spans="1:19" hidden="1" x14ac:dyDescent="0.25">
      <c r="A331" s="13">
        <v>45671</v>
      </c>
      <c r="B331" t="s">
        <v>86</v>
      </c>
      <c r="C331">
        <v>30463</v>
      </c>
      <c r="D331" t="s">
        <v>57</v>
      </c>
      <c r="E331" s="5">
        <v>2</v>
      </c>
      <c r="F331">
        <v>83.84</v>
      </c>
      <c r="G331" s="12" t="s">
        <v>55</v>
      </c>
      <c r="H331" s="11">
        <v>0.03</v>
      </c>
      <c r="I331" t="s">
        <v>19</v>
      </c>
      <c r="J331">
        <v>15.34</v>
      </c>
      <c r="K331" t="s">
        <v>37</v>
      </c>
      <c r="L331" t="s">
        <v>31</v>
      </c>
      <c r="M331" t="s">
        <v>22</v>
      </c>
      <c r="N331" t="s">
        <v>38</v>
      </c>
      <c r="O331" t="s">
        <v>24</v>
      </c>
      <c r="P331" t="s">
        <v>34</v>
      </c>
      <c r="Q331">
        <v>3102.08</v>
      </c>
      <c r="R331">
        <v>93.062399999999997</v>
      </c>
      <c r="S331" s="12">
        <v>90.424800000000005</v>
      </c>
    </row>
    <row r="332" spans="1:19" hidden="1" x14ac:dyDescent="0.25">
      <c r="A332" s="13">
        <v>45685</v>
      </c>
      <c r="B332" t="s">
        <v>419</v>
      </c>
      <c r="C332">
        <v>52499</v>
      </c>
      <c r="D332" t="s">
        <v>27</v>
      </c>
      <c r="E332" s="5">
        <v>37</v>
      </c>
      <c r="F332">
        <v>12.1</v>
      </c>
      <c r="G332" s="12" t="s">
        <v>55</v>
      </c>
      <c r="H332" s="11">
        <v>0.14000000000000001</v>
      </c>
      <c r="I332" t="s">
        <v>29</v>
      </c>
      <c r="J332">
        <v>18.27</v>
      </c>
      <c r="K332" t="s">
        <v>30</v>
      </c>
      <c r="L332" t="s">
        <v>31</v>
      </c>
      <c r="M332" t="s">
        <v>22</v>
      </c>
      <c r="N332" t="s">
        <v>23</v>
      </c>
      <c r="O332" t="s">
        <v>33</v>
      </c>
      <c r="P332" t="s">
        <v>25</v>
      </c>
      <c r="Q332">
        <v>24.2</v>
      </c>
      <c r="R332">
        <v>3.3880000000000003</v>
      </c>
      <c r="S332" s="12">
        <v>87.749199999999988</v>
      </c>
    </row>
    <row r="333" spans="1:19" hidden="1" x14ac:dyDescent="0.25">
      <c r="A333" s="13">
        <v>45689</v>
      </c>
      <c r="B333" t="s">
        <v>471</v>
      </c>
      <c r="C333">
        <v>75311</v>
      </c>
      <c r="D333" t="s">
        <v>66</v>
      </c>
      <c r="E333" s="5">
        <v>49</v>
      </c>
      <c r="F333">
        <v>89.01</v>
      </c>
      <c r="G333" s="12" t="s">
        <v>55</v>
      </c>
      <c r="H333" s="11">
        <v>0.08</v>
      </c>
      <c r="I333" t="s">
        <v>19</v>
      </c>
      <c r="J333">
        <v>25.01</v>
      </c>
      <c r="K333" t="s">
        <v>30</v>
      </c>
      <c r="L333" t="s">
        <v>31</v>
      </c>
      <c r="M333" t="s">
        <v>111</v>
      </c>
      <c r="N333" t="s">
        <v>32</v>
      </c>
      <c r="O333" t="s">
        <v>39</v>
      </c>
      <c r="P333" t="s">
        <v>40</v>
      </c>
      <c r="Q333">
        <v>1869.21</v>
      </c>
      <c r="R333">
        <v>149.5368</v>
      </c>
      <c r="S333" s="12">
        <v>87.714899999999986</v>
      </c>
    </row>
    <row r="334" spans="1:19" hidden="1" x14ac:dyDescent="0.25">
      <c r="A334" s="13">
        <v>45698</v>
      </c>
      <c r="B334" t="s">
        <v>459</v>
      </c>
      <c r="C334">
        <v>87633</v>
      </c>
      <c r="D334" t="s">
        <v>17</v>
      </c>
      <c r="E334" s="5">
        <v>2</v>
      </c>
      <c r="F334">
        <v>98.1</v>
      </c>
      <c r="G334" s="12" t="s">
        <v>55</v>
      </c>
      <c r="H334" s="11">
        <v>0.31</v>
      </c>
      <c r="I334" t="s">
        <v>19</v>
      </c>
      <c r="J334">
        <v>5.07</v>
      </c>
      <c r="K334" t="s">
        <v>50</v>
      </c>
      <c r="L334" s="14" t="s">
        <v>21</v>
      </c>
      <c r="M334" t="s">
        <v>22</v>
      </c>
      <c r="N334" t="s">
        <v>23</v>
      </c>
      <c r="O334" t="s">
        <v>59</v>
      </c>
      <c r="P334" t="s">
        <v>25</v>
      </c>
      <c r="Q334">
        <v>1569.6</v>
      </c>
      <c r="R334">
        <v>486.57599999999996</v>
      </c>
      <c r="S334" s="12">
        <v>80.708199999999991</v>
      </c>
    </row>
    <row r="335" spans="1:19" hidden="1" x14ac:dyDescent="0.25">
      <c r="A335" s="13">
        <v>45695</v>
      </c>
      <c r="B335" t="s">
        <v>523</v>
      </c>
      <c r="C335">
        <v>78265</v>
      </c>
      <c r="D335" t="s">
        <v>70</v>
      </c>
      <c r="E335" s="5">
        <v>20</v>
      </c>
      <c r="F335">
        <v>69.19</v>
      </c>
      <c r="G335" s="12" t="s">
        <v>55</v>
      </c>
      <c r="H335" s="11">
        <v>0.21</v>
      </c>
      <c r="I335" t="s">
        <v>29</v>
      </c>
      <c r="J335">
        <v>8.7799999999999994</v>
      </c>
      <c r="K335" s="5" t="s">
        <v>44</v>
      </c>
      <c r="L335" t="s">
        <v>31</v>
      </c>
      <c r="M335" t="s">
        <v>22</v>
      </c>
      <c r="N335" t="s">
        <v>53</v>
      </c>
      <c r="O335" t="s">
        <v>59</v>
      </c>
      <c r="P335" t="s">
        <v>40</v>
      </c>
      <c r="Q335">
        <v>2214.08</v>
      </c>
      <c r="R335">
        <v>464.95679999999999</v>
      </c>
      <c r="S335" s="12">
        <v>74.63600000000001</v>
      </c>
    </row>
    <row r="336" spans="1:19" x14ac:dyDescent="0.25">
      <c r="A336" s="13">
        <v>45707</v>
      </c>
      <c r="B336" t="s">
        <v>668</v>
      </c>
      <c r="C336">
        <v>42553</v>
      </c>
      <c r="D336" t="s">
        <v>27</v>
      </c>
      <c r="E336" s="5">
        <v>25</v>
      </c>
      <c r="F336" s="23">
        <v>98.25</v>
      </c>
      <c r="G336" s="12" t="s">
        <v>55</v>
      </c>
      <c r="H336" s="37">
        <v>0.44</v>
      </c>
      <c r="I336" t="s">
        <v>29</v>
      </c>
      <c r="J336" s="23">
        <v>28.2</v>
      </c>
      <c r="K336" t="s">
        <v>50</v>
      </c>
      <c r="L336" s="14" t="s">
        <v>21</v>
      </c>
      <c r="M336" t="s">
        <v>22</v>
      </c>
      <c r="N336" t="s">
        <v>23</v>
      </c>
      <c r="O336" t="s">
        <v>59</v>
      </c>
      <c r="P336" s="14" t="s">
        <v>34</v>
      </c>
      <c r="Q336" s="23">
        <v>2751</v>
      </c>
      <c r="R336" s="23">
        <v>1210.44</v>
      </c>
      <c r="S336" s="24">
        <v>70.717500000000001</v>
      </c>
    </row>
    <row r="337" spans="1:19" hidden="1" x14ac:dyDescent="0.25">
      <c r="A337" s="13">
        <v>45671</v>
      </c>
      <c r="B337" t="s">
        <v>184</v>
      </c>
      <c r="C337">
        <v>21660</v>
      </c>
      <c r="D337" t="s">
        <v>42</v>
      </c>
      <c r="E337" s="5">
        <v>32</v>
      </c>
      <c r="F337">
        <v>59.26</v>
      </c>
      <c r="G337" s="12" t="s">
        <v>55</v>
      </c>
      <c r="H337" s="11">
        <v>0.28999999999999998</v>
      </c>
      <c r="I337" t="s">
        <v>19</v>
      </c>
      <c r="J337">
        <v>5.42</v>
      </c>
      <c r="K337" s="5" t="s">
        <v>44</v>
      </c>
      <c r="L337" t="s">
        <v>31</v>
      </c>
      <c r="M337" t="s">
        <v>22</v>
      </c>
      <c r="N337" t="s">
        <v>32</v>
      </c>
      <c r="O337" t="s">
        <v>24</v>
      </c>
      <c r="P337" t="s">
        <v>25</v>
      </c>
      <c r="Q337">
        <v>1125.94</v>
      </c>
      <c r="R337">
        <v>326.52260000000001</v>
      </c>
      <c r="S337" s="12">
        <v>70.329599999999999</v>
      </c>
    </row>
    <row r="338" spans="1:19" hidden="1" x14ac:dyDescent="0.25">
      <c r="A338" s="13">
        <v>45662</v>
      </c>
      <c r="B338" t="s">
        <v>74</v>
      </c>
      <c r="C338">
        <v>80718</v>
      </c>
      <c r="D338" t="s">
        <v>68</v>
      </c>
      <c r="E338" s="5">
        <v>9</v>
      </c>
      <c r="F338">
        <v>38.07</v>
      </c>
      <c r="G338" s="12" t="s">
        <v>55</v>
      </c>
      <c r="H338" s="11">
        <v>0.34</v>
      </c>
      <c r="I338" t="s">
        <v>29</v>
      </c>
      <c r="J338">
        <v>10.15</v>
      </c>
      <c r="K338" s="5" t="s">
        <v>44</v>
      </c>
      <c r="L338" t="s">
        <v>31</v>
      </c>
      <c r="M338" t="s">
        <v>22</v>
      </c>
      <c r="N338" t="s">
        <v>23</v>
      </c>
      <c r="O338" t="s">
        <v>24</v>
      </c>
      <c r="P338" t="s">
        <v>25</v>
      </c>
      <c r="Q338">
        <v>76.14</v>
      </c>
      <c r="R338">
        <v>25.887600000000003</v>
      </c>
      <c r="S338" s="12">
        <v>68.641199999999984</v>
      </c>
    </row>
    <row r="339" spans="1:19" hidden="1" x14ac:dyDescent="0.25">
      <c r="A339" s="13">
        <v>45701</v>
      </c>
      <c r="B339" t="s">
        <v>172</v>
      </c>
      <c r="C339">
        <v>75513</v>
      </c>
      <c r="D339" t="s">
        <v>46</v>
      </c>
      <c r="E339" s="5">
        <v>44</v>
      </c>
      <c r="F339">
        <v>28.14</v>
      </c>
      <c r="G339" s="12" t="s">
        <v>55</v>
      </c>
      <c r="H339" s="11">
        <v>0</v>
      </c>
      <c r="I339" t="s">
        <v>734</v>
      </c>
      <c r="J339">
        <v>9.24</v>
      </c>
      <c r="K339" t="s">
        <v>30</v>
      </c>
      <c r="L339" t="s">
        <v>31</v>
      </c>
      <c r="M339" t="s">
        <v>22</v>
      </c>
      <c r="N339" t="s">
        <v>23</v>
      </c>
      <c r="O339" t="s">
        <v>39</v>
      </c>
      <c r="P339" t="s">
        <v>40</v>
      </c>
      <c r="Q339">
        <v>112.56</v>
      </c>
      <c r="R339">
        <v>0</v>
      </c>
      <c r="S339" s="12">
        <v>58.273600000000002</v>
      </c>
    </row>
    <row r="340" spans="1:19" hidden="1" x14ac:dyDescent="0.25">
      <c r="A340" s="13">
        <v>45700</v>
      </c>
      <c r="B340" t="s">
        <v>595</v>
      </c>
      <c r="C340">
        <v>28308</v>
      </c>
      <c r="D340" t="s">
        <v>68</v>
      </c>
      <c r="E340" s="5">
        <v>1</v>
      </c>
      <c r="F340">
        <v>7.28</v>
      </c>
      <c r="G340" s="12" t="s">
        <v>55</v>
      </c>
      <c r="H340" s="11">
        <v>0.06</v>
      </c>
      <c r="I340" t="s">
        <v>19</v>
      </c>
      <c r="J340">
        <v>24.08</v>
      </c>
      <c r="K340" s="5" t="s">
        <v>44</v>
      </c>
      <c r="L340" t="s">
        <v>31</v>
      </c>
      <c r="M340" t="s">
        <v>111</v>
      </c>
      <c r="N340" t="s">
        <v>53</v>
      </c>
      <c r="O340" t="s">
        <v>59</v>
      </c>
      <c r="P340" t="s">
        <v>34</v>
      </c>
      <c r="Q340">
        <v>58.24</v>
      </c>
      <c r="R340">
        <v>3.4944000000000002</v>
      </c>
      <c r="S340" s="12">
        <v>43.518299999999996</v>
      </c>
    </row>
    <row r="341" spans="1:19" x14ac:dyDescent="0.25">
      <c r="A341" s="13">
        <v>45696</v>
      </c>
      <c r="B341" t="s">
        <v>546</v>
      </c>
      <c r="C341">
        <v>93763</v>
      </c>
      <c r="D341" t="s">
        <v>57</v>
      </c>
      <c r="E341" s="5">
        <v>15</v>
      </c>
      <c r="F341" s="23">
        <v>97.14</v>
      </c>
      <c r="G341" s="12" t="s">
        <v>55</v>
      </c>
      <c r="H341" s="37">
        <v>0.26</v>
      </c>
      <c r="I341" t="s">
        <v>29</v>
      </c>
      <c r="J341" s="23">
        <v>28.17</v>
      </c>
      <c r="K341" t="s">
        <v>37</v>
      </c>
      <c r="L341" s="14" t="s">
        <v>21</v>
      </c>
      <c r="M341" t="s">
        <v>22</v>
      </c>
      <c r="N341" t="s">
        <v>38</v>
      </c>
      <c r="O341" t="s">
        <v>81</v>
      </c>
      <c r="P341" s="14" t="s">
        <v>34</v>
      </c>
      <c r="Q341" s="23">
        <v>4662.72</v>
      </c>
      <c r="R341" s="23">
        <v>1212.3072000000002</v>
      </c>
      <c r="S341" s="24">
        <v>32.926499999999997</v>
      </c>
    </row>
    <row r="342" spans="1:19" hidden="1" x14ac:dyDescent="0.25">
      <c r="A342" s="13">
        <v>45663</v>
      </c>
      <c r="B342" t="s">
        <v>136</v>
      </c>
      <c r="C342">
        <v>72044</v>
      </c>
      <c r="D342" t="s">
        <v>17</v>
      </c>
      <c r="E342" s="5">
        <v>24</v>
      </c>
      <c r="F342">
        <v>15.36</v>
      </c>
      <c r="G342" s="12" t="s">
        <v>55</v>
      </c>
      <c r="H342" s="11">
        <v>0.26</v>
      </c>
      <c r="I342" t="s">
        <v>19</v>
      </c>
      <c r="J342">
        <v>7.86</v>
      </c>
      <c r="K342" s="5" t="s">
        <v>44</v>
      </c>
      <c r="L342" t="s">
        <v>31</v>
      </c>
      <c r="M342" t="s">
        <v>22</v>
      </c>
      <c r="N342" t="s">
        <v>53</v>
      </c>
      <c r="O342" t="s">
        <v>24</v>
      </c>
      <c r="P342" t="s">
        <v>25</v>
      </c>
      <c r="Q342">
        <v>215.04</v>
      </c>
      <c r="R342">
        <v>55.910400000000003</v>
      </c>
      <c r="S342" s="12">
        <v>27.979200000000002</v>
      </c>
    </row>
    <row r="343" spans="1:19" hidden="1" x14ac:dyDescent="0.25">
      <c r="A343" s="13">
        <v>45660</v>
      </c>
      <c r="B343" t="s">
        <v>93</v>
      </c>
      <c r="C343">
        <v>68953</v>
      </c>
      <c r="D343" t="s">
        <v>27</v>
      </c>
      <c r="E343" s="5">
        <v>39</v>
      </c>
      <c r="F343">
        <v>31.1</v>
      </c>
      <c r="G343" s="12" t="s">
        <v>72</v>
      </c>
      <c r="H343" s="11">
        <v>7.0000000000000007E-2</v>
      </c>
      <c r="I343" t="s">
        <v>29</v>
      </c>
      <c r="J343">
        <v>21.93</v>
      </c>
      <c r="K343" t="s">
        <v>50</v>
      </c>
      <c r="L343" t="s">
        <v>31</v>
      </c>
      <c r="M343" t="s">
        <v>22</v>
      </c>
      <c r="N343" t="s">
        <v>38</v>
      </c>
      <c r="O343" t="s">
        <v>33</v>
      </c>
      <c r="P343" t="s">
        <v>40</v>
      </c>
      <c r="Q343">
        <v>155.5</v>
      </c>
      <c r="R343">
        <v>10.885000000000002</v>
      </c>
      <c r="S343" s="12">
        <v>3065.2401</v>
      </c>
    </row>
    <row r="344" spans="1:19" hidden="1" x14ac:dyDescent="0.25">
      <c r="A344" s="13">
        <v>45687</v>
      </c>
      <c r="B344" t="s">
        <v>447</v>
      </c>
      <c r="C344">
        <v>45031</v>
      </c>
      <c r="D344" t="s">
        <v>75</v>
      </c>
      <c r="E344" s="5">
        <v>44</v>
      </c>
      <c r="F344">
        <v>5.37</v>
      </c>
      <c r="G344" s="12" t="s">
        <v>72</v>
      </c>
      <c r="H344" s="11">
        <v>0.03</v>
      </c>
      <c r="I344" t="s">
        <v>29</v>
      </c>
      <c r="J344">
        <v>10.58</v>
      </c>
      <c r="K344" t="s">
        <v>37</v>
      </c>
      <c r="L344" s="14" t="s">
        <v>21</v>
      </c>
      <c r="M344" t="s">
        <v>22</v>
      </c>
      <c r="N344" t="s">
        <v>23</v>
      </c>
      <c r="O344" t="s">
        <v>59</v>
      </c>
      <c r="P344" t="s">
        <v>25</v>
      </c>
      <c r="Q344">
        <v>21.48</v>
      </c>
      <c r="R344">
        <v>0.64439999999999997</v>
      </c>
      <c r="S344" s="12">
        <v>2801.1368000000002</v>
      </c>
    </row>
    <row r="345" spans="1:19" x14ac:dyDescent="0.25">
      <c r="A345" s="13">
        <v>45699</v>
      </c>
      <c r="B345" t="s">
        <v>580</v>
      </c>
      <c r="C345">
        <v>44764</v>
      </c>
      <c r="D345" t="s">
        <v>27</v>
      </c>
      <c r="E345" s="5">
        <v>39</v>
      </c>
      <c r="F345" s="23">
        <v>94.48</v>
      </c>
      <c r="G345" s="12" t="s">
        <v>72</v>
      </c>
      <c r="H345" s="37">
        <v>0.24</v>
      </c>
      <c r="I345" t="s">
        <v>734</v>
      </c>
      <c r="J345" s="23">
        <v>17.38</v>
      </c>
      <c r="K345" t="s">
        <v>20</v>
      </c>
      <c r="L345" s="14" t="s">
        <v>21</v>
      </c>
      <c r="M345" t="s">
        <v>22</v>
      </c>
      <c r="N345" t="s">
        <v>23</v>
      </c>
      <c r="O345" t="s">
        <v>59</v>
      </c>
      <c r="P345" s="14" t="s">
        <v>34</v>
      </c>
      <c r="Q345" s="23">
        <v>3590.2400000000002</v>
      </c>
      <c r="R345" s="23">
        <v>861.6576</v>
      </c>
      <c r="S345" s="24">
        <v>2747.6435999999999</v>
      </c>
    </row>
    <row r="346" spans="1:19" hidden="1" x14ac:dyDescent="0.25">
      <c r="A346" s="13">
        <v>45699</v>
      </c>
      <c r="B346" t="s">
        <v>589</v>
      </c>
      <c r="C346">
        <v>68635</v>
      </c>
      <c r="D346" t="s">
        <v>57</v>
      </c>
      <c r="E346" s="5">
        <v>42</v>
      </c>
      <c r="F346">
        <v>14.66</v>
      </c>
      <c r="G346" s="12" t="s">
        <v>72</v>
      </c>
      <c r="H346" s="11">
        <v>0.21</v>
      </c>
      <c r="I346" t="s">
        <v>734</v>
      </c>
      <c r="J346">
        <v>27.75</v>
      </c>
      <c r="K346" t="s">
        <v>50</v>
      </c>
      <c r="L346" t="s">
        <v>31</v>
      </c>
      <c r="M346" t="s">
        <v>22</v>
      </c>
      <c r="N346" t="s">
        <v>38</v>
      </c>
      <c r="O346" t="s">
        <v>24</v>
      </c>
      <c r="P346" t="s">
        <v>40</v>
      </c>
      <c r="Q346">
        <v>395.82</v>
      </c>
      <c r="R346">
        <v>83.122199999999992</v>
      </c>
      <c r="S346" s="12">
        <v>2720.0879999999997</v>
      </c>
    </row>
    <row r="347" spans="1:19" hidden="1" x14ac:dyDescent="0.25">
      <c r="A347" s="13">
        <v>45672</v>
      </c>
      <c r="B347" t="s">
        <v>205</v>
      </c>
      <c r="C347">
        <v>26888</v>
      </c>
      <c r="D347" t="s">
        <v>46</v>
      </c>
      <c r="E347" s="5">
        <v>32</v>
      </c>
      <c r="F347">
        <v>14.51</v>
      </c>
      <c r="G347" s="12" t="s">
        <v>72</v>
      </c>
      <c r="H347" s="11">
        <v>0.3</v>
      </c>
      <c r="I347" t="s">
        <v>734</v>
      </c>
      <c r="J347">
        <v>6.49</v>
      </c>
      <c r="K347" t="s">
        <v>37</v>
      </c>
      <c r="L347" t="s">
        <v>31</v>
      </c>
      <c r="M347" t="s">
        <v>22</v>
      </c>
      <c r="N347" t="s">
        <v>23</v>
      </c>
      <c r="O347" t="s">
        <v>59</v>
      </c>
      <c r="P347" t="s">
        <v>25</v>
      </c>
      <c r="Q347">
        <v>565.89</v>
      </c>
      <c r="R347">
        <v>169.767</v>
      </c>
      <c r="S347" s="12">
        <v>2688.1759999999999</v>
      </c>
    </row>
    <row r="348" spans="1:19" hidden="1" x14ac:dyDescent="0.25">
      <c r="A348" s="13">
        <v>45686</v>
      </c>
      <c r="B348" t="s">
        <v>427</v>
      </c>
      <c r="C348">
        <v>28063</v>
      </c>
      <c r="D348" t="s">
        <v>68</v>
      </c>
      <c r="E348" s="5">
        <v>38</v>
      </c>
      <c r="F348">
        <v>53</v>
      </c>
      <c r="G348" s="12" t="s">
        <v>72</v>
      </c>
      <c r="H348" s="11">
        <v>0.16</v>
      </c>
      <c r="I348" t="s">
        <v>19</v>
      </c>
      <c r="J348">
        <v>5.98</v>
      </c>
      <c r="K348" t="s">
        <v>30</v>
      </c>
      <c r="L348" s="14" t="s">
        <v>21</v>
      </c>
      <c r="M348" t="s">
        <v>22</v>
      </c>
      <c r="N348" t="s">
        <v>23</v>
      </c>
      <c r="O348" t="s">
        <v>24</v>
      </c>
      <c r="P348" t="s">
        <v>25</v>
      </c>
      <c r="Q348">
        <v>795</v>
      </c>
      <c r="R348">
        <v>127.2</v>
      </c>
      <c r="S348" s="12">
        <v>2647.4068000000002</v>
      </c>
    </row>
    <row r="349" spans="1:19" hidden="1" x14ac:dyDescent="0.25">
      <c r="A349" s="13">
        <v>45700</v>
      </c>
      <c r="B349" t="s">
        <v>140</v>
      </c>
      <c r="C349">
        <v>97179</v>
      </c>
      <c r="D349" t="s">
        <v>46</v>
      </c>
      <c r="E349" s="5">
        <v>36</v>
      </c>
      <c r="F349">
        <v>67.959999999999994</v>
      </c>
      <c r="G349" s="12" t="s">
        <v>72</v>
      </c>
      <c r="H349" s="11">
        <v>0.45</v>
      </c>
      <c r="I349" t="s">
        <v>29</v>
      </c>
      <c r="J349">
        <v>6.87</v>
      </c>
      <c r="K349" t="s">
        <v>20</v>
      </c>
      <c r="L349" t="s">
        <v>31</v>
      </c>
      <c r="M349" t="s">
        <v>22</v>
      </c>
      <c r="N349" t="s">
        <v>23</v>
      </c>
      <c r="O349" t="s">
        <v>81</v>
      </c>
      <c r="P349" t="s">
        <v>34</v>
      </c>
      <c r="Q349">
        <v>3126.16</v>
      </c>
      <c r="R349">
        <v>1406.7719999999999</v>
      </c>
      <c r="S349" s="12">
        <v>2555.5500000000002</v>
      </c>
    </row>
    <row r="350" spans="1:19" hidden="1" x14ac:dyDescent="0.25">
      <c r="A350" s="13">
        <v>45706</v>
      </c>
      <c r="B350" t="s">
        <v>594</v>
      </c>
      <c r="C350">
        <v>16559</v>
      </c>
      <c r="D350" t="s">
        <v>57</v>
      </c>
      <c r="E350" s="5">
        <v>46</v>
      </c>
      <c r="F350">
        <v>39.97</v>
      </c>
      <c r="G350" s="12" t="s">
        <v>72</v>
      </c>
      <c r="H350" s="11">
        <v>0.38</v>
      </c>
      <c r="I350" t="s">
        <v>734</v>
      </c>
      <c r="J350">
        <v>17.03</v>
      </c>
      <c r="K350" t="s">
        <v>37</v>
      </c>
      <c r="L350" s="14" t="s">
        <v>21</v>
      </c>
      <c r="M350" t="s">
        <v>22</v>
      </c>
      <c r="N350" t="s">
        <v>38</v>
      </c>
      <c r="O350" t="s">
        <v>59</v>
      </c>
      <c r="P350" t="s">
        <v>40</v>
      </c>
      <c r="Q350">
        <v>1199.0999999999999</v>
      </c>
      <c r="R350">
        <v>455.65799999999996</v>
      </c>
      <c r="S350" s="12">
        <v>2359.6804000000002</v>
      </c>
    </row>
    <row r="351" spans="1:19" hidden="1" x14ac:dyDescent="0.25">
      <c r="A351" s="13">
        <v>45684</v>
      </c>
      <c r="B351" t="s">
        <v>412</v>
      </c>
      <c r="C351">
        <v>17347</v>
      </c>
      <c r="D351" t="s">
        <v>49</v>
      </c>
      <c r="E351" s="5">
        <v>41</v>
      </c>
      <c r="F351">
        <v>79.92</v>
      </c>
      <c r="G351" s="12" t="s">
        <v>72</v>
      </c>
      <c r="H351" s="11">
        <v>0.12</v>
      </c>
      <c r="I351" t="s">
        <v>734</v>
      </c>
      <c r="J351">
        <v>6.97</v>
      </c>
      <c r="K351" s="5" t="s">
        <v>44</v>
      </c>
      <c r="L351" t="s">
        <v>31</v>
      </c>
      <c r="M351" t="s">
        <v>22</v>
      </c>
      <c r="N351" t="s">
        <v>23</v>
      </c>
      <c r="O351" t="s">
        <v>39</v>
      </c>
      <c r="P351" t="s">
        <v>34</v>
      </c>
      <c r="Q351">
        <v>1838.16</v>
      </c>
      <c r="R351">
        <v>220.57920000000001</v>
      </c>
      <c r="S351" s="12">
        <v>2348.4472000000001</v>
      </c>
    </row>
    <row r="352" spans="1:19" hidden="1" x14ac:dyDescent="0.25">
      <c r="A352" s="13">
        <v>45698</v>
      </c>
      <c r="B352" t="s">
        <v>229</v>
      </c>
      <c r="C352">
        <v>99321</v>
      </c>
      <c r="D352" t="s">
        <v>89</v>
      </c>
      <c r="E352" s="5">
        <v>34</v>
      </c>
      <c r="F352">
        <v>57.23</v>
      </c>
      <c r="G352" s="12" t="s">
        <v>72</v>
      </c>
      <c r="H352" s="11">
        <v>0.33</v>
      </c>
      <c r="I352" t="s">
        <v>19</v>
      </c>
      <c r="J352">
        <v>24.18</v>
      </c>
      <c r="K352" t="s">
        <v>30</v>
      </c>
      <c r="L352" t="s">
        <v>31</v>
      </c>
      <c r="M352" t="s">
        <v>22</v>
      </c>
      <c r="N352" t="s">
        <v>53</v>
      </c>
      <c r="O352" t="s">
        <v>33</v>
      </c>
      <c r="P352" t="s">
        <v>34</v>
      </c>
      <c r="Q352">
        <v>1430.75</v>
      </c>
      <c r="R352">
        <v>472.14750000000004</v>
      </c>
      <c r="S352" s="12">
        <v>2276.9119999999998</v>
      </c>
    </row>
    <row r="353" spans="1:19" hidden="1" x14ac:dyDescent="0.25">
      <c r="A353" s="13">
        <v>45672</v>
      </c>
      <c r="B353" t="s">
        <v>193</v>
      </c>
      <c r="C353">
        <v>96274</v>
      </c>
      <c r="D353" t="s">
        <v>57</v>
      </c>
      <c r="E353" s="5">
        <v>41</v>
      </c>
      <c r="F353">
        <v>35.229999999999997</v>
      </c>
      <c r="G353" s="12" t="s">
        <v>72</v>
      </c>
      <c r="H353" s="11">
        <v>0.23</v>
      </c>
      <c r="I353" t="s">
        <v>734</v>
      </c>
      <c r="J353">
        <v>12.59</v>
      </c>
      <c r="K353" t="s">
        <v>50</v>
      </c>
      <c r="L353" t="s">
        <v>31</v>
      </c>
      <c r="M353" t="s">
        <v>22</v>
      </c>
      <c r="N353" t="s">
        <v>23</v>
      </c>
      <c r="O353" t="s">
        <v>59</v>
      </c>
      <c r="P353" t="s">
        <v>25</v>
      </c>
      <c r="Q353">
        <v>1268.28</v>
      </c>
      <c r="R353">
        <v>291.70440000000002</v>
      </c>
      <c r="S353" s="12">
        <v>2134.5379000000003</v>
      </c>
    </row>
    <row r="354" spans="1:19" hidden="1" x14ac:dyDescent="0.25">
      <c r="A354" s="13">
        <v>45698</v>
      </c>
      <c r="B354" t="s">
        <v>397</v>
      </c>
      <c r="C354">
        <v>12591</v>
      </c>
      <c r="D354" t="s">
        <v>27</v>
      </c>
      <c r="E354" s="5">
        <v>47</v>
      </c>
      <c r="F354">
        <v>49.31</v>
      </c>
      <c r="G354" s="12" t="s">
        <v>72</v>
      </c>
      <c r="H354" s="11">
        <v>0.48</v>
      </c>
      <c r="I354" t="s">
        <v>734</v>
      </c>
      <c r="J354">
        <v>25.46</v>
      </c>
      <c r="K354" t="s">
        <v>20</v>
      </c>
      <c r="L354" t="s">
        <v>31</v>
      </c>
      <c r="M354" t="s">
        <v>22</v>
      </c>
      <c r="N354" t="s">
        <v>23</v>
      </c>
      <c r="O354" t="s">
        <v>59</v>
      </c>
      <c r="P354" t="s">
        <v>34</v>
      </c>
      <c r="Q354">
        <v>1479.3000000000002</v>
      </c>
      <c r="R354">
        <v>710.06400000000008</v>
      </c>
      <c r="S354" s="12">
        <v>2034.2915999999998</v>
      </c>
    </row>
    <row r="355" spans="1:19" hidden="1" x14ac:dyDescent="0.25">
      <c r="A355" s="13">
        <v>45702</v>
      </c>
      <c r="B355" t="s">
        <v>145</v>
      </c>
      <c r="C355">
        <v>59870</v>
      </c>
      <c r="D355" t="s">
        <v>57</v>
      </c>
      <c r="E355" s="5">
        <v>34</v>
      </c>
      <c r="F355">
        <v>81.41</v>
      </c>
      <c r="G355" s="12" t="s">
        <v>72</v>
      </c>
      <c r="H355" s="11">
        <v>0.37</v>
      </c>
      <c r="I355" t="s">
        <v>734</v>
      </c>
      <c r="J355">
        <v>28.89</v>
      </c>
      <c r="K355" t="s">
        <v>50</v>
      </c>
      <c r="L355" s="14" t="s">
        <v>21</v>
      </c>
      <c r="M355" t="s">
        <v>22</v>
      </c>
      <c r="N355" t="s">
        <v>23</v>
      </c>
      <c r="O355" t="s">
        <v>81</v>
      </c>
      <c r="P355" t="s">
        <v>40</v>
      </c>
      <c r="Q355">
        <v>569.87</v>
      </c>
      <c r="R355">
        <v>210.8519</v>
      </c>
      <c r="S355" s="12">
        <v>2013.9695999999999</v>
      </c>
    </row>
    <row r="356" spans="1:19" x14ac:dyDescent="0.25">
      <c r="A356" s="13">
        <v>45660</v>
      </c>
      <c r="B356" t="s">
        <v>85</v>
      </c>
      <c r="C356">
        <v>44880</v>
      </c>
      <c r="D356" t="s">
        <v>70</v>
      </c>
      <c r="E356" s="5">
        <v>30</v>
      </c>
      <c r="F356" s="23">
        <v>35.74</v>
      </c>
      <c r="G356" s="12" t="s">
        <v>72</v>
      </c>
      <c r="H356" s="37">
        <v>0.14000000000000001</v>
      </c>
      <c r="I356" t="s">
        <v>734</v>
      </c>
      <c r="J356" s="23">
        <v>8.39</v>
      </c>
      <c r="K356" t="s">
        <v>30</v>
      </c>
      <c r="L356" s="14" t="s">
        <v>21</v>
      </c>
      <c r="M356" t="s">
        <v>22</v>
      </c>
      <c r="N356" t="s">
        <v>53</v>
      </c>
      <c r="O356" t="s">
        <v>59</v>
      </c>
      <c r="P356" s="14" t="s">
        <v>34</v>
      </c>
      <c r="Q356" s="23">
        <v>1179.42</v>
      </c>
      <c r="R356" s="23">
        <v>165.11880000000002</v>
      </c>
      <c r="S356" s="24">
        <v>1903.7820000000002</v>
      </c>
    </row>
    <row r="357" spans="1:19" hidden="1" x14ac:dyDescent="0.25">
      <c r="A357" s="13">
        <v>45708</v>
      </c>
      <c r="B357" t="s">
        <v>465</v>
      </c>
      <c r="C357">
        <v>74222</v>
      </c>
      <c r="D357" t="s">
        <v>46</v>
      </c>
      <c r="E357" s="5">
        <v>47</v>
      </c>
      <c r="F357">
        <v>32.9</v>
      </c>
      <c r="G357" s="12" t="s">
        <v>72</v>
      </c>
      <c r="H357" s="11">
        <v>0.04</v>
      </c>
      <c r="I357" t="s">
        <v>19</v>
      </c>
      <c r="J357">
        <v>11.36</v>
      </c>
      <c r="K357" t="s">
        <v>20</v>
      </c>
      <c r="L357" t="s">
        <v>31</v>
      </c>
      <c r="M357" t="s">
        <v>22</v>
      </c>
      <c r="N357" t="s">
        <v>32</v>
      </c>
      <c r="O357" t="s">
        <v>24</v>
      </c>
      <c r="P357" t="s">
        <v>25</v>
      </c>
      <c r="Q357">
        <v>954.09999999999991</v>
      </c>
      <c r="R357">
        <v>38.163999999999994</v>
      </c>
      <c r="S357" s="12">
        <v>1899.7212000000002</v>
      </c>
    </row>
    <row r="358" spans="1:19" hidden="1" x14ac:dyDescent="0.25">
      <c r="A358" s="13">
        <v>45709</v>
      </c>
      <c r="B358" t="s">
        <v>684</v>
      </c>
      <c r="C358">
        <v>11584</v>
      </c>
      <c r="D358" t="s">
        <v>49</v>
      </c>
      <c r="E358" s="5">
        <v>35</v>
      </c>
      <c r="F358">
        <v>50.62</v>
      </c>
      <c r="G358" s="12" t="s">
        <v>72</v>
      </c>
      <c r="H358" s="11">
        <v>0.08</v>
      </c>
      <c r="I358" t="s">
        <v>734</v>
      </c>
      <c r="J358">
        <v>6.82</v>
      </c>
      <c r="K358" s="5" t="s">
        <v>44</v>
      </c>
      <c r="L358" t="s">
        <v>31</v>
      </c>
      <c r="M358" t="s">
        <v>22</v>
      </c>
      <c r="N358" t="s">
        <v>32</v>
      </c>
      <c r="O358" t="s">
        <v>39</v>
      </c>
      <c r="P358" t="s">
        <v>25</v>
      </c>
      <c r="Q358">
        <v>1822.32</v>
      </c>
      <c r="R358">
        <v>145.78559999999999</v>
      </c>
      <c r="S358" s="12">
        <v>1853.46</v>
      </c>
    </row>
    <row r="359" spans="1:19" hidden="1" x14ac:dyDescent="0.25">
      <c r="A359" s="13">
        <v>45685</v>
      </c>
      <c r="B359" t="s">
        <v>328</v>
      </c>
      <c r="C359">
        <v>91629</v>
      </c>
      <c r="D359" t="s">
        <v>68</v>
      </c>
      <c r="E359" s="5">
        <v>49</v>
      </c>
      <c r="F359">
        <v>55.96</v>
      </c>
      <c r="G359" s="12" t="s">
        <v>72</v>
      </c>
      <c r="H359" s="11">
        <v>0.39</v>
      </c>
      <c r="I359" t="s">
        <v>29</v>
      </c>
      <c r="J359">
        <v>22.96</v>
      </c>
      <c r="K359" t="s">
        <v>50</v>
      </c>
      <c r="L359" t="s">
        <v>31</v>
      </c>
      <c r="M359" t="s">
        <v>22</v>
      </c>
      <c r="N359" t="s">
        <v>32</v>
      </c>
      <c r="O359" t="s">
        <v>24</v>
      </c>
      <c r="P359" t="s">
        <v>25</v>
      </c>
      <c r="Q359">
        <v>2742.04</v>
      </c>
      <c r="R359">
        <v>1069.3956000000001</v>
      </c>
      <c r="S359" s="12">
        <v>1672.6443999999999</v>
      </c>
    </row>
    <row r="360" spans="1:19" hidden="1" x14ac:dyDescent="0.25">
      <c r="A360" s="13">
        <v>45663</v>
      </c>
      <c r="B360" t="s">
        <v>143</v>
      </c>
      <c r="C360">
        <v>94171</v>
      </c>
      <c r="D360" t="s">
        <v>75</v>
      </c>
      <c r="E360" s="5">
        <v>21</v>
      </c>
      <c r="F360">
        <v>53</v>
      </c>
      <c r="G360" s="12" t="s">
        <v>72</v>
      </c>
      <c r="H360" s="11">
        <v>0.37</v>
      </c>
      <c r="I360" t="s">
        <v>19</v>
      </c>
      <c r="J360">
        <v>26.65</v>
      </c>
      <c r="K360" t="s">
        <v>30</v>
      </c>
      <c r="L360" t="s">
        <v>31</v>
      </c>
      <c r="M360" t="s">
        <v>735</v>
      </c>
      <c r="N360" t="s">
        <v>53</v>
      </c>
      <c r="O360" t="s">
        <v>81</v>
      </c>
      <c r="P360" t="s">
        <v>25</v>
      </c>
      <c r="Q360">
        <v>2120</v>
      </c>
      <c r="R360">
        <v>784.4</v>
      </c>
      <c r="S360" s="12">
        <v>1572.9713999999999</v>
      </c>
    </row>
    <row r="361" spans="1:19" hidden="1" x14ac:dyDescent="0.25">
      <c r="A361" s="13">
        <v>45674</v>
      </c>
      <c r="B361" t="s">
        <v>240</v>
      </c>
      <c r="C361">
        <v>78677</v>
      </c>
      <c r="D361" t="s">
        <v>17</v>
      </c>
      <c r="E361" s="5">
        <v>42</v>
      </c>
      <c r="F361">
        <v>30.52</v>
      </c>
      <c r="G361" s="12" t="s">
        <v>72</v>
      </c>
      <c r="H361" s="11">
        <v>0.26</v>
      </c>
      <c r="I361" t="s">
        <v>734</v>
      </c>
      <c r="J361">
        <v>28.58</v>
      </c>
      <c r="K361" t="s">
        <v>37</v>
      </c>
      <c r="L361" t="s">
        <v>31</v>
      </c>
      <c r="M361" t="s">
        <v>22</v>
      </c>
      <c r="N361" t="s">
        <v>23</v>
      </c>
      <c r="O361" t="s">
        <v>39</v>
      </c>
      <c r="P361" t="s">
        <v>40</v>
      </c>
      <c r="Q361">
        <v>1464.96</v>
      </c>
      <c r="R361">
        <v>380.88960000000003</v>
      </c>
      <c r="S361" s="12">
        <v>1507.1616000000001</v>
      </c>
    </row>
    <row r="362" spans="1:19" hidden="1" x14ac:dyDescent="0.25">
      <c r="A362" s="13">
        <v>45711</v>
      </c>
      <c r="B362" t="s">
        <v>78</v>
      </c>
      <c r="C362">
        <v>82594</v>
      </c>
      <c r="D362" t="s">
        <v>66</v>
      </c>
      <c r="E362" s="5">
        <v>47</v>
      </c>
      <c r="F362">
        <v>2.6</v>
      </c>
      <c r="G362" s="12" t="s">
        <v>72</v>
      </c>
      <c r="H362" s="11">
        <v>0.05</v>
      </c>
      <c r="I362" t="s">
        <v>734</v>
      </c>
      <c r="J362">
        <v>19.010000000000002</v>
      </c>
      <c r="K362" s="5" t="s">
        <v>44</v>
      </c>
      <c r="L362" s="14" t="s">
        <v>21</v>
      </c>
      <c r="M362" t="s">
        <v>22</v>
      </c>
      <c r="N362" t="s">
        <v>23</v>
      </c>
      <c r="O362" t="s">
        <v>24</v>
      </c>
      <c r="P362" t="s">
        <v>25</v>
      </c>
      <c r="Q362">
        <v>26</v>
      </c>
      <c r="R362">
        <v>1.3</v>
      </c>
      <c r="S362" s="12">
        <v>1443.7836</v>
      </c>
    </row>
    <row r="363" spans="1:19" hidden="1" x14ac:dyDescent="0.25">
      <c r="A363" s="13">
        <v>45700</v>
      </c>
      <c r="B363" t="s">
        <v>596</v>
      </c>
      <c r="C363">
        <v>20509</v>
      </c>
      <c r="D363" t="s">
        <v>75</v>
      </c>
      <c r="E363" s="5">
        <v>24</v>
      </c>
      <c r="F363">
        <v>32.17</v>
      </c>
      <c r="G363" s="12" t="s">
        <v>72</v>
      </c>
      <c r="H363" s="11">
        <v>0.04</v>
      </c>
      <c r="I363" t="s">
        <v>734</v>
      </c>
      <c r="J363">
        <v>6.73</v>
      </c>
      <c r="K363" t="s">
        <v>37</v>
      </c>
      <c r="L363" t="s">
        <v>31</v>
      </c>
      <c r="M363" t="s">
        <v>22</v>
      </c>
      <c r="N363" t="s">
        <v>53</v>
      </c>
      <c r="O363" t="s">
        <v>24</v>
      </c>
      <c r="P363" t="s">
        <v>40</v>
      </c>
      <c r="Q363">
        <v>450.38</v>
      </c>
      <c r="R363">
        <v>18.0152</v>
      </c>
      <c r="S363" s="12">
        <v>1375.0008000000003</v>
      </c>
    </row>
    <row r="364" spans="1:19" x14ac:dyDescent="0.25">
      <c r="A364" s="13">
        <v>45660</v>
      </c>
      <c r="B364" t="s">
        <v>77</v>
      </c>
      <c r="C364">
        <v>88442</v>
      </c>
      <c r="D364" t="s">
        <v>42</v>
      </c>
      <c r="E364" s="5">
        <v>44</v>
      </c>
      <c r="F364" s="23">
        <v>88.31</v>
      </c>
      <c r="G364" s="12" t="s">
        <v>72</v>
      </c>
      <c r="H364" s="37">
        <v>0.11</v>
      </c>
      <c r="I364" t="s">
        <v>29</v>
      </c>
      <c r="J364" s="23">
        <v>29.61</v>
      </c>
      <c r="K364" t="s">
        <v>30</v>
      </c>
      <c r="L364" s="14" t="s">
        <v>21</v>
      </c>
      <c r="M364" t="s">
        <v>22</v>
      </c>
      <c r="N364" t="s">
        <v>53</v>
      </c>
      <c r="O364" t="s">
        <v>39</v>
      </c>
      <c r="P364" s="14" t="s">
        <v>34</v>
      </c>
      <c r="Q364" s="23">
        <v>3444.09</v>
      </c>
      <c r="R364" s="23">
        <v>378.84989999999999</v>
      </c>
      <c r="S364" s="24">
        <v>1361.6064000000001</v>
      </c>
    </row>
    <row r="365" spans="1:19" hidden="1" x14ac:dyDescent="0.25">
      <c r="A365" s="13">
        <v>45686</v>
      </c>
      <c r="B365" t="s">
        <v>157</v>
      </c>
      <c r="C365">
        <v>87568</v>
      </c>
      <c r="D365" t="s">
        <v>27</v>
      </c>
      <c r="E365" s="5">
        <v>46</v>
      </c>
      <c r="F365">
        <v>38.450000000000003</v>
      </c>
      <c r="G365" s="12" t="s">
        <v>72</v>
      </c>
      <c r="H365" s="11">
        <v>0.32</v>
      </c>
      <c r="I365" t="s">
        <v>734</v>
      </c>
      <c r="J365">
        <v>10.25</v>
      </c>
      <c r="K365" t="s">
        <v>30</v>
      </c>
      <c r="L365" t="s">
        <v>31</v>
      </c>
      <c r="M365" t="s">
        <v>22</v>
      </c>
      <c r="N365" t="s">
        <v>38</v>
      </c>
      <c r="O365" t="s">
        <v>24</v>
      </c>
      <c r="P365" t="s">
        <v>25</v>
      </c>
      <c r="Q365">
        <v>307.60000000000002</v>
      </c>
      <c r="R365">
        <v>98.432000000000016</v>
      </c>
      <c r="S365" s="12">
        <v>1311.1104</v>
      </c>
    </row>
    <row r="366" spans="1:19" hidden="1" x14ac:dyDescent="0.25">
      <c r="A366" s="13">
        <v>45693</v>
      </c>
      <c r="B366" t="s">
        <v>522</v>
      </c>
      <c r="C366">
        <v>70039</v>
      </c>
      <c r="D366" t="s">
        <v>89</v>
      </c>
      <c r="E366" s="5">
        <v>31</v>
      </c>
      <c r="F366">
        <v>84.19</v>
      </c>
      <c r="G366" s="12" t="s">
        <v>72</v>
      </c>
      <c r="H366" s="11">
        <v>0.38</v>
      </c>
      <c r="I366" t="s">
        <v>19</v>
      </c>
      <c r="J366">
        <v>25.7</v>
      </c>
      <c r="K366" t="s">
        <v>50</v>
      </c>
      <c r="L366" s="14" t="s">
        <v>21</v>
      </c>
      <c r="M366" t="s">
        <v>22</v>
      </c>
      <c r="N366" t="s">
        <v>23</v>
      </c>
      <c r="O366" t="s">
        <v>24</v>
      </c>
      <c r="P366" t="s">
        <v>40</v>
      </c>
      <c r="Q366">
        <v>3030.84</v>
      </c>
      <c r="R366">
        <v>1151.7192</v>
      </c>
      <c r="S366" s="12">
        <v>1273.1576</v>
      </c>
    </row>
    <row r="367" spans="1:19" hidden="1" x14ac:dyDescent="0.25">
      <c r="A367" s="13">
        <v>45684</v>
      </c>
      <c r="B367" t="s">
        <v>231</v>
      </c>
      <c r="C367">
        <v>19099</v>
      </c>
      <c r="D367" t="s">
        <v>70</v>
      </c>
      <c r="E367" s="5">
        <v>37</v>
      </c>
      <c r="F367">
        <v>53.65</v>
      </c>
      <c r="G367" s="12" t="s">
        <v>72</v>
      </c>
      <c r="H367" s="11">
        <v>0.35</v>
      </c>
      <c r="I367" t="s">
        <v>734</v>
      </c>
      <c r="J367">
        <v>27.2</v>
      </c>
      <c r="K367" t="s">
        <v>37</v>
      </c>
      <c r="L367" s="14" t="s">
        <v>21</v>
      </c>
      <c r="M367" t="s">
        <v>22</v>
      </c>
      <c r="N367" t="s">
        <v>38</v>
      </c>
      <c r="O367" t="s">
        <v>24</v>
      </c>
      <c r="P367" t="s">
        <v>40</v>
      </c>
      <c r="Q367">
        <v>912.05</v>
      </c>
      <c r="R367">
        <v>319.21749999999997</v>
      </c>
      <c r="S367" s="12">
        <v>1190.5304999999998</v>
      </c>
    </row>
    <row r="368" spans="1:19" hidden="1" x14ac:dyDescent="0.25">
      <c r="A368" s="13">
        <v>45696</v>
      </c>
      <c r="B368" t="s">
        <v>277</v>
      </c>
      <c r="C368">
        <v>47535</v>
      </c>
      <c r="D368" t="s">
        <v>70</v>
      </c>
      <c r="E368" s="5">
        <v>32</v>
      </c>
      <c r="F368">
        <v>78.459999999999994</v>
      </c>
      <c r="G368" s="12" t="s">
        <v>72</v>
      </c>
      <c r="H368" s="11">
        <v>0.35</v>
      </c>
      <c r="I368" t="s">
        <v>29</v>
      </c>
      <c r="J368">
        <v>10.49</v>
      </c>
      <c r="K368" t="s">
        <v>50</v>
      </c>
      <c r="L368" t="s">
        <v>31</v>
      </c>
      <c r="M368" t="s">
        <v>22</v>
      </c>
      <c r="N368" t="s">
        <v>53</v>
      </c>
      <c r="O368" t="s">
        <v>81</v>
      </c>
      <c r="P368" t="s">
        <v>25</v>
      </c>
      <c r="Q368">
        <v>3373.7799999999997</v>
      </c>
      <c r="R368">
        <v>1180.8229999999999</v>
      </c>
      <c r="S368" s="12">
        <v>1186.56</v>
      </c>
    </row>
    <row r="369" spans="1:19" hidden="1" x14ac:dyDescent="0.25">
      <c r="A369" s="13">
        <v>45692</v>
      </c>
      <c r="B369" t="s">
        <v>502</v>
      </c>
      <c r="C369">
        <v>14961</v>
      </c>
      <c r="D369" t="s">
        <v>42</v>
      </c>
      <c r="E369" s="5">
        <v>49</v>
      </c>
      <c r="F369">
        <v>97.53</v>
      </c>
      <c r="G369" s="12" t="s">
        <v>72</v>
      </c>
      <c r="H369" s="11">
        <v>0.18</v>
      </c>
      <c r="I369" t="s">
        <v>29</v>
      </c>
      <c r="J369">
        <v>5.65</v>
      </c>
      <c r="K369" t="s">
        <v>37</v>
      </c>
      <c r="L369" t="s">
        <v>31</v>
      </c>
      <c r="M369" t="s">
        <v>22</v>
      </c>
      <c r="N369" t="s">
        <v>32</v>
      </c>
      <c r="O369" t="s">
        <v>81</v>
      </c>
      <c r="P369" t="s">
        <v>34</v>
      </c>
      <c r="Q369">
        <v>4388.8500000000004</v>
      </c>
      <c r="R369">
        <v>789.99300000000005</v>
      </c>
      <c r="S369" s="12">
        <v>1155.3023999999998</v>
      </c>
    </row>
    <row r="370" spans="1:19" x14ac:dyDescent="0.25">
      <c r="A370" s="13">
        <v>45708</v>
      </c>
      <c r="B370" t="s">
        <v>501</v>
      </c>
      <c r="C370">
        <v>89475</v>
      </c>
      <c r="D370" t="s">
        <v>17</v>
      </c>
      <c r="E370" s="5">
        <v>22</v>
      </c>
      <c r="F370" s="23">
        <v>28.59</v>
      </c>
      <c r="G370" s="12" t="s">
        <v>72</v>
      </c>
      <c r="H370" s="37">
        <v>0.19</v>
      </c>
      <c r="I370" t="s">
        <v>19</v>
      </c>
      <c r="J370" s="23">
        <v>19.02</v>
      </c>
      <c r="K370" t="s">
        <v>37</v>
      </c>
      <c r="L370" s="14" t="s">
        <v>21</v>
      </c>
      <c r="M370" t="s">
        <v>22</v>
      </c>
      <c r="N370" t="s">
        <v>32</v>
      </c>
      <c r="O370" t="s">
        <v>59</v>
      </c>
      <c r="P370" s="14" t="s">
        <v>34</v>
      </c>
      <c r="Q370" s="23">
        <v>400.26</v>
      </c>
      <c r="R370" s="23">
        <v>76.049400000000006</v>
      </c>
      <c r="S370" s="24">
        <v>1133.4312</v>
      </c>
    </row>
    <row r="371" spans="1:19" hidden="1" x14ac:dyDescent="0.25">
      <c r="A371" s="13">
        <v>45687</v>
      </c>
      <c r="B371" t="s">
        <v>439</v>
      </c>
      <c r="C371">
        <v>99032</v>
      </c>
      <c r="D371" t="s">
        <v>17</v>
      </c>
      <c r="E371" s="5">
        <v>23</v>
      </c>
      <c r="F371">
        <v>41.94</v>
      </c>
      <c r="G371" s="12" t="s">
        <v>72</v>
      </c>
      <c r="H371" s="11">
        <v>0.4</v>
      </c>
      <c r="I371" t="s">
        <v>734</v>
      </c>
      <c r="J371">
        <v>13.29</v>
      </c>
      <c r="K371" s="5" t="s">
        <v>44</v>
      </c>
      <c r="L371" t="s">
        <v>31</v>
      </c>
      <c r="M371" t="s">
        <v>22</v>
      </c>
      <c r="N371" t="s">
        <v>32</v>
      </c>
      <c r="O371" t="s">
        <v>81</v>
      </c>
      <c r="P371" t="s">
        <v>40</v>
      </c>
      <c r="Q371">
        <v>796.8599999999999</v>
      </c>
      <c r="R371">
        <v>318.74399999999997</v>
      </c>
      <c r="S371" s="12">
        <v>1103.402</v>
      </c>
    </row>
    <row r="372" spans="1:19" hidden="1" x14ac:dyDescent="0.25">
      <c r="A372" s="13">
        <v>45660</v>
      </c>
      <c r="B372" t="s">
        <v>71</v>
      </c>
      <c r="C372">
        <v>79379</v>
      </c>
      <c r="D372" t="s">
        <v>66</v>
      </c>
      <c r="E372" s="5">
        <v>25</v>
      </c>
      <c r="F372">
        <v>55.26</v>
      </c>
      <c r="G372" s="12" t="s">
        <v>72</v>
      </c>
      <c r="H372" s="11">
        <v>0.44</v>
      </c>
      <c r="I372" t="s">
        <v>734</v>
      </c>
      <c r="J372">
        <v>19.690000000000001</v>
      </c>
      <c r="K372" t="s">
        <v>50</v>
      </c>
      <c r="L372" t="s">
        <v>31</v>
      </c>
      <c r="M372" t="s">
        <v>22</v>
      </c>
      <c r="N372" t="s">
        <v>32</v>
      </c>
      <c r="O372" t="s">
        <v>24</v>
      </c>
      <c r="P372" t="s">
        <v>34</v>
      </c>
      <c r="Q372">
        <v>2431.44</v>
      </c>
      <c r="R372">
        <v>1069.8335999999999</v>
      </c>
      <c r="S372" s="12">
        <v>1094.75</v>
      </c>
    </row>
    <row r="373" spans="1:19" hidden="1" x14ac:dyDescent="0.25">
      <c r="A373" s="13">
        <v>45683</v>
      </c>
      <c r="B373" t="s">
        <v>397</v>
      </c>
      <c r="C373">
        <v>96367</v>
      </c>
      <c r="D373" t="s">
        <v>70</v>
      </c>
      <c r="E373" s="5">
        <v>19</v>
      </c>
      <c r="F373">
        <v>95.64</v>
      </c>
      <c r="G373" s="12" t="s">
        <v>72</v>
      </c>
      <c r="H373" s="11">
        <v>0.28999999999999998</v>
      </c>
      <c r="I373" t="s">
        <v>19</v>
      </c>
      <c r="J373">
        <v>28.77</v>
      </c>
      <c r="K373" t="s">
        <v>20</v>
      </c>
      <c r="L373" t="s">
        <v>31</v>
      </c>
      <c r="M373" t="s">
        <v>22</v>
      </c>
      <c r="N373" t="s">
        <v>38</v>
      </c>
      <c r="O373" t="s">
        <v>24</v>
      </c>
      <c r="P373" t="s">
        <v>40</v>
      </c>
      <c r="Q373">
        <v>95.64</v>
      </c>
      <c r="R373">
        <v>27.735599999999998</v>
      </c>
      <c r="S373" s="12">
        <v>1079.694</v>
      </c>
    </row>
    <row r="374" spans="1:19" x14ac:dyDescent="0.25">
      <c r="A374" s="13">
        <v>45678</v>
      </c>
      <c r="B374" t="s">
        <v>319</v>
      </c>
      <c r="C374">
        <v>99616</v>
      </c>
      <c r="D374" t="s">
        <v>27</v>
      </c>
      <c r="E374" s="5">
        <v>14</v>
      </c>
      <c r="F374" s="23">
        <v>66.69</v>
      </c>
      <c r="G374" s="12" t="s">
        <v>72</v>
      </c>
      <c r="H374" s="37">
        <v>0.16</v>
      </c>
      <c r="I374" t="s">
        <v>734</v>
      </c>
      <c r="J374" s="23">
        <v>14.83</v>
      </c>
      <c r="K374" t="s">
        <v>20</v>
      </c>
      <c r="L374" s="14" t="s">
        <v>21</v>
      </c>
      <c r="M374" t="s">
        <v>735</v>
      </c>
      <c r="N374" t="s">
        <v>53</v>
      </c>
      <c r="O374" t="s">
        <v>33</v>
      </c>
      <c r="P374" s="14" t="s">
        <v>34</v>
      </c>
      <c r="Q374" s="23">
        <v>3267.81</v>
      </c>
      <c r="R374" s="23">
        <v>522.84960000000001</v>
      </c>
      <c r="S374" s="24">
        <v>1053.4580000000001</v>
      </c>
    </row>
    <row r="375" spans="1:19" hidden="1" x14ac:dyDescent="0.25">
      <c r="A375" s="13">
        <v>45690</v>
      </c>
      <c r="B375" t="s">
        <v>282</v>
      </c>
      <c r="C375">
        <v>42695</v>
      </c>
      <c r="D375" t="s">
        <v>17</v>
      </c>
      <c r="E375" s="5">
        <v>33</v>
      </c>
      <c r="F375">
        <v>75.62</v>
      </c>
      <c r="G375" s="12" t="s">
        <v>72</v>
      </c>
      <c r="H375" s="11">
        <v>0</v>
      </c>
      <c r="I375" t="s">
        <v>19</v>
      </c>
      <c r="J375">
        <v>20.66</v>
      </c>
      <c r="K375" s="5" t="s">
        <v>44</v>
      </c>
      <c r="L375" s="14" t="s">
        <v>21</v>
      </c>
      <c r="M375" t="s">
        <v>22</v>
      </c>
      <c r="N375" t="s">
        <v>23</v>
      </c>
      <c r="O375" t="s">
        <v>24</v>
      </c>
      <c r="P375" t="s">
        <v>40</v>
      </c>
      <c r="Q375">
        <v>3176.04</v>
      </c>
      <c r="R375">
        <v>0</v>
      </c>
      <c r="S375" s="12">
        <v>1023.7986000000001</v>
      </c>
    </row>
    <row r="376" spans="1:19" hidden="1" x14ac:dyDescent="0.25">
      <c r="A376" s="13">
        <v>45687</v>
      </c>
      <c r="B376" t="s">
        <v>445</v>
      </c>
      <c r="C376">
        <v>12896</v>
      </c>
      <c r="D376" t="s">
        <v>27</v>
      </c>
      <c r="E376" s="5">
        <v>42</v>
      </c>
      <c r="F376">
        <v>50.91</v>
      </c>
      <c r="G376" s="12" t="s">
        <v>72</v>
      </c>
      <c r="H376" s="11">
        <v>0.01</v>
      </c>
      <c r="I376" t="s">
        <v>19</v>
      </c>
      <c r="J376">
        <v>15.4</v>
      </c>
      <c r="K376" t="s">
        <v>20</v>
      </c>
      <c r="L376" t="s">
        <v>31</v>
      </c>
      <c r="M376" t="s">
        <v>22</v>
      </c>
      <c r="N376" t="s">
        <v>53</v>
      </c>
      <c r="O376" t="s">
        <v>24</v>
      </c>
      <c r="P376" t="s">
        <v>40</v>
      </c>
      <c r="Q376">
        <v>1578.2099999999998</v>
      </c>
      <c r="R376">
        <v>15.782099999999998</v>
      </c>
      <c r="S376" s="12">
        <v>995.95440000000008</v>
      </c>
    </row>
    <row r="377" spans="1:19" hidden="1" x14ac:dyDescent="0.25">
      <c r="A377" s="13">
        <v>45693</v>
      </c>
      <c r="B377" t="s">
        <v>290</v>
      </c>
      <c r="C377">
        <v>11132</v>
      </c>
      <c r="D377" t="s">
        <v>75</v>
      </c>
      <c r="E377" s="5">
        <v>41</v>
      </c>
      <c r="F377">
        <v>98.89</v>
      </c>
      <c r="G377" s="12" t="s">
        <v>72</v>
      </c>
      <c r="H377" s="11">
        <v>0.2</v>
      </c>
      <c r="I377" t="s">
        <v>19</v>
      </c>
      <c r="J377">
        <v>6.59</v>
      </c>
      <c r="K377" t="s">
        <v>30</v>
      </c>
      <c r="L377" t="s">
        <v>31</v>
      </c>
      <c r="M377" t="s">
        <v>22</v>
      </c>
      <c r="N377" t="s">
        <v>53</v>
      </c>
      <c r="O377" t="s">
        <v>33</v>
      </c>
      <c r="P377" t="s">
        <v>25</v>
      </c>
      <c r="Q377">
        <v>2966.7</v>
      </c>
      <c r="R377">
        <v>593.34</v>
      </c>
      <c r="S377" s="12">
        <v>826.15</v>
      </c>
    </row>
    <row r="378" spans="1:19" hidden="1" x14ac:dyDescent="0.25">
      <c r="A378" s="13">
        <v>45681</v>
      </c>
      <c r="B378" t="s">
        <v>363</v>
      </c>
      <c r="C378">
        <v>65775</v>
      </c>
      <c r="D378" t="s">
        <v>49</v>
      </c>
      <c r="E378" s="5">
        <v>32</v>
      </c>
      <c r="F378">
        <v>30.83</v>
      </c>
      <c r="G378" s="12" t="s">
        <v>72</v>
      </c>
      <c r="H378" s="11">
        <v>0.5</v>
      </c>
      <c r="I378" t="s">
        <v>29</v>
      </c>
      <c r="J378">
        <v>21.14</v>
      </c>
      <c r="K378" s="5" t="s">
        <v>44</v>
      </c>
      <c r="L378" s="14" t="s">
        <v>21</v>
      </c>
      <c r="M378" t="s">
        <v>22</v>
      </c>
      <c r="N378" t="s">
        <v>23</v>
      </c>
      <c r="O378" t="s">
        <v>39</v>
      </c>
      <c r="P378" t="s">
        <v>40</v>
      </c>
      <c r="Q378">
        <v>678.26</v>
      </c>
      <c r="R378">
        <v>339.13</v>
      </c>
      <c r="S378" s="12">
        <v>825.36320000000001</v>
      </c>
    </row>
    <row r="379" spans="1:19" hidden="1" x14ac:dyDescent="0.25">
      <c r="A379" s="13">
        <v>45685</v>
      </c>
      <c r="B379" t="s">
        <v>421</v>
      </c>
      <c r="C379">
        <v>61730</v>
      </c>
      <c r="D379" t="s">
        <v>68</v>
      </c>
      <c r="E379" s="5">
        <v>23</v>
      </c>
      <c r="F379">
        <v>96.2</v>
      </c>
      <c r="G379" s="12" t="s">
        <v>72</v>
      </c>
      <c r="H379" s="11">
        <v>0.25</v>
      </c>
      <c r="I379" t="s">
        <v>29</v>
      </c>
      <c r="J379">
        <v>13.2</v>
      </c>
      <c r="K379" t="s">
        <v>20</v>
      </c>
      <c r="L379" t="s">
        <v>31</v>
      </c>
      <c r="M379" t="s">
        <v>22</v>
      </c>
      <c r="N379" t="s">
        <v>53</v>
      </c>
      <c r="O379" t="s">
        <v>24</v>
      </c>
      <c r="P379" t="s">
        <v>25</v>
      </c>
      <c r="Q379">
        <v>1827.8</v>
      </c>
      <c r="R379">
        <v>456.95</v>
      </c>
      <c r="S379" s="12">
        <v>812.73720000000003</v>
      </c>
    </row>
    <row r="380" spans="1:19" hidden="1" x14ac:dyDescent="0.25">
      <c r="A380" s="13">
        <v>45710</v>
      </c>
      <c r="B380" t="s">
        <v>694</v>
      </c>
      <c r="C380">
        <v>41810</v>
      </c>
      <c r="D380" t="s">
        <v>57</v>
      </c>
      <c r="E380" s="5">
        <v>22</v>
      </c>
      <c r="F380">
        <v>27.85</v>
      </c>
      <c r="G380" s="12" t="s">
        <v>72</v>
      </c>
      <c r="H380" s="11">
        <v>0.38</v>
      </c>
      <c r="I380" t="s">
        <v>29</v>
      </c>
      <c r="J380">
        <v>22.42</v>
      </c>
      <c r="K380" s="5" t="s">
        <v>44</v>
      </c>
      <c r="L380" t="s">
        <v>31</v>
      </c>
      <c r="M380" t="s">
        <v>111</v>
      </c>
      <c r="N380" t="s">
        <v>38</v>
      </c>
      <c r="O380" t="s">
        <v>39</v>
      </c>
      <c r="P380" t="s">
        <v>25</v>
      </c>
      <c r="Q380">
        <v>1114</v>
      </c>
      <c r="R380">
        <v>423.32</v>
      </c>
      <c r="S380" s="12">
        <v>783.05700000000002</v>
      </c>
    </row>
    <row r="381" spans="1:19" hidden="1" x14ac:dyDescent="0.25">
      <c r="A381" s="13">
        <v>45699</v>
      </c>
      <c r="B381" t="s">
        <v>48</v>
      </c>
      <c r="C381">
        <v>20530</v>
      </c>
      <c r="D381" t="s">
        <v>27</v>
      </c>
      <c r="E381" s="5">
        <v>26</v>
      </c>
      <c r="F381">
        <v>24.32</v>
      </c>
      <c r="G381" s="12" t="s">
        <v>72</v>
      </c>
      <c r="H381" s="11">
        <v>0.46</v>
      </c>
      <c r="I381" t="s">
        <v>734</v>
      </c>
      <c r="J381">
        <v>8.76</v>
      </c>
      <c r="K381" t="s">
        <v>37</v>
      </c>
      <c r="L381" t="s">
        <v>31</v>
      </c>
      <c r="M381" t="s">
        <v>22</v>
      </c>
      <c r="N381" t="s">
        <v>53</v>
      </c>
      <c r="O381" t="s">
        <v>39</v>
      </c>
      <c r="P381" t="s">
        <v>34</v>
      </c>
      <c r="Q381">
        <v>1118.72</v>
      </c>
      <c r="R381">
        <v>514.61120000000005</v>
      </c>
      <c r="S381" s="12">
        <v>766.62820000000011</v>
      </c>
    </row>
    <row r="382" spans="1:19" hidden="1" x14ac:dyDescent="0.25">
      <c r="A382" s="13">
        <v>45704</v>
      </c>
      <c r="B382" t="s">
        <v>635</v>
      </c>
      <c r="C382">
        <v>52337</v>
      </c>
      <c r="D382" t="s">
        <v>66</v>
      </c>
      <c r="E382" s="5">
        <v>45</v>
      </c>
      <c r="F382">
        <v>86.85</v>
      </c>
      <c r="G382" s="12" t="s">
        <v>72</v>
      </c>
      <c r="H382" s="11">
        <v>0.37</v>
      </c>
      <c r="I382" t="s">
        <v>29</v>
      </c>
      <c r="J382">
        <v>18</v>
      </c>
      <c r="K382" t="s">
        <v>50</v>
      </c>
      <c r="L382" s="14" t="s">
        <v>21</v>
      </c>
      <c r="M382" t="s">
        <v>22</v>
      </c>
      <c r="N382" t="s">
        <v>38</v>
      </c>
      <c r="O382" t="s">
        <v>81</v>
      </c>
      <c r="P382" t="s">
        <v>25</v>
      </c>
      <c r="Q382">
        <v>3387.1499999999996</v>
      </c>
      <c r="R382">
        <v>1253.2454999999998</v>
      </c>
      <c r="S382" s="12">
        <v>733.00499999999988</v>
      </c>
    </row>
    <row r="383" spans="1:19" hidden="1" x14ac:dyDescent="0.25">
      <c r="A383" s="13">
        <v>45687</v>
      </c>
      <c r="B383" t="s">
        <v>441</v>
      </c>
      <c r="C383">
        <v>39138</v>
      </c>
      <c r="D383" t="s">
        <v>27</v>
      </c>
      <c r="E383" s="5">
        <v>18</v>
      </c>
      <c r="F383">
        <v>58.94</v>
      </c>
      <c r="G383" s="12" t="s">
        <v>72</v>
      </c>
      <c r="H383" s="11">
        <v>0.19</v>
      </c>
      <c r="I383" t="s">
        <v>29</v>
      </c>
      <c r="J383">
        <v>10.61</v>
      </c>
      <c r="K383" t="s">
        <v>50</v>
      </c>
      <c r="L383" s="14" t="s">
        <v>21</v>
      </c>
      <c r="M383" t="s">
        <v>111</v>
      </c>
      <c r="N383" t="s">
        <v>38</v>
      </c>
      <c r="O383" t="s">
        <v>59</v>
      </c>
      <c r="P383" t="s">
        <v>25</v>
      </c>
      <c r="Q383">
        <v>825.16</v>
      </c>
      <c r="R383">
        <v>156.78039999999999</v>
      </c>
      <c r="S383" s="12">
        <v>694.00800000000004</v>
      </c>
    </row>
    <row r="384" spans="1:19" hidden="1" x14ac:dyDescent="0.25">
      <c r="A384" s="13">
        <v>45679</v>
      </c>
      <c r="B384" t="s">
        <v>334</v>
      </c>
      <c r="C384">
        <v>13390</v>
      </c>
      <c r="D384" t="s">
        <v>89</v>
      </c>
      <c r="E384" s="5">
        <v>19</v>
      </c>
      <c r="F384">
        <v>14.89</v>
      </c>
      <c r="G384" s="12" t="s">
        <v>72</v>
      </c>
      <c r="H384" s="11">
        <v>0.19</v>
      </c>
      <c r="I384" t="s">
        <v>29</v>
      </c>
      <c r="J384">
        <v>7.84</v>
      </c>
      <c r="K384" t="s">
        <v>20</v>
      </c>
      <c r="L384" s="14" t="s">
        <v>21</v>
      </c>
      <c r="M384" t="s">
        <v>22</v>
      </c>
      <c r="N384" t="s">
        <v>38</v>
      </c>
      <c r="O384" t="s">
        <v>59</v>
      </c>
      <c r="P384" t="s">
        <v>40</v>
      </c>
      <c r="Q384">
        <v>357.36</v>
      </c>
      <c r="R384">
        <v>67.898400000000009</v>
      </c>
      <c r="S384" s="12">
        <v>680.92200000000003</v>
      </c>
    </row>
    <row r="385" spans="1:19" hidden="1" x14ac:dyDescent="0.25">
      <c r="A385" s="13">
        <v>45712</v>
      </c>
      <c r="B385" t="s">
        <v>135</v>
      </c>
      <c r="C385">
        <v>37646</v>
      </c>
      <c r="D385" t="s">
        <v>17</v>
      </c>
      <c r="E385" s="5">
        <v>48</v>
      </c>
      <c r="F385">
        <v>9.31</v>
      </c>
      <c r="G385" s="12" t="s">
        <v>72</v>
      </c>
      <c r="H385" s="11">
        <v>0.46</v>
      </c>
      <c r="I385" t="s">
        <v>19</v>
      </c>
      <c r="J385">
        <v>17.920000000000002</v>
      </c>
      <c r="K385" t="s">
        <v>37</v>
      </c>
      <c r="L385" t="s">
        <v>31</v>
      </c>
      <c r="M385" t="s">
        <v>22</v>
      </c>
      <c r="N385" t="s">
        <v>53</v>
      </c>
      <c r="O385" t="s">
        <v>81</v>
      </c>
      <c r="P385" t="s">
        <v>25</v>
      </c>
      <c r="Q385">
        <v>37.24</v>
      </c>
      <c r="R385">
        <v>17.130400000000002</v>
      </c>
      <c r="S385" s="12">
        <v>663.48000000000013</v>
      </c>
    </row>
    <row r="386" spans="1:19" hidden="1" x14ac:dyDescent="0.25">
      <c r="A386" s="13">
        <v>45674</v>
      </c>
      <c r="B386" t="s">
        <v>235</v>
      </c>
      <c r="C386">
        <v>60266</v>
      </c>
      <c r="D386" t="s">
        <v>42</v>
      </c>
      <c r="E386" s="5">
        <v>8</v>
      </c>
      <c r="F386">
        <v>48.69</v>
      </c>
      <c r="G386" s="12" t="s">
        <v>72</v>
      </c>
      <c r="H386" s="11">
        <v>7.0000000000000007E-2</v>
      </c>
      <c r="I386" t="s">
        <v>734</v>
      </c>
      <c r="J386">
        <v>23.59</v>
      </c>
      <c r="K386" t="s">
        <v>20</v>
      </c>
      <c r="L386" t="s">
        <v>31</v>
      </c>
      <c r="M386" t="s">
        <v>22</v>
      </c>
      <c r="N386" t="s">
        <v>38</v>
      </c>
      <c r="O386" t="s">
        <v>24</v>
      </c>
      <c r="P386" t="s">
        <v>34</v>
      </c>
      <c r="Q386">
        <v>1898.9099999999999</v>
      </c>
      <c r="R386">
        <v>132.9237</v>
      </c>
      <c r="S386" s="12">
        <v>646.77599999999995</v>
      </c>
    </row>
    <row r="387" spans="1:19" hidden="1" x14ac:dyDescent="0.25">
      <c r="A387" s="13">
        <v>45705</v>
      </c>
      <c r="B387" t="s">
        <v>319</v>
      </c>
      <c r="C387">
        <v>51656</v>
      </c>
      <c r="D387" t="s">
        <v>70</v>
      </c>
      <c r="E387" s="5">
        <v>7</v>
      </c>
      <c r="F387">
        <v>48.95</v>
      </c>
      <c r="G387" s="12" t="s">
        <v>72</v>
      </c>
      <c r="H387" s="11">
        <v>0.42</v>
      </c>
      <c r="I387" t="s">
        <v>19</v>
      </c>
      <c r="J387">
        <v>24.52</v>
      </c>
      <c r="K387" t="s">
        <v>20</v>
      </c>
      <c r="L387" s="14" t="s">
        <v>21</v>
      </c>
      <c r="M387" t="s">
        <v>22</v>
      </c>
      <c r="N387" t="s">
        <v>53</v>
      </c>
      <c r="O387" t="s">
        <v>39</v>
      </c>
      <c r="P387" t="s">
        <v>40</v>
      </c>
      <c r="Q387">
        <v>1517.45</v>
      </c>
      <c r="R387">
        <v>637.32899999999995</v>
      </c>
      <c r="S387" s="12">
        <v>642.32000000000005</v>
      </c>
    </row>
    <row r="388" spans="1:19" hidden="1" x14ac:dyDescent="0.25">
      <c r="A388" s="13">
        <v>45674</v>
      </c>
      <c r="B388" t="s">
        <v>247</v>
      </c>
      <c r="C388">
        <v>11899</v>
      </c>
      <c r="D388" t="s">
        <v>49</v>
      </c>
      <c r="E388" s="5">
        <v>13</v>
      </c>
      <c r="F388">
        <v>56.57</v>
      </c>
      <c r="G388" s="12" t="s">
        <v>72</v>
      </c>
      <c r="H388" s="11">
        <v>0.21</v>
      </c>
      <c r="I388" t="s">
        <v>29</v>
      </c>
      <c r="J388">
        <v>23.08</v>
      </c>
      <c r="K388" s="5" t="s">
        <v>44</v>
      </c>
      <c r="L388" t="s">
        <v>31</v>
      </c>
      <c r="M388" t="s">
        <v>22</v>
      </c>
      <c r="N388" t="s">
        <v>23</v>
      </c>
      <c r="O388" t="s">
        <v>59</v>
      </c>
      <c r="P388" t="s">
        <v>34</v>
      </c>
      <c r="Q388">
        <v>735.41</v>
      </c>
      <c r="R388">
        <v>154.43609999999998</v>
      </c>
      <c r="S388" s="12">
        <v>633.06359999999995</v>
      </c>
    </row>
    <row r="389" spans="1:19" x14ac:dyDescent="0.25">
      <c r="A389" s="13">
        <v>45680</v>
      </c>
      <c r="B389" t="s">
        <v>337</v>
      </c>
      <c r="C389">
        <v>77619</v>
      </c>
      <c r="D389" t="s">
        <v>89</v>
      </c>
      <c r="E389" s="5">
        <v>26</v>
      </c>
      <c r="F389" s="23">
        <v>79.94</v>
      </c>
      <c r="G389" s="12" t="s">
        <v>72</v>
      </c>
      <c r="H389" s="37">
        <v>0.43</v>
      </c>
      <c r="I389" t="s">
        <v>734</v>
      </c>
      <c r="J389" s="23">
        <v>12.89</v>
      </c>
      <c r="K389" t="s">
        <v>50</v>
      </c>
      <c r="L389" s="14" t="s">
        <v>21</v>
      </c>
      <c r="M389" t="s">
        <v>22</v>
      </c>
      <c r="N389" t="s">
        <v>38</v>
      </c>
      <c r="O389" t="s">
        <v>39</v>
      </c>
      <c r="P389" s="14" t="s">
        <v>34</v>
      </c>
      <c r="Q389" s="23">
        <v>1518.86</v>
      </c>
      <c r="R389" s="23">
        <v>653.10979999999995</v>
      </c>
      <c r="S389" s="24">
        <v>585.88139999999999</v>
      </c>
    </row>
    <row r="390" spans="1:19" hidden="1" x14ac:dyDescent="0.25">
      <c r="A390" s="13">
        <v>45711</v>
      </c>
      <c r="B390" t="s">
        <v>702</v>
      </c>
      <c r="C390">
        <v>26297</v>
      </c>
      <c r="D390" t="s">
        <v>27</v>
      </c>
      <c r="E390" s="5">
        <v>30</v>
      </c>
      <c r="F390">
        <v>77.77</v>
      </c>
      <c r="G390" s="12" t="s">
        <v>72</v>
      </c>
      <c r="H390" s="11">
        <v>0.31</v>
      </c>
      <c r="I390" t="s">
        <v>19</v>
      </c>
      <c r="J390">
        <v>10.98</v>
      </c>
      <c r="K390" s="5" t="s">
        <v>44</v>
      </c>
      <c r="L390" t="s">
        <v>31</v>
      </c>
      <c r="M390" t="s">
        <v>22</v>
      </c>
      <c r="N390" t="s">
        <v>23</v>
      </c>
      <c r="O390" t="s">
        <v>59</v>
      </c>
      <c r="P390" t="s">
        <v>34</v>
      </c>
      <c r="Q390">
        <v>3033.0299999999997</v>
      </c>
      <c r="R390">
        <v>940.23929999999996</v>
      </c>
      <c r="S390" s="12">
        <v>572.22</v>
      </c>
    </row>
    <row r="391" spans="1:19" hidden="1" x14ac:dyDescent="0.25">
      <c r="A391" s="13">
        <v>45665</v>
      </c>
      <c r="B391" t="s">
        <v>156</v>
      </c>
      <c r="C391">
        <v>13899</v>
      </c>
      <c r="D391" t="s">
        <v>75</v>
      </c>
      <c r="E391" s="5">
        <v>34</v>
      </c>
      <c r="F391">
        <v>53</v>
      </c>
      <c r="G391" s="12" t="s">
        <v>72</v>
      </c>
      <c r="H391" s="11">
        <v>0.3</v>
      </c>
      <c r="I391" t="s">
        <v>29</v>
      </c>
      <c r="J391">
        <v>15.28</v>
      </c>
      <c r="K391" t="s">
        <v>20</v>
      </c>
      <c r="L391" t="s">
        <v>31</v>
      </c>
      <c r="M391" t="s">
        <v>22</v>
      </c>
      <c r="N391" t="s">
        <v>32</v>
      </c>
      <c r="O391" t="s">
        <v>81</v>
      </c>
      <c r="P391" t="s">
        <v>40</v>
      </c>
      <c r="Q391">
        <v>1908</v>
      </c>
      <c r="R391">
        <v>572.4</v>
      </c>
      <c r="S391" s="12">
        <v>555.22</v>
      </c>
    </row>
    <row r="392" spans="1:19" hidden="1" x14ac:dyDescent="0.25">
      <c r="A392" s="13">
        <v>45678</v>
      </c>
      <c r="B392" t="s">
        <v>90</v>
      </c>
      <c r="C392">
        <v>35013</v>
      </c>
      <c r="D392" t="s">
        <v>42</v>
      </c>
      <c r="E392" s="5">
        <v>9</v>
      </c>
      <c r="F392">
        <v>5.04</v>
      </c>
      <c r="G392" s="12" t="s">
        <v>72</v>
      </c>
      <c r="H392" s="11">
        <v>0.23</v>
      </c>
      <c r="I392" t="s">
        <v>19</v>
      </c>
      <c r="J392">
        <v>22.43</v>
      </c>
      <c r="K392" t="s">
        <v>37</v>
      </c>
      <c r="L392" t="s">
        <v>31</v>
      </c>
      <c r="M392" t="s">
        <v>22</v>
      </c>
      <c r="N392" t="s">
        <v>23</v>
      </c>
      <c r="O392" t="s">
        <v>81</v>
      </c>
      <c r="P392" t="s">
        <v>34</v>
      </c>
      <c r="Q392">
        <v>241.92000000000002</v>
      </c>
      <c r="R392">
        <v>55.641600000000004</v>
      </c>
      <c r="S392" s="12">
        <v>504.34650000000005</v>
      </c>
    </row>
    <row r="393" spans="1:19" hidden="1" x14ac:dyDescent="0.25">
      <c r="A393" s="13">
        <v>45691</v>
      </c>
      <c r="B393" t="s">
        <v>499</v>
      </c>
      <c r="C393">
        <v>24559</v>
      </c>
      <c r="D393" t="s">
        <v>68</v>
      </c>
      <c r="E393" s="5">
        <v>9</v>
      </c>
      <c r="F393">
        <v>8.6199999999999992</v>
      </c>
      <c r="G393" s="12" t="s">
        <v>72</v>
      </c>
      <c r="H393" s="11">
        <v>7.0000000000000007E-2</v>
      </c>
      <c r="I393" t="s">
        <v>734</v>
      </c>
      <c r="J393">
        <v>18.03</v>
      </c>
      <c r="K393" s="5" t="s">
        <v>44</v>
      </c>
      <c r="L393" s="14" t="s">
        <v>21</v>
      </c>
      <c r="M393" t="s">
        <v>22</v>
      </c>
      <c r="N393" t="s">
        <v>53</v>
      </c>
      <c r="O393" t="s">
        <v>39</v>
      </c>
      <c r="P393" t="s">
        <v>25</v>
      </c>
      <c r="Q393">
        <v>189.64</v>
      </c>
      <c r="R393">
        <v>13.274800000000001</v>
      </c>
      <c r="S393" s="12">
        <v>500.01750000000004</v>
      </c>
    </row>
    <row r="394" spans="1:19" hidden="1" x14ac:dyDescent="0.25">
      <c r="A394" s="13">
        <v>45666</v>
      </c>
      <c r="B394" t="s">
        <v>161</v>
      </c>
      <c r="C394">
        <v>69554</v>
      </c>
      <c r="D394" t="s">
        <v>89</v>
      </c>
      <c r="E394" s="5">
        <v>9</v>
      </c>
      <c r="F394">
        <v>50.17</v>
      </c>
      <c r="G394" s="12" t="s">
        <v>72</v>
      </c>
      <c r="H394" s="11">
        <v>0.1</v>
      </c>
      <c r="I394" t="s">
        <v>19</v>
      </c>
      <c r="J394">
        <v>27.5</v>
      </c>
      <c r="K394" t="s">
        <v>20</v>
      </c>
      <c r="L394" t="s">
        <v>31</v>
      </c>
      <c r="M394" t="s">
        <v>22</v>
      </c>
      <c r="N394" t="s">
        <v>53</v>
      </c>
      <c r="O394" t="s">
        <v>33</v>
      </c>
      <c r="P394" t="s">
        <v>34</v>
      </c>
      <c r="Q394">
        <v>1304.42</v>
      </c>
      <c r="R394">
        <v>130.44200000000001</v>
      </c>
      <c r="S394" s="12">
        <v>488.5992</v>
      </c>
    </row>
    <row r="395" spans="1:19" hidden="1" x14ac:dyDescent="0.25">
      <c r="A395" s="13">
        <v>45682</v>
      </c>
      <c r="B395" t="s">
        <v>370</v>
      </c>
      <c r="C395">
        <v>12567</v>
      </c>
      <c r="D395" t="s">
        <v>75</v>
      </c>
      <c r="E395" s="5">
        <v>15</v>
      </c>
      <c r="F395">
        <v>69.319999999999993</v>
      </c>
      <c r="G395" s="12" t="s">
        <v>72</v>
      </c>
      <c r="H395" s="11">
        <v>0.06</v>
      </c>
      <c r="I395" t="s">
        <v>19</v>
      </c>
      <c r="J395">
        <v>15.16</v>
      </c>
      <c r="K395" s="5" t="s">
        <v>44</v>
      </c>
      <c r="L395" t="s">
        <v>31</v>
      </c>
      <c r="M395" t="s">
        <v>22</v>
      </c>
      <c r="N395" t="s">
        <v>32</v>
      </c>
      <c r="O395" t="s">
        <v>59</v>
      </c>
      <c r="P395" t="s">
        <v>34</v>
      </c>
      <c r="Q395">
        <v>2287.56</v>
      </c>
      <c r="R395">
        <v>137.25360000000001</v>
      </c>
      <c r="S395" s="12">
        <v>448.137</v>
      </c>
    </row>
    <row r="396" spans="1:19" hidden="1" x14ac:dyDescent="0.25">
      <c r="A396" s="13">
        <v>45706</v>
      </c>
      <c r="B396" t="s">
        <v>655</v>
      </c>
      <c r="C396">
        <v>56278</v>
      </c>
      <c r="D396" t="s">
        <v>57</v>
      </c>
      <c r="E396" s="5">
        <v>15</v>
      </c>
      <c r="F396">
        <v>66.62</v>
      </c>
      <c r="G396" s="12" t="s">
        <v>72</v>
      </c>
      <c r="H396" s="11">
        <v>0.23</v>
      </c>
      <c r="I396" t="s">
        <v>19</v>
      </c>
      <c r="J396">
        <v>9.18</v>
      </c>
      <c r="K396" t="s">
        <v>30</v>
      </c>
      <c r="L396" s="14" t="s">
        <v>21</v>
      </c>
      <c r="M396" t="s">
        <v>22</v>
      </c>
      <c r="N396" t="s">
        <v>23</v>
      </c>
      <c r="O396" t="s">
        <v>59</v>
      </c>
      <c r="P396" t="s">
        <v>40</v>
      </c>
      <c r="Q396">
        <v>3064.5200000000004</v>
      </c>
      <c r="R396">
        <v>704.83960000000013</v>
      </c>
      <c r="S396" s="12">
        <v>445.38299999999998</v>
      </c>
    </row>
    <row r="397" spans="1:19" hidden="1" x14ac:dyDescent="0.25">
      <c r="A397" s="13">
        <v>45696</v>
      </c>
      <c r="B397" t="s">
        <v>135</v>
      </c>
      <c r="C397">
        <v>23418</v>
      </c>
      <c r="D397" t="s">
        <v>17</v>
      </c>
      <c r="E397" s="5">
        <v>23</v>
      </c>
      <c r="F397">
        <v>81.09</v>
      </c>
      <c r="G397" s="12" t="s">
        <v>72</v>
      </c>
      <c r="H397" s="11">
        <v>0.49</v>
      </c>
      <c r="I397" t="s">
        <v>734</v>
      </c>
      <c r="J397">
        <v>23.79</v>
      </c>
      <c r="K397" t="s">
        <v>37</v>
      </c>
      <c r="L397" t="s">
        <v>31</v>
      </c>
      <c r="M397" t="s">
        <v>22</v>
      </c>
      <c r="N397" t="s">
        <v>53</v>
      </c>
      <c r="O397" t="s">
        <v>33</v>
      </c>
      <c r="P397" t="s">
        <v>34</v>
      </c>
      <c r="Q397">
        <v>2027.25</v>
      </c>
      <c r="R397">
        <v>993.35249999999996</v>
      </c>
      <c r="S397" s="12">
        <v>411.125</v>
      </c>
    </row>
    <row r="398" spans="1:19" x14ac:dyDescent="0.25">
      <c r="A398" s="13">
        <v>45693</v>
      </c>
      <c r="B398" t="s">
        <v>467</v>
      </c>
      <c r="C398">
        <v>70716</v>
      </c>
      <c r="D398" t="s">
        <v>49</v>
      </c>
      <c r="E398" s="5">
        <v>34</v>
      </c>
      <c r="F398" s="23">
        <v>74.209999999999994</v>
      </c>
      <c r="G398" s="12" t="s">
        <v>72</v>
      </c>
      <c r="H398" s="37">
        <v>0.41</v>
      </c>
      <c r="I398" t="s">
        <v>29</v>
      </c>
      <c r="J398" s="23">
        <v>22.48</v>
      </c>
      <c r="K398" t="s">
        <v>30</v>
      </c>
      <c r="L398" s="14" t="s">
        <v>21</v>
      </c>
      <c r="M398" t="s">
        <v>22</v>
      </c>
      <c r="N398" t="s">
        <v>32</v>
      </c>
      <c r="O398" t="s">
        <v>59</v>
      </c>
      <c r="P398" s="14" t="s">
        <v>34</v>
      </c>
      <c r="Q398" s="23">
        <v>74.209999999999994</v>
      </c>
      <c r="R398" s="23">
        <v>30.426099999999995</v>
      </c>
      <c r="S398" s="24">
        <v>403.07</v>
      </c>
    </row>
    <row r="399" spans="1:19" hidden="1" x14ac:dyDescent="0.25">
      <c r="A399" s="13">
        <v>45705</v>
      </c>
      <c r="B399" t="s">
        <v>243</v>
      </c>
      <c r="C399">
        <v>83467</v>
      </c>
      <c r="D399" t="s">
        <v>57</v>
      </c>
      <c r="E399" s="5">
        <v>20</v>
      </c>
      <c r="F399">
        <v>49.48</v>
      </c>
      <c r="G399" s="12" t="s">
        <v>72</v>
      </c>
      <c r="H399" s="11">
        <v>0.26</v>
      </c>
      <c r="I399" t="s">
        <v>29</v>
      </c>
      <c r="J399">
        <v>14.04</v>
      </c>
      <c r="K399" t="s">
        <v>37</v>
      </c>
      <c r="L399" t="s">
        <v>31</v>
      </c>
      <c r="M399" t="s">
        <v>22</v>
      </c>
      <c r="N399" t="s">
        <v>53</v>
      </c>
      <c r="O399" t="s">
        <v>59</v>
      </c>
      <c r="P399" t="s">
        <v>40</v>
      </c>
      <c r="Q399">
        <v>49.48</v>
      </c>
      <c r="R399">
        <v>12.864799999999999</v>
      </c>
      <c r="S399" s="12">
        <v>394.12999999999994</v>
      </c>
    </row>
    <row r="400" spans="1:19" hidden="1" x14ac:dyDescent="0.25">
      <c r="A400" s="13">
        <v>45686</v>
      </c>
      <c r="B400" t="s">
        <v>431</v>
      </c>
      <c r="C400">
        <v>74734</v>
      </c>
      <c r="D400" t="s">
        <v>42</v>
      </c>
      <c r="E400" s="5">
        <v>9</v>
      </c>
      <c r="F400">
        <v>49.05</v>
      </c>
      <c r="G400" s="12" t="s">
        <v>72</v>
      </c>
      <c r="H400" s="11">
        <v>0.28999999999999998</v>
      </c>
      <c r="I400" t="s">
        <v>734</v>
      </c>
      <c r="J400">
        <v>18.47</v>
      </c>
      <c r="K400" t="s">
        <v>37</v>
      </c>
      <c r="L400" t="s">
        <v>31</v>
      </c>
      <c r="M400" t="s">
        <v>22</v>
      </c>
      <c r="N400" t="s">
        <v>23</v>
      </c>
      <c r="O400" t="s">
        <v>59</v>
      </c>
      <c r="P400" t="s">
        <v>34</v>
      </c>
      <c r="Q400">
        <v>2403.4499999999998</v>
      </c>
      <c r="R400">
        <v>697.00049999999987</v>
      </c>
      <c r="S400" s="12">
        <v>343.60200000000003</v>
      </c>
    </row>
    <row r="401" spans="1:19" hidden="1" x14ac:dyDescent="0.25">
      <c r="A401" s="13">
        <v>45686</v>
      </c>
      <c r="B401" t="s">
        <v>434</v>
      </c>
      <c r="C401">
        <v>26801</v>
      </c>
      <c r="D401" t="s">
        <v>89</v>
      </c>
      <c r="E401" s="5">
        <v>7</v>
      </c>
      <c r="F401">
        <v>44.82</v>
      </c>
      <c r="G401" s="12" t="s">
        <v>72</v>
      </c>
      <c r="H401" s="11">
        <v>0.31</v>
      </c>
      <c r="I401" t="s">
        <v>734</v>
      </c>
      <c r="J401">
        <v>9.4</v>
      </c>
      <c r="K401" t="s">
        <v>37</v>
      </c>
      <c r="L401" s="14" t="s">
        <v>21</v>
      </c>
      <c r="M401" t="s">
        <v>22</v>
      </c>
      <c r="N401" t="s">
        <v>23</v>
      </c>
      <c r="O401" t="s">
        <v>33</v>
      </c>
      <c r="P401" t="s">
        <v>40</v>
      </c>
      <c r="Q401">
        <v>134.46</v>
      </c>
      <c r="R401">
        <v>41.682600000000001</v>
      </c>
      <c r="S401" s="12">
        <v>332.29840000000002</v>
      </c>
    </row>
    <row r="402" spans="1:19" hidden="1" x14ac:dyDescent="0.25">
      <c r="A402" s="13">
        <v>45673</v>
      </c>
      <c r="B402" t="s">
        <v>219</v>
      </c>
      <c r="C402">
        <v>62103</v>
      </c>
      <c r="D402" t="s">
        <v>57</v>
      </c>
      <c r="E402" s="5">
        <v>8</v>
      </c>
      <c r="F402">
        <v>36.99</v>
      </c>
      <c r="G402" s="12" t="s">
        <v>72</v>
      </c>
      <c r="H402" s="11">
        <v>0.33</v>
      </c>
      <c r="I402" t="s">
        <v>29</v>
      </c>
      <c r="J402">
        <v>28.34</v>
      </c>
      <c r="K402" t="s">
        <v>50</v>
      </c>
      <c r="L402" t="s">
        <v>31</v>
      </c>
      <c r="M402" t="s">
        <v>111</v>
      </c>
      <c r="N402" t="s">
        <v>53</v>
      </c>
      <c r="O402" t="s">
        <v>24</v>
      </c>
      <c r="P402" t="s">
        <v>25</v>
      </c>
      <c r="Q402">
        <v>665.82</v>
      </c>
      <c r="R402">
        <v>219.72060000000002</v>
      </c>
      <c r="S402" s="12">
        <v>281.48</v>
      </c>
    </row>
    <row r="403" spans="1:19" x14ac:dyDescent="0.25">
      <c r="A403" s="13">
        <v>45692</v>
      </c>
      <c r="B403" t="s">
        <v>513</v>
      </c>
      <c r="C403">
        <v>52915</v>
      </c>
      <c r="D403" t="s">
        <v>70</v>
      </c>
      <c r="E403" s="5">
        <v>6</v>
      </c>
      <c r="F403" s="23">
        <v>20.96</v>
      </c>
      <c r="G403" s="12" t="s">
        <v>72</v>
      </c>
      <c r="H403" s="37">
        <v>0.28000000000000003</v>
      </c>
      <c r="I403" t="s">
        <v>734</v>
      </c>
      <c r="J403" s="23">
        <v>28.07</v>
      </c>
      <c r="K403" t="s">
        <v>20</v>
      </c>
      <c r="L403" s="14" t="s">
        <v>21</v>
      </c>
      <c r="M403" t="s">
        <v>22</v>
      </c>
      <c r="N403" t="s">
        <v>53</v>
      </c>
      <c r="O403" t="s">
        <v>81</v>
      </c>
      <c r="P403" s="14" t="s">
        <v>34</v>
      </c>
      <c r="Q403" s="23">
        <v>377.28000000000003</v>
      </c>
      <c r="R403" s="23">
        <v>105.63840000000002</v>
      </c>
      <c r="S403" s="24">
        <v>269.00459999999998</v>
      </c>
    </row>
    <row r="404" spans="1:19" hidden="1" x14ac:dyDescent="0.25">
      <c r="A404" s="13">
        <v>45692</v>
      </c>
      <c r="B404" t="s">
        <v>314</v>
      </c>
      <c r="C404">
        <v>94944</v>
      </c>
      <c r="D404" t="s">
        <v>68</v>
      </c>
      <c r="E404" s="5">
        <v>7</v>
      </c>
      <c r="F404">
        <v>63.64</v>
      </c>
      <c r="G404" s="12" t="s">
        <v>72</v>
      </c>
      <c r="H404" s="11">
        <v>7.0000000000000007E-2</v>
      </c>
      <c r="I404" t="s">
        <v>19</v>
      </c>
      <c r="J404">
        <v>15.36</v>
      </c>
      <c r="K404" t="s">
        <v>20</v>
      </c>
      <c r="L404" s="14" t="s">
        <v>21</v>
      </c>
      <c r="M404" t="s">
        <v>22</v>
      </c>
      <c r="N404" t="s">
        <v>23</v>
      </c>
      <c r="O404" t="s">
        <v>24</v>
      </c>
      <c r="P404" t="s">
        <v>40</v>
      </c>
      <c r="Q404">
        <v>763.68000000000006</v>
      </c>
      <c r="R404">
        <v>53.457600000000006</v>
      </c>
      <c r="S404" s="12">
        <v>266.93310000000002</v>
      </c>
    </row>
    <row r="405" spans="1:19" hidden="1" x14ac:dyDescent="0.25">
      <c r="A405" s="13">
        <v>45699</v>
      </c>
      <c r="B405" t="s">
        <v>587</v>
      </c>
      <c r="C405">
        <v>38443</v>
      </c>
      <c r="D405" t="s">
        <v>49</v>
      </c>
      <c r="E405" s="5">
        <v>7</v>
      </c>
      <c r="F405">
        <v>84.9</v>
      </c>
      <c r="G405" s="12" t="s">
        <v>72</v>
      </c>
      <c r="H405" s="11">
        <v>0.25</v>
      </c>
      <c r="I405" t="s">
        <v>19</v>
      </c>
      <c r="J405">
        <v>21.68</v>
      </c>
      <c r="K405" t="s">
        <v>20</v>
      </c>
      <c r="L405" s="14" t="s">
        <v>21</v>
      </c>
      <c r="M405" t="s">
        <v>111</v>
      </c>
      <c r="N405" t="s">
        <v>32</v>
      </c>
      <c r="O405" t="s">
        <v>59</v>
      </c>
      <c r="P405" t="s">
        <v>25</v>
      </c>
      <c r="Q405">
        <v>3820.5000000000005</v>
      </c>
      <c r="R405">
        <v>955.12500000000011</v>
      </c>
      <c r="S405" s="12">
        <v>244.66120000000001</v>
      </c>
    </row>
    <row r="406" spans="1:19" hidden="1" x14ac:dyDescent="0.25">
      <c r="A406" s="13">
        <v>45676</v>
      </c>
      <c r="B406" t="s">
        <v>275</v>
      </c>
      <c r="C406">
        <v>58029</v>
      </c>
      <c r="D406" t="s">
        <v>27</v>
      </c>
      <c r="E406" s="5">
        <v>8</v>
      </c>
      <c r="F406">
        <v>82.39</v>
      </c>
      <c r="G406" s="12" t="s">
        <v>72</v>
      </c>
      <c r="H406" s="11">
        <v>0.42</v>
      </c>
      <c r="I406" t="s">
        <v>19</v>
      </c>
      <c r="J406">
        <v>29.14</v>
      </c>
      <c r="K406" t="s">
        <v>20</v>
      </c>
      <c r="L406" s="14" t="s">
        <v>21</v>
      </c>
      <c r="M406" t="s">
        <v>22</v>
      </c>
      <c r="N406" t="s">
        <v>23</v>
      </c>
      <c r="O406" t="s">
        <v>24</v>
      </c>
      <c r="P406" t="s">
        <v>25</v>
      </c>
      <c r="Q406">
        <v>164.78</v>
      </c>
      <c r="R406">
        <v>69.207599999999999</v>
      </c>
      <c r="S406" s="12">
        <v>241.68</v>
      </c>
    </row>
    <row r="407" spans="1:19" hidden="1" x14ac:dyDescent="0.25">
      <c r="A407" s="13">
        <v>45705</v>
      </c>
      <c r="B407" t="s">
        <v>647</v>
      </c>
      <c r="C407">
        <v>92244</v>
      </c>
      <c r="D407" t="s">
        <v>68</v>
      </c>
      <c r="E407" s="5">
        <v>47</v>
      </c>
      <c r="F407">
        <v>26.63</v>
      </c>
      <c r="G407" s="12" t="s">
        <v>72</v>
      </c>
      <c r="H407" s="11">
        <v>0.12</v>
      </c>
      <c r="I407" t="s">
        <v>19</v>
      </c>
      <c r="J407">
        <v>21.97</v>
      </c>
      <c r="K407" t="s">
        <v>30</v>
      </c>
      <c r="L407" s="14" t="s">
        <v>21</v>
      </c>
      <c r="M407" t="s">
        <v>22</v>
      </c>
      <c r="N407" t="s">
        <v>23</v>
      </c>
      <c r="O407" t="s">
        <v>24</v>
      </c>
      <c r="P407" t="s">
        <v>40</v>
      </c>
      <c r="Q407">
        <v>825.53</v>
      </c>
      <c r="R407">
        <v>99.063599999999994</v>
      </c>
      <c r="S407" s="12">
        <v>234.28560000000002</v>
      </c>
    </row>
    <row r="408" spans="1:19" hidden="1" x14ac:dyDescent="0.25">
      <c r="A408" s="13">
        <v>45678</v>
      </c>
      <c r="B408" t="s">
        <v>315</v>
      </c>
      <c r="C408">
        <v>68988</v>
      </c>
      <c r="D408" t="s">
        <v>46</v>
      </c>
      <c r="E408" s="5">
        <v>5</v>
      </c>
      <c r="F408">
        <v>73.95</v>
      </c>
      <c r="G408" s="12" t="s">
        <v>72</v>
      </c>
      <c r="H408" s="11">
        <v>0.28000000000000003</v>
      </c>
      <c r="I408" t="s">
        <v>734</v>
      </c>
      <c r="J408">
        <v>18.79</v>
      </c>
      <c r="K408" t="s">
        <v>50</v>
      </c>
      <c r="L408" s="14" t="s">
        <v>21</v>
      </c>
      <c r="M408" t="s">
        <v>22</v>
      </c>
      <c r="N408" t="s">
        <v>38</v>
      </c>
      <c r="O408" t="s">
        <v>59</v>
      </c>
      <c r="P408" t="s">
        <v>25</v>
      </c>
      <c r="Q408">
        <v>1035.3</v>
      </c>
      <c r="R408">
        <v>289.88400000000001</v>
      </c>
      <c r="S408" s="12">
        <v>227.10599999999999</v>
      </c>
    </row>
    <row r="409" spans="1:19" hidden="1" x14ac:dyDescent="0.25">
      <c r="A409" s="13">
        <v>45679</v>
      </c>
      <c r="B409" t="s">
        <v>265</v>
      </c>
      <c r="C409">
        <v>54945</v>
      </c>
      <c r="D409" t="s">
        <v>75</v>
      </c>
      <c r="E409" s="5">
        <v>30</v>
      </c>
      <c r="F409">
        <v>34.42</v>
      </c>
      <c r="G409" s="12" t="s">
        <v>72</v>
      </c>
      <c r="H409" s="11">
        <v>0.02</v>
      </c>
      <c r="I409" t="s">
        <v>29</v>
      </c>
      <c r="J409">
        <v>24.65</v>
      </c>
      <c r="K409" s="5" t="s">
        <v>44</v>
      </c>
      <c r="L409" s="14" t="s">
        <v>21</v>
      </c>
      <c r="M409" t="s">
        <v>22</v>
      </c>
      <c r="N409" t="s">
        <v>32</v>
      </c>
      <c r="O409" t="s">
        <v>24</v>
      </c>
      <c r="P409" t="s">
        <v>25</v>
      </c>
      <c r="Q409">
        <v>585.14</v>
      </c>
      <c r="R409">
        <v>11.7028</v>
      </c>
      <c r="S409" s="12">
        <v>202.10399999999998</v>
      </c>
    </row>
    <row r="410" spans="1:19" hidden="1" x14ac:dyDescent="0.25">
      <c r="A410" s="13">
        <v>45679</v>
      </c>
      <c r="B410" t="s">
        <v>164</v>
      </c>
      <c r="C410">
        <v>80414</v>
      </c>
      <c r="D410" t="s">
        <v>89</v>
      </c>
      <c r="E410" s="5">
        <v>12</v>
      </c>
      <c r="F410">
        <v>19.48</v>
      </c>
      <c r="G410" s="12" t="s">
        <v>72</v>
      </c>
      <c r="H410" s="11">
        <v>0.14000000000000001</v>
      </c>
      <c r="I410" t="s">
        <v>29</v>
      </c>
      <c r="J410">
        <v>8.83</v>
      </c>
      <c r="K410" t="s">
        <v>30</v>
      </c>
      <c r="L410" t="s">
        <v>31</v>
      </c>
      <c r="M410" t="s">
        <v>22</v>
      </c>
      <c r="N410" t="s">
        <v>23</v>
      </c>
      <c r="O410" t="s">
        <v>33</v>
      </c>
      <c r="P410" t="s">
        <v>25</v>
      </c>
      <c r="Q410">
        <v>233.76</v>
      </c>
      <c r="R410">
        <v>32.726400000000005</v>
      </c>
      <c r="S410" s="12">
        <v>201.03359999999998</v>
      </c>
    </row>
    <row r="411" spans="1:19" x14ac:dyDescent="0.25">
      <c r="A411" s="13">
        <v>45694</v>
      </c>
      <c r="B411" t="s">
        <v>533</v>
      </c>
      <c r="C411">
        <v>34384</v>
      </c>
      <c r="D411" t="s">
        <v>68</v>
      </c>
      <c r="E411" s="5">
        <v>4</v>
      </c>
      <c r="F411" s="23">
        <v>32.49</v>
      </c>
      <c r="G411" s="12" t="s">
        <v>72</v>
      </c>
      <c r="H411" s="37">
        <v>0.32</v>
      </c>
      <c r="I411" t="s">
        <v>19</v>
      </c>
      <c r="J411" s="23">
        <v>16.43</v>
      </c>
      <c r="K411" t="s">
        <v>37</v>
      </c>
      <c r="L411" s="14" t="s">
        <v>21</v>
      </c>
      <c r="M411" t="s">
        <v>22</v>
      </c>
      <c r="N411" t="s">
        <v>53</v>
      </c>
      <c r="O411" t="s">
        <v>39</v>
      </c>
      <c r="P411" s="14" t="s">
        <v>34</v>
      </c>
      <c r="Q411" s="23">
        <v>682.29000000000008</v>
      </c>
      <c r="R411" s="23">
        <v>218.33280000000002</v>
      </c>
      <c r="S411" s="24">
        <v>172.71359999999999</v>
      </c>
    </row>
    <row r="412" spans="1:19" hidden="1" x14ac:dyDescent="0.25">
      <c r="A412" s="13">
        <v>45663</v>
      </c>
      <c r="B412" t="s">
        <v>142</v>
      </c>
      <c r="C412">
        <v>19986</v>
      </c>
      <c r="D412" t="s">
        <v>46</v>
      </c>
      <c r="E412" s="5">
        <v>14</v>
      </c>
      <c r="F412">
        <v>85.65</v>
      </c>
      <c r="G412" s="12" t="s">
        <v>72</v>
      </c>
      <c r="H412" s="11">
        <v>0.24</v>
      </c>
      <c r="I412" t="s">
        <v>734</v>
      </c>
      <c r="J412">
        <v>20.34</v>
      </c>
      <c r="K412" t="s">
        <v>30</v>
      </c>
      <c r="L412" t="s">
        <v>31</v>
      </c>
      <c r="M412" t="s">
        <v>22</v>
      </c>
      <c r="N412" t="s">
        <v>23</v>
      </c>
      <c r="O412" t="s">
        <v>33</v>
      </c>
      <c r="P412" t="s">
        <v>40</v>
      </c>
      <c r="Q412">
        <v>1113.45</v>
      </c>
      <c r="R412">
        <v>267.22800000000001</v>
      </c>
      <c r="S412" s="12">
        <v>159.12959999999998</v>
      </c>
    </row>
    <row r="413" spans="1:19" hidden="1" x14ac:dyDescent="0.25">
      <c r="A413" s="13">
        <v>45661</v>
      </c>
      <c r="B413" t="s">
        <v>115</v>
      </c>
      <c r="C413">
        <v>72813</v>
      </c>
      <c r="D413" t="s">
        <v>70</v>
      </c>
      <c r="E413" s="5">
        <v>5</v>
      </c>
      <c r="F413">
        <v>35.85</v>
      </c>
      <c r="G413" s="12" t="s">
        <v>72</v>
      </c>
      <c r="H413" s="11">
        <v>0.26</v>
      </c>
      <c r="I413" t="s">
        <v>19</v>
      </c>
      <c r="J413">
        <v>16.579999999999998</v>
      </c>
      <c r="K413" t="s">
        <v>20</v>
      </c>
      <c r="L413" s="14" t="s">
        <v>21</v>
      </c>
      <c r="M413" t="s">
        <v>22</v>
      </c>
      <c r="N413" t="s">
        <v>38</v>
      </c>
      <c r="O413" t="s">
        <v>33</v>
      </c>
      <c r="P413" t="s">
        <v>25</v>
      </c>
      <c r="Q413">
        <v>824.55000000000007</v>
      </c>
      <c r="R413">
        <v>214.38300000000004</v>
      </c>
      <c r="S413" s="12">
        <v>145.07</v>
      </c>
    </row>
    <row r="414" spans="1:19" hidden="1" x14ac:dyDescent="0.25">
      <c r="A414" s="13">
        <v>45673</v>
      </c>
      <c r="B414" t="s">
        <v>214</v>
      </c>
      <c r="C414">
        <v>72056</v>
      </c>
      <c r="D414" t="s">
        <v>89</v>
      </c>
      <c r="E414" s="5">
        <v>2</v>
      </c>
      <c r="F414">
        <v>61.98</v>
      </c>
      <c r="G414" s="12" t="s">
        <v>72</v>
      </c>
      <c r="H414" s="11">
        <v>0.15</v>
      </c>
      <c r="I414" t="s">
        <v>29</v>
      </c>
      <c r="J414">
        <v>10.08</v>
      </c>
      <c r="K414" t="s">
        <v>30</v>
      </c>
      <c r="L414" t="s">
        <v>31</v>
      </c>
      <c r="M414" t="s">
        <v>22</v>
      </c>
      <c r="N414" t="s">
        <v>32</v>
      </c>
      <c r="O414" t="s">
        <v>39</v>
      </c>
      <c r="P414" t="s">
        <v>34</v>
      </c>
      <c r="Q414">
        <v>743.76</v>
      </c>
      <c r="R414">
        <v>111.56399999999999</v>
      </c>
      <c r="S414" s="12">
        <v>129.10079999999999</v>
      </c>
    </row>
    <row r="415" spans="1:19" hidden="1" x14ac:dyDescent="0.25">
      <c r="A415" s="13">
        <v>45680</v>
      </c>
      <c r="B415" t="s">
        <v>343</v>
      </c>
      <c r="C415">
        <v>72138</v>
      </c>
      <c r="D415" t="s">
        <v>42</v>
      </c>
      <c r="E415" s="5">
        <v>2</v>
      </c>
      <c r="F415">
        <v>37.1</v>
      </c>
      <c r="G415" s="12" t="s">
        <v>72</v>
      </c>
      <c r="H415" s="11">
        <v>0.08</v>
      </c>
      <c r="I415" t="s">
        <v>29</v>
      </c>
      <c r="J415">
        <v>22.46</v>
      </c>
      <c r="K415" t="s">
        <v>37</v>
      </c>
      <c r="L415" t="s">
        <v>31</v>
      </c>
      <c r="M415" t="s">
        <v>22</v>
      </c>
      <c r="N415" t="s">
        <v>23</v>
      </c>
      <c r="O415" t="s">
        <v>33</v>
      </c>
      <c r="P415" t="s">
        <v>34</v>
      </c>
      <c r="Q415">
        <v>1521.1000000000001</v>
      </c>
      <c r="R415">
        <v>121.68800000000002</v>
      </c>
      <c r="S415" s="12">
        <v>111.078</v>
      </c>
    </row>
    <row r="416" spans="1:19" hidden="1" x14ac:dyDescent="0.25">
      <c r="A416" s="13">
        <v>45695</v>
      </c>
      <c r="B416" t="s">
        <v>539</v>
      </c>
      <c r="C416">
        <v>93429</v>
      </c>
      <c r="D416" t="s">
        <v>57</v>
      </c>
      <c r="E416" s="5">
        <v>5</v>
      </c>
      <c r="F416">
        <v>60.94</v>
      </c>
      <c r="G416" s="12" t="s">
        <v>72</v>
      </c>
      <c r="H416" s="11">
        <v>0.16</v>
      </c>
      <c r="I416" t="s">
        <v>29</v>
      </c>
      <c r="J416">
        <v>8.5500000000000007</v>
      </c>
      <c r="K416" t="s">
        <v>37</v>
      </c>
      <c r="L416" t="s">
        <v>31</v>
      </c>
      <c r="M416" t="s">
        <v>22</v>
      </c>
      <c r="N416" t="s">
        <v>23</v>
      </c>
      <c r="O416" t="s">
        <v>24</v>
      </c>
      <c r="P416" t="s">
        <v>25</v>
      </c>
      <c r="Q416">
        <v>1401.62</v>
      </c>
      <c r="R416">
        <v>224.25919999999999</v>
      </c>
      <c r="S416" s="12">
        <v>101.44749999999999</v>
      </c>
    </row>
    <row r="417" spans="1:19" hidden="1" x14ac:dyDescent="0.25">
      <c r="A417" s="13">
        <v>45676</v>
      </c>
      <c r="B417" t="s">
        <v>284</v>
      </c>
      <c r="C417">
        <v>40728</v>
      </c>
      <c r="D417" t="s">
        <v>57</v>
      </c>
      <c r="E417" s="5">
        <v>2</v>
      </c>
      <c r="F417">
        <v>94.43</v>
      </c>
      <c r="G417" s="12" t="s">
        <v>72</v>
      </c>
      <c r="H417" s="11">
        <v>0.24</v>
      </c>
      <c r="I417" t="s">
        <v>19</v>
      </c>
      <c r="J417">
        <v>20.91</v>
      </c>
      <c r="K417" t="s">
        <v>20</v>
      </c>
      <c r="L417" t="s">
        <v>31</v>
      </c>
      <c r="M417" t="s">
        <v>22</v>
      </c>
      <c r="N417" t="s">
        <v>23</v>
      </c>
      <c r="O417" t="s">
        <v>24</v>
      </c>
      <c r="P417" t="s">
        <v>25</v>
      </c>
      <c r="Q417">
        <v>1605.3100000000002</v>
      </c>
      <c r="R417">
        <v>385.27440000000001</v>
      </c>
      <c r="S417" s="12">
        <v>95.572400000000002</v>
      </c>
    </row>
    <row r="418" spans="1:19" hidden="1" x14ac:dyDescent="0.25">
      <c r="A418" s="13">
        <v>45678</v>
      </c>
      <c r="B418" t="s">
        <v>119</v>
      </c>
      <c r="C418">
        <v>79765</v>
      </c>
      <c r="D418" t="s">
        <v>42</v>
      </c>
      <c r="E418" s="5">
        <v>3</v>
      </c>
      <c r="F418">
        <v>93.01</v>
      </c>
      <c r="G418" s="12" t="s">
        <v>72</v>
      </c>
      <c r="H418" s="11">
        <v>0.41</v>
      </c>
      <c r="I418" t="s">
        <v>734</v>
      </c>
      <c r="J418">
        <v>19.46</v>
      </c>
      <c r="K418" s="5" t="s">
        <v>44</v>
      </c>
      <c r="L418" t="s">
        <v>31</v>
      </c>
      <c r="M418" t="s">
        <v>22</v>
      </c>
      <c r="N418" t="s">
        <v>38</v>
      </c>
      <c r="O418" t="s">
        <v>39</v>
      </c>
      <c r="P418" t="s">
        <v>40</v>
      </c>
      <c r="Q418">
        <v>1302.1400000000001</v>
      </c>
      <c r="R418">
        <v>533.87739999999997</v>
      </c>
      <c r="S418" s="12">
        <v>89.957999999999984</v>
      </c>
    </row>
    <row r="419" spans="1:19" hidden="1" x14ac:dyDescent="0.25">
      <c r="A419" s="13">
        <v>45688</v>
      </c>
      <c r="B419" t="s">
        <v>248</v>
      </c>
      <c r="C419">
        <v>94747</v>
      </c>
      <c r="D419" t="s">
        <v>75</v>
      </c>
      <c r="E419" s="5">
        <v>24</v>
      </c>
      <c r="F419">
        <v>83.03</v>
      </c>
      <c r="G419" s="12" t="s">
        <v>72</v>
      </c>
      <c r="H419" s="11">
        <v>0.14000000000000001</v>
      </c>
      <c r="I419" t="s">
        <v>29</v>
      </c>
      <c r="J419">
        <v>5.46</v>
      </c>
      <c r="K419" t="s">
        <v>30</v>
      </c>
      <c r="L419" t="s">
        <v>31</v>
      </c>
      <c r="M419" t="s">
        <v>22</v>
      </c>
      <c r="N419" t="s">
        <v>32</v>
      </c>
      <c r="O419" t="s">
        <v>39</v>
      </c>
      <c r="P419" t="s">
        <v>40</v>
      </c>
      <c r="Q419">
        <v>2075.75</v>
      </c>
      <c r="R419">
        <v>290.60500000000002</v>
      </c>
      <c r="S419" s="12">
        <v>38.188800000000001</v>
      </c>
    </row>
    <row r="420" spans="1:19" hidden="1" x14ac:dyDescent="0.25">
      <c r="A420" s="13">
        <v>45667</v>
      </c>
      <c r="B420" t="s">
        <v>166</v>
      </c>
      <c r="C420">
        <v>84203</v>
      </c>
      <c r="D420" t="s">
        <v>42</v>
      </c>
      <c r="E420" s="5">
        <v>2</v>
      </c>
      <c r="F420">
        <v>91.26</v>
      </c>
      <c r="G420" s="12" t="s">
        <v>72</v>
      </c>
      <c r="H420" s="11">
        <v>0.14000000000000001</v>
      </c>
      <c r="I420" t="s">
        <v>29</v>
      </c>
      <c r="J420">
        <v>29.19</v>
      </c>
      <c r="K420" t="s">
        <v>37</v>
      </c>
      <c r="L420" t="s">
        <v>31</v>
      </c>
      <c r="M420" t="s">
        <v>22</v>
      </c>
      <c r="N420" t="s">
        <v>32</v>
      </c>
      <c r="O420" t="s">
        <v>81</v>
      </c>
      <c r="P420" t="s">
        <v>40</v>
      </c>
      <c r="Q420">
        <v>2372.7600000000002</v>
      </c>
      <c r="R420">
        <v>332.18640000000005</v>
      </c>
      <c r="S420" s="12">
        <v>35.327600000000004</v>
      </c>
    </row>
    <row r="421" spans="1:19" hidden="1" x14ac:dyDescent="0.25">
      <c r="A421" s="13">
        <v>45663</v>
      </c>
      <c r="B421" t="s">
        <v>140</v>
      </c>
      <c r="C421">
        <v>58016</v>
      </c>
      <c r="D421" t="s">
        <v>17</v>
      </c>
      <c r="E421" s="5">
        <v>1</v>
      </c>
      <c r="F421">
        <v>93.04</v>
      </c>
      <c r="G421" s="12" t="s">
        <v>72</v>
      </c>
      <c r="H421" s="11">
        <v>0.2</v>
      </c>
      <c r="I421" t="s">
        <v>734</v>
      </c>
      <c r="J421">
        <v>18.920000000000002</v>
      </c>
      <c r="K421" s="5" t="s">
        <v>44</v>
      </c>
      <c r="L421" s="14" t="s">
        <v>21</v>
      </c>
      <c r="M421" t="s">
        <v>22</v>
      </c>
      <c r="N421" t="s">
        <v>38</v>
      </c>
      <c r="O421" t="s">
        <v>39</v>
      </c>
      <c r="P421" t="s">
        <v>25</v>
      </c>
      <c r="Q421">
        <v>2419.04</v>
      </c>
      <c r="R421">
        <v>483.80799999999999</v>
      </c>
      <c r="S421" s="12">
        <v>26.848800000000001</v>
      </c>
    </row>
    <row r="422" spans="1:19" hidden="1" x14ac:dyDescent="0.25">
      <c r="A422" s="13">
        <v>45701</v>
      </c>
      <c r="B422" t="s">
        <v>603</v>
      </c>
      <c r="C422">
        <v>22213</v>
      </c>
      <c r="D422" t="s">
        <v>70</v>
      </c>
      <c r="E422" s="5">
        <v>1</v>
      </c>
      <c r="F422">
        <v>58.01</v>
      </c>
      <c r="G422" s="12" t="s">
        <v>72</v>
      </c>
      <c r="H422" s="11">
        <v>0.27</v>
      </c>
      <c r="I422" t="s">
        <v>19</v>
      </c>
      <c r="J422">
        <v>6.7</v>
      </c>
      <c r="K422" s="5" t="s">
        <v>44</v>
      </c>
      <c r="L422" t="s">
        <v>31</v>
      </c>
      <c r="M422" t="s">
        <v>22</v>
      </c>
      <c r="N422" t="s">
        <v>38</v>
      </c>
      <c r="O422" t="s">
        <v>24</v>
      </c>
      <c r="P422" t="s">
        <v>40</v>
      </c>
      <c r="Q422">
        <v>1740.3</v>
      </c>
      <c r="R422">
        <v>469.88100000000003</v>
      </c>
      <c r="S422" s="12">
        <v>13.242999999999999</v>
      </c>
    </row>
    <row r="423" spans="1:19" hidden="1" x14ac:dyDescent="0.25">
      <c r="A423" s="13">
        <v>45705</v>
      </c>
      <c r="B423" t="s">
        <v>129</v>
      </c>
      <c r="C423">
        <v>12909</v>
      </c>
      <c r="D423" t="s">
        <v>42</v>
      </c>
      <c r="E423" s="5">
        <v>40</v>
      </c>
      <c r="F423">
        <v>4</v>
      </c>
      <c r="G423" s="12" t="s">
        <v>18</v>
      </c>
      <c r="H423" s="11">
        <v>0.33</v>
      </c>
      <c r="I423" t="s">
        <v>19</v>
      </c>
      <c r="J423">
        <v>27.05</v>
      </c>
      <c r="K423" t="s">
        <v>50</v>
      </c>
      <c r="L423" t="s">
        <v>31</v>
      </c>
      <c r="M423" t="s">
        <v>22</v>
      </c>
      <c r="N423" t="s">
        <v>53</v>
      </c>
      <c r="O423" t="s">
        <v>33</v>
      </c>
      <c r="P423" t="s">
        <v>25</v>
      </c>
      <c r="Q423">
        <v>88</v>
      </c>
      <c r="R423">
        <v>29.040000000000003</v>
      </c>
      <c r="S423" s="12">
        <v>2938.7799999999997</v>
      </c>
    </row>
    <row r="424" spans="1:19" hidden="1" x14ac:dyDescent="0.25">
      <c r="A424" s="13">
        <v>45673</v>
      </c>
      <c r="B424" t="s">
        <v>218</v>
      </c>
      <c r="C424">
        <v>67667</v>
      </c>
      <c r="D424" t="s">
        <v>27</v>
      </c>
      <c r="E424" s="5">
        <v>41</v>
      </c>
      <c r="F424">
        <v>77.45</v>
      </c>
      <c r="G424" s="12" t="s">
        <v>18</v>
      </c>
      <c r="H424" s="11">
        <v>0.15</v>
      </c>
      <c r="I424" t="s">
        <v>19</v>
      </c>
      <c r="J424">
        <v>18.420000000000002</v>
      </c>
      <c r="K424" t="s">
        <v>20</v>
      </c>
      <c r="L424" t="s">
        <v>31</v>
      </c>
      <c r="M424" t="s">
        <v>22</v>
      </c>
      <c r="N424" t="s">
        <v>53</v>
      </c>
      <c r="O424" t="s">
        <v>81</v>
      </c>
      <c r="P424" t="s">
        <v>34</v>
      </c>
      <c r="Q424">
        <v>3175.4500000000003</v>
      </c>
      <c r="R424">
        <v>476.3175</v>
      </c>
      <c r="S424" s="12">
        <v>2699.1325000000002</v>
      </c>
    </row>
    <row r="425" spans="1:19" hidden="1" x14ac:dyDescent="0.25">
      <c r="A425" s="13">
        <v>45658</v>
      </c>
      <c r="B425" t="s">
        <v>16</v>
      </c>
      <c r="C425">
        <v>91428</v>
      </c>
      <c r="D425" t="s">
        <v>17</v>
      </c>
      <c r="E425" s="5">
        <v>33</v>
      </c>
      <c r="F425">
        <v>85.88</v>
      </c>
      <c r="G425" s="12" t="s">
        <v>18</v>
      </c>
      <c r="H425" s="11">
        <v>0.05</v>
      </c>
      <c r="I425" t="s">
        <v>19</v>
      </c>
      <c r="J425">
        <v>11</v>
      </c>
      <c r="K425" t="s">
        <v>20</v>
      </c>
      <c r="L425" s="14" t="s">
        <v>21</v>
      </c>
      <c r="M425" t="s">
        <v>22</v>
      </c>
      <c r="N425" t="s">
        <v>23</v>
      </c>
      <c r="O425" t="s">
        <v>24</v>
      </c>
      <c r="P425" t="s">
        <v>25</v>
      </c>
      <c r="Q425">
        <v>2834.04</v>
      </c>
      <c r="R425">
        <v>141.702</v>
      </c>
      <c r="S425" s="12">
        <v>2692.3379999999997</v>
      </c>
    </row>
    <row r="426" spans="1:19" hidden="1" x14ac:dyDescent="0.25">
      <c r="A426" s="13">
        <v>45683</v>
      </c>
      <c r="B426" t="s">
        <v>179</v>
      </c>
      <c r="C426">
        <v>47533</v>
      </c>
      <c r="D426" t="s">
        <v>66</v>
      </c>
      <c r="E426" s="5">
        <v>34</v>
      </c>
      <c r="F426">
        <v>96.41</v>
      </c>
      <c r="G426" s="12" t="s">
        <v>18</v>
      </c>
      <c r="H426" s="11">
        <v>0</v>
      </c>
      <c r="I426" t="s">
        <v>29</v>
      </c>
      <c r="J426">
        <v>20.07</v>
      </c>
      <c r="K426" t="s">
        <v>20</v>
      </c>
      <c r="L426" s="14" t="s">
        <v>21</v>
      </c>
      <c r="M426" t="s">
        <v>22</v>
      </c>
      <c r="N426" t="s">
        <v>23</v>
      </c>
      <c r="O426" t="s">
        <v>33</v>
      </c>
      <c r="P426" t="s">
        <v>25</v>
      </c>
      <c r="Q426">
        <v>4145.63</v>
      </c>
      <c r="R426">
        <v>0</v>
      </c>
      <c r="S426" s="12">
        <v>2665.056</v>
      </c>
    </row>
    <row r="427" spans="1:19" hidden="1" x14ac:dyDescent="0.25">
      <c r="A427" s="13">
        <v>45702</v>
      </c>
      <c r="B427" t="s">
        <v>247</v>
      </c>
      <c r="C427">
        <v>21633</v>
      </c>
      <c r="D427" t="s">
        <v>75</v>
      </c>
      <c r="E427" s="5">
        <v>34</v>
      </c>
      <c r="F427">
        <v>55.2</v>
      </c>
      <c r="G427" s="12" t="s">
        <v>18</v>
      </c>
      <c r="H427" s="11">
        <v>0.06</v>
      </c>
      <c r="I427" t="s">
        <v>734</v>
      </c>
      <c r="J427">
        <v>14.25</v>
      </c>
      <c r="K427" s="5" t="s">
        <v>44</v>
      </c>
      <c r="L427" t="s">
        <v>31</v>
      </c>
      <c r="M427" t="s">
        <v>22</v>
      </c>
      <c r="N427" t="s">
        <v>32</v>
      </c>
      <c r="O427" t="s">
        <v>39</v>
      </c>
      <c r="P427" t="s">
        <v>40</v>
      </c>
      <c r="Q427">
        <v>1490.4</v>
      </c>
      <c r="R427">
        <v>89.424000000000007</v>
      </c>
      <c r="S427" s="12">
        <v>2501.5839999999998</v>
      </c>
    </row>
    <row r="428" spans="1:19" hidden="1" x14ac:dyDescent="0.25">
      <c r="A428" s="13">
        <v>45672</v>
      </c>
      <c r="B428" t="s">
        <v>199</v>
      </c>
      <c r="C428">
        <v>48900</v>
      </c>
      <c r="D428" t="s">
        <v>75</v>
      </c>
      <c r="E428" s="5">
        <v>30</v>
      </c>
      <c r="F428">
        <v>98.83</v>
      </c>
      <c r="G428" s="12" t="s">
        <v>18</v>
      </c>
      <c r="H428" s="11">
        <v>0.15</v>
      </c>
      <c r="I428" t="s">
        <v>19</v>
      </c>
      <c r="J428">
        <v>16.170000000000002</v>
      </c>
      <c r="K428" s="5" t="s">
        <v>44</v>
      </c>
      <c r="L428" t="s">
        <v>31</v>
      </c>
      <c r="M428" t="s">
        <v>22</v>
      </c>
      <c r="N428" t="s">
        <v>23</v>
      </c>
      <c r="O428" t="s">
        <v>39</v>
      </c>
      <c r="P428" t="s">
        <v>25</v>
      </c>
      <c r="Q428">
        <v>3162.56</v>
      </c>
      <c r="R428">
        <v>474.38399999999996</v>
      </c>
      <c r="S428" s="12">
        <v>2384.5050000000001</v>
      </c>
    </row>
    <row r="429" spans="1:19" hidden="1" x14ac:dyDescent="0.25">
      <c r="A429" s="13">
        <v>45699</v>
      </c>
      <c r="B429" t="s">
        <v>592</v>
      </c>
      <c r="C429">
        <v>88295</v>
      </c>
      <c r="D429" t="s">
        <v>17</v>
      </c>
      <c r="E429" s="5">
        <v>43</v>
      </c>
      <c r="F429">
        <v>29.32</v>
      </c>
      <c r="G429" s="12" t="s">
        <v>18</v>
      </c>
      <c r="H429" s="11">
        <v>0.21</v>
      </c>
      <c r="I429" t="s">
        <v>19</v>
      </c>
      <c r="J429">
        <v>17.13</v>
      </c>
      <c r="K429" t="s">
        <v>30</v>
      </c>
      <c r="L429" s="14" t="s">
        <v>21</v>
      </c>
      <c r="M429" t="s">
        <v>22</v>
      </c>
      <c r="N429" t="s">
        <v>32</v>
      </c>
      <c r="O429" t="s">
        <v>33</v>
      </c>
      <c r="P429" t="s">
        <v>25</v>
      </c>
      <c r="Q429">
        <v>674.36</v>
      </c>
      <c r="R429">
        <v>141.6156</v>
      </c>
      <c r="S429" s="12">
        <v>2333.8035</v>
      </c>
    </row>
    <row r="430" spans="1:19" hidden="1" x14ac:dyDescent="0.25">
      <c r="A430" s="13">
        <v>45709</v>
      </c>
      <c r="B430" t="s">
        <v>473</v>
      </c>
      <c r="C430">
        <v>34518</v>
      </c>
      <c r="D430" t="s">
        <v>75</v>
      </c>
      <c r="E430" s="5">
        <v>47</v>
      </c>
      <c r="F430">
        <v>89.21</v>
      </c>
      <c r="G430" s="12" t="s">
        <v>18</v>
      </c>
      <c r="H430" s="11">
        <v>0.34</v>
      </c>
      <c r="I430" t="s">
        <v>29</v>
      </c>
      <c r="J430">
        <v>26.81</v>
      </c>
      <c r="K430" t="s">
        <v>30</v>
      </c>
      <c r="L430" t="s">
        <v>31</v>
      </c>
      <c r="M430" t="s">
        <v>22</v>
      </c>
      <c r="N430" t="s">
        <v>38</v>
      </c>
      <c r="O430" t="s">
        <v>59</v>
      </c>
      <c r="P430" t="s">
        <v>34</v>
      </c>
      <c r="Q430">
        <v>3479.1899999999996</v>
      </c>
      <c r="R430">
        <v>1182.9246000000001</v>
      </c>
      <c r="S430" s="12">
        <v>2203.2660000000001</v>
      </c>
    </row>
    <row r="431" spans="1:19" hidden="1" x14ac:dyDescent="0.25">
      <c r="A431" s="13">
        <v>45695</v>
      </c>
      <c r="B431" t="s">
        <v>435</v>
      </c>
      <c r="C431">
        <v>99551</v>
      </c>
      <c r="D431" t="s">
        <v>49</v>
      </c>
      <c r="E431" s="5">
        <v>28</v>
      </c>
      <c r="F431">
        <v>53</v>
      </c>
      <c r="G431" s="12" t="s">
        <v>18</v>
      </c>
      <c r="H431" s="11">
        <v>0.4</v>
      </c>
      <c r="I431" t="s">
        <v>734</v>
      </c>
      <c r="J431">
        <v>16.3</v>
      </c>
      <c r="K431" t="s">
        <v>50</v>
      </c>
      <c r="L431" s="14" t="s">
        <v>21</v>
      </c>
      <c r="M431" t="s">
        <v>22</v>
      </c>
      <c r="N431" t="s">
        <v>32</v>
      </c>
      <c r="O431" t="s">
        <v>33</v>
      </c>
      <c r="P431" t="s">
        <v>40</v>
      </c>
      <c r="Q431">
        <v>2385</v>
      </c>
      <c r="R431">
        <v>954</v>
      </c>
      <c r="S431" s="12">
        <v>2174.8215999999998</v>
      </c>
    </row>
    <row r="432" spans="1:19" hidden="1" x14ac:dyDescent="0.25">
      <c r="A432" s="13">
        <v>45699</v>
      </c>
      <c r="B432" t="s">
        <v>590</v>
      </c>
      <c r="C432">
        <v>77809</v>
      </c>
      <c r="D432" t="s">
        <v>89</v>
      </c>
      <c r="E432" s="5">
        <v>35</v>
      </c>
      <c r="F432">
        <v>15.07</v>
      </c>
      <c r="G432" s="12" t="s">
        <v>18</v>
      </c>
      <c r="H432" s="11">
        <v>0.25</v>
      </c>
      <c r="I432" t="s">
        <v>19</v>
      </c>
      <c r="J432">
        <v>29.61</v>
      </c>
      <c r="K432" t="s">
        <v>37</v>
      </c>
      <c r="L432" t="s">
        <v>31</v>
      </c>
      <c r="M432" t="s">
        <v>22</v>
      </c>
      <c r="N432" t="s">
        <v>32</v>
      </c>
      <c r="O432" t="s">
        <v>81</v>
      </c>
      <c r="P432" t="s">
        <v>34</v>
      </c>
      <c r="Q432">
        <v>587.73</v>
      </c>
      <c r="R432">
        <v>146.9325</v>
      </c>
      <c r="S432" s="12">
        <v>1943.0775000000001</v>
      </c>
    </row>
    <row r="433" spans="1:19" hidden="1" x14ac:dyDescent="0.25">
      <c r="A433" s="13">
        <v>45694</v>
      </c>
      <c r="B433" t="s">
        <v>534</v>
      </c>
      <c r="C433">
        <v>90255</v>
      </c>
      <c r="D433" t="s">
        <v>68</v>
      </c>
      <c r="E433" s="5">
        <v>39</v>
      </c>
      <c r="F433">
        <v>67.67</v>
      </c>
      <c r="G433" s="12" t="s">
        <v>18</v>
      </c>
      <c r="H433" s="11">
        <v>0.05</v>
      </c>
      <c r="I433" t="s">
        <v>29</v>
      </c>
      <c r="J433">
        <v>22.92</v>
      </c>
      <c r="K433" t="s">
        <v>30</v>
      </c>
      <c r="L433" t="s">
        <v>31</v>
      </c>
      <c r="M433" t="s">
        <v>22</v>
      </c>
      <c r="N433" t="s">
        <v>32</v>
      </c>
      <c r="O433" t="s">
        <v>81</v>
      </c>
      <c r="P433" t="s">
        <v>25</v>
      </c>
      <c r="Q433">
        <v>1015.0500000000001</v>
      </c>
      <c r="R433">
        <v>50.752500000000005</v>
      </c>
      <c r="S433" s="12">
        <v>1749.2046</v>
      </c>
    </row>
    <row r="434" spans="1:19" hidden="1" x14ac:dyDescent="0.25">
      <c r="A434" s="13">
        <v>45686</v>
      </c>
      <c r="B434" t="s">
        <v>432</v>
      </c>
      <c r="C434">
        <v>82168</v>
      </c>
      <c r="D434" t="s">
        <v>70</v>
      </c>
      <c r="E434" s="5">
        <v>49</v>
      </c>
      <c r="F434">
        <v>33.36</v>
      </c>
      <c r="G434" s="12" t="s">
        <v>18</v>
      </c>
      <c r="H434" s="11">
        <v>0.34</v>
      </c>
      <c r="I434" t="s">
        <v>19</v>
      </c>
      <c r="J434">
        <v>27.82</v>
      </c>
      <c r="K434" t="s">
        <v>37</v>
      </c>
      <c r="L434" t="s">
        <v>31</v>
      </c>
      <c r="M434" t="s">
        <v>22</v>
      </c>
      <c r="N434" t="s">
        <v>32</v>
      </c>
      <c r="O434" t="s">
        <v>59</v>
      </c>
      <c r="P434" t="s">
        <v>34</v>
      </c>
      <c r="Q434">
        <v>733.92</v>
      </c>
      <c r="R434">
        <v>249.53280000000001</v>
      </c>
      <c r="S434" s="12">
        <v>1706.4494999999999</v>
      </c>
    </row>
    <row r="435" spans="1:19" hidden="1" x14ac:dyDescent="0.25">
      <c r="A435" s="13">
        <v>45683</v>
      </c>
      <c r="B435" t="s">
        <v>400</v>
      </c>
      <c r="C435">
        <v>46581</v>
      </c>
      <c r="D435" t="s">
        <v>75</v>
      </c>
      <c r="E435" s="5">
        <v>44</v>
      </c>
      <c r="F435">
        <v>90.66</v>
      </c>
      <c r="G435" s="12" t="s">
        <v>18</v>
      </c>
      <c r="H435" s="11">
        <v>0.28999999999999998</v>
      </c>
      <c r="I435" t="s">
        <v>19</v>
      </c>
      <c r="J435">
        <v>6.43</v>
      </c>
      <c r="K435" s="5" t="s">
        <v>44</v>
      </c>
      <c r="L435" t="s">
        <v>31</v>
      </c>
      <c r="M435" t="s">
        <v>22</v>
      </c>
      <c r="N435" t="s">
        <v>38</v>
      </c>
      <c r="O435" t="s">
        <v>59</v>
      </c>
      <c r="P435" t="s">
        <v>25</v>
      </c>
      <c r="Q435">
        <v>2266.5</v>
      </c>
      <c r="R435">
        <v>657.28499999999997</v>
      </c>
      <c r="S435" s="12">
        <v>1627.4412000000002</v>
      </c>
    </row>
    <row r="436" spans="1:19" hidden="1" x14ac:dyDescent="0.25">
      <c r="A436" s="13">
        <v>45676</v>
      </c>
      <c r="B436" t="s">
        <v>278</v>
      </c>
      <c r="C436">
        <v>72187</v>
      </c>
      <c r="D436" t="s">
        <v>70</v>
      </c>
      <c r="E436" s="5">
        <v>20</v>
      </c>
      <c r="F436">
        <v>66.959999999999994</v>
      </c>
      <c r="G436" s="12" t="s">
        <v>18</v>
      </c>
      <c r="H436" s="11">
        <v>0.18</v>
      </c>
      <c r="I436" t="s">
        <v>734</v>
      </c>
      <c r="J436">
        <v>13.48</v>
      </c>
      <c r="K436" t="s">
        <v>30</v>
      </c>
      <c r="L436" s="14" t="s">
        <v>21</v>
      </c>
      <c r="M436" t="s">
        <v>111</v>
      </c>
      <c r="N436" t="s">
        <v>23</v>
      </c>
      <c r="O436" t="s">
        <v>24</v>
      </c>
      <c r="P436" t="s">
        <v>25</v>
      </c>
      <c r="Q436">
        <v>1272.2399999999998</v>
      </c>
      <c r="R436">
        <v>229.00319999999996</v>
      </c>
      <c r="S436" s="12">
        <v>1586.288</v>
      </c>
    </row>
    <row r="437" spans="1:19" hidden="1" x14ac:dyDescent="0.25">
      <c r="A437" s="13">
        <v>45693</v>
      </c>
      <c r="B437" t="s">
        <v>519</v>
      </c>
      <c r="C437">
        <v>36092</v>
      </c>
      <c r="D437" t="s">
        <v>57</v>
      </c>
      <c r="E437" s="5">
        <v>19</v>
      </c>
      <c r="F437">
        <v>89.18</v>
      </c>
      <c r="G437" s="12" t="s">
        <v>18</v>
      </c>
      <c r="H437" s="11">
        <v>7.0000000000000007E-2</v>
      </c>
      <c r="I437" t="s">
        <v>734</v>
      </c>
      <c r="J437">
        <v>8.9499999999999993</v>
      </c>
      <c r="K437" t="s">
        <v>37</v>
      </c>
      <c r="L437" t="s">
        <v>31</v>
      </c>
      <c r="M437" t="s">
        <v>22</v>
      </c>
      <c r="N437" t="s">
        <v>23</v>
      </c>
      <c r="O437" t="s">
        <v>59</v>
      </c>
      <c r="P437" t="s">
        <v>34</v>
      </c>
      <c r="Q437">
        <v>1694.42</v>
      </c>
      <c r="R437">
        <v>118.60940000000002</v>
      </c>
      <c r="S437" s="12">
        <v>1575.8106</v>
      </c>
    </row>
    <row r="438" spans="1:19" x14ac:dyDescent="0.25">
      <c r="A438" s="13">
        <v>45687</v>
      </c>
      <c r="B438" t="s">
        <v>438</v>
      </c>
      <c r="C438">
        <v>42831</v>
      </c>
      <c r="D438" t="s">
        <v>46</v>
      </c>
      <c r="E438" s="5">
        <v>31</v>
      </c>
      <c r="F438" s="23">
        <v>10.16</v>
      </c>
      <c r="G438" s="12" t="s">
        <v>18</v>
      </c>
      <c r="H438" s="37">
        <v>0.02</v>
      </c>
      <c r="I438" t="s">
        <v>19</v>
      </c>
      <c r="J438" s="23">
        <v>28.25</v>
      </c>
      <c r="K438" t="s">
        <v>20</v>
      </c>
      <c r="L438" s="14" t="s">
        <v>21</v>
      </c>
      <c r="M438" t="s">
        <v>22</v>
      </c>
      <c r="N438" t="s">
        <v>23</v>
      </c>
      <c r="O438" t="s">
        <v>33</v>
      </c>
      <c r="P438" s="14" t="s">
        <v>34</v>
      </c>
      <c r="Q438" s="23">
        <v>386.08</v>
      </c>
      <c r="R438" s="23">
        <v>7.7215999999999996</v>
      </c>
      <c r="S438" s="24">
        <v>1562.4278999999999</v>
      </c>
    </row>
    <row r="439" spans="1:19" hidden="1" x14ac:dyDescent="0.25">
      <c r="A439" s="13">
        <v>45669</v>
      </c>
      <c r="B439" t="s">
        <v>182</v>
      </c>
      <c r="C439">
        <v>63559</v>
      </c>
      <c r="D439" t="s">
        <v>89</v>
      </c>
      <c r="E439" s="5">
        <v>34</v>
      </c>
      <c r="F439">
        <v>65.23</v>
      </c>
      <c r="G439" s="12" t="s">
        <v>18</v>
      </c>
      <c r="H439" s="11">
        <v>0.23</v>
      </c>
      <c r="I439" t="s">
        <v>734</v>
      </c>
      <c r="J439">
        <v>13.05</v>
      </c>
      <c r="K439" t="s">
        <v>50</v>
      </c>
      <c r="L439" t="s">
        <v>31</v>
      </c>
      <c r="M439" t="s">
        <v>22</v>
      </c>
      <c r="N439" t="s">
        <v>53</v>
      </c>
      <c r="O439" t="s">
        <v>33</v>
      </c>
      <c r="P439" t="s">
        <v>34</v>
      </c>
      <c r="Q439">
        <v>2087.36</v>
      </c>
      <c r="R439">
        <v>480.09280000000007</v>
      </c>
      <c r="S439" s="12">
        <v>1495.6599999999999</v>
      </c>
    </row>
    <row r="440" spans="1:19" hidden="1" x14ac:dyDescent="0.25">
      <c r="A440" s="13">
        <v>45703</v>
      </c>
      <c r="B440" t="s">
        <v>258</v>
      </c>
      <c r="C440">
        <v>99021</v>
      </c>
      <c r="D440" t="s">
        <v>89</v>
      </c>
      <c r="E440" s="5">
        <v>18</v>
      </c>
      <c r="F440">
        <v>59.74</v>
      </c>
      <c r="G440" s="12" t="s">
        <v>18</v>
      </c>
      <c r="H440" s="11">
        <v>0.12</v>
      </c>
      <c r="I440" t="s">
        <v>734</v>
      </c>
      <c r="J440">
        <v>24.35</v>
      </c>
      <c r="K440" s="5" t="s">
        <v>44</v>
      </c>
      <c r="L440" s="14" t="s">
        <v>21</v>
      </c>
      <c r="M440" t="s">
        <v>111</v>
      </c>
      <c r="N440" t="s">
        <v>38</v>
      </c>
      <c r="O440" t="s">
        <v>39</v>
      </c>
      <c r="P440" t="s">
        <v>40</v>
      </c>
      <c r="Q440">
        <v>1851.94</v>
      </c>
      <c r="R440">
        <v>222.2328</v>
      </c>
      <c r="S440" s="12">
        <v>1473.7860000000001</v>
      </c>
    </row>
    <row r="441" spans="1:19" x14ac:dyDescent="0.25">
      <c r="A441" s="13">
        <v>45705</v>
      </c>
      <c r="B441" t="s">
        <v>649</v>
      </c>
      <c r="C441">
        <v>53173</v>
      </c>
      <c r="D441" t="s">
        <v>70</v>
      </c>
      <c r="E441" s="5">
        <v>21</v>
      </c>
      <c r="F441" s="23">
        <v>87.56</v>
      </c>
      <c r="G441" s="12" t="s">
        <v>18</v>
      </c>
      <c r="H441" s="37">
        <v>0.24</v>
      </c>
      <c r="I441" t="s">
        <v>734</v>
      </c>
      <c r="J441" s="23">
        <v>23.16</v>
      </c>
      <c r="K441" t="s">
        <v>30</v>
      </c>
      <c r="L441" s="14" t="s">
        <v>21</v>
      </c>
      <c r="M441" t="s">
        <v>22</v>
      </c>
      <c r="N441" t="s">
        <v>32</v>
      </c>
      <c r="O441" t="s">
        <v>81</v>
      </c>
      <c r="P441" s="14" t="s">
        <v>34</v>
      </c>
      <c r="Q441" s="23">
        <v>1838.76</v>
      </c>
      <c r="R441" s="23">
        <v>441.30239999999998</v>
      </c>
      <c r="S441" s="24">
        <v>1397.4576</v>
      </c>
    </row>
    <row r="442" spans="1:19" hidden="1" x14ac:dyDescent="0.25">
      <c r="A442" s="13">
        <v>45700</v>
      </c>
      <c r="B442" t="s">
        <v>91</v>
      </c>
      <c r="C442">
        <v>49597</v>
      </c>
      <c r="D442" t="s">
        <v>27</v>
      </c>
      <c r="E442" s="5">
        <v>43</v>
      </c>
      <c r="F442">
        <v>82.79</v>
      </c>
      <c r="G442" s="12" t="s">
        <v>18</v>
      </c>
      <c r="H442" s="11">
        <v>0.48</v>
      </c>
      <c r="I442" t="s">
        <v>734</v>
      </c>
      <c r="J442">
        <v>29.3</v>
      </c>
      <c r="K442" t="s">
        <v>20</v>
      </c>
      <c r="L442" s="14" t="s">
        <v>21</v>
      </c>
      <c r="M442" t="s">
        <v>22</v>
      </c>
      <c r="N442" t="s">
        <v>23</v>
      </c>
      <c r="O442" t="s">
        <v>59</v>
      </c>
      <c r="P442" t="s">
        <v>40</v>
      </c>
      <c r="Q442">
        <v>2235.3300000000004</v>
      </c>
      <c r="R442">
        <v>1072.9584000000002</v>
      </c>
      <c r="S442" s="12">
        <v>1375.1055999999999</v>
      </c>
    </row>
    <row r="443" spans="1:19" hidden="1" x14ac:dyDescent="0.25">
      <c r="A443" s="13">
        <v>45660</v>
      </c>
      <c r="B443" t="s">
        <v>92</v>
      </c>
      <c r="C443">
        <v>34512</v>
      </c>
      <c r="D443" t="s">
        <v>57</v>
      </c>
      <c r="E443" s="5">
        <v>25</v>
      </c>
      <c r="F443">
        <v>14.89</v>
      </c>
      <c r="G443" s="12" t="s">
        <v>18</v>
      </c>
      <c r="H443" s="11">
        <v>0.37</v>
      </c>
      <c r="I443" t="s">
        <v>29</v>
      </c>
      <c r="J443">
        <v>24.2</v>
      </c>
      <c r="K443" t="s">
        <v>37</v>
      </c>
      <c r="L443" t="s">
        <v>31</v>
      </c>
      <c r="M443" t="s">
        <v>22</v>
      </c>
      <c r="N443" t="s">
        <v>32</v>
      </c>
      <c r="O443" t="s">
        <v>24</v>
      </c>
      <c r="P443" t="s">
        <v>25</v>
      </c>
      <c r="Q443">
        <v>59.56</v>
      </c>
      <c r="R443">
        <v>22.037200000000002</v>
      </c>
      <c r="S443" s="12">
        <v>1245.06</v>
      </c>
    </row>
    <row r="444" spans="1:19" hidden="1" x14ac:dyDescent="0.25">
      <c r="A444" s="13">
        <v>45672</v>
      </c>
      <c r="B444" t="s">
        <v>185</v>
      </c>
      <c r="C444">
        <v>26317</v>
      </c>
      <c r="D444" t="s">
        <v>27</v>
      </c>
      <c r="E444" s="5">
        <v>42</v>
      </c>
      <c r="F444">
        <v>57.75</v>
      </c>
      <c r="G444" s="12" t="s">
        <v>18</v>
      </c>
      <c r="H444" s="11">
        <v>0.32</v>
      </c>
      <c r="I444" t="s">
        <v>734</v>
      </c>
      <c r="J444">
        <v>8.33</v>
      </c>
      <c r="K444" s="5" t="s">
        <v>44</v>
      </c>
      <c r="L444" s="14" t="s">
        <v>21</v>
      </c>
      <c r="M444" t="s">
        <v>22</v>
      </c>
      <c r="N444" t="s">
        <v>23</v>
      </c>
      <c r="O444" t="s">
        <v>59</v>
      </c>
      <c r="P444" t="s">
        <v>25</v>
      </c>
      <c r="Q444">
        <v>924</v>
      </c>
      <c r="R444">
        <v>295.68</v>
      </c>
      <c r="S444" s="12">
        <v>1127.4605999999999</v>
      </c>
    </row>
    <row r="445" spans="1:19" hidden="1" x14ac:dyDescent="0.25">
      <c r="A445" s="13">
        <v>45667</v>
      </c>
      <c r="B445" t="s">
        <v>172</v>
      </c>
      <c r="C445">
        <v>54769</v>
      </c>
      <c r="D445" t="s">
        <v>66</v>
      </c>
      <c r="E445" s="5">
        <v>38</v>
      </c>
      <c r="F445">
        <v>65.760000000000005</v>
      </c>
      <c r="G445" s="12" t="s">
        <v>18</v>
      </c>
      <c r="H445" s="11">
        <v>0.11</v>
      </c>
      <c r="I445" t="s">
        <v>734</v>
      </c>
      <c r="J445">
        <v>28.53</v>
      </c>
      <c r="K445" t="s">
        <v>20</v>
      </c>
      <c r="L445" t="s">
        <v>31</v>
      </c>
      <c r="M445" t="s">
        <v>22</v>
      </c>
      <c r="N445" t="s">
        <v>23</v>
      </c>
      <c r="O445" t="s">
        <v>24</v>
      </c>
      <c r="P445" t="s">
        <v>25</v>
      </c>
      <c r="Q445">
        <v>1380.96</v>
      </c>
      <c r="R445">
        <v>151.90559999999999</v>
      </c>
      <c r="S445" s="12">
        <v>1114.2208000000001</v>
      </c>
    </row>
    <row r="446" spans="1:19" hidden="1" x14ac:dyDescent="0.25">
      <c r="A446" s="13">
        <v>45674</v>
      </c>
      <c r="B446" t="s">
        <v>248</v>
      </c>
      <c r="C446">
        <v>41737</v>
      </c>
      <c r="D446" t="s">
        <v>17</v>
      </c>
      <c r="E446" s="5">
        <v>48</v>
      </c>
      <c r="F446">
        <v>33.200000000000003</v>
      </c>
      <c r="G446" s="12" t="s">
        <v>18</v>
      </c>
      <c r="H446" s="11">
        <v>0.41</v>
      </c>
      <c r="I446" t="s">
        <v>19</v>
      </c>
      <c r="J446">
        <v>18.18</v>
      </c>
      <c r="K446" t="s">
        <v>37</v>
      </c>
      <c r="L446" t="s">
        <v>31</v>
      </c>
      <c r="M446" t="s">
        <v>111</v>
      </c>
      <c r="N446" t="s">
        <v>38</v>
      </c>
      <c r="O446" t="s">
        <v>33</v>
      </c>
      <c r="P446" t="s">
        <v>40</v>
      </c>
      <c r="Q446">
        <v>66.400000000000006</v>
      </c>
      <c r="R446">
        <v>27.224</v>
      </c>
      <c r="S446" s="12">
        <v>1084.0704000000001</v>
      </c>
    </row>
    <row r="447" spans="1:19" hidden="1" x14ac:dyDescent="0.25">
      <c r="A447" s="13">
        <v>45696</v>
      </c>
      <c r="B447" t="s">
        <v>555</v>
      </c>
      <c r="C447">
        <v>59001</v>
      </c>
      <c r="D447" t="s">
        <v>70</v>
      </c>
      <c r="E447" s="5">
        <v>47</v>
      </c>
      <c r="F447">
        <v>33.909999999999997</v>
      </c>
      <c r="G447" s="12" t="s">
        <v>18</v>
      </c>
      <c r="H447" s="11">
        <v>0.36</v>
      </c>
      <c r="I447" t="s">
        <v>29</v>
      </c>
      <c r="J447">
        <v>17.14</v>
      </c>
      <c r="K447" s="5" t="s">
        <v>44</v>
      </c>
      <c r="L447" t="s">
        <v>31</v>
      </c>
      <c r="M447" t="s">
        <v>22</v>
      </c>
      <c r="N447" t="s">
        <v>23</v>
      </c>
      <c r="O447" t="s">
        <v>33</v>
      </c>
      <c r="P447" t="s">
        <v>25</v>
      </c>
      <c r="Q447">
        <v>1288.58</v>
      </c>
      <c r="R447">
        <v>463.88879999999995</v>
      </c>
      <c r="S447" s="12">
        <v>1083.1902</v>
      </c>
    </row>
    <row r="448" spans="1:19" hidden="1" x14ac:dyDescent="0.25">
      <c r="A448" s="13">
        <v>45703</v>
      </c>
      <c r="B448" t="s">
        <v>186</v>
      </c>
      <c r="C448">
        <v>86831</v>
      </c>
      <c r="D448" t="s">
        <v>49</v>
      </c>
      <c r="E448" s="5">
        <v>44</v>
      </c>
      <c r="F448">
        <v>40.93</v>
      </c>
      <c r="G448" s="12" t="s">
        <v>18</v>
      </c>
      <c r="H448" s="11">
        <v>0.16</v>
      </c>
      <c r="I448" t="s">
        <v>29</v>
      </c>
      <c r="J448">
        <v>10.68</v>
      </c>
      <c r="K448" t="s">
        <v>50</v>
      </c>
      <c r="L448" t="s">
        <v>31</v>
      </c>
      <c r="M448" t="s">
        <v>22</v>
      </c>
      <c r="N448" t="s">
        <v>38</v>
      </c>
      <c r="O448" t="s">
        <v>33</v>
      </c>
      <c r="P448" t="s">
        <v>25</v>
      </c>
      <c r="Q448">
        <v>1637.2</v>
      </c>
      <c r="R448">
        <v>261.952</v>
      </c>
      <c r="S448" s="12">
        <v>1059.2076</v>
      </c>
    </row>
    <row r="449" spans="1:19" hidden="1" x14ac:dyDescent="0.25">
      <c r="A449" s="13">
        <v>45676</v>
      </c>
      <c r="B449" t="s">
        <v>272</v>
      </c>
      <c r="C449">
        <v>59908</v>
      </c>
      <c r="D449" t="s">
        <v>75</v>
      </c>
      <c r="E449" s="5">
        <v>19</v>
      </c>
      <c r="F449">
        <v>29.09</v>
      </c>
      <c r="G449" s="12" t="s">
        <v>18</v>
      </c>
      <c r="H449" s="11">
        <v>0.4</v>
      </c>
      <c r="I449" t="s">
        <v>734</v>
      </c>
      <c r="J449">
        <v>18.82</v>
      </c>
      <c r="K449" t="s">
        <v>50</v>
      </c>
      <c r="L449" t="s">
        <v>31</v>
      </c>
      <c r="M449" t="s">
        <v>22</v>
      </c>
      <c r="N449" t="s">
        <v>23</v>
      </c>
      <c r="O449" t="s">
        <v>33</v>
      </c>
      <c r="P449" t="s">
        <v>34</v>
      </c>
      <c r="Q449">
        <v>989.06</v>
      </c>
      <c r="R449">
        <v>395.62400000000002</v>
      </c>
      <c r="S449" s="12">
        <v>1043.2367999999999</v>
      </c>
    </row>
    <row r="450" spans="1:19" x14ac:dyDescent="0.25">
      <c r="A450" s="13">
        <v>45696</v>
      </c>
      <c r="B450" t="s">
        <v>551</v>
      </c>
      <c r="C450">
        <v>64050</v>
      </c>
      <c r="D450" t="s">
        <v>75</v>
      </c>
      <c r="E450" s="5">
        <v>42</v>
      </c>
      <c r="F450" s="23">
        <v>51.94</v>
      </c>
      <c r="G450" s="12" t="s">
        <v>18</v>
      </c>
      <c r="H450" s="37">
        <v>0.25</v>
      </c>
      <c r="I450" t="s">
        <v>19</v>
      </c>
      <c r="J450" s="23">
        <v>8.6199999999999992</v>
      </c>
      <c r="K450" t="s">
        <v>37</v>
      </c>
      <c r="L450" s="14" t="s">
        <v>21</v>
      </c>
      <c r="M450" t="s">
        <v>22</v>
      </c>
      <c r="N450" t="s">
        <v>53</v>
      </c>
      <c r="O450" t="s">
        <v>24</v>
      </c>
      <c r="P450" s="14" t="s">
        <v>34</v>
      </c>
      <c r="Q450" s="23">
        <v>259.7</v>
      </c>
      <c r="R450" s="23">
        <v>64.924999999999997</v>
      </c>
      <c r="S450" s="24">
        <v>1014.0899999999999</v>
      </c>
    </row>
    <row r="451" spans="1:19" x14ac:dyDescent="0.25">
      <c r="A451" s="13">
        <v>45675</v>
      </c>
      <c r="B451" t="s">
        <v>251</v>
      </c>
      <c r="C451">
        <v>55742</v>
      </c>
      <c r="D451" t="s">
        <v>66</v>
      </c>
      <c r="E451" s="5">
        <v>35</v>
      </c>
      <c r="F451" s="23">
        <v>20</v>
      </c>
      <c r="G451" s="12" t="s">
        <v>18</v>
      </c>
      <c r="H451" s="37">
        <v>0.5</v>
      </c>
      <c r="I451" t="s">
        <v>734</v>
      </c>
      <c r="J451" s="23">
        <v>18.72</v>
      </c>
      <c r="K451" t="s">
        <v>37</v>
      </c>
      <c r="L451" s="14" t="s">
        <v>21</v>
      </c>
      <c r="M451" t="s">
        <v>22</v>
      </c>
      <c r="N451" t="s">
        <v>53</v>
      </c>
      <c r="O451" t="s">
        <v>59</v>
      </c>
      <c r="P451" s="14" t="s">
        <v>34</v>
      </c>
      <c r="Q451" s="23">
        <v>60</v>
      </c>
      <c r="R451" s="23">
        <v>30</v>
      </c>
      <c r="S451" s="24">
        <v>1011.4650000000001</v>
      </c>
    </row>
    <row r="452" spans="1:19" hidden="1" x14ac:dyDescent="0.25">
      <c r="A452" s="13">
        <v>45694</v>
      </c>
      <c r="B452" t="s">
        <v>329</v>
      </c>
      <c r="C452">
        <v>17717</v>
      </c>
      <c r="D452" t="s">
        <v>57</v>
      </c>
      <c r="E452" s="5">
        <v>31</v>
      </c>
      <c r="F452">
        <v>36.96</v>
      </c>
      <c r="G452" s="12" t="s">
        <v>18</v>
      </c>
      <c r="H452" s="11">
        <v>0.14000000000000001</v>
      </c>
      <c r="I452" t="s">
        <v>734</v>
      </c>
      <c r="J452">
        <v>17.920000000000002</v>
      </c>
      <c r="K452" t="s">
        <v>20</v>
      </c>
      <c r="L452" s="14" t="s">
        <v>21</v>
      </c>
      <c r="M452" t="s">
        <v>22</v>
      </c>
      <c r="N452" t="s">
        <v>32</v>
      </c>
      <c r="O452" t="s">
        <v>39</v>
      </c>
      <c r="P452" t="s">
        <v>40</v>
      </c>
      <c r="Q452">
        <v>1145.76</v>
      </c>
      <c r="R452">
        <v>160.40640000000002</v>
      </c>
      <c r="S452" s="12">
        <v>985.35359999999991</v>
      </c>
    </row>
    <row r="453" spans="1:19" hidden="1" x14ac:dyDescent="0.25">
      <c r="A453" s="13">
        <v>45671</v>
      </c>
      <c r="B453" t="s">
        <v>190</v>
      </c>
      <c r="C453">
        <v>49699</v>
      </c>
      <c r="D453" t="s">
        <v>27</v>
      </c>
      <c r="E453" s="5">
        <v>28</v>
      </c>
      <c r="F453">
        <v>6.65</v>
      </c>
      <c r="G453" s="12" t="s">
        <v>18</v>
      </c>
      <c r="H453" s="11">
        <v>0.46</v>
      </c>
      <c r="I453" t="s">
        <v>19</v>
      </c>
      <c r="J453">
        <v>7.14</v>
      </c>
      <c r="K453" s="5" t="s">
        <v>44</v>
      </c>
      <c r="L453" t="s">
        <v>31</v>
      </c>
      <c r="M453" t="s">
        <v>111</v>
      </c>
      <c r="N453" t="s">
        <v>23</v>
      </c>
      <c r="O453" t="s">
        <v>81</v>
      </c>
      <c r="P453" t="s">
        <v>25</v>
      </c>
      <c r="Q453">
        <v>146.30000000000001</v>
      </c>
      <c r="R453">
        <v>67.298000000000002</v>
      </c>
      <c r="S453" s="12">
        <v>976.01280000000008</v>
      </c>
    </row>
    <row r="454" spans="1:19" hidden="1" x14ac:dyDescent="0.25">
      <c r="A454" s="13">
        <v>45660</v>
      </c>
      <c r="B454" t="s">
        <v>82</v>
      </c>
      <c r="C454">
        <v>22140</v>
      </c>
      <c r="D454" t="s">
        <v>66</v>
      </c>
      <c r="E454" s="5">
        <v>24</v>
      </c>
      <c r="F454">
        <v>69.17</v>
      </c>
      <c r="G454" s="12" t="s">
        <v>18</v>
      </c>
      <c r="H454" s="11">
        <v>0.28000000000000003</v>
      </c>
      <c r="I454" t="s">
        <v>734</v>
      </c>
      <c r="J454">
        <v>27.77</v>
      </c>
      <c r="K454" s="5" t="s">
        <v>44</v>
      </c>
      <c r="L454" s="14" t="s">
        <v>21</v>
      </c>
      <c r="M454" t="s">
        <v>22</v>
      </c>
      <c r="N454" t="s">
        <v>38</v>
      </c>
      <c r="O454" t="s">
        <v>33</v>
      </c>
      <c r="P454" t="s">
        <v>40</v>
      </c>
      <c r="Q454">
        <v>1729.25</v>
      </c>
      <c r="R454">
        <v>484.19000000000005</v>
      </c>
      <c r="S454" s="12">
        <v>941.28</v>
      </c>
    </row>
    <row r="455" spans="1:19" hidden="1" x14ac:dyDescent="0.25">
      <c r="A455" s="13">
        <v>45685</v>
      </c>
      <c r="B455" t="s">
        <v>218</v>
      </c>
      <c r="C455">
        <v>81604</v>
      </c>
      <c r="D455" t="s">
        <v>46</v>
      </c>
      <c r="E455" s="5">
        <v>27</v>
      </c>
      <c r="F455">
        <v>2.42</v>
      </c>
      <c r="G455" s="12" t="s">
        <v>18</v>
      </c>
      <c r="H455" s="11">
        <v>0.02</v>
      </c>
      <c r="I455" t="s">
        <v>29</v>
      </c>
      <c r="J455">
        <v>14.69</v>
      </c>
      <c r="K455" t="s">
        <v>20</v>
      </c>
      <c r="L455" t="s">
        <v>31</v>
      </c>
      <c r="M455" t="s">
        <v>111</v>
      </c>
      <c r="N455" t="s">
        <v>53</v>
      </c>
      <c r="O455" t="s">
        <v>33</v>
      </c>
      <c r="P455" t="s">
        <v>34</v>
      </c>
      <c r="Q455">
        <v>89.539999999999992</v>
      </c>
      <c r="R455">
        <v>1.7907999999999999</v>
      </c>
      <c r="S455" s="12">
        <v>935.06399999999996</v>
      </c>
    </row>
    <row r="456" spans="1:19" hidden="1" x14ac:dyDescent="0.25">
      <c r="A456" s="13">
        <v>45683</v>
      </c>
      <c r="B456" t="s">
        <v>335</v>
      </c>
      <c r="C456">
        <v>18978</v>
      </c>
      <c r="D456" t="s">
        <v>46</v>
      </c>
      <c r="E456" s="5">
        <v>12</v>
      </c>
      <c r="F456">
        <v>85.2</v>
      </c>
      <c r="G456" s="12" t="s">
        <v>18</v>
      </c>
      <c r="H456" s="11">
        <v>0.08</v>
      </c>
      <c r="I456" t="s">
        <v>19</v>
      </c>
      <c r="J456">
        <v>11.61</v>
      </c>
      <c r="K456" s="5" t="s">
        <v>44</v>
      </c>
      <c r="L456" s="14" t="s">
        <v>21</v>
      </c>
      <c r="M456" t="s">
        <v>22</v>
      </c>
      <c r="N456" t="s">
        <v>38</v>
      </c>
      <c r="O456" t="s">
        <v>33</v>
      </c>
      <c r="P456" t="s">
        <v>40</v>
      </c>
      <c r="Q456">
        <v>2896.8</v>
      </c>
      <c r="R456">
        <v>231.74400000000003</v>
      </c>
      <c r="S456" s="12">
        <v>919.18079999999998</v>
      </c>
    </row>
    <row r="457" spans="1:19" hidden="1" x14ac:dyDescent="0.25">
      <c r="A457" s="13">
        <v>45666</v>
      </c>
      <c r="B457" t="s">
        <v>158</v>
      </c>
      <c r="C457">
        <v>92754</v>
      </c>
      <c r="D457" t="s">
        <v>42</v>
      </c>
      <c r="E457" s="5">
        <v>23</v>
      </c>
      <c r="F457">
        <v>84.46</v>
      </c>
      <c r="G457" s="12" t="s">
        <v>18</v>
      </c>
      <c r="H457" s="11">
        <v>0.35</v>
      </c>
      <c r="I457" t="s">
        <v>734</v>
      </c>
      <c r="J457">
        <v>24.12</v>
      </c>
      <c r="K457" t="s">
        <v>20</v>
      </c>
      <c r="L457" s="14" t="s">
        <v>21</v>
      </c>
      <c r="M457" t="s">
        <v>22</v>
      </c>
      <c r="N457" t="s">
        <v>38</v>
      </c>
      <c r="O457" t="s">
        <v>59</v>
      </c>
      <c r="P457" t="s">
        <v>25</v>
      </c>
      <c r="Q457">
        <v>2195.96</v>
      </c>
      <c r="R457">
        <v>768.58600000000001</v>
      </c>
      <c r="S457" s="12">
        <v>856.05540000000008</v>
      </c>
    </row>
    <row r="458" spans="1:19" hidden="1" x14ac:dyDescent="0.25">
      <c r="A458" s="13">
        <v>45663</v>
      </c>
      <c r="B458" t="s">
        <v>132</v>
      </c>
      <c r="C458">
        <v>93932</v>
      </c>
      <c r="D458" t="s">
        <v>70</v>
      </c>
      <c r="E458" s="5">
        <v>18</v>
      </c>
      <c r="F458">
        <v>53</v>
      </c>
      <c r="G458" s="12" t="s">
        <v>18</v>
      </c>
      <c r="H458" s="11">
        <v>0.36</v>
      </c>
      <c r="I458" t="s">
        <v>734</v>
      </c>
      <c r="J458">
        <v>8.69</v>
      </c>
      <c r="K458" t="s">
        <v>50</v>
      </c>
      <c r="L458" t="s">
        <v>31</v>
      </c>
      <c r="M458" t="s">
        <v>22</v>
      </c>
      <c r="N458" t="s">
        <v>38</v>
      </c>
      <c r="O458" t="s">
        <v>81</v>
      </c>
      <c r="P458" t="s">
        <v>25</v>
      </c>
      <c r="Q458">
        <v>795</v>
      </c>
      <c r="R458">
        <v>286.2</v>
      </c>
      <c r="S458" s="12">
        <v>851.27760000000001</v>
      </c>
    </row>
    <row r="459" spans="1:19" hidden="1" x14ac:dyDescent="0.25">
      <c r="A459" s="13">
        <v>45708</v>
      </c>
      <c r="B459" t="s">
        <v>349</v>
      </c>
      <c r="C459">
        <v>51915</v>
      </c>
      <c r="D459" t="s">
        <v>68</v>
      </c>
      <c r="E459" s="5">
        <v>16</v>
      </c>
      <c r="F459">
        <v>48.17</v>
      </c>
      <c r="G459" s="12" t="s">
        <v>18</v>
      </c>
      <c r="H459" s="11">
        <v>0.3</v>
      </c>
      <c r="I459" t="s">
        <v>29</v>
      </c>
      <c r="J459">
        <v>15.26</v>
      </c>
      <c r="K459" t="s">
        <v>30</v>
      </c>
      <c r="L459" t="s">
        <v>31</v>
      </c>
      <c r="M459" t="s">
        <v>22</v>
      </c>
      <c r="N459" t="s">
        <v>23</v>
      </c>
      <c r="O459" t="s">
        <v>81</v>
      </c>
      <c r="P459" t="s">
        <v>40</v>
      </c>
      <c r="Q459">
        <v>48.17</v>
      </c>
      <c r="R459">
        <v>14.451000000000001</v>
      </c>
      <c r="S459" s="12">
        <v>837.68640000000005</v>
      </c>
    </row>
    <row r="460" spans="1:19" hidden="1" x14ac:dyDescent="0.25">
      <c r="A460" s="13">
        <v>45712</v>
      </c>
      <c r="B460" t="s">
        <v>138</v>
      </c>
      <c r="C460">
        <v>70921</v>
      </c>
      <c r="D460" t="s">
        <v>57</v>
      </c>
      <c r="E460" s="5">
        <v>35</v>
      </c>
      <c r="F460">
        <v>14.55</v>
      </c>
      <c r="G460" s="12" t="s">
        <v>18</v>
      </c>
      <c r="H460" s="11">
        <v>0.05</v>
      </c>
      <c r="I460" t="s">
        <v>29</v>
      </c>
      <c r="J460">
        <v>22.75</v>
      </c>
      <c r="K460" t="s">
        <v>20</v>
      </c>
      <c r="L460" t="s">
        <v>31</v>
      </c>
      <c r="M460" t="s">
        <v>22</v>
      </c>
      <c r="N460" t="s">
        <v>32</v>
      </c>
      <c r="O460" t="s">
        <v>81</v>
      </c>
      <c r="P460" t="s">
        <v>40</v>
      </c>
      <c r="Q460">
        <v>698.40000000000009</v>
      </c>
      <c r="R460">
        <v>34.920000000000009</v>
      </c>
      <c r="S460" s="12">
        <v>794.65750000000003</v>
      </c>
    </row>
    <row r="461" spans="1:19" x14ac:dyDescent="0.25">
      <c r="A461" s="13">
        <v>45681</v>
      </c>
      <c r="B461" t="s">
        <v>357</v>
      </c>
      <c r="C461">
        <v>18167</v>
      </c>
      <c r="D461" t="s">
        <v>57</v>
      </c>
      <c r="E461" s="5">
        <v>17</v>
      </c>
      <c r="F461" s="23">
        <v>58.6</v>
      </c>
      <c r="G461" s="12" t="s">
        <v>18</v>
      </c>
      <c r="H461" s="37">
        <v>0.02</v>
      </c>
      <c r="I461" t="s">
        <v>29</v>
      </c>
      <c r="J461" s="23">
        <v>7.25</v>
      </c>
      <c r="K461" t="s">
        <v>30</v>
      </c>
      <c r="L461" s="14" t="s">
        <v>21</v>
      </c>
      <c r="M461" t="s">
        <v>111</v>
      </c>
      <c r="N461" t="s">
        <v>23</v>
      </c>
      <c r="O461" t="s">
        <v>33</v>
      </c>
      <c r="P461" s="14" t="s">
        <v>34</v>
      </c>
      <c r="Q461" s="23">
        <v>293</v>
      </c>
      <c r="R461" s="23">
        <v>5.86</v>
      </c>
      <c r="S461" s="24">
        <v>783.3599999999999</v>
      </c>
    </row>
    <row r="462" spans="1:19" hidden="1" x14ac:dyDescent="0.25">
      <c r="A462" s="13">
        <v>45674</v>
      </c>
      <c r="B462" t="s">
        <v>245</v>
      </c>
      <c r="C462">
        <v>46660</v>
      </c>
      <c r="D462" t="s">
        <v>46</v>
      </c>
      <c r="E462" s="5">
        <v>28</v>
      </c>
      <c r="F462">
        <v>99.06</v>
      </c>
      <c r="G462" s="12" t="s">
        <v>18</v>
      </c>
      <c r="H462" s="11">
        <v>7.0000000000000007E-2</v>
      </c>
      <c r="I462" t="s">
        <v>29</v>
      </c>
      <c r="J462">
        <v>28.58</v>
      </c>
      <c r="K462" t="s">
        <v>37</v>
      </c>
      <c r="L462" t="s">
        <v>31</v>
      </c>
      <c r="M462" t="s">
        <v>22</v>
      </c>
      <c r="N462" t="s">
        <v>38</v>
      </c>
      <c r="O462" t="s">
        <v>33</v>
      </c>
      <c r="P462" t="s">
        <v>40</v>
      </c>
      <c r="Q462">
        <v>2575.56</v>
      </c>
      <c r="R462">
        <v>180.28920000000002</v>
      </c>
      <c r="S462" s="12">
        <v>773.57279999999992</v>
      </c>
    </row>
    <row r="463" spans="1:19" hidden="1" x14ac:dyDescent="0.25">
      <c r="A463" s="13">
        <v>45694</v>
      </c>
      <c r="B463" t="s">
        <v>371</v>
      </c>
      <c r="C463">
        <v>95187</v>
      </c>
      <c r="D463" t="s">
        <v>89</v>
      </c>
      <c r="E463" s="5">
        <v>19</v>
      </c>
      <c r="F463">
        <v>43.54</v>
      </c>
      <c r="G463" s="12" t="s">
        <v>18</v>
      </c>
      <c r="H463" s="11">
        <v>0.09</v>
      </c>
      <c r="I463" t="s">
        <v>19</v>
      </c>
      <c r="J463">
        <v>15.22</v>
      </c>
      <c r="K463" t="s">
        <v>20</v>
      </c>
      <c r="L463" s="14" t="s">
        <v>21</v>
      </c>
      <c r="M463" t="s">
        <v>22</v>
      </c>
      <c r="N463" t="s">
        <v>38</v>
      </c>
      <c r="O463" t="s">
        <v>33</v>
      </c>
      <c r="P463" t="s">
        <v>25</v>
      </c>
      <c r="Q463">
        <v>827.26</v>
      </c>
      <c r="R463">
        <v>74.453400000000002</v>
      </c>
      <c r="S463" s="12">
        <v>752.8066</v>
      </c>
    </row>
    <row r="464" spans="1:19" hidden="1" x14ac:dyDescent="0.25">
      <c r="A464" s="13">
        <v>45686</v>
      </c>
      <c r="B464" t="s">
        <v>435</v>
      </c>
      <c r="C464">
        <v>13903</v>
      </c>
      <c r="D464" t="s">
        <v>46</v>
      </c>
      <c r="E464" s="5">
        <v>49</v>
      </c>
      <c r="F464">
        <v>63.3</v>
      </c>
      <c r="G464" s="12" t="s">
        <v>18</v>
      </c>
      <c r="H464" s="11">
        <v>0.42</v>
      </c>
      <c r="I464" t="s">
        <v>19</v>
      </c>
      <c r="J464">
        <v>13.22</v>
      </c>
      <c r="K464" s="5" t="s">
        <v>44</v>
      </c>
      <c r="L464" s="14" t="s">
        <v>21</v>
      </c>
      <c r="M464" t="s">
        <v>22</v>
      </c>
      <c r="N464" t="s">
        <v>53</v>
      </c>
      <c r="O464" t="s">
        <v>33</v>
      </c>
      <c r="P464" t="s">
        <v>40</v>
      </c>
      <c r="Q464">
        <v>1392.6</v>
      </c>
      <c r="R464">
        <v>584.89199999999994</v>
      </c>
      <c r="S464" s="12">
        <v>751.02300000000002</v>
      </c>
    </row>
    <row r="465" spans="1:19" x14ac:dyDescent="0.25">
      <c r="A465" s="13">
        <v>45678</v>
      </c>
      <c r="B465" t="s">
        <v>318</v>
      </c>
      <c r="C465">
        <v>27247</v>
      </c>
      <c r="D465" t="s">
        <v>49</v>
      </c>
      <c r="E465" s="5">
        <v>14</v>
      </c>
      <c r="F465" s="23">
        <v>69.64</v>
      </c>
      <c r="G465" s="12" t="s">
        <v>18</v>
      </c>
      <c r="H465" s="37">
        <v>0.41</v>
      </c>
      <c r="I465" t="s">
        <v>734</v>
      </c>
      <c r="J465" s="23">
        <v>19.13</v>
      </c>
      <c r="K465" t="s">
        <v>20</v>
      </c>
      <c r="L465" s="14" t="s">
        <v>21</v>
      </c>
      <c r="M465" t="s">
        <v>22</v>
      </c>
      <c r="N465" t="s">
        <v>32</v>
      </c>
      <c r="O465" t="s">
        <v>59</v>
      </c>
      <c r="P465" s="14" t="s">
        <v>34</v>
      </c>
      <c r="Q465" s="23">
        <v>3342.7200000000003</v>
      </c>
      <c r="R465" s="23">
        <v>1370.5152</v>
      </c>
      <c r="S465" s="24">
        <v>745.41599999999994</v>
      </c>
    </row>
    <row r="466" spans="1:19" hidden="1" x14ac:dyDescent="0.25">
      <c r="A466" s="13">
        <v>45692</v>
      </c>
      <c r="B466" t="s">
        <v>511</v>
      </c>
      <c r="C466">
        <v>73676</v>
      </c>
      <c r="D466" t="s">
        <v>66</v>
      </c>
      <c r="E466" s="5">
        <v>15</v>
      </c>
      <c r="F466">
        <v>45.03</v>
      </c>
      <c r="G466" s="12" t="s">
        <v>18</v>
      </c>
      <c r="H466" s="11">
        <v>0.36</v>
      </c>
      <c r="I466" t="s">
        <v>734</v>
      </c>
      <c r="J466">
        <v>24.01</v>
      </c>
      <c r="K466" s="5" t="s">
        <v>44</v>
      </c>
      <c r="L466" s="14" t="s">
        <v>21</v>
      </c>
      <c r="M466" t="s">
        <v>22</v>
      </c>
      <c r="N466" t="s">
        <v>38</v>
      </c>
      <c r="O466" t="s">
        <v>24</v>
      </c>
      <c r="P466" t="s">
        <v>40</v>
      </c>
      <c r="Q466">
        <v>1395.93</v>
      </c>
      <c r="R466">
        <v>502.53480000000002</v>
      </c>
      <c r="S466" s="12">
        <v>687.12599999999998</v>
      </c>
    </row>
    <row r="467" spans="1:19" hidden="1" x14ac:dyDescent="0.25">
      <c r="A467" s="13">
        <v>45705</v>
      </c>
      <c r="B467" t="s">
        <v>580</v>
      </c>
      <c r="C467">
        <v>38176</v>
      </c>
      <c r="D467" t="s">
        <v>70</v>
      </c>
      <c r="E467" s="5">
        <v>49</v>
      </c>
      <c r="F467">
        <v>96.68</v>
      </c>
      <c r="G467" s="12" t="s">
        <v>18</v>
      </c>
      <c r="H467" s="11">
        <v>0.14000000000000001</v>
      </c>
      <c r="I467" t="s">
        <v>19</v>
      </c>
      <c r="J467">
        <v>12.72</v>
      </c>
      <c r="K467" t="s">
        <v>30</v>
      </c>
      <c r="L467" t="s">
        <v>31</v>
      </c>
      <c r="M467" t="s">
        <v>22</v>
      </c>
      <c r="N467" t="s">
        <v>53</v>
      </c>
      <c r="O467" t="s">
        <v>81</v>
      </c>
      <c r="P467" t="s">
        <v>25</v>
      </c>
      <c r="Q467">
        <v>2997.0800000000004</v>
      </c>
      <c r="R467">
        <v>419.59120000000007</v>
      </c>
      <c r="S467" s="12">
        <v>680.59529999999995</v>
      </c>
    </row>
    <row r="468" spans="1:19" hidden="1" x14ac:dyDescent="0.25">
      <c r="A468" s="13">
        <v>45688</v>
      </c>
      <c r="B468" t="s">
        <v>181</v>
      </c>
      <c r="C468">
        <v>51259</v>
      </c>
      <c r="D468" t="s">
        <v>17</v>
      </c>
      <c r="E468" s="5">
        <v>36</v>
      </c>
      <c r="F468">
        <v>29.42</v>
      </c>
      <c r="G468" s="12" t="s">
        <v>18</v>
      </c>
      <c r="H468" s="11">
        <v>0.38</v>
      </c>
      <c r="I468" t="s">
        <v>734</v>
      </c>
      <c r="J468">
        <v>6.73</v>
      </c>
      <c r="K468" t="s">
        <v>50</v>
      </c>
      <c r="L468" t="s">
        <v>31</v>
      </c>
      <c r="M468" t="s">
        <v>22</v>
      </c>
      <c r="N468" t="s">
        <v>38</v>
      </c>
      <c r="O468" t="s">
        <v>59</v>
      </c>
      <c r="P468" t="s">
        <v>25</v>
      </c>
      <c r="Q468">
        <v>1059.1200000000001</v>
      </c>
      <c r="R468">
        <v>402.46560000000005</v>
      </c>
      <c r="S468" s="12">
        <v>656.65440000000012</v>
      </c>
    </row>
    <row r="469" spans="1:19" hidden="1" x14ac:dyDescent="0.25">
      <c r="A469" s="13">
        <v>45710</v>
      </c>
      <c r="B469" t="s">
        <v>272</v>
      </c>
      <c r="C469">
        <v>14580</v>
      </c>
      <c r="D469" t="s">
        <v>57</v>
      </c>
      <c r="E469" s="5">
        <v>26</v>
      </c>
      <c r="F469">
        <v>8.01</v>
      </c>
      <c r="G469" s="12" t="s">
        <v>18</v>
      </c>
      <c r="H469" s="11">
        <v>7.0000000000000007E-2</v>
      </c>
      <c r="I469" t="s">
        <v>29</v>
      </c>
      <c r="J469">
        <v>22.84</v>
      </c>
      <c r="K469" t="s">
        <v>30</v>
      </c>
      <c r="L469" s="14" t="s">
        <v>21</v>
      </c>
      <c r="M469" t="s">
        <v>22</v>
      </c>
      <c r="N469" t="s">
        <v>32</v>
      </c>
      <c r="O469" t="s">
        <v>33</v>
      </c>
      <c r="P469" t="s">
        <v>25</v>
      </c>
      <c r="Q469">
        <v>288.36</v>
      </c>
      <c r="R469">
        <v>20.185200000000002</v>
      </c>
      <c r="S469" s="12">
        <v>617.89519999999993</v>
      </c>
    </row>
    <row r="470" spans="1:19" hidden="1" x14ac:dyDescent="0.25">
      <c r="A470" s="13">
        <v>45679</v>
      </c>
      <c r="B470" t="s">
        <v>331</v>
      </c>
      <c r="C470">
        <v>19364</v>
      </c>
      <c r="D470" t="s">
        <v>68</v>
      </c>
      <c r="E470" s="5">
        <v>17</v>
      </c>
      <c r="F470">
        <v>88.39</v>
      </c>
      <c r="G470" s="12" t="s">
        <v>18</v>
      </c>
      <c r="H470" s="11">
        <v>0.18</v>
      </c>
      <c r="I470" t="s">
        <v>734</v>
      </c>
      <c r="J470">
        <v>21.02</v>
      </c>
      <c r="K470" t="s">
        <v>50</v>
      </c>
      <c r="L470" s="14" t="s">
        <v>21</v>
      </c>
      <c r="M470" t="s">
        <v>22</v>
      </c>
      <c r="N470" t="s">
        <v>32</v>
      </c>
      <c r="O470" t="s">
        <v>39</v>
      </c>
      <c r="P470" t="s">
        <v>25</v>
      </c>
      <c r="Q470">
        <v>1944.58</v>
      </c>
      <c r="R470">
        <v>350.02439999999996</v>
      </c>
      <c r="S470" s="12">
        <v>573.43719999999996</v>
      </c>
    </row>
    <row r="471" spans="1:19" hidden="1" x14ac:dyDescent="0.25">
      <c r="A471" s="13">
        <v>45694</v>
      </c>
      <c r="B471" t="s">
        <v>318</v>
      </c>
      <c r="C471">
        <v>24001</v>
      </c>
      <c r="D471" t="s">
        <v>17</v>
      </c>
      <c r="E471" s="5">
        <v>13</v>
      </c>
      <c r="F471">
        <v>60.61</v>
      </c>
      <c r="G471" s="12" t="s">
        <v>18</v>
      </c>
      <c r="H471" s="11">
        <v>0.26</v>
      </c>
      <c r="I471" t="s">
        <v>29</v>
      </c>
      <c r="J471">
        <v>10.3</v>
      </c>
      <c r="K471" t="s">
        <v>37</v>
      </c>
      <c r="L471" t="s">
        <v>31</v>
      </c>
      <c r="M471" t="s">
        <v>22</v>
      </c>
      <c r="N471" t="s">
        <v>53</v>
      </c>
      <c r="O471" t="s">
        <v>81</v>
      </c>
      <c r="P471" t="s">
        <v>25</v>
      </c>
      <c r="Q471">
        <v>2363.79</v>
      </c>
      <c r="R471">
        <v>614.58540000000005</v>
      </c>
      <c r="S471" s="12">
        <v>566.15260000000001</v>
      </c>
    </row>
    <row r="472" spans="1:19" hidden="1" x14ac:dyDescent="0.25">
      <c r="A472" s="13">
        <v>45661</v>
      </c>
      <c r="B472" t="s">
        <v>117</v>
      </c>
      <c r="C472">
        <v>54591</v>
      </c>
      <c r="D472" t="s">
        <v>57</v>
      </c>
      <c r="E472" s="5">
        <v>28</v>
      </c>
      <c r="F472">
        <v>54.88</v>
      </c>
      <c r="G472" s="12" t="s">
        <v>18</v>
      </c>
      <c r="H472" s="11">
        <v>0.3</v>
      </c>
      <c r="I472" t="s">
        <v>19</v>
      </c>
      <c r="J472">
        <v>22.48</v>
      </c>
      <c r="K472" t="s">
        <v>20</v>
      </c>
      <c r="L472" t="s">
        <v>31</v>
      </c>
      <c r="M472" t="s">
        <v>22</v>
      </c>
      <c r="N472" t="s">
        <v>38</v>
      </c>
      <c r="O472" t="s">
        <v>59</v>
      </c>
      <c r="P472" t="s">
        <v>25</v>
      </c>
      <c r="Q472">
        <v>1536.64</v>
      </c>
      <c r="R472">
        <v>460.99200000000002</v>
      </c>
      <c r="S472" s="12">
        <v>552.85440000000006</v>
      </c>
    </row>
    <row r="473" spans="1:19" hidden="1" x14ac:dyDescent="0.25">
      <c r="A473" s="13">
        <v>45707</v>
      </c>
      <c r="B473" t="s">
        <v>558</v>
      </c>
      <c r="C473">
        <v>24466</v>
      </c>
      <c r="D473" t="s">
        <v>17</v>
      </c>
      <c r="E473" s="5">
        <v>11</v>
      </c>
      <c r="F473">
        <v>62.05</v>
      </c>
      <c r="G473" s="12" t="s">
        <v>18</v>
      </c>
      <c r="H473" s="11">
        <v>0.13</v>
      </c>
      <c r="I473" t="s">
        <v>19</v>
      </c>
      <c r="J473">
        <v>15.4</v>
      </c>
      <c r="K473" t="s">
        <v>20</v>
      </c>
      <c r="L473" s="14" t="s">
        <v>21</v>
      </c>
      <c r="M473" t="s">
        <v>22</v>
      </c>
      <c r="N473" t="s">
        <v>38</v>
      </c>
      <c r="O473" t="s">
        <v>59</v>
      </c>
      <c r="P473" t="s">
        <v>25</v>
      </c>
      <c r="Q473">
        <v>2730.2</v>
      </c>
      <c r="R473">
        <v>354.92599999999999</v>
      </c>
      <c r="S473" s="12">
        <v>547.61079999999993</v>
      </c>
    </row>
    <row r="474" spans="1:19" x14ac:dyDescent="0.25">
      <c r="A474" s="13">
        <v>45703</v>
      </c>
      <c r="B474" t="s">
        <v>629</v>
      </c>
      <c r="C474">
        <v>68333</v>
      </c>
      <c r="D474" t="s">
        <v>66</v>
      </c>
      <c r="E474" s="5">
        <v>31</v>
      </c>
      <c r="F474" s="23">
        <v>99.85</v>
      </c>
      <c r="G474" s="12" t="s">
        <v>18</v>
      </c>
      <c r="H474" s="37">
        <v>0.18</v>
      </c>
      <c r="I474" t="s">
        <v>734</v>
      </c>
      <c r="J474" s="23">
        <v>28.81</v>
      </c>
      <c r="K474" t="s">
        <v>30</v>
      </c>
      <c r="L474" s="14" t="s">
        <v>21</v>
      </c>
      <c r="M474" t="s">
        <v>22</v>
      </c>
      <c r="N474" t="s">
        <v>38</v>
      </c>
      <c r="O474" t="s">
        <v>59</v>
      </c>
      <c r="P474" s="14" t="s">
        <v>34</v>
      </c>
      <c r="Q474" s="23">
        <v>1797.3</v>
      </c>
      <c r="R474" s="23">
        <v>323.51399999999995</v>
      </c>
      <c r="S474" s="24">
        <v>545.44499999999994</v>
      </c>
    </row>
    <row r="475" spans="1:19" hidden="1" x14ac:dyDescent="0.25">
      <c r="A475" s="13">
        <v>45659</v>
      </c>
      <c r="B475" t="s">
        <v>63</v>
      </c>
      <c r="C475">
        <v>11001</v>
      </c>
      <c r="D475" t="s">
        <v>49</v>
      </c>
      <c r="E475" s="5">
        <v>21</v>
      </c>
      <c r="F475">
        <v>3.34</v>
      </c>
      <c r="G475" s="12" t="s">
        <v>18</v>
      </c>
      <c r="H475" s="11">
        <v>0.2</v>
      </c>
      <c r="I475" t="s">
        <v>734</v>
      </c>
      <c r="J475">
        <v>6.62</v>
      </c>
      <c r="K475" s="5" t="s">
        <v>44</v>
      </c>
      <c r="L475" s="14" t="s">
        <v>21</v>
      </c>
      <c r="M475" t="s">
        <v>22</v>
      </c>
      <c r="N475" t="s">
        <v>32</v>
      </c>
      <c r="O475" t="s">
        <v>59</v>
      </c>
      <c r="P475" t="s">
        <v>25</v>
      </c>
      <c r="Q475">
        <v>36.739999999999995</v>
      </c>
      <c r="R475">
        <v>7.347999999999999</v>
      </c>
      <c r="S475" s="12">
        <v>498.69119999999998</v>
      </c>
    </row>
    <row r="476" spans="1:19" x14ac:dyDescent="0.25">
      <c r="A476" s="13">
        <v>45695</v>
      </c>
      <c r="B476" t="s">
        <v>535</v>
      </c>
      <c r="C476">
        <v>38910</v>
      </c>
      <c r="D476" t="s">
        <v>49</v>
      </c>
      <c r="E476" s="5">
        <v>28</v>
      </c>
      <c r="F476" s="23">
        <v>72.680000000000007</v>
      </c>
      <c r="G476" s="12" t="s">
        <v>18</v>
      </c>
      <c r="H476" s="37">
        <v>0.09</v>
      </c>
      <c r="I476" t="s">
        <v>734</v>
      </c>
      <c r="J476" s="23">
        <v>11.12</v>
      </c>
      <c r="K476" t="s">
        <v>50</v>
      </c>
      <c r="L476" s="14" t="s">
        <v>21</v>
      </c>
      <c r="M476" t="s">
        <v>22</v>
      </c>
      <c r="N476" t="s">
        <v>32</v>
      </c>
      <c r="O476" t="s">
        <v>59</v>
      </c>
      <c r="P476" s="14" t="s">
        <v>34</v>
      </c>
      <c r="Q476" s="23">
        <v>872.16000000000008</v>
      </c>
      <c r="R476" s="23">
        <v>78.494399999999999</v>
      </c>
      <c r="S476" s="24">
        <v>450.32959999999997</v>
      </c>
    </row>
    <row r="477" spans="1:19" hidden="1" x14ac:dyDescent="0.25">
      <c r="A477" s="13">
        <v>45693</v>
      </c>
      <c r="B477" t="s">
        <v>115</v>
      </c>
      <c r="C477">
        <v>11200</v>
      </c>
      <c r="D477" t="s">
        <v>17</v>
      </c>
      <c r="E477" s="5">
        <v>48</v>
      </c>
      <c r="F477">
        <v>13.89</v>
      </c>
      <c r="G477" s="12" t="s">
        <v>18</v>
      </c>
      <c r="H477" s="11">
        <v>0.24</v>
      </c>
      <c r="I477" t="s">
        <v>19</v>
      </c>
      <c r="J477">
        <v>10.16</v>
      </c>
      <c r="K477" t="s">
        <v>20</v>
      </c>
      <c r="L477" s="14" t="s">
        <v>21</v>
      </c>
      <c r="M477" t="s">
        <v>22</v>
      </c>
      <c r="N477" t="s">
        <v>23</v>
      </c>
      <c r="O477" t="s">
        <v>24</v>
      </c>
      <c r="P477" t="s">
        <v>40</v>
      </c>
      <c r="Q477">
        <v>83.34</v>
      </c>
      <c r="R477">
        <v>20.0016</v>
      </c>
      <c r="S477" s="12">
        <v>396.00959999999998</v>
      </c>
    </row>
    <row r="478" spans="1:19" hidden="1" x14ac:dyDescent="0.25">
      <c r="A478" s="13">
        <v>45692</v>
      </c>
      <c r="B478" t="s">
        <v>510</v>
      </c>
      <c r="C478">
        <v>55268</v>
      </c>
      <c r="D478" t="s">
        <v>70</v>
      </c>
      <c r="E478" s="5">
        <v>32</v>
      </c>
      <c r="F478">
        <v>2.13</v>
      </c>
      <c r="G478" s="12" t="s">
        <v>18</v>
      </c>
      <c r="H478" s="11">
        <v>0.06</v>
      </c>
      <c r="I478" t="s">
        <v>29</v>
      </c>
      <c r="J478">
        <v>14.09</v>
      </c>
      <c r="K478" t="s">
        <v>37</v>
      </c>
      <c r="L478" t="s">
        <v>31</v>
      </c>
      <c r="M478" t="s">
        <v>22</v>
      </c>
      <c r="N478" t="s">
        <v>32</v>
      </c>
      <c r="O478" t="s">
        <v>39</v>
      </c>
      <c r="P478" t="s">
        <v>40</v>
      </c>
      <c r="Q478">
        <v>4.26</v>
      </c>
      <c r="R478">
        <v>0.25559999999999999</v>
      </c>
      <c r="S478" s="12">
        <v>348.27519999999998</v>
      </c>
    </row>
    <row r="479" spans="1:19" hidden="1" x14ac:dyDescent="0.25">
      <c r="A479" s="13">
        <v>45660</v>
      </c>
      <c r="B479" t="s">
        <v>79</v>
      </c>
      <c r="C479">
        <v>95235</v>
      </c>
      <c r="D479" t="s">
        <v>49</v>
      </c>
      <c r="E479" s="5">
        <v>22</v>
      </c>
      <c r="F479">
        <v>23</v>
      </c>
      <c r="G479" s="12" t="s">
        <v>18</v>
      </c>
      <c r="H479" s="11">
        <v>0.36</v>
      </c>
      <c r="I479" t="s">
        <v>29</v>
      </c>
      <c r="J479">
        <v>15.01</v>
      </c>
      <c r="K479" t="s">
        <v>20</v>
      </c>
      <c r="L479" t="s">
        <v>31</v>
      </c>
      <c r="M479" t="s">
        <v>22</v>
      </c>
      <c r="N479" t="s">
        <v>32</v>
      </c>
      <c r="O479" t="s">
        <v>24</v>
      </c>
      <c r="P479" t="s">
        <v>34</v>
      </c>
      <c r="Q479">
        <v>230</v>
      </c>
      <c r="R479">
        <v>82.8</v>
      </c>
      <c r="S479" s="12">
        <v>331.11980000000005</v>
      </c>
    </row>
    <row r="480" spans="1:19" hidden="1" x14ac:dyDescent="0.25">
      <c r="A480" s="13">
        <v>45683</v>
      </c>
      <c r="B480" t="s">
        <v>389</v>
      </c>
      <c r="C480">
        <v>19751</v>
      </c>
      <c r="D480" t="s">
        <v>17</v>
      </c>
      <c r="E480" s="5">
        <v>23</v>
      </c>
      <c r="F480">
        <v>9.1</v>
      </c>
      <c r="G480" s="12" t="s">
        <v>18</v>
      </c>
      <c r="H480" s="11">
        <v>0.38</v>
      </c>
      <c r="I480" t="s">
        <v>734</v>
      </c>
      <c r="J480">
        <v>7.89</v>
      </c>
      <c r="K480" t="s">
        <v>50</v>
      </c>
      <c r="L480" s="14" t="s">
        <v>21</v>
      </c>
      <c r="M480" t="s">
        <v>22</v>
      </c>
      <c r="N480" t="s">
        <v>32</v>
      </c>
      <c r="O480" t="s">
        <v>39</v>
      </c>
      <c r="P480" t="s">
        <v>40</v>
      </c>
      <c r="Q480">
        <v>427.7</v>
      </c>
      <c r="R480">
        <v>162.52600000000001</v>
      </c>
      <c r="S480" s="12">
        <v>329.68430000000001</v>
      </c>
    </row>
    <row r="481" spans="1:19" hidden="1" x14ac:dyDescent="0.25">
      <c r="A481" s="13">
        <v>45680</v>
      </c>
      <c r="B481" t="s">
        <v>346</v>
      </c>
      <c r="C481">
        <v>94635</v>
      </c>
      <c r="D481" t="s">
        <v>49</v>
      </c>
      <c r="E481" s="5">
        <v>5</v>
      </c>
      <c r="F481">
        <v>24.21</v>
      </c>
      <c r="G481" s="12" t="s">
        <v>18</v>
      </c>
      <c r="H481" s="11">
        <v>0.34</v>
      </c>
      <c r="I481" t="s">
        <v>19</v>
      </c>
      <c r="J481">
        <v>16.46</v>
      </c>
      <c r="K481" t="s">
        <v>50</v>
      </c>
      <c r="L481" s="14" t="s">
        <v>21</v>
      </c>
      <c r="M481" t="s">
        <v>22</v>
      </c>
      <c r="N481" t="s">
        <v>53</v>
      </c>
      <c r="O481" t="s">
        <v>39</v>
      </c>
      <c r="P481" t="s">
        <v>25</v>
      </c>
      <c r="Q481">
        <v>290.52</v>
      </c>
      <c r="R481">
        <v>98.776799999999994</v>
      </c>
      <c r="S481" s="12">
        <v>318.97249999999997</v>
      </c>
    </row>
    <row r="482" spans="1:19" hidden="1" x14ac:dyDescent="0.25">
      <c r="A482" s="13">
        <v>45712</v>
      </c>
      <c r="B482" t="s">
        <v>715</v>
      </c>
      <c r="C482">
        <v>85541</v>
      </c>
      <c r="D482" t="s">
        <v>57</v>
      </c>
      <c r="E482" s="5">
        <v>12</v>
      </c>
      <c r="F482">
        <v>43.93</v>
      </c>
      <c r="G482" s="12" t="s">
        <v>18</v>
      </c>
      <c r="H482" s="11">
        <v>0.18</v>
      </c>
      <c r="I482" t="s">
        <v>734</v>
      </c>
      <c r="J482">
        <v>19.46</v>
      </c>
      <c r="K482" t="s">
        <v>20</v>
      </c>
      <c r="L482" s="14" t="s">
        <v>21</v>
      </c>
      <c r="M482" t="s">
        <v>22</v>
      </c>
      <c r="N482" t="s">
        <v>38</v>
      </c>
      <c r="O482" t="s">
        <v>59</v>
      </c>
      <c r="P482" t="s">
        <v>40</v>
      </c>
      <c r="Q482">
        <v>1581.48</v>
      </c>
      <c r="R482">
        <v>284.66640000000001</v>
      </c>
      <c r="S482" s="12">
        <v>290.38080000000002</v>
      </c>
    </row>
    <row r="483" spans="1:19" hidden="1" x14ac:dyDescent="0.25">
      <c r="A483" s="13">
        <v>45660</v>
      </c>
      <c r="B483" t="s">
        <v>94</v>
      </c>
      <c r="C483">
        <v>53599</v>
      </c>
      <c r="D483" t="s">
        <v>17</v>
      </c>
      <c r="E483" s="5">
        <v>10</v>
      </c>
      <c r="F483">
        <v>7.66</v>
      </c>
      <c r="G483" s="12" t="s">
        <v>18</v>
      </c>
      <c r="H483" s="11">
        <v>0.06</v>
      </c>
      <c r="I483" t="s">
        <v>734</v>
      </c>
      <c r="J483">
        <v>25.01</v>
      </c>
      <c r="K483" t="s">
        <v>30</v>
      </c>
      <c r="L483" t="s">
        <v>31</v>
      </c>
      <c r="M483" t="s">
        <v>22</v>
      </c>
      <c r="N483" t="s">
        <v>23</v>
      </c>
      <c r="O483" t="s">
        <v>24</v>
      </c>
      <c r="P483" t="s">
        <v>25</v>
      </c>
      <c r="Q483">
        <v>199.16</v>
      </c>
      <c r="R483">
        <v>11.9496</v>
      </c>
      <c r="S483" s="12">
        <v>147.19999999999999</v>
      </c>
    </row>
    <row r="484" spans="1:19" hidden="1" x14ac:dyDescent="0.25">
      <c r="A484" s="13">
        <v>45686</v>
      </c>
      <c r="B484" t="s">
        <v>424</v>
      </c>
      <c r="C484">
        <v>89061</v>
      </c>
      <c r="D484" t="s">
        <v>42</v>
      </c>
      <c r="E484" s="5">
        <v>3</v>
      </c>
      <c r="F484">
        <v>90.85</v>
      </c>
      <c r="G484" s="12" t="s">
        <v>18</v>
      </c>
      <c r="H484" s="11">
        <v>0.4</v>
      </c>
      <c r="I484" t="s">
        <v>29</v>
      </c>
      <c r="J484">
        <v>16.41</v>
      </c>
      <c r="K484" s="5" t="s">
        <v>44</v>
      </c>
      <c r="L484" s="14" t="s">
        <v>21</v>
      </c>
      <c r="M484" t="s">
        <v>22</v>
      </c>
      <c r="N484" t="s">
        <v>38</v>
      </c>
      <c r="O484" t="s">
        <v>59</v>
      </c>
      <c r="P484" t="s">
        <v>25</v>
      </c>
      <c r="Q484">
        <v>1907.85</v>
      </c>
      <c r="R484">
        <v>763.14</v>
      </c>
      <c r="S484" s="12">
        <v>135.63</v>
      </c>
    </row>
    <row r="485" spans="1:19" hidden="1" x14ac:dyDescent="0.25">
      <c r="A485" s="13">
        <v>45684</v>
      </c>
      <c r="B485" t="s">
        <v>317</v>
      </c>
      <c r="C485">
        <v>39476</v>
      </c>
      <c r="D485" t="s">
        <v>49</v>
      </c>
      <c r="E485" s="5">
        <v>4</v>
      </c>
      <c r="F485">
        <v>87.79</v>
      </c>
      <c r="G485" s="12" t="s">
        <v>18</v>
      </c>
      <c r="H485" s="11">
        <v>0.42</v>
      </c>
      <c r="I485" t="s">
        <v>19</v>
      </c>
      <c r="J485">
        <v>21.72</v>
      </c>
      <c r="K485" t="s">
        <v>37</v>
      </c>
      <c r="L485" t="s">
        <v>31</v>
      </c>
      <c r="M485" t="s">
        <v>22</v>
      </c>
      <c r="N485" t="s">
        <v>38</v>
      </c>
      <c r="O485" t="s">
        <v>81</v>
      </c>
      <c r="P485" t="s">
        <v>40</v>
      </c>
      <c r="Q485">
        <v>87.79</v>
      </c>
      <c r="R485">
        <v>36.8718</v>
      </c>
      <c r="S485" s="12">
        <v>126.90479999999999</v>
      </c>
    </row>
    <row r="486" spans="1:19" hidden="1" x14ac:dyDescent="0.25">
      <c r="A486" s="13">
        <v>45684</v>
      </c>
      <c r="B486" t="s">
        <v>403</v>
      </c>
      <c r="C486">
        <v>19196</v>
      </c>
      <c r="D486" t="s">
        <v>89</v>
      </c>
      <c r="E486" s="5">
        <v>2</v>
      </c>
      <c r="F486">
        <v>53</v>
      </c>
      <c r="G486" s="12" t="s">
        <v>18</v>
      </c>
      <c r="H486" s="11">
        <v>0.37</v>
      </c>
      <c r="I486" t="s">
        <v>29</v>
      </c>
      <c r="J486">
        <v>9.49</v>
      </c>
      <c r="K486" s="5" t="s">
        <v>44</v>
      </c>
      <c r="L486" s="14" t="s">
        <v>21</v>
      </c>
      <c r="M486" t="s">
        <v>22</v>
      </c>
      <c r="N486" t="s">
        <v>23</v>
      </c>
      <c r="O486" t="s">
        <v>59</v>
      </c>
      <c r="P486" t="s">
        <v>40</v>
      </c>
      <c r="Q486">
        <v>424</v>
      </c>
      <c r="R486">
        <v>156.88</v>
      </c>
      <c r="S486" s="12">
        <v>74.662000000000006</v>
      </c>
    </row>
    <row r="487" spans="1:19" x14ac:dyDescent="0.25">
      <c r="A487" s="13">
        <v>45662</v>
      </c>
      <c r="B487" t="s">
        <v>126</v>
      </c>
      <c r="C487">
        <v>14246</v>
      </c>
      <c r="D487" t="s">
        <v>70</v>
      </c>
      <c r="E487" s="5">
        <v>1</v>
      </c>
      <c r="F487" s="23">
        <v>82.94</v>
      </c>
      <c r="G487" s="12" t="s">
        <v>18</v>
      </c>
      <c r="H487" s="37">
        <v>0.39</v>
      </c>
      <c r="I487" t="s">
        <v>734</v>
      </c>
      <c r="J487" s="23">
        <v>7.53</v>
      </c>
      <c r="K487" t="s">
        <v>30</v>
      </c>
      <c r="L487" s="14" t="s">
        <v>21</v>
      </c>
      <c r="M487" t="s">
        <v>22</v>
      </c>
      <c r="N487" t="s">
        <v>23</v>
      </c>
      <c r="O487" t="s">
        <v>81</v>
      </c>
      <c r="P487" s="14" t="s">
        <v>34</v>
      </c>
      <c r="Q487" s="23">
        <v>3898.18</v>
      </c>
      <c r="R487" s="23">
        <v>1520.2901999999999</v>
      </c>
      <c r="S487" s="24">
        <v>66.120400000000004</v>
      </c>
    </row>
    <row r="488" spans="1:19" hidden="1" x14ac:dyDescent="0.25">
      <c r="A488" s="13">
        <v>45692</v>
      </c>
      <c r="B488" t="s">
        <v>502</v>
      </c>
      <c r="C488">
        <v>31126</v>
      </c>
      <c r="D488" t="s">
        <v>66</v>
      </c>
      <c r="E488" s="5">
        <v>2</v>
      </c>
      <c r="F488">
        <v>80.34</v>
      </c>
      <c r="G488" s="12" t="s">
        <v>18</v>
      </c>
      <c r="H488" s="11">
        <v>0.27</v>
      </c>
      <c r="I488" t="s">
        <v>19</v>
      </c>
      <c r="J488">
        <v>29.93</v>
      </c>
      <c r="K488" t="s">
        <v>30</v>
      </c>
      <c r="L488" t="s">
        <v>31</v>
      </c>
      <c r="M488" t="s">
        <v>22</v>
      </c>
      <c r="N488" t="s">
        <v>32</v>
      </c>
      <c r="O488" t="s">
        <v>81</v>
      </c>
      <c r="P488" t="s">
        <v>40</v>
      </c>
      <c r="Q488">
        <v>3454.6200000000003</v>
      </c>
      <c r="R488">
        <v>932.7474000000002</v>
      </c>
      <c r="S488" s="12">
        <v>62.750799999999998</v>
      </c>
    </row>
    <row r="489" spans="1:19" hidden="1" x14ac:dyDescent="0.25">
      <c r="A489" s="13">
        <v>45708</v>
      </c>
      <c r="B489" t="s">
        <v>393</v>
      </c>
      <c r="C489">
        <v>92862</v>
      </c>
      <c r="D489" t="s">
        <v>46</v>
      </c>
      <c r="E489" s="5">
        <v>8</v>
      </c>
      <c r="F489">
        <v>5.51</v>
      </c>
      <c r="G489" s="12" t="s">
        <v>18</v>
      </c>
      <c r="H489" s="11">
        <v>0.23</v>
      </c>
      <c r="I489" t="s">
        <v>19</v>
      </c>
      <c r="J489">
        <v>22.63</v>
      </c>
      <c r="K489" t="s">
        <v>37</v>
      </c>
      <c r="L489" t="s">
        <v>31</v>
      </c>
      <c r="M489" t="s">
        <v>22</v>
      </c>
      <c r="N489" t="s">
        <v>38</v>
      </c>
      <c r="O489" t="s">
        <v>81</v>
      </c>
      <c r="P489" t="s">
        <v>40</v>
      </c>
      <c r="Q489">
        <v>110.19999999999999</v>
      </c>
      <c r="R489">
        <v>25.346</v>
      </c>
      <c r="S489" s="12">
        <v>52.617599999999996</v>
      </c>
    </row>
    <row r="490" spans="1:19" hidden="1" x14ac:dyDescent="0.25">
      <c r="A490" s="13">
        <v>45688</v>
      </c>
      <c r="B490" t="s">
        <v>456</v>
      </c>
      <c r="C490">
        <v>55708</v>
      </c>
      <c r="D490" t="s">
        <v>68</v>
      </c>
      <c r="E490" s="5">
        <v>35</v>
      </c>
      <c r="F490">
        <v>40.479999999999997</v>
      </c>
      <c r="G490" s="12" t="s">
        <v>18</v>
      </c>
      <c r="H490" s="11">
        <v>0.45</v>
      </c>
      <c r="I490" t="s">
        <v>19</v>
      </c>
      <c r="J490">
        <v>8.0399999999999991</v>
      </c>
      <c r="K490" s="5" t="s">
        <v>44</v>
      </c>
      <c r="L490" t="s">
        <v>31</v>
      </c>
      <c r="M490" t="s">
        <v>111</v>
      </c>
      <c r="N490" t="s">
        <v>32</v>
      </c>
      <c r="O490" t="s">
        <v>33</v>
      </c>
      <c r="P490" t="s">
        <v>40</v>
      </c>
      <c r="Q490">
        <v>1133.4399999999998</v>
      </c>
      <c r="R490">
        <v>510.04799999999994</v>
      </c>
      <c r="S490" s="12">
        <v>31.636500000000002</v>
      </c>
    </row>
    <row r="491" spans="1:19" x14ac:dyDescent="0.25">
      <c r="A491" s="13">
        <v>45711</v>
      </c>
      <c r="B491" t="s">
        <v>703</v>
      </c>
      <c r="C491">
        <v>47965</v>
      </c>
      <c r="D491" t="s">
        <v>46</v>
      </c>
      <c r="E491" s="5">
        <v>10</v>
      </c>
      <c r="F491" s="23">
        <v>24.25</v>
      </c>
      <c r="G491" s="12" t="s">
        <v>18</v>
      </c>
      <c r="H491" s="37">
        <v>0.36</v>
      </c>
      <c r="I491" t="s">
        <v>19</v>
      </c>
      <c r="J491" s="23">
        <v>18.34</v>
      </c>
      <c r="K491" t="s">
        <v>37</v>
      </c>
      <c r="L491" s="14" t="s">
        <v>21</v>
      </c>
      <c r="M491" t="s">
        <v>22</v>
      </c>
      <c r="N491" t="s">
        <v>23</v>
      </c>
      <c r="O491" t="s">
        <v>24</v>
      </c>
      <c r="P491" s="14" t="s">
        <v>34</v>
      </c>
      <c r="Q491" s="23">
        <v>1164</v>
      </c>
      <c r="R491" s="23">
        <v>419.03999999999996</v>
      </c>
      <c r="S491" s="24">
        <v>24.7</v>
      </c>
    </row>
    <row r="492" spans="1:19" hidden="1" x14ac:dyDescent="0.25">
      <c r="A492" s="13">
        <v>45667</v>
      </c>
      <c r="B492" t="s">
        <v>168</v>
      </c>
      <c r="C492">
        <v>57937</v>
      </c>
      <c r="D492" t="s">
        <v>42</v>
      </c>
      <c r="E492" s="5">
        <v>4</v>
      </c>
      <c r="F492">
        <v>22.94</v>
      </c>
      <c r="G492" s="12" t="s">
        <v>18</v>
      </c>
      <c r="H492" s="11">
        <v>0.23</v>
      </c>
      <c r="I492" t="s">
        <v>734</v>
      </c>
      <c r="J492">
        <v>28.82</v>
      </c>
      <c r="K492" t="s">
        <v>50</v>
      </c>
      <c r="L492" t="s">
        <v>31</v>
      </c>
      <c r="M492" t="s">
        <v>22</v>
      </c>
      <c r="N492" t="s">
        <v>53</v>
      </c>
      <c r="O492" t="s">
        <v>24</v>
      </c>
      <c r="P492" t="s">
        <v>34</v>
      </c>
      <c r="Q492">
        <v>45.88</v>
      </c>
      <c r="R492">
        <v>10.5524</v>
      </c>
      <c r="S492" s="12">
        <v>13.799999999999999</v>
      </c>
    </row>
    <row r="493" spans="1:19" hidden="1" x14ac:dyDescent="0.25">
      <c r="A493" s="13">
        <v>45678</v>
      </c>
      <c r="B493" t="s">
        <v>320</v>
      </c>
      <c r="C493">
        <v>29821</v>
      </c>
      <c r="D493" t="s">
        <v>49</v>
      </c>
      <c r="E493" s="5">
        <v>44</v>
      </c>
      <c r="F493">
        <v>33.61</v>
      </c>
      <c r="G493" s="12" t="s">
        <v>84</v>
      </c>
      <c r="H493" s="11">
        <v>0.5</v>
      </c>
      <c r="I493" t="s">
        <v>734</v>
      </c>
      <c r="J493">
        <v>25.44</v>
      </c>
      <c r="K493" t="s">
        <v>37</v>
      </c>
      <c r="L493" t="s">
        <v>31</v>
      </c>
      <c r="M493" t="s">
        <v>22</v>
      </c>
      <c r="N493" t="s">
        <v>38</v>
      </c>
      <c r="O493" t="s">
        <v>81</v>
      </c>
      <c r="P493" t="s">
        <v>34</v>
      </c>
      <c r="Q493">
        <v>268.88</v>
      </c>
      <c r="R493">
        <v>134.44</v>
      </c>
      <c r="S493" s="12">
        <v>3004.98</v>
      </c>
    </row>
    <row r="494" spans="1:19" hidden="1" x14ac:dyDescent="0.25">
      <c r="A494" s="13">
        <v>45684</v>
      </c>
      <c r="B494" t="s">
        <v>409</v>
      </c>
      <c r="C494">
        <v>13350</v>
      </c>
      <c r="D494" t="s">
        <v>46</v>
      </c>
      <c r="E494" s="5">
        <v>42</v>
      </c>
      <c r="F494">
        <v>53.33</v>
      </c>
      <c r="G494" s="12" t="s">
        <v>84</v>
      </c>
      <c r="H494" s="11">
        <v>0.3</v>
      </c>
      <c r="I494" t="s">
        <v>19</v>
      </c>
      <c r="J494">
        <v>11.01</v>
      </c>
      <c r="K494" s="5" t="s">
        <v>44</v>
      </c>
      <c r="L494" s="14" t="s">
        <v>21</v>
      </c>
      <c r="M494" t="s">
        <v>22</v>
      </c>
      <c r="N494" t="s">
        <v>38</v>
      </c>
      <c r="O494" t="s">
        <v>39</v>
      </c>
      <c r="P494" t="s">
        <v>40</v>
      </c>
      <c r="Q494">
        <v>106.66</v>
      </c>
      <c r="R494">
        <v>31.997999999999998</v>
      </c>
      <c r="S494" s="12">
        <v>2703.5064000000002</v>
      </c>
    </row>
    <row r="495" spans="1:19" hidden="1" x14ac:dyDescent="0.25">
      <c r="A495" s="13">
        <v>45693</v>
      </c>
      <c r="B495" t="s">
        <v>372</v>
      </c>
      <c r="C495">
        <v>16699</v>
      </c>
      <c r="D495" t="s">
        <v>46</v>
      </c>
      <c r="E495" s="5">
        <v>30</v>
      </c>
      <c r="F495">
        <v>96.04</v>
      </c>
      <c r="G495" s="12" t="s">
        <v>84</v>
      </c>
      <c r="H495" s="11">
        <v>0.38</v>
      </c>
      <c r="I495" t="s">
        <v>29</v>
      </c>
      <c r="J495">
        <v>14.98</v>
      </c>
      <c r="K495" t="s">
        <v>50</v>
      </c>
      <c r="L495" s="14" t="s">
        <v>21</v>
      </c>
      <c r="M495" t="s">
        <v>22</v>
      </c>
      <c r="N495" t="s">
        <v>38</v>
      </c>
      <c r="O495" t="s">
        <v>39</v>
      </c>
      <c r="P495" t="s">
        <v>40</v>
      </c>
      <c r="Q495">
        <v>2689.1200000000003</v>
      </c>
      <c r="R495">
        <v>1021.8656000000002</v>
      </c>
      <c r="S495" s="12">
        <v>2373.3599999999997</v>
      </c>
    </row>
    <row r="496" spans="1:19" x14ac:dyDescent="0.25">
      <c r="A496" s="13">
        <v>45696</v>
      </c>
      <c r="B496" t="s">
        <v>552</v>
      </c>
      <c r="C496">
        <v>18779</v>
      </c>
      <c r="D496" t="s">
        <v>89</v>
      </c>
      <c r="E496" s="5">
        <v>43</v>
      </c>
      <c r="F496" s="23">
        <v>86.69</v>
      </c>
      <c r="G496" s="12" t="s">
        <v>84</v>
      </c>
      <c r="H496" s="37">
        <v>0.37</v>
      </c>
      <c r="I496" t="s">
        <v>734</v>
      </c>
      <c r="J496" s="23">
        <v>25.44</v>
      </c>
      <c r="K496" t="s">
        <v>50</v>
      </c>
      <c r="L496" s="14" t="s">
        <v>21</v>
      </c>
      <c r="M496" t="s">
        <v>22</v>
      </c>
      <c r="N496" t="s">
        <v>23</v>
      </c>
      <c r="O496" t="s">
        <v>33</v>
      </c>
      <c r="P496" s="14" t="s">
        <v>34</v>
      </c>
      <c r="Q496" s="23">
        <v>1993.87</v>
      </c>
      <c r="R496" s="23">
        <v>737.7319</v>
      </c>
      <c r="S496" s="24">
        <v>2192.9569999999999</v>
      </c>
    </row>
    <row r="497" spans="1:19" x14ac:dyDescent="0.25">
      <c r="A497" s="13">
        <v>45662</v>
      </c>
      <c r="B497" t="s">
        <v>118</v>
      </c>
      <c r="C497">
        <v>25591</v>
      </c>
      <c r="D497" t="s">
        <v>46</v>
      </c>
      <c r="E497" s="5">
        <v>33</v>
      </c>
      <c r="F497" s="23">
        <v>68.569999999999993</v>
      </c>
      <c r="G497" s="12" t="s">
        <v>84</v>
      </c>
      <c r="H497" s="37">
        <v>0.26</v>
      </c>
      <c r="I497" t="s">
        <v>29</v>
      </c>
      <c r="J497" s="23">
        <v>16.53</v>
      </c>
      <c r="K497" t="s">
        <v>37</v>
      </c>
      <c r="L497" s="14" t="s">
        <v>21</v>
      </c>
      <c r="M497" t="s">
        <v>22</v>
      </c>
      <c r="N497" t="s">
        <v>23</v>
      </c>
      <c r="O497" t="s">
        <v>39</v>
      </c>
      <c r="P497" s="14" t="s">
        <v>34</v>
      </c>
      <c r="Q497" s="23">
        <v>1371.3999999999999</v>
      </c>
      <c r="R497" s="23">
        <v>356.56399999999996</v>
      </c>
      <c r="S497" s="24">
        <v>2128.8267000000001</v>
      </c>
    </row>
    <row r="498" spans="1:19" hidden="1" x14ac:dyDescent="0.25">
      <c r="A498" s="13">
        <v>45664</v>
      </c>
      <c r="B498" t="s">
        <v>145</v>
      </c>
      <c r="C498">
        <v>27289</v>
      </c>
      <c r="D498" t="s">
        <v>46</v>
      </c>
      <c r="E498" s="5">
        <v>43</v>
      </c>
      <c r="F498">
        <v>79.33</v>
      </c>
      <c r="G498" s="12" t="s">
        <v>84</v>
      </c>
      <c r="H498" s="11">
        <v>0.23</v>
      </c>
      <c r="I498" t="s">
        <v>19</v>
      </c>
      <c r="J498">
        <v>12.5</v>
      </c>
      <c r="K498" t="s">
        <v>50</v>
      </c>
      <c r="L498" s="14" t="s">
        <v>21</v>
      </c>
      <c r="M498" t="s">
        <v>22</v>
      </c>
      <c r="N498" t="s">
        <v>38</v>
      </c>
      <c r="O498" t="s">
        <v>24</v>
      </c>
      <c r="P498" t="s">
        <v>40</v>
      </c>
      <c r="Q498">
        <v>3728.5099999999998</v>
      </c>
      <c r="R498">
        <v>857.55729999999994</v>
      </c>
      <c r="S498" s="12">
        <v>1990.212</v>
      </c>
    </row>
    <row r="499" spans="1:19" hidden="1" x14ac:dyDescent="0.25">
      <c r="A499" s="13">
        <v>45664</v>
      </c>
      <c r="B499" t="s">
        <v>151</v>
      </c>
      <c r="C499">
        <v>87182</v>
      </c>
      <c r="D499" t="s">
        <v>66</v>
      </c>
      <c r="E499" s="5">
        <v>43</v>
      </c>
      <c r="F499">
        <v>66.760000000000005</v>
      </c>
      <c r="G499" s="12" t="s">
        <v>84</v>
      </c>
      <c r="H499" s="11">
        <v>0.04</v>
      </c>
      <c r="I499" t="s">
        <v>19</v>
      </c>
      <c r="J499">
        <v>7.49</v>
      </c>
      <c r="K499" t="s">
        <v>30</v>
      </c>
      <c r="L499" t="s">
        <v>31</v>
      </c>
      <c r="M499" t="s">
        <v>22</v>
      </c>
      <c r="N499" t="s">
        <v>53</v>
      </c>
      <c r="O499" t="s">
        <v>81</v>
      </c>
      <c r="P499" t="s">
        <v>25</v>
      </c>
      <c r="Q499">
        <v>2336.6000000000004</v>
      </c>
      <c r="R499">
        <v>93.464000000000013</v>
      </c>
      <c r="S499" s="12">
        <v>1970.7975000000001</v>
      </c>
    </row>
    <row r="500" spans="1:19" hidden="1" x14ac:dyDescent="0.25">
      <c r="A500" s="13">
        <v>45689</v>
      </c>
      <c r="B500" t="s">
        <v>103</v>
      </c>
      <c r="C500">
        <v>27348</v>
      </c>
      <c r="D500" t="s">
        <v>17</v>
      </c>
      <c r="E500" s="5">
        <v>48</v>
      </c>
      <c r="F500">
        <v>81.08</v>
      </c>
      <c r="G500" s="12" t="s">
        <v>84</v>
      </c>
      <c r="H500" s="11">
        <v>0.28999999999999998</v>
      </c>
      <c r="I500" t="s">
        <v>29</v>
      </c>
      <c r="J500">
        <v>14.61</v>
      </c>
      <c r="K500" t="s">
        <v>30</v>
      </c>
      <c r="L500" s="14" t="s">
        <v>21</v>
      </c>
      <c r="M500" t="s">
        <v>22</v>
      </c>
      <c r="N500" t="s">
        <v>53</v>
      </c>
      <c r="O500" t="s">
        <v>81</v>
      </c>
      <c r="P500" t="s">
        <v>25</v>
      </c>
      <c r="Q500">
        <v>2351.3200000000002</v>
      </c>
      <c r="R500">
        <v>681.88279999999997</v>
      </c>
      <c r="S500" s="12">
        <v>1942.56</v>
      </c>
    </row>
    <row r="501" spans="1:19" hidden="1" x14ac:dyDescent="0.25">
      <c r="A501" s="13">
        <v>45663</v>
      </c>
      <c r="B501" t="s">
        <v>131</v>
      </c>
      <c r="C501">
        <v>65380</v>
      </c>
      <c r="D501" t="s">
        <v>46</v>
      </c>
      <c r="E501" s="5">
        <v>26</v>
      </c>
      <c r="F501">
        <v>53.65</v>
      </c>
      <c r="G501" s="12" t="s">
        <v>84</v>
      </c>
      <c r="H501" s="11">
        <v>0.49</v>
      </c>
      <c r="I501" t="s">
        <v>19</v>
      </c>
      <c r="J501">
        <v>27.75</v>
      </c>
      <c r="K501" t="s">
        <v>20</v>
      </c>
      <c r="L501" t="s">
        <v>31</v>
      </c>
      <c r="M501" t="s">
        <v>22</v>
      </c>
      <c r="N501" t="s">
        <v>32</v>
      </c>
      <c r="O501" t="s">
        <v>59</v>
      </c>
      <c r="P501" t="s">
        <v>40</v>
      </c>
      <c r="Q501">
        <v>1233.95</v>
      </c>
      <c r="R501">
        <v>604.63549999999998</v>
      </c>
      <c r="S501" s="12">
        <v>1935.232</v>
      </c>
    </row>
    <row r="502" spans="1:19" x14ac:dyDescent="0.25">
      <c r="A502" s="13">
        <v>45683</v>
      </c>
      <c r="B502" t="s">
        <v>311</v>
      </c>
      <c r="C502">
        <v>35509</v>
      </c>
      <c r="D502" t="s">
        <v>46</v>
      </c>
      <c r="E502" s="5">
        <v>39</v>
      </c>
      <c r="F502" s="23">
        <v>53</v>
      </c>
      <c r="G502" s="12" t="s">
        <v>84</v>
      </c>
      <c r="H502" s="37">
        <v>0.24</v>
      </c>
      <c r="I502" t="s">
        <v>19</v>
      </c>
      <c r="J502" s="23">
        <v>12.56</v>
      </c>
      <c r="K502" t="s">
        <v>37</v>
      </c>
      <c r="L502" s="14" t="s">
        <v>21</v>
      </c>
      <c r="M502" t="s">
        <v>22</v>
      </c>
      <c r="N502" t="s">
        <v>32</v>
      </c>
      <c r="O502" t="s">
        <v>39</v>
      </c>
      <c r="P502" s="14" t="s">
        <v>34</v>
      </c>
      <c r="Q502" s="23">
        <v>901</v>
      </c>
      <c r="R502" s="23">
        <v>216.23999999999998</v>
      </c>
      <c r="S502" s="24">
        <v>1875.2447999999999</v>
      </c>
    </row>
    <row r="503" spans="1:19" x14ac:dyDescent="0.25">
      <c r="A503" s="13">
        <v>45696</v>
      </c>
      <c r="B503" t="s">
        <v>543</v>
      </c>
      <c r="C503">
        <v>32370</v>
      </c>
      <c r="D503" t="s">
        <v>66</v>
      </c>
      <c r="E503" s="5">
        <v>27</v>
      </c>
      <c r="F503" s="23">
        <v>2.71</v>
      </c>
      <c r="G503" s="12" t="s">
        <v>84</v>
      </c>
      <c r="H503" s="37">
        <v>0.19</v>
      </c>
      <c r="I503" t="s">
        <v>19</v>
      </c>
      <c r="J503" s="23">
        <v>13.01</v>
      </c>
      <c r="K503" t="s">
        <v>20</v>
      </c>
      <c r="L503" s="14" t="s">
        <v>21</v>
      </c>
      <c r="M503" t="s">
        <v>22</v>
      </c>
      <c r="N503" t="s">
        <v>32</v>
      </c>
      <c r="O503" t="s">
        <v>81</v>
      </c>
      <c r="P503" s="14" t="s">
        <v>34</v>
      </c>
      <c r="Q503" s="23">
        <v>40.65</v>
      </c>
      <c r="R503" s="23">
        <v>7.7234999999999996</v>
      </c>
      <c r="S503" s="24">
        <v>1814.9346</v>
      </c>
    </row>
    <row r="504" spans="1:19" hidden="1" x14ac:dyDescent="0.25">
      <c r="A504" s="13">
        <v>45667</v>
      </c>
      <c r="B504" t="s">
        <v>170</v>
      </c>
      <c r="C504">
        <v>99360</v>
      </c>
      <c r="D504" t="s">
        <v>75</v>
      </c>
      <c r="E504" s="5">
        <v>44</v>
      </c>
      <c r="F504">
        <v>5.75</v>
      </c>
      <c r="G504" s="12" t="s">
        <v>84</v>
      </c>
      <c r="H504" s="11">
        <v>0.4</v>
      </c>
      <c r="I504" t="s">
        <v>29</v>
      </c>
      <c r="J504">
        <v>23.42</v>
      </c>
      <c r="K504" t="s">
        <v>30</v>
      </c>
      <c r="L504" t="s">
        <v>31</v>
      </c>
      <c r="M504" t="s">
        <v>22</v>
      </c>
      <c r="N504" t="s">
        <v>38</v>
      </c>
      <c r="O504" t="s">
        <v>24</v>
      </c>
      <c r="P504" t="s">
        <v>25</v>
      </c>
      <c r="Q504">
        <v>23</v>
      </c>
      <c r="R504">
        <v>9.2000000000000011</v>
      </c>
      <c r="S504" s="12">
        <v>1789.1280000000002</v>
      </c>
    </row>
    <row r="505" spans="1:19" x14ac:dyDescent="0.25">
      <c r="A505" s="13">
        <v>45706</v>
      </c>
      <c r="B505" t="s">
        <v>595</v>
      </c>
      <c r="C505">
        <v>95905</v>
      </c>
      <c r="D505" t="s">
        <v>42</v>
      </c>
      <c r="E505" s="5">
        <v>31</v>
      </c>
      <c r="F505" s="23">
        <v>53.07</v>
      </c>
      <c r="G505" s="12" t="s">
        <v>84</v>
      </c>
      <c r="H505" s="37">
        <v>0.21</v>
      </c>
      <c r="I505" t="s">
        <v>19</v>
      </c>
      <c r="J505" s="23">
        <v>21.76</v>
      </c>
      <c r="K505" s="5" t="s">
        <v>44</v>
      </c>
      <c r="L505" s="14" t="s">
        <v>21</v>
      </c>
      <c r="M505" t="s">
        <v>22</v>
      </c>
      <c r="N505" t="s">
        <v>32</v>
      </c>
      <c r="O505" t="s">
        <v>81</v>
      </c>
      <c r="P505" s="14" t="s">
        <v>34</v>
      </c>
      <c r="Q505" s="23">
        <v>1167.54</v>
      </c>
      <c r="R505" s="23">
        <v>245.18339999999998</v>
      </c>
      <c r="S505" s="24">
        <v>1785.6</v>
      </c>
    </row>
    <row r="506" spans="1:19" x14ac:dyDescent="0.25">
      <c r="A506" s="13">
        <v>45683</v>
      </c>
      <c r="B506" t="s">
        <v>391</v>
      </c>
      <c r="C506">
        <v>21142</v>
      </c>
      <c r="D506" t="s">
        <v>75</v>
      </c>
      <c r="E506" s="5">
        <v>37</v>
      </c>
      <c r="F506" s="23">
        <v>86.1</v>
      </c>
      <c r="G506" s="12" t="s">
        <v>84</v>
      </c>
      <c r="H506" s="37">
        <v>0.34</v>
      </c>
      <c r="I506" t="s">
        <v>19</v>
      </c>
      <c r="J506" s="23">
        <v>22.8</v>
      </c>
      <c r="K506" t="s">
        <v>50</v>
      </c>
      <c r="L506" s="14" t="s">
        <v>21</v>
      </c>
      <c r="M506" t="s">
        <v>22</v>
      </c>
      <c r="N506" t="s">
        <v>38</v>
      </c>
      <c r="O506" t="s">
        <v>39</v>
      </c>
      <c r="P506" s="14" t="s">
        <v>34</v>
      </c>
      <c r="Q506" s="23">
        <v>1635.8999999999999</v>
      </c>
      <c r="R506" s="23">
        <v>556.20600000000002</v>
      </c>
      <c r="S506" s="24">
        <v>1781.5463000000002</v>
      </c>
    </row>
    <row r="507" spans="1:19" hidden="1" x14ac:dyDescent="0.25">
      <c r="A507" s="13">
        <v>45695</v>
      </c>
      <c r="B507" t="s">
        <v>536</v>
      </c>
      <c r="C507">
        <v>67711</v>
      </c>
      <c r="D507" t="s">
        <v>89</v>
      </c>
      <c r="E507" s="5">
        <v>26</v>
      </c>
      <c r="F507">
        <v>22.84</v>
      </c>
      <c r="G507" s="12" t="s">
        <v>84</v>
      </c>
      <c r="H507" s="11">
        <v>0.4</v>
      </c>
      <c r="I507" t="s">
        <v>19</v>
      </c>
      <c r="J507">
        <v>9.86</v>
      </c>
      <c r="K507" t="s">
        <v>30</v>
      </c>
      <c r="L507" t="s">
        <v>31</v>
      </c>
      <c r="M507" t="s">
        <v>22</v>
      </c>
      <c r="N507" t="s">
        <v>53</v>
      </c>
      <c r="O507" t="s">
        <v>81</v>
      </c>
      <c r="P507" t="s">
        <v>25</v>
      </c>
      <c r="Q507">
        <v>22.84</v>
      </c>
      <c r="R507">
        <v>9.136000000000001</v>
      </c>
      <c r="S507" s="12">
        <v>1738.0064</v>
      </c>
    </row>
    <row r="508" spans="1:19" hidden="1" x14ac:dyDescent="0.25">
      <c r="A508" s="13">
        <v>45689</v>
      </c>
      <c r="B508" t="s">
        <v>385</v>
      </c>
      <c r="C508">
        <v>95183</v>
      </c>
      <c r="D508" t="s">
        <v>70</v>
      </c>
      <c r="E508" s="5">
        <v>21</v>
      </c>
      <c r="F508">
        <v>28.61</v>
      </c>
      <c r="G508" s="12" t="s">
        <v>84</v>
      </c>
      <c r="H508" s="11">
        <v>0.03</v>
      </c>
      <c r="I508" t="s">
        <v>734</v>
      </c>
      <c r="J508">
        <v>16.420000000000002</v>
      </c>
      <c r="K508" t="s">
        <v>50</v>
      </c>
      <c r="L508" t="s">
        <v>31</v>
      </c>
      <c r="M508" t="s">
        <v>111</v>
      </c>
      <c r="N508" t="s">
        <v>23</v>
      </c>
      <c r="O508" t="s">
        <v>59</v>
      </c>
      <c r="P508" t="s">
        <v>25</v>
      </c>
      <c r="Q508">
        <v>143.05000000000001</v>
      </c>
      <c r="R508">
        <v>4.2915000000000001</v>
      </c>
      <c r="S508" s="12">
        <v>1719.6732</v>
      </c>
    </row>
    <row r="509" spans="1:19" hidden="1" x14ac:dyDescent="0.25">
      <c r="A509" s="13">
        <v>45676</v>
      </c>
      <c r="B509" t="s">
        <v>133</v>
      </c>
      <c r="C509">
        <v>46036</v>
      </c>
      <c r="D509" t="s">
        <v>70</v>
      </c>
      <c r="E509" s="5">
        <v>25</v>
      </c>
      <c r="F509">
        <v>87.62</v>
      </c>
      <c r="G509" s="12" t="s">
        <v>84</v>
      </c>
      <c r="H509" s="11">
        <v>0.44</v>
      </c>
      <c r="I509" t="s">
        <v>19</v>
      </c>
      <c r="J509">
        <v>27.81</v>
      </c>
      <c r="K509" t="s">
        <v>30</v>
      </c>
      <c r="L509" t="s">
        <v>31</v>
      </c>
      <c r="M509" t="s">
        <v>22</v>
      </c>
      <c r="N509" t="s">
        <v>38</v>
      </c>
      <c r="O509" t="s">
        <v>81</v>
      </c>
      <c r="P509" t="s">
        <v>34</v>
      </c>
      <c r="Q509">
        <v>1139.06</v>
      </c>
      <c r="R509">
        <v>501.18639999999999</v>
      </c>
      <c r="S509" s="12">
        <v>1712.365</v>
      </c>
    </row>
    <row r="510" spans="1:19" x14ac:dyDescent="0.25">
      <c r="A510" s="13">
        <v>45663</v>
      </c>
      <c r="B510" t="s">
        <v>129</v>
      </c>
      <c r="C510">
        <v>66550</v>
      </c>
      <c r="D510" t="s">
        <v>89</v>
      </c>
      <c r="E510" s="5">
        <v>29</v>
      </c>
      <c r="F510" s="23">
        <v>74.2</v>
      </c>
      <c r="G510" s="12" t="s">
        <v>84</v>
      </c>
      <c r="H510" s="37">
        <v>0.14000000000000001</v>
      </c>
      <c r="I510" t="s">
        <v>29</v>
      </c>
      <c r="J510" s="23">
        <v>7.89</v>
      </c>
      <c r="K510" s="5" t="s">
        <v>44</v>
      </c>
      <c r="L510" s="14" t="s">
        <v>21</v>
      </c>
      <c r="M510" t="s">
        <v>735</v>
      </c>
      <c r="N510" t="s">
        <v>53</v>
      </c>
      <c r="O510" t="s">
        <v>33</v>
      </c>
      <c r="P510" s="14" t="s">
        <v>34</v>
      </c>
      <c r="Q510" s="23">
        <v>2300.2000000000003</v>
      </c>
      <c r="R510" s="23">
        <v>322.02800000000008</v>
      </c>
      <c r="S510" s="24">
        <v>1681.3736000000001</v>
      </c>
    </row>
    <row r="511" spans="1:19" hidden="1" x14ac:dyDescent="0.25">
      <c r="A511" s="13">
        <v>45694</v>
      </c>
      <c r="B511" t="s">
        <v>530</v>
      </c>
      <c r="C511">
        <v>90270</v>
      </c>
      <c r="D511" t="s">
        <v>17</v>
      </c>
      <c r="E511" s="5">
        <v>28</v>
      </c>
      <c r="F511">
        <v>13.43</v>
      </c>
      <c r="G511" s="12" t="s">
        <v>84</v>
      </c>
      <c r="H511" s="11">
        <v>0.36</v>
      </c>
      <c r="I511" t="s">
        <v>29</v>
      </c>
      <c r="J511">
        <v>9.9600000000000009</v>
      </c>
      <c r="K511" t="s">
        <v>50</v>
      </c>
      <c r="L511" s="14" t="s">
        <v>21</v>
      </c>
      <c r="M511" t="s">
        <v>22</v>
      </c>
      <c r="N511" t="s">
        <v>23</v>
      </c>
      <c r="O511" t="s">
        <v>33</v>
      </c>
      <c r="P511" t="s">
        <v>25</v>
      </c>
      <c r="Q511">
        <v>174.59</v>
      </c>
      <c r="R511">
        <v>62.852399999999996</v>
      </c>
      <c r="S511" s="12">
        <v>1678.3760000000002</v>
      </c>
    </row>
    <row r="512" spans="1:19" hidden="1" x14ac:dyDescent="0.25">
      <c r="A512" s="13">
        <v>45700</v>
      </c>
      <c r="B512" t="s">
        <v>402</v>
      </c>
      <c r="C512">
        <v>63943</v>
      </c>
      <c r="D512" t="s">
        <v>75</v>
      </c>
      <c r="E512" s="5">
        <v>31</v>
      </c>
      <c r="F512">
        <v>13.9</v>
      </c>
      <c r="G512" s="12" t="s">
        <v>84</v>
      </c>
      <c r="H512" s="11">
        <v>0.27</v>
      </c>
      <c r="I512" t="s">
        <v>734</v>
      </c>
      <c r="J512">
        <v>14.15</v>
      </c>
      <c r="K512" t="s">
        <v>20</v>
      </c>
      <c r="L512" t="s">
        <v>31</v>
      </c>
      <c r="M512" t="s">
        <v>22</v>
      </c>
      <c r="N512" t="s">
        <v>23</v>
      </c>
      <c r="O512" t="s">
        <v>81</v>
      </c>
      <c r="P512" t="s">
        <v>40</v>
      </c>
      <c r="Q512">
        <v>430.90000000000003</v>
      </c>
      <c r="R512">
        <v>116.34300000000002</v>
      </c>
      <c r="S512" s="12">
        <v>1674.6695999999997</v>
      </c>
    </row>
    <row r="513" spans="1:19" hidden="1" x14ac:dyDescent="0.25">
      <c r="A513" s="13">
        <v>45693</v>
      </c>
      <c r="B513" t="s">
        <v>525</v>
      </c>
      <c r="C513">
        <v>10675</v>
      </c>
      <c r="D513" t="s">
        <v>42</v>
      </c>
      <c r="E513" s="5">
        <v>28</v>
      </c>
      <c r="F513">
        <v>47.87</v>
      </c>
      <c r="G513" s="12" t="s">
        <v>84</v>
      </c>
      <c r="H513" s="11">
        <v>0.01</v>
      </c>
      <c r="I513" t="s">
        <v>19</v>
      </c>
      <c r="J513">
        <v>20.2</v>
      </c>
      <c r="K513" s="5" t="s">
        <v>44</v>
      </c>
      <c r="L513" s="14" t="s">
        <v>21</v>
      </c>
      <c r="M513" t="s">
        <v>22</v>
      </c>
      <c r="N513" t="s">
        <v>23</v>
      </c>
      <c r="O513" t="s">
        <v>39</v>
      </c>
      <c r="P513" t="s">
        <v>25</v>
      </c>
      <c r="Q513">
        <v>909.53</v>
      </c>
      <c r="R513">
        <v>9.0952999999999999</v>
      </c>
      <c r="S513" s="12">
        <v>1667.2544000000003</v>
      </c>
    </row>
    <row r="514" spans="1:19" hidden="1" x14ac:dyDescent="0.25">
      <c r="A514" s="13">
        <v>45661</v>
      </c>
      <c r="B514" t="s">
        <v>112</v>
      </c>
      <c r="C514">
        <v>28703</v>
      </c>
      <c r="D514" t="s">
        <v>70</v>
      </c>
      <c r="E514" s="5">
        <v>49</v>
      </c>
      <c r="F514">
        <v>83.85</v>
      </c>
      <c r="G514" s="12" t="s">
        <v>84</v>
      </c>
      <c r="H514" s="11">
        <v>0.28999999999999998</v>
      </c>
      <c r="I514" t="s">
        <v>29</v>
      </c>
      <c r="J514">
        <v>25.53</v>
      </c>
      <c r="K514" s="5" t="s">
        <v>44</v>
      </c>
      <c r="L514" s="14" t="s">
        <v>21</v>
      </c>
      <c r="M514" t="s">
        <v>22</v>
      </c>
      <c r="N514" t="s">
        <v>23</v>
      </c>
      <c r="O514" t="s">
        <v>81</v>
      </c>
      <c r="P514" t="s">
        <v>25</v>
      </c>
      <c r="Q514">
        <v>335.4</v>
      </c>
      <c r="R514">
        <v>97.265999999999991</v>
      </c>
      <c r="S514" s="12">
        <v>1621.4197999999999</v>
      </c>
    </row>
    <row r="515" spans="1:19" x14ac:dyDescent="0.25">
      <c r="A515" s="13">
        <v>45706</v>
      </c>
      <c r="B515" t="s">
        <v>507</v>
      </c>
      <c r="C515">
        <v>47444</v>
      </c>
      <c r="D515" t="s">
        <v>49</v>
      </c>
      <c r="E515" s="5">
        <v>45</v>
      </c>
      <c r="F515" s="23">
        <v>81.62</v>
      </c>
      <c r="G515" s="12" t="s">
        <v>84</v>
      </c>
      <c r="H515" s="37">
        <v>0.05</v>
      </c>
      <c r="I515" t="s">
        <v>734</v>
      </c>
      <c r="J515" s="23">
        <v>14.82</v>
      </c>
      <c r="K515" s="5" t="s">
        <v>44</v>
      </c>
      <c r="L515" s="14" t="s">
        <v>21</v>
      </c>
      <c r="M515" t="s">
        <v>22</v>
      </c>
      <c r="N515" t="s">
        <v>53</v>
      </c>
      <c r="O515" t="s">
        <v>81</v>
      </c>
      <c r="P515" s="14" t="s">
        <v>34</v>
      </c>
      <c r="Q515" s="23">
        <v>897.82</v>
      </c>
      <c r="R515" s="23">
        <v>44.891000000000005</v>
      </c>
      <c r="S515" s="24">
        <v>1562.4</v>
      </c>
    </row>
    <row r="516" spans="1:19" hidden="1" x14ac:dyDescent="0.25">
      <c r="A516" s="13">
        <v>45676</v>
      </c>
      <c r="B516" t="s">
        <v>276</v>
      </c>
      <c r="C516">
        <v>13134</v>
      </c>
      <c r="D516" t="s">
        <v>66</v>
      </c>
      <c r="E516" s="5">
        <v>49</v>
      </c>
      <c r="F516">
        <v>53</v>
      </c>
      <c r="G516" s="12" t="s">
        <v>84</v>
      </c>
      <c r="H516" s="11">
        <v>0.43</v>
      </c>
      <c r="I516" t="s">
        <v>29</v>
      </c>
      <c r="J516">
        <v>23.02</v>
      </c>
      <c r="K516" t="s">
        <v>30</v>
      </c>
      <c r="L516" s="14" t="s">
        <v>21</v>
      </c>
      <c r="M516" t="s">
        <v>111</v>
      </c>
      <c r="N516" t="s">
        <v>38</v>
      </c>
      <c r="O516" t="s">
        <v>39</v>
      </c>
      <c r="P516" t="s">
        <v>25</v>
      </c>
      <c r="Q516">
        <v>424</v>
      </c>
      <c r="R516">
        <v>182.32</v>
      </c>
      <c r="S516" s="12">
        <v>1549.7964999999999</v>
      </c>
    </row>
    <row r="517" spans="1:19" x14ac:dyDescent="0.25">
      <c r="A517" s="13">
        <v>45701</v>
      </c>
      <c r="B517" t="s">
        <v>614</v>
      </c>
      <c r="C517">
        <v>97050</v>
      </c>
      <c r="D517" t="s">
        <v>17</v>
      </c>
      <c r="E517" s="5">
        <v>44</v>
      </c>
      <c r="F517" s="23">
        <v>96.46</v>
      </c>
      <c r="G517" s="12" t="s">
        <v>84</v>
      </c>
      <c r="H517" s="37">
        <v>0.05</v>
      </c>
      <c r="I517" t="s">
        <v>29</v>
      </c>
      <c r="J517" s="23">
        <v>12.15</v>
      </c>
      <c r="K517" t="s">
        <v>30</v>
      </c>
      <c r="L517" s="14" t="s">
        <v>21</v>
      </c>
      <c r="M517" t="s">
        <v>22</v>
      </c>
      <c r="N517" t="s">
        <v>53</v>
      </c>
      <c r="O517" t="s">
        <v>59</v>
      </c>
      <c r="P517" s="14" t="s">
        <v>34</v>
      </c>
      <c r="Q517" s="23">
        <v>1543.36</v>
      </c>
      <c r="R517" s="23">
        <v>77.168000000000006</v>
      </c>
      <c r="S517" s="24">
        <v>1364.4576000000002</v>
      </c>
    </row>
    <row r="518" spans="1:19" hidden="1" x14ac:dyDescent="0.25">
      <c r="A518" s="13">
        <v>45672</v>
      </c>
      <c r="B518" t="s">
        <v>195</v>
      </c>
      <c r="C518">
        <v>75366</v>
      </c>
      <c r="D518" t="s">
        <v>68</v>
      </c>
      <c r="E518" s="5">
        <v>22</v>
      </c>
      <c r="F518">
        <v>97.84</v>
      </c>
      <c r="G518" s="12" t="s">
        <v>84</v>
      </c>
      <c r="H518" s="11">
        <v>0.1</v>
      </c>
      <c r="I518" t="s">
        <v>734</v>
      </c>
      <c r="J518">
        <v>23</v>
      </c>
      <c r="K518" t="s">
        <v>50</v>
      </c>
      <c r="L518" s="14" t="s">
        <v>21</v>
      </c>
      <c r="M518" t="s">
        <v>22</v>
      </c>
      <c r="N518" t="s">
        <v>23</v>
      </c>
      <c r="O518" t="s">
        <v>81</v>
      </c>
      <c r="P518" t="s">
        <v>25</v>
      </c>
      <c r="Q518">
        <v>4011.44</v>
      </c>
      <c r="R518">
        <v>401.14400000000001</v>
      </c>
      <c r="S518" s="12">
        <v>1291.6551999999999</v>
      </c>
    </row>
    <row r="519" spans="1:19" hidden="1" x14ac:dyDescent="0.25">
      <c r="A519" s="13">
        <v>45677</v>
      </c>
      <c r="B519" t="s">
        <v>296</v>
      </c>
      <c r="C519">
        <v>31730</v>
      </c>
      <c r="D519" t="s">
        <v>27</v>
      </c>
      <c r="E519" s="5">
        <v>26</v>
      </c>
      <c r="F519">
        <v>13.83</v>
      </c>
      <c r="G519" s="12" t="s">
        <v>84</v>
      </c>
      <c r="H519" s="11">
        <v>0.06</v>
      </c>
      <c r="I519" t="s">
        <v>734</v>
      </c>
      <c r="J519">
        <v>14.99</v>
      </c>
      <c r="K519" t="s">
        <v>37</v>
      </c>
      <c r="L519" t="s">
        <v>31</v>
      </c>
      <c r="M519" t="s">
        <v>22</v>
      </c>
      <c r="N519" t="s">
        <v>53</v>
      </c>
      <c r="O519" t="s">
        <v>81</v>
      </c>
      <c r="P519" t="s">
        <v>40</v>
      </c>
      <c r="Q519">
        <v>276.60000000000002</v>
      </c>
      <c r="R519">
        <v>16.596</v>
      </c>
      <c r="S519" s="12">
        <v>1254.9264000000001</v>
      </c>
    </row>
    <row r="520" spans="1:19" hidden="1" x14ac:dyDescent="0.25">
      <c r="A520" s="13">
        <v>45679</v>
      </c>
      <c r="B520" t="s">
        <v>324</v>
      </c>
      <c r="C520">
        <v>19915</v>
      </c>
      <c r="D520" t="s">
        <v>70</v>
      </c>
      <c r="E520" s="5">
        <v>27</v>
      </c>
      <c r="F520">
        <v>57.61</v>
      </c>
      <c r="G520" s="12" t="s">
        <v>84</v>
      </c>
      <c r="H520" s="11">
        <v>0.44</v>
      </c>
      <c r="I520" t="s">
        <v>19</v>
      </c>
      <c r="J520">
        <v>20.91</v>
      </c>
      <c r="K520" t="s">
        <v>20</v>
      </c>
      <c r="L520" s="14" t="s">
        <v>21</v>
      </c>
      <c r="M520" t="s">
        <v>22</v>
      </c>
      <c r="N520" t="s">
        <v>53</v>
      </c>
      <c r="O520" t="s">
        <v>24</v>
      </c>
      <c r="P520" t="s">
        <v>25</v>
      </c>
      <c r="Q520">
        <v>288.05</v>
      </c>
      <c r="R520">
        <v>126.742</v>
      </c>
      <c r="S520" s="12">
        <v>1207.98</v>
      </c>
    </row>
    <row r="521" spans="1:19" hidden="1" x14ac:dyDescent="0.25">
      <c r="A521" s="13">
        <v>45711</v>
      </c>
      <c r="B521" t="s">
        <v>705</v>
      </c>
      <c r="C521">
        <v>96209</v>
      </c>
      <c r="D521" t="s">
        <v>42</v>
      </c>
      <c r="E521" s="5">
        <v>42</v>
      </c>
      <c r="F521">
        <v>35.18</v>
      </c>
      <c r="G521" s="12" t="s">
        <v>84</v>
      </c>
      <c r="H521" s="11">
        <v>0.2</v>
      </c>
      <c r="I521" t="s">
        <v>29</v>
      </c>
      <c r="J521">
        <v>7.96</v>
      </c>
      <c r="K521" s="5" t="s">
        <v>44</v>
      </c>
      <c r="L521" s="14" t="s">
        <v>21</v>
      </c>
      <c r="M521" t="s">
        <v>22</v>
      </c>
      <c r="N521" t="s">
        <v>32</v>
      </c>
      <c r="O521" t="s">
        <v>33</v>
      </c>
      <c r="P521" t="s">
        <v>25</v>
      </c>
      <c r="Q521">
        <v>1477.56</v>
      </c>
      <c r="R521">
        <v>295.512</v>
      </c>
      <c r="S521" s="12">
        <v>1182.048</v>
      </c>
    </row>
    <row r="522" spans="1:19" hidden="1" x14ac:dyDescent="0.25">
      <c r="A522" s="13">
        <v>45666</v>
      </c>
      <c r="B522" t="s">
        <v>164</v>
      </c>
      <c r="C522">
        <v>78378</v>
      </c>
      <c r="D522" t="s">
        <v>42</v>
      </c>
      <c r="E522" s="5">
        <v>26</v>
      </c>
      <c r="F522">
        <v>3.09</v>
      </c>
      <c r="G522" s="12" t="s">
        <v>84</v>
      </c>
      <c r="H522" s="11">
        <v>0.06</v>
      </c>
      <c r="I522" t="s">
        <v>29</v>
      </c>
      <c r="J522">
        <v>11.34</v>
      </c>
      <c r="K522" s="5" t="s">
        <v>44</v>
      </c>
      <c r="L522" s="14" t="s">
        <v>21</v>
      </c>
      <c r="M522" t="s">
        <v>22</v>
      </c>
      <c r="N522" t="s">
        <v>23</v>
      </c>
      <c r="O522" t="s">
        <v>59</v>
      </c>
      <c r="P522" t="s">
        <v>25</v>
      </c>
      <c r="Q522">
        <v>3.09</v>
      </c>
      <c r="R522">
        <v>0.18539999999999998</v>
      </c>
      <c r="S522" s="12">
        <v>1173.9780000000001</v>
      </c>
    </row>
    <row r="523" spans="1:19" hidden="1" x14ac:dyDescent="0.25">
      <c r="A523" s="13">
        <v>45675</v>
      </c>
      <c r="B523" t="s">
        <v>250</v>
      </c>
      <c r="C523">
        <v>23928</v>
      </c>
      <c r="D523" t="s">
        <v>89</v>
      </c>
      <c r="E523" s="5">
        <v>49</v>
      </c>
      <c r="F523">
        <v>78.94</v>
      </c>
      <c r="G523" s="12" t="s">
        <v>84</v>
      </c>
      <c r="H523" s="11">
        <v>0.41</v>
      </c>
      <c r="I523" t="s">
        <v>734</v>
      </c>
      <c r="J523">
        <v>21.06</v>
      </c>
      <c r="K523" t="s">
        <v>20</v>
      </c>
      <c r="L523" s="14" t="s">
        <v>21</v>
      </c>
      <c r="M523" t="s">
        <v>22</v>
      </c>
      <c r="N523" t="s">
        <v>53</v>
      </c>
      <c r="O523" t="s">
        <v>33</v>
      </c>
      <c r="P523" t="s">
        <v>25</v>
      </c>
      <c r="Q523">
        <v>947.28</v>
      </c>
      <c r="R523">
        <v>388.38479999999998</v>
      </c>
      <c r="S523" s="12">
        <v>1152.48</v>
      </c>
    </row>
    <row r="524" spans="1:19" hidden="1" x14ac:dyDescent="0.25">
      <c r="A524" s="13">
        <v>45700</v>
      </c>
      <c r="B524" t="s">
        <v>443</v>
      </c>
      <c r="C524">
        <v>45661</v>
      </c>
      <c r="D524" t="s">
        <v>66</v>
      </c>
      <c r="E524" s="5">
        <v>27</v>
      </c>
      <c r="F524">
        <v>63.07</v>
      </c>
      <c r="G524" s="12" t="s">
        <v>84</v>
      </c>
      <c r="H524" s="11">
        <v>0.31</v>
      </c>
      <c r="I524" t="s">
        <v>19</v>
      </c>
      <c r="J524">
        <v>8.15</v>
      </c>
      <c r="K524" s="5" t="s">
        <v>44</v>
      </c>
      <c r="L524" t="s">
        <v>31</v>
      </c>
      <c r="M524" t="s">
        <v>22</v>
      </c>
      <c r="N524" t="s">
        <v>53</v>
      </c>
      <c r="O524" t="s">
        <v>39</v>
      </c>
      <c r="P524" t="s">
        <v>34</v>
      </c>
      <c r="Q524">
        <v>63.07</v>
      </c>
      <c r="R524">
        <v>19.5517</v>
      </c>
      <c r="S524" s="12">
        <v>1066.9886999999999</v>
      </c>
    </row>
    <row r="525" spans="1:19" hidden="1" x14ac:dyDescent="0.25">
      <c r="A525" s="13">
        <v>45672</v>
      </c>
      <c r="B525" t="s">
        <v>101</v>
      </c>
      <c r="C525">
        <v>95810</v>
      </c>
      <c r="D525" t="s">
        <v>70</v>
      </c>
      <c r="E525" s="5">
        <v>28</v>
      </c>
      <c r="F525">
        <v>96.12</v>
      </c>
      <c r="G525" s="12" t="s">
        <v>84</v>
      </c>
      <c r="H525" s="11">
        <v>0.28999999999999998</v>
      </c>
      <c r="I525" t="s">
        <v>734</v>
      </c>
      <c r="J525">
        <v>5.05</v>
      </c>
      <c r="K525" t="s">
        <v>50</v>
      </c>
      <c r="L525" t="s">
        <v>31</v>
      </c>
      <c r="M525" t="s">
        <v>22</v>
      </c>
      <c r="N525" t="s">
        <v>32</v>
      </c>
      <c r="O525" t="s">
        <v>24</v>
      </c>
      <c r="P525" t="s">
        <v>34</v>
      </c>
      <c r="Q525">
        <v>1730.16</v>
      </c>
      <c r="R525">
        <v>501.74639999999999</v>
      </c>
      <c r="S525" s="12">
        <v>920.08</v>
      </c>
    </row>
    <row r="526" spans="1:19" x14ac:dyDescent="0.25">
      <c r="A526" s="13">
        <v>45673</v>
      </c>
      <c r="B526" t="s">
        <v>216</v>
      </c>
      <c r="C526">
        <v>43388</v>
      </c>
      <c r="D526" t="s">
        <v>89</v>
      </c>
      <c r="E526" s="5">
        <v>31</v>
      </c>
      <c r="F526" s="23">
        <v>78.72</v>
      </c>
      <c r="G526" s="12" t="s">
        <v>84</v>
      </c>
      <c r="H526" s="37">
        <v>0.18</v>
      </c>
      <c r="I526" t="s">
        <v>734</v>
      </c>
      <c r="J526" s="23">
        <v>14.27</v>
      </c>
      <c r="K526" s="5" t="s">
        <v>44</v>
      </c>
      <c r="L526" s="14" t="s">
        <v>21</v>
      </c>
      <c r="M526" t="s">
        <v>22</v>
      </c>
      <c r="N526" t="s">
        <v>23</v>
      </c>
      <c r="O526" t="s">
        <v>81</v>
      </c>
      <c r="P526" s="14" t="s">
        <v>34</v>
      </c>
      <c r="Q526" s="23">
        <v>157.44</v>
      </c>
      <c r="R526" s="23">
        <v>28.339199999999998</v>
      </c>
      <c r="S526" s="24">
        <v>908.06439999999998</v>
      </c>
    </row>
    <row r="527" spans="1:19" x14ac:dyDescent="0.25">
      <c r="A527" s="13">
        <v>45707</v>
      </c>
      <c r="B527" t="s">
        <v>661</v>
      </c>
      <c r="C527">
        <v>87346</v>
      </c>
      <c r="D527" t="s">
        <v>17</v>
      </c>
      <c r="E527" s="5">
        <v>33</v>
      </c>
      <c r="F527" s="23">
        <v>48.18</v>
      </c>
      <c r="G527" s="12" t="s">
        <v>84</v>
      </c>
      <c r="H527" s="37">
        <v>0.5</v>
      </c>
      <c r="I527" t="s">
        <v>29</v>
      </c>
      <c r="J527" s="23">
        <v>28.42</v>
      </c>
      <c r="K527" t="s">
        <v>30</v>
      </c>
      <c r="L527" s="14" t="s">
        <v>21</v>
      </c>
      <c r="M527" t="s">
        <v>22</v>
      </c>
      <c r="N527" t="s">
        <v>38</v>
      </c>
      <c r="O527" t="s">
        <v>33</v>
      </c>
      <c r="P527" s="14" t="s">
        <v>34</v>
      </c>
      <c r="Q527" s="23">
        <v>578.16</v>
      </c>
      <c r="R527" s="23">
        <v>289.08</v>
      </c>
      <c r="S527" s="24">
        <v>818.49570000000006</v>
      </c>
    </row>
    <row r="528" spans="1:19" hidden="1" x14ac:dyDescent="0.25">
      <c r="A528" s="13">
        <v>45708</v>
      </c>
      <c r="B528" t="s">
        <v>301</v>
      </c>
      <c r="C528">
        <v>18320</v>
      </c>
      <c r="D528" t="s">
        <v>42</v>
      </c>
      <c r="E528" s="5">
        <v>25</v>
      </c>
      <c r="F528">
        <v>44.06</v>
      </c>
      <c r="G528" s="12" t="s">
        <v>84</v>
      </c>
      <c r="H528" s="11">
        <v>0.14000000000000001</v>
      </c>
      <c r="I528" t="s">
        <v>19</v>
      </c>
      <c r="J528">
        <v>20.81</v>
      </c>
      <c r="K528" t="s">
        <v>30</v>
      </c>
      <c r="L528" t="s">
        <v>31</v>
      </c>
      <c r="M528" t="s">
        <v>22</v>
      </c>
      <c r="N528" t="s">
        <v>53</v>
      </c>
      <c r="O528" t="s">
        <v>24</v>
      </c>
      <c r="P528" t="s">
        <v>40</v>
      </c>
      <c r="Q528">
        <v>1189.6200000000001</v>
      </c>
      <c r="R528">
        <v>166.54680000000002</v>
      </c>
      <c r="S528" s="12">
        <v>782.14499999999998</v>
      </c>
    </row>
    <row r="529" spans="1:19" hidden="1" x14ac:dyDescent="0.25">
      <c r="A529" s="13">
        <v>45686</v>
      </c>
      <c r="B529" t="s">
        <v>336</v>
      </c>
      <c r="C529">
        <v>79717</v>
      </c>
      <c r="D529" t="s">
        <v>17</v>
      </c>
      <c r="E529" s="5">
        <v>23</v>
      </c>
      <c r="F529">
        <v>17.03</v>
      </c>
      <c r="G529" s="12" t="s">
        <v>84</v>
      </c>
      <c r="H529" s="11">
        <v>0.1</v>
      </c>
      <c r="I529" t="s">
        <v>19</v>
      </c>
      <c r="J529">
        <v>17.45</v>
      </c>
      <c r="K529" s="5" t="s">
        <v>44</v>
      </c>
      <c r="L529" t="s">
        <v>31</v>
      </c>
      <c r="M529" t="s">
        <v>22</v>
      </c>
      <c r="N529" t="s">
        <v>32</v>
      </c>
      <c r="O529" t="s">
        <v>81</v>
      </c>
      <c r="P529" t="s">
        <v>25</v>
      </c>
      <c r="Q529">
        <v>834.47</v>
      </c>
      <c r="R529">
        <v>83.447000000000003</v>
      </c>
      <c r="S529" s="12">
        <v>760.57320000000004</v>
      </c>
    </row>
    <row r="530" spans="1:19" hidden="1" x14ac:dyDescent="0.25">
      <c r="A530" s="13">
        <v>45703</v>
      </c>
      <c r="B530" t="s">
        <v>215</v>
      </c>
      <c r="C530">
        <v>31417</v>
      </c>
      <c r="D530" t="s">
        <v>70</v>
      </c>
      <c r="E530" s="5">
        <v>45</v>
      </c>
      <c r="F530">
        <v>5.04</v>
      </c>
      <c r="G530" s="12" t="s">
        <v>84</v>
      </c>
      <c r="H530" s="11">
        <v>0.42</v>
      </c>
      <c r="I530" t="s">
        <v>29</v>
      </c>
      <c r="J530">
        <v>12.44</v>
      </c>
      <c r="K530" t="s">
        <v>37</v>
      </c>
      <c r="L530" s="14" t="s">
        <v>21</v>
      </c>
      <c r="M530" t="s">
        <v>111</v>
      </c>
      <c r="N530" t="s">
        <v>53</v>
      </c>
      <c r="O530" t="s">
        <v>33</v>
      </c>
      <c r="P530" t="s">
        <v>25</v>
      </c>
      <c r="Q530">
        <v>50.4</v>
      </c>
      <c r="R530">
        <v>21.167999999999999</v>
      </c>
      <c r="S530" s="12">
        <v>746.98200000000008</v>
      </c>
    </row>
    <row r="531" spans="1:19" hidden="1" x14ac:dyDescent="0.25">
      <c r="A531" s="13">
        <v>45683</v>
      </c>
      <c r="B531" t="s">
        <v>398</v>
      </c>
      <c r="C531">
        <v>14477</v>
      </c>
      <c r="D531" t="s">
        <v>49</v>
      </c>
      <c r="E531" s="5">
        <v>26</v>
      </c>
      <c r="F531">
        <v>75.13</v>
      </c>
      <c r="G531" s="12" t="s">
        <v>84</v>
      </c>
      <c r="H531" s="11">
        <v>0.36</v>
      </c>
      <c r="I531" t="s">
        <v>19</v>
      </c>
      <c r="J531">
        <v>12.76</v>
      </c>
      <c r="K531" t="s">
        <v>20</v>
      </c>
      <c r="L531" t="s">
        <v>31</v>
      </c>
      <c r="M531" t="s">
        <v>22</v>
      </c>
      <c r="N531" t="s">
        <v>38</v>
      </c>
      <c r="O531" t="s">
        <v>59</v>
      </c>
      <c r="P531" t="s">
        <v>25</v>
      </c>
      <c r="Q531">
        <v>2930.0699999999997</v>
      </c>
      <c r="R531">
        <v>1054.8251999999998</v>
      </c>
      <c r="S531" s="12">
        <v>706.64880000000005</v>
      </c>
    </row>
    <row r="532" spans="1:19" hidden="1" x14ac:dyDescent="0.25">
      <c r="A532" s="13">
        <v>45697</v>
      </c>
      <c r="B532" t="s">
        <v>502</v>
      </c>
      <c r="C532">
        <v>10025</v>
      </c>
      <c r="D532" t="s">
        <v>89</v>
      </c>
      <c r="E532" s="5">
        <v>48</v>
      </c>
      <c r="F532">
        <v>81.67</v>
      </c>
      <c r="G532" s="12" t="s">
        <v>84</v>
      </c>
      <c r="H532" s="11">
        <v>0.16</v>
      </c>
      <c r="I532" t="s">
        <v>29</v>
      </c>
      <c r="J532">
        <v>6.93</v>
      </c>
      <c r="K532" t="s">
        <v>30</v>
      </c>
      <c r="L532" s="14" t="s">
        <v>21</v>
      </c>
      <c r="M532" t="s">
        <v>22</v>
      </c>
      <c r="N532" t="s">
        <v>32</v>
      </c>
      <c r="O532" t="s">
        <v>59</v>
      </c>
      <c r="P532" t="s">
        <v>25</v>
      </c>
      <c r="Q532">
        <v>1470.06</v>
      </c>
      <c r="R532">
        <v>235.20959999999999</v>
      </c>
      <c r="S532" s="12">
        <v>694.88639999999987</v>
      </c>
    </row>
    <row r="533" spans="1:19" hidden="1" x14ac:dyDescent="0.25">
      <c r="A533" s="13">
        <v>45668</v>
      </c>
      <c r="B533" t="s">
        <v>173</v>
      </c>
      <c r="C533">
        <v>86089</v>
      </c>
      <c r="D533" t="s">
        <v>17</v>
      </c>
      <c r="E533" s="5">
        <v>15</v>
      </c>
      <c r="F533">
        <v>53</v>
      </c>
      <c r="G533" s="12" t="s">
        <v>84</v>
      </c>
      <c r="H533" s="11">
        <v>0.14000000000000001</v>
      </c>
      <c r="I533" t="s">
        <v>19</v>
      </c>
      <c r="J533">
        <v>17.43</v>
      </c>
      <c r="K533" t="s">
        <v>20</v>
      </c>
      <c r="L533" t="s">
        <v>31</v>
      </c>
      <c r="M533" t="s">
        <v>735</v>
      </c>
      <c r="N533" t="s">
        <v>38</v>
      </c>
      <c r="O533" t="s">
        <v>39</v>
      </c>
      <c r="P533" t="s">
        <v>25</v>
      </c>
      <c r="Q533">
        <v>371</v>
      </c>
      <c r="R533">
        <v>51.940000000000005</v>
      </c>
      <c r="S533" s="12">
        <v>665.86799999999994</v>
      </c>
    </row>
    <row r="534" spans="1:19" hidden="1" x14ac:dyDescent="0.25">
      <c r="A534" s="13">
        <v>45686</v>
      </c>
      <c r="B534" t="s">
        <v>378</v>
      </c>
      <c r="C534">
        <v>30600</v>
      </c>
      <c r="D534" t="s">
        <v>46</v>
      </c>
      <c r="E534" s="5">
        <v>8</v>
      </c>
      <c r="F534">
        <v>29.69</v>
      </c>
      <c r="G534" s="12" t="s">
        <v>84</v>
      </c>
      <c r="H534" s="11">
        <v>0.04</v>
      </c>
      <c r="I534" t="s">
        <v>734</v>
      </c>
      <c r="J534">
        <v>22.81</v>
      </c>
      <c r="K534" t="s">
        <v>20</v>
      </c>
      <c r="L534" s="14" t="s">
        <v>21</v>
      </c>
      <c r="M534" t="s">
        <v>22</v>
      </c>
      <c r="N534" t="s">
        <v>53</v>
      </c>
      <c r="O534" t="s">
        <v>24</v>
      </c>
      <c r="P534" t="s">
        <v>25</v>
      </c>
      <c r="Q534">
        <v>1365.74</v>
      </c>
      <c r="R534">
        <v>54.629600000000003</v>
      </c>
      <c r="S534" s="12">
        <v>543.08799999999997</v>
      </c>
    </row>
    <row r="535" spans="1:19" hidden="1" x14ac:dyDescent="0.25">
      <c r="A535" s="13">
        <v>45703</v>
      </c>
      <c r="B535" t="s">
        <v>271</v>
      </c>
      <c r="C535">
        <v>73925</v>
      </c>
      <c r="D535" t="s">
        <v>46</v>
      </c>
      <c r="E535" s="5">
        <v>14</v>
      </c>
      <c r="F535">
        <v>80.900000000000006</v>
      </c>
      <c r="G535" s="12" t="s">
        <v>84</v>
      </c>
      <c r="H535" s="11">
        <v>0.32</v>
      </c>
      <c r="I535" t="s">
        <v>19</v>
      </c>
      <c r="J535">
        <v>16.600000000000001</v>
      </c>
      <c r="K535" t="s">
        <v>20</v>
      </c>
      <c r="L535" t="s">
        <v>31</v>
      </c>
      <c r="M535" t="s">
        <v>22</v>
      </c>
      <c r="N535" t="s">
        <v>38</v>
      </c>
      <c r="O535" t="s">
        <v>24</v>
      </c>
      <c r="P535" t="s">
        <v>34</v>
      </c>
      <c r="Q535">
        <v>2912.4</v>
      </c>
      <c r="R535">
        <v>931.96800000000007</v>
      </c>
      <c r="S535" s="12">
        <v>518.36400000000003</v>
      </c>
    </row>
    <row r="536" spans="1:19" hidden="1" x14ac:dyDescent="0.25">
      <c r="A536" s="13">
        <v>45682</v>
      </c>
      <c r="B536" t="s">
        <v>368</v>
      </c>
      <c r="C536">
        <v>85232</v>
      </c>
      <c r="D536" t="s">
        <v>70</v>
      </c>
      <c r="E536" s="5">
        <v>42</v>
      </c>
      <c r="F536">
        <v>51.51</v>
      </c>
      <c r="G536" s="12" t="s">
        <v>84</v>
      </c>
      <c r="H536" s="11">
        <v>0.42</v>
      </c>
      <c r="I536" t="s">
        <v>19</v>
      </c>
      <c r="J536">
        <v>16.39</v>
      </c>
      <c r="K536" t="s">
        <v>30</v>
      </c>
      <c r="L536" t="s">
        <v>31</v>
      </c>
      <c r="M536" t="s">
        <v>22</v>
      </c>
      <c r="N536" t="s">
        <v>23</v>
      </c>
      <c r="O536" t="s">
        <v>33</v>
      </c>
      <c r="P536" t="s">
        <v>25</v>
      </c>
      <c r="Q536">
        <v>772.65</v>
      </c>
      <c r="R536">
        <v>324.51299999999998</v>
      </c>
      <c r="S536" s="12">
        <v>503.13900000000001</v>
      </c>
    </row>
    <row r="537" spans="1:19" hidden="1" x14ac:dyDescent="0.25">
      <c r="A537" s="13">
        <v>45686</v>
      </c>
      <c r="B537" t="s">
        <v>428</v>
      </c>
      <c r="C537">
        <v>63650</v>
      </c>
      <c r="D537" t="s">
        <v>49</v>
      </c>
      <c r="E537" s="5">
        <v>22</v>
      </c>
      <c r="F537">
        <v>70.7</v>
      </c>
      <c r="G537" s="12" t="s">
        <v>84</v>
      </c>
      <c r="H537" s="11">
        <v>0.46</v>
      </c>
      <c r="I537" t="s">
        <v>19</v>
      </c>
      <c r="J537">
        <v>24.78</v>
      </c>
      <c r="K537" s="5" t="s">
        <v>44</v>
      </c>
      <c r="L537" t="s">
        <v>31</v>
      </c>
      <c r="M537" t="s">
        <v>22</v>
      </c>
      <c r="N537" t="s">
        <v>23</v>
      </c>
      <c r="O537" t="s">
        <v>33</v>
      </c>
      <c r="P537" t="s">
        <v>25</v>
      </c>
      <c r="Q537">
        <v>636.30000000000007</v>
      </c>
      <c r="R537">
        <v>292.69800000000004</v>
      </c>
      <c r="S537" s="12">
        <v>484.38719999999995</v>
      </c>
    </row>
    <row r="538" spans="1:19" hidden="1" x14ac:dyDescent="0.25">
      <c r="A538" s="13">
        <v>45673</v>
      </c>
      <c r="B538" t="s">
        <v>159</v>
      </c>
      <c r="C538">
        <v>26526</v>
      </c>
      <c r="D538" t="s">
        <v>57</v>
      </c>
      <c r="E538" s="5">
        <v>18</v>
      </c>
      <c r="F538">
        <v>75.98</v>
      </c>
      <c r="G538" s="12" t="s">
        <v>84</v>
      </c>
      <c r="H538" s="11">
        <v>0.34</v>
      </c>
      <c r="I538" t="s">
        <v>19</v>
      </c>
      <c r="J538">
        <v>14.12</v>
      </c>
      <c r="K538" t="s">
        <v>37</v>
      </c>
      <c r="L538" s="14" t="s">
        <v>21</v>
      </c>
      <c r="M538" t="s">
        <v>22</v>
      </c>
      <c r="N538" t="s">
        <v>23</v>
      </c>
      <c r="O538" t="s">
        <v>81</v>
      </c>
      <c r="P538" t="s">
        <v>25</v>
      </c>
      <c r="Q538">
        <v>455.88</v>
      </c>
      <c r="R538">
        <v>154.9992</v>
      </c>
      <c r="S538" s="12">
        <v>446.09940000000006</v>
      </c>
    </row>
    <row r="539" spans="1:19" hidden="1" x14ac:dyDescent="0.25">
      <c r="A539" s="13">
        <v>45701</v>
      </c>
      <c r="B539" t="s">
        <v>163</v>
      </c>
      <c r="C539">
        <v>27058</v>
      </c>
      <c r="D539" t="s">
        <v>17</v>
      </c>
      <c r="E539" s="5">
        <v>10</v>
      </c>
      <c r="F539">
        <v>28.36</v>
      </c>
      <c r="G539" s="12" t="s">
        <v>84</v>
      </c>
      <c r="H539" s="11">
        <v>0.22</v>
      </c>
      <c r="I539" t="s">
        <v>19</v>
      </c>
      <c r="J539">
        <v>19</v>
      </c>
      <c r="K539" t="s">
        <v>20</v>
      </c>
      <c r="L539" t="s">
        <v>31</v>
      </c>
      <c r="M539" t="s">
        <v>22</v>
      </c>
      <c r="N539" t="s">
        <v>53</v>
      </c>
      <c r="O539" t="s">
        <v>33</v>
      </c>
      <c r="P539" t="s">
        <v>40</v>
      </c>
      <c r="Q539">
        <v>226.88</v>
      </c>
      <c r="R539">
        <v>49.913600000000002</v>
      </c>
      <c r="S539" s="12">
        <v>436.12800000000004</v>
      </c>
    </row>
    <row r="540" spans="1:19" hidden="1" x14ac:dyDescent="0.25">
      <c r="A540" s="13">
        <v>45688</v>
      </c>
      <c r="B540" t="s">
        <v>457</v>
      </c>
      <c r="C540">
        <v>21426</v>
      </c>
      <c r="D540" t="s">
        <v>75</v>
      </c>
      <c r="E540" s="5">
        <v>21</v>
      </c>
      <c r="F540">
        <v>87.4</v>
      </c>
      <c r="G540" s="12" t="s">
        <v>84</v>
      </c>
      <c r="H540" s="11">
        <v>0.28999999999999998</v>
      </c>
      <c r="I540" t="s">
        <v>734</v>
      </c>
      <c r="J540">
        <v>21.6</v>
      </c>
      <c r="K540" t="s">
        <v>50</v>
      </c>
      <c r="L540" t="s">
        <v>31</v>
      </c>
      <c r="M540" t="s">
        <v>22</v>
      </c>
      <c r="N540" t="s">
        <v>32</v>
      </c>
      <c r="O540" t="s">
        <v>59</v>
      </c>
      <c r="P540" t="s">
        <v>40</v>
      </c>
      <c r="Q540">
        <v>1311</v>
      </c>
      <c r="R540">
        <v>380.19</v>
      </c>
      <c r="S540" s="12">
        <v>433.37909999999999</v>
      </c>
    </row>
    <row r="541" spans="1:19" hidden="1" x14ac:dyDescent="0.25">
      <c r="A541" s="13">
        <v>45674</v>
      </c>
      <c r="B541" t="s">
        <v>229</v>
      </c>
      <c r="C541">
        <v>72868</v>
      </c>
      <c r="D541" t="s">
        <v>27</v>
      </c>
      <c r="E541" s="5">
        <v>11</v>
      </c>
      <c r="F541">
        <v>46.28</v>
      </c>
      <c r="G541" s="12" t="s">
        <v>84</v>
      </c>
      <c r="H541" s="11">
        <v>0.05</v>
      </c>
      <c r="I541" t="s">
        <v>29</v>
      </c>
      <c r="J541">
        <v>8.5500000000000007</v>
      </c>
      <c r="K541" t="s">
        <v>30</v>
      </c>
      <c r="L541" t="s">
        <v>31</v>
      </c>
      <c r="M541" t="s">
        <v>22</v>
      </c>
      <c r="N541" t="s">
        <v>38</v>
      </c>
      <c r="O541" t="s">
        <v>39</v>
      </c>
      <c r="P541" t="s">
        <v>25</v>
      </c>
      <c r="Q541">
        <v>1203.28</v>
      </c>
      <c r="R541">
        <v>60.164000000000001</v>
      </c>
      <c r="S541" s="12">
        <v>416.11900000000003</v>
      </c>
    </row>
    <row r="542" spans="1:19" hidden="1" x14ac:dyDescent="0.25">
      <c r="A542" s="13">
        <v>45702</v>
      </c>
      <c r="B542" t="s">
        <v>535</v>
      </c>
      <c r="C542">
        <v>37731</v>
      </c>
      <c r="D542" t="s">
        <v>46</v>
      </c>
      <c r="E542" s="5">
        <v>7</v>
      </c>
      <c r="F542">
        <v>70.14</v>
      </c>
      <c r="G542" s="12" t="s">
        <v>84</v>
      </c>
      <c r="H542" s="11">
        <v>0.11</v>
      </c>
      <c r="I542" t="s">
        <v>19</v>
      </c>
      <c r="J542">
        <v>21.35</v>
      </c>
      <c r="K542" t="s">
        <v>50</v>
      </c>
      <c r="L542" t="s">
        <v>31</v>
      </c>
      <c r="M542" t="s">
        <v>22</v>
      </c>
      <c r="N542" t="s">
        <v>38</v>
      </c>
      <c r="O542" t="s">
        <v>39</v>
      </c>
      <c r="P542" t="s">
        <v>25</v>
      </c>
      <c r="Q542">
        <v>1262.52</v>
      </c>
      <c r="R542">
        <v>138.87719999999999</v>
      </c>
      <c r="S542" s="12">
        <v>408.82869999999997</v>
      </c>
    </row>
    <row r="543" spans="1:19" hidden="1" x14ac:dyDescent="0.25">
      <c r="A543" s="13">
        <v>45697</v>
      </c>
      <c r="B543" t="s">
        <v>556</v>
      </c>
      <c r="C543">
        <v>22398</v>
      </c>
      <c r="D543" t="s">
        <v>17</v>
      </c>
      <c r="E543" s="5">
        <v>15</v>
      </c>
      <c r="F543">
        <v>9.08</v>
      </c>
      <c r="G543" s="12" t="s">
        <v>84</v>
      </c>
      <c r="H543" s="11">
        <v>0.49</v>
      </c>
      <c r="I543" t="s">
        <v>734</v>
      </c>
      <c r="J543">
        <v>19.16</v>
      </c>
      <c r="K543" t="s">
        <v>37</v>
      </c>
      <c r="L543" t="s">
        <v>31</v>
      </c>
      <c r="M543" t="s">
        <v>22</v>
      </c>
      <c r="N543" t="s">
        <v>53</v>
      </c>
      <c r="O543" t="s">
        <v>59</v>
      </c>
      <c r="P543" t="s">
        <v>25</v>
      </c>
      <c r="Q543">
        <v>417.68</v>
      </c>
      <c r="R543">
        <v>204.66319999999999</v>
      </c>
      <c r="S543" s="12">
        <v>389.154</v>
      </c>
    </row>
    <row r="544" spans="1:19" hidden="1" x14ac:dyDescent="0.25">
      <c r="A544" s="13">
        <v>45698</v>
      </c>
      <c r="B544" t="s">
        <v>568</v>
      </c>
      <c r="C544">
        <v>78087</v>
      </c>
      <c r="D544" t="s">
        <v>49</v>
      </c>
      <c r="E544" s="5">
        <v>31</v>
      </c>
      <c r="F544">
        <v>1.72</v>
      </c>
      <c r="G544" s="12" t="s">
        <v>84</v>
      </c>
      <c r="H544" s="11">
        <v>0.46</v>
      </c>
      <c r="I544" t="s">
        <v>29</v>
      </c>
      <c r="J544">
        <v>22.83</v>
      </c>
      <c r="K544" t="s">
        <v>20</v>
      </c>
      <c r="L544" t="s">
        <v>31</v>
      </c>
      <c r="M544" t="s">
        <v>22</v>
      </c>
      <c r="N544" t="s">
        <v>32</v>
      </c>
      <c r="O544" t="s">
        <v>24</v>
      </c>
      <c r="P544" t="s">
        <v>25</v>
      </c>
      <c r="Q544">
        <v>53.32</v>
      </c>
      <c r="R544">
        <v>24.527200000000001</v>
      </c>
      <c r="S544" s="12">
        <v>364.47320000000002</v>
      </c>
    </row>
    <row r="545" spans="1:19" hidden="1" x14ac:dyDescent="0.25">
      <c r="A545" s="13">
        <v>45698</v>
      </c>
      <c r="B545" t="s">
        <v>204</v>
      </c>
      <c r="C545">
        <v>30556</v>
      </c>
      <c r="D545" t="s">
        <v>89</v>
      </c>
      <c r="E545" s="5">
        <v>21</v>
      </c>
      <c r="F545">
        <v>40.61</v>
      </c>
      <c r="G545" s="12" t="s">
        <v>84</v>
      </c>
      <c r="H545" s="11">
        <v>0.1</v>
      </c>
      <c r="I545" t="s">
        <v>29</v>
      </c>
      <c r="J545">
        <v>22.23</v>
      </c>
      <c r="K545" t="s">
        <v>30</v>
      </c>
      <c r="L545" s="14" t="s">
        <v>21</v>
      </c>
      <c r="M545" t="s">
        <v>22</v>
      </c>
      <c r="N545" t="s">
        <v>38</v>
      </c>
      <c r="O545" t="s">
        <v>81</v>
      </c>
      <c r="P545" t="s">
        <v>25</v>
      </c>
      <c r="Q545">
        <v>1137.08</v>
      </c>
      <c r="R545">
        <v>113.708</v>
      </c>
      <c r="S545" s="12">
        <v>355.93740000000003</v>
      </c>
    </row>
    <row r="546" spans="1:19" hidden="1" x14ac:dyDescent="0.25">
      <c r="A546" s="13">
        <v>45685</v>
      </c>
      <c r="B546" t="s">
        <v>416</v>
      </c>
      <c r="C546">
        <v>23361</v>
      </c>
      <c r="D546" t="s">
        <v>46</v>
      </c>
      <c r="E546" s="5">
        <v>7</v>
      </c>
      <c r="F546">
        <v>26.52</v>
      </c>
      <c r="G546" s="12" t="s">
        <v>84</v>
      </c>
      <c r="H546" s="11">
        <v>0.18</v>
      </c>
      <c r="I546" t="s">
        <v>19</v>
      </c>
      <c r="J546">
        <v>6.96</v>
      </c>
      <c r="K546" t="s">
        <v>50</v>
      </c>
      <c r="L546" t="s">
        <v>31</v>
      </c>
      <c r="M546" t="s">
        <v>22</v>
      </c>
      <c r="N546" t="s">
        <v>23</v>
      </c>
      <c r="O546" t="s">
        <v>39</v>
      </c>
      <c r="P546" t="s">
        <v>25</v>
      </c>
      <c r="Q546">
        <v>53.04</v>
      </c>
      <c r="R546">
        <v>9.5472000000000001</v>
      </c>
      <c r="S546" s="12">
        <v>337.16759999999999</v>
      </c>
    </row>
    <row r="547" spans="1:19" hidden="1" x14ac:dyDescent="0.25">
      <c r="A547" s="13">
        <v>45675</v>
      </c>
      <c r="B547" t="s">
        <v>269</v>
      </c>
      <c r="C547">
        <v>52615</v>
      </c>
      <c r="D547" t="s">
        <v>57</v>
      </c>
      <c r="E547" s="5">
        <v>9</v>
      </c>
      <c r="F547">
        <v>4.28</v>
      </c>
      <c r="G547" s="12" t="s">
        <v>84</v>
      </c>
      <c r="H547" s="11">
        <v>0.02</v>
      </c>
      <c r="I547" t="s">
        <v>19</v>
      </c>
      <c r="J547">
        <v>17.850000000000001</v>
      </c>
      <c r="K547" t="s">
        <v>37</v>
      </c>
      <c r="L547" s="14" t="s">
        <v>21</v>
      </c>
      <c r="M547" t="s">
        <v>22</v>
      </c>
      <c r="N547" t="s">
        <v>32</v>
      </c>
      <c r="O547" t="s">
        <v>81</v>
      </c>
      <c r="P547" t="s">
        <v>40</v>
      </c>
      <c r="Q547">
        <v>132.68</v>
      </c>
      <c r="R547">
        <v>2.6536000000000004</v>
      </c>
      <c r="S547" s="12">
        <v>318.77550000000002</v>
      </c>
    </row>
    <row r="548" spans="1:19" hidden="1" x14ac:dyDescent="0.25">
      <c r="A548" s="13">
        <v>45663</v>
      </c>
      <c r="B548" t="s">
        <v>133</v>
      </c>
      <c r="C548">
        <v>70895</v>
      </c>
      <c r="D548" t="s">
        <v>27</v>
      </c>
      <c r="E548" s="5">
        <v>35</v>
      </c>
      <c r="F548">
        <v>90.37</v>
      </c>
      <c r="G548" s="12" t="s">
        <v>84</v>
      </c>
      <c r="H548" s="11">
        <v>0.08</v>
      </c>
      <c r="I548" t="s">
        <v>734</v>
      </c>
      <c r="J548">
        <v>18.82</v>
      </c>
      <c r="K548" t="s">
        <v>50</v>
      </c>
      <c r="L548" t="s">
        <v>31</v>
      </c>
      <c r="M548" t="s">
        <v>22</v>
      </c>
      <c r="N548" t="s">
        <v>38</v>
      </c>
      <c r="O548" t="s">
        <v>59</v>
      </c>
      <c r="P548" t="s">
        <v>40</v>
      </c>
      <c r="Q548">
        <v>1897.77</v>
      </c>
      <c r="R548">
        <v>151.82159999999999</v>
      </c>
      <c r="S548" s="12">
        <v>316.589</v>
      </c>
    </row>
    <row r="549" spans="1:19" hidden="1" x14ac:dyDescent="0.25">
      <c r="A549" s="13">
        <v>45663</v>
      </c>
      <c r="B549" t="s">
        <v>138</v>
      </c>
      <c r="C549">
        <v>65949</v>
      </c>
      <c r="D549" t="s">
        <v>66</v>
      </c>
      <c r="E549" s="5">
        <v>25</v>
      </c>
      <c r="F549">
        <v>63.02</v>
      </c>
      <c r="G549" s="12" t="s">
        <v>84</v>
      </c>
      <c r="H549" s="11">
        <v>0.08</v>
      </c>
      <c r="I549" t="s">
        <v>19</v>
      </c>
      <c r="J549">
        <v>16.03</v>
      </c>
      <c r="K549" t="s">
        <v>37</v>
      </c>
      <c r="L549" t="s">
        <v>31</v>
      </c>
      <c r="M549" t="s">
        <v>22</v>
      </c>
      <c r="N549" t="s">
        <v>32</v>
      </c>
      <c r="O549" t="s">
        <v>33</v>
      </c>
      <c r="P549" t="s">
        <v>25</v>
      </c>
      <c r="Q549">
        <v>1827.5800000000002</v>
      </c>
      <c r="R549">
        <v>146.2064</v>
      </c>
      <c r="S549" s="12">
        <v>281.75</v>
      </c>
    </row>
    <row r="550" spans="1:19" hidden="1" x14ac:dyDescent="0.25">
      <c r="A550" s="13">
        <v>45660</v>
      </c>
      <c r="B550" t="s">
        <v>83</v>
      </c>
      <c r="C550">
        <v>64716</v>
      </c>
      <c r="D550" t="s">
        <v>42</v>
      </c>
      <c r="E550" s="5">
        <v>24</v>
      </c>
      <c r="F550">
        <v>17.09</v>
      </c>
      <c r="G550" s="12" t="s">
        <v>84</v>
      </c>
      <c r="H550" s="11">
        <v>0.33</v>
      </c>
      <c r="I550" t="s">
        <v>734</v>
      </c>
      <c r="J550">
        <v>10.14</v>
      </c>
      <c r="K550" s="5" t="s">
        <v>44</v>
      </c>
      <c r="L550" s="14" t="s">
        <v>21</v>
      </c>
      <c r="M550" t="s">
        <v>22</v>
      </c>
      <c r="N550" t="s">
        <v>32</v>
      </c>
      <c r="O550" t="s">
        <v>33</v>
      </c>
      <c r="P550" t="s">
        <v>40</v>
      </c>
      <c r="Q550">
        <v>410.15999999999997</v>
      </c>
      <c r="R550">
        <v>135.3528</v>
      </c>
      <c r="S550" s="12">
        <v>274.80719999999997</v>
      </c>
    </row>
    <row r="551" spans="1:19" hidden="1" x14ac:dyDescent="0.25">
      <c r="A551" s="13">
        <v>45677</v>
      </c>
      <c r="B551" t="s">
        <v>299</v>
      </c>
      <c r="C551">
        <v>82313</v>
      </c>
      <c r="D551" t="s">
        <v>57</v>
      </c>
      <c r="E551" s="5">
        <v>20</v>
      </c>
      <c r="F551">
        <v>6.91</v>
      </c>
      <c r="G551" s="12" t="s">
        <v>84</v>
      </c>
      <c r="H551" s="11">
        <v>0.37</v>
      </c>
      <c r="I551" t="s">
        <v>19</v>
      </c>
      <c r="J551">
        <v>22.13</v>
      </c>
      <c r="K551" t="s">
        <v>37</v>
      </c>
      <c r="L551" t="s">
        <v>31</v>
      </c>
      <c r="M551" t="s">
        <v>22</v>
      </c>
      <c r="N551" t="s">
        <v>32</v>
      </c>
      <c r="O551" t="s">
        <v>39</v>
      </c>
      <c r="P551" t="s">
        <v>34</v>
      </c>
      <c r="Q551">
        <v>131.29</v>
      </c>
      <c r="R551">
        <v>48.577299999999994</v>
      </c>
      <c r="S551" s="12">
        <v>260.00400000000002</v>
      </c>
    </row>
    <row r="552" spans="1:19" hidden="1" x14ac:dyDescent="0.25">
      <c r="A552" s="13">
        <v>45691</v>
      </c>
      <c r="B552" t="s">
        <v>121</v>
      </c>
      <c r="C552">
        <v>37686</v>
      </c>
      <c r="D552" t="s">
        <v>46</v>
      </c>
      <c r="E552" s="5">
        <v>33</v>
      </c>
      <c r="F552">
        <v>69.989999999999995</v>
      </c>
      <c r="G552" s="12" t="s">
        <v>84</v>
      </c>
      <c r="H552" s="11">
        <v>0.05</v>
      </c>
      <c r="I552" t="s">
        <v>734</v>
      </c>
      <c r="J552">
        <v>12.86</v>
      </c>
      <c r="K552" t="s">
        <v>20</v>
      </c>
      <c r="L552" t="s">
        <v>31</v>
      </c>
      <c r="M552" t="s">
        <v>22</v>
      </c>
      <c r="N552" t="s">
        <v>38</v>
      </c>
      <c r="O552" t="s">
        <v>81</v>
      </c>
      <c r="P552" t="s">
        <v>40</v>
      </c>
      <c r="Q552">
        <v>559.91999999999996</v>
      </c>
      <c r="R552">
        <v>27.995999999999999</v>
      </c>
      <c r="S552" s="12">
        <v>257.77620000000002</v>
      </c>
    </row>
    <row r="553" spans="1:19" hidden="1" x14ac:dyDescent="0.25">
      <c r="A553" s="13">
        <v>45672</v>
      </c>
      <c r="B553" t="s">
        <v>207</v>
      </c>
      <c r="C553">
        <v>52418</v>
      </c>
      <c r="D553" t="s">
        <v>66</v>
      </c>
      <c r="E553" s="5">
        <v>37</v>
      </c>
      <c r="F553">
        <v>92.89</v>
      </c>
      <c r="G553" s="12" t="s">
        <v>84</v>
      </c>
      <c r="H553" s="11">
        <v>0.32</v>
      </c>
      <c r="I553" t="s">
        <v>19</v>
      </c>
      <c r="J553">
        <v>14.5</v>
      </c>
      <c r="K553" s="5" t="s">
        <v>44</v>
      </c>
      <c r="L553" t="s">
        <v>31</v>
      </c>
      <c r="M553" t="s">
        <v>111</v>
      </c>
      <c r="N553" t="s">
        <v>53</v>
      </c>
      <c r="O553" t="s">
        <v>59</v>
      </c>
      <c r="P553" t="s">
        <v>25</v>
      </c>
      <c r="Q553">
        <v>650.23</v>
      </c>
      <c r="R553">
        <v>208.0736</v>
      </c>
      <c r="S553" s="12">
        <v>223.03600000000003</v>
      </c>
    </row>
    <row r="554" spans="1:19" hidden="1" x14ac:dyDescent="0.25">
      <c r="A554" s="13">
        <v>45661</v>
      </c>
      <c r="B554" t="s">
        <v>104</v>
      </c>
      <c r="C554">
        <v>18733</v>
      </c>
      <c r="D554" t="s">
        <v>66</v>
      </c>
      <c r="E554" s="5">
        <v>10</v>
      </c>
      <c r="F554">
        <v>9.4</v>
      </c>
      <c r="G554" s="12" t="s">
        <v>84</v>
      </c>
      <c r="H554" s="11">
        <v>0.28000000000000003</v>
      </c>
      <c r="I554" t="s">
        <v>29</v>
      </c>
      <c r="J554">
        <v>23.21</v>
      </c>
      <c r="K554" t="s">
        <v>20</v>
      </c>
      <c r="L554" t="s">
        <v>31</v>
      </c>
      <c r="M554" t="s">
        <v>22</v>
      </c>
      <c r="N554" t="s">
        <v>23</v>
      </c>
      <c r="O554" t="s">
        <v>24</v>
      </c>
      <c r="P554" t="s">
        <v>25</v>
      </c>
      <c r="Q554">
        <v>291.40000000000003</v>
      </c>
      <c r="R554">
        <v>81.592000000000013</v>
      </c>
      <c r="S554" s="12">
        <v>220.52400000000003</v>
      </c>
    </row>
    <row r="555" spans="1:19" hidden="1" x14ac:dyDescent="0.25">
      <c r="A555" s="13">
        <v>45661</v>
      </c>
      <c r="B555" t="s">
        <v>103</v>
      </c>
      <c r="C555">
        <v>50141</v>
      </c>
      <c r="D555" t="s">
        <v>42</v>
      </c>
      <c r="E555" s="5">
        <v>31</v>
      </c>
      <c r="F555">
        <v>25.98</v>
      </c>
      <c r="G555" s="12" t="s">
        <v>84</v>
      </c>
      <c r="H555" s="11">
        <v>0.24</v>
      </c>
      <c r="I555" t="s">
        <v>19</v>
      </c>
      <c r="J555">
        <v>28.13</v>
      </c>
      <c r="K555" s="5" t="s">
        <v>44</v>
      </c>
      <c r="L555" t="s">
        <v>31</v>
      </c>
      <c r="M555" t="s">
        <v>22</v>
      </c>
      <c r="N555" t="s">
        <v>32</v>
      </c>
      <c r="O555" t="s">
        <v>24</v>
      </c>
      <c r="P555" t="s">
        <v>40</v>
      </c>
      <c r="Q555">
        <v>727.44</v>
      </c>
      <c r="R555">
        <v>174.5856</v>
      </c>
      <c r="S555" s="12">
        <v>209.80800000000002</v>
      </c>
    </row>
    <row r="556" spans="1:19" hidden="1" x14ac:dyDescent="0.25">
      <c r="A556" s="13">
        <v>45709</v>
      </c>
      <c r="B556" t="s">
        <v>432</v>
      </c>
      <c r="C556">
        <v>26884</v>
      </c>
      <c r="D556" t="s">
        <v>70</v>
      </c>
      <c r="E556" s="5">
        <v>9</v>
      </c>
      <c r="F556">
        <v>2.44</v>
      </c>
      <c r="G556" s="12" t="s">
        <v>84</v>
      </c>
      <c r="H556" s="11">
        <v>0.48</v>
      </c>
      <c r="I556" t="s">
        <v>19</v>
      </c>
      <c r="J556">
        <v>16.93</v>
      </c>
      <c r="K556" s="5" t="s">
        <v>44</v>
      </c>
      <c r="L556" t="s">
        <v>31</v>
      </c>
      <c r="M556" t="s">
        <v>22</v>
      </c>
      <c r="N556" t="s">
        <v>38</v>
      </c>
      <c r="O556" t="s">
        <v>81</v>
      </c>
      <c r="P556" t="s">
        <v>34</v>
      </c>
      <c r="Q556">
        <v>109.8</v>
      </c>
      <c r="R556">
        <v>52.703999999999994</v>
      </c>
      <c r="S556" s="12">
        <v>197.90549999999999</v>
      </c>
    </row>
    <row r="557" spans="1:19" hidden="1" x14ac:dyDescent="0.25">
      <c r="A557" s="13">
        <v>45677</v>
      </c>
      <c r="B557" t="s">
        <v>294</v>
      </c>
      <c r="C557">
        <v>65874</v>
      </c>
      <c r="D557" t="s">
        <v>57</v>
      </c>
      <c r="E557" s="5">
        <v>5</v>
      </c>
      <c r="F557">
        <v>73.52</v>
      </c>
      <c r="G557" s="12" t="s">
        <v>84</v>
      </c>
      <c r="H557" s="11">
        <v>0.15</v>
      </c>
      <c r="I557" t="s">
        <v>19</v>
      </c>
      <c r="J557">
        <v>13.68</v>
      </c>
      <c r="K557" t="s">
        <v>37</v>
      </c>
      <c r="L557" t="s">
        <v>31</v>
      </c>
      <c r="M557" t="s">
        <v>22</v>
      </c>
      <c r="N557" t="s">
        <v>38</v>
      </c>
      <c r="O557" t="s">
        <v>39</v>
      </c>
      <c r="P557" t="s">
        <v>34</v>
      </c>
      <c r="Q557">
        <v>514.64</v>
      </c>
      <c r="R557">
        <v>77.195999999999998</v>
      </c>
      <c r="S557" s="12">
        <v>187.7175</v>
      </c>
    </row>
    <row r="558" spans="1:19" hidden="1" x14ac:dyDescent="0.25">
      <c r="A558" s="13">
        <v>45663</v>
      </c>
      <c r="B558" t="s">
        <v>141</v>
      </c>
      <c r="C558">
        <v>34587</v>
      </c>
      <c r="D558" t="s">
        <v>46</v>
      </c>
      <c r="E558" s="5">
        <v>30</v>
      </c>
      <c r="F558">
        <v>81.52</v>
      </c>
      <c r="G558" s="12" t="s">
        <v>84</v>
      </c>
      <c r="H558" s="11">
        <v>0.04</v>
      </c>
      <c r="I558" t="s">
        <v>29</v>
      </c>
      <c r="J558">
        <v>23.06</v>
      </c>
      <c r="K558" s="5" t="s">
        <v>44</v>
      </c>
      <c r="L558" t="s">
        <v>31</v>
      </c>
      <c r="M558" t="s">
        <v>22</v>
      </c>
      <c r="N558" t="s">
        <v>23</v>
      </c>
      <c r="O558" t="s">
        <v>24</v>
      </c>
      <c r="P558" t="s">
        <v>34</v>
      </c>
      <c r="Q558">
        <v>570.64</v>
      </c>
      <c r="R558">
        <v>22.825600000000001</v>
      </c>
      <c r="S558" s="12">
        <v>171.33600000000001</v>
      </c>
    </row>
    <row r="559" spans="1:19" x14ac:dyDescent="0.25">
      <c r="A559" s="13">
        <v>45679</v>
      </c>
      <c r="B559" t="s">
        <v>336</v>
      </c>
      <c r="C559">
        <v>57746</v>
      </c>
      <c r="D559" t="s">
        <v>68</v>
      </c>
      <c r="E559" s="5">
        <v>11</v>
      </c>
      <c r="F559" s="23">
        <v>79.45</v>
      </c>
      <c r="G559" s="12" t="s">
        <v>84</v>
      </c>
      <c r="H559" s="37">
        <v>0.06</v>
      </c>
      <c r="I559" t="s">
        <v>19</v>
      </c>
      <c r="J559" s="23">
        <v>14.77</v>
      </c>
      <c r="K559" t="s">
        <v>50</v>
      </c>
      <c r="L559" s="14" t="s">
        <v>21</v>
      </c>
      <c r="M559" t="s">
        <v>22</v>
      </c>
      <c r="N559" t="s">
        <v>23</v>
      </c>
      <c r="O559" t="s">
        <v>59</v>
      </c>
      <c r="P559" s="14" t="s">
        <v>34</v>
      </c>
      <c r="Q559" s="23">
        <v>3336.9</v>
      </c>
      <c r="R559" s="23">
        <v>200.214</v>
      </c>
      <c r="S559" s="24">
        <v>146.8192</v>
      </c>
    </row>
    <row r="560" spans="1:19" hidden="1" x14ac:dyDescent="0.25">
      <c r="A560" s="13">
        <v>45698</v>
      </c>
      <c r="B560" t="s">
        <v>261</v>
      </c>
      <c r="C560">
        <v>10485</v>
      </c>
      <c r="D560" t="s">
        <v>46</v>
      </c>
      <c r="E560" s="5">
        <v>3</v>
      </c>
      <c r="F560">
        <v>56.78</v>
      </c>
      <c r="G560" s="12" t="s">
        <v>84</v>
      </c>
      <c r="H560" s="11">
        <v>0.28000000000000003</v>
      </c>
      <c r="I560" t="s">
        <v>19</v>
      </c>
      <c r="J560">
        <v>13.2</v>
      </c>
      <c r="K560" t="s">
        <v>30</v>
      </c>
      <c r="L560" t="s">
        <v>31</v>
      </c>
      <c r="M560" t="s">
        <v>22</v>
      </c>
      <c r="N560" t="s">
        <v>23</v>
      </c>
      <c r="O560" t="s">
        <v>59</v>
      </c>
      <c r="P560" t="s">
        <v>25</v>
      </c>
      <c r="Q560">
        <v>2555.1</v>
      </c>
      <c r="R560">
        <v>715.428</v>
      </c>
      <c r="S560" s="12">
        <v>129.1524</v>
      </c>
    </row>
    <row r="561" spans="1:19" hidden="1" x14ac:dyDescent="0.25">
      <c r="A561" s="13">
        <v>45682</v>
      </c>
      <c r="B561" t="s">
        <v>368</v>
      </c>
      <c r="C561">
        <v>47898</v>
      </c>
      <c r="D561" t="s">
        <v>57</v>
      </c>
      <c r="E561" s="5">
        <v>46</v>
      </c>
      <c r="F561">
        <v>61.67</v>
      </c>
      <c r="G561" s="12" t="s">
        <v>84</v>
      </c>
      <c r="H561" s="11">
        <v>0.25</v>
      </c>
      <c r="I561" t="s">
        <v>19</v>
      </c>
      <c r="J561">
        <v>27.79</v>
      </c>
      <c r="K561" t="s">
        <v>30</v>
      </c>
      <c r="L561" t="s">
        <v>31</v>
      </c>
      <c r="M561" t="s">
        <v>22</v>
      </c>
      <c r="N561" t="s">
        <v>23</v>
      </c>
      <c r="O561" t="s">
        <v>33</v>
      </c>
      <c r="P561" t="s">
        <v>40</v>
      </c>
      <c r="Q561">
        <v>801.71</v>
      </c>
      <c r="R561">
        <v>200.42750000000001</v>
      </c>
      <c r="S561" s="12">
        <v>123.7032</v>
      </c>
    </row>
    <row r="562" spans="1:19" hidden="1" x14ac:dyDescent="0.25">
      <c r="A562" s="13">
        <v>45661</v>
      </c>
      <c r="B562" t="s">
        <v>63</v>
      </c>
      <c r="C562">
        <v>39467</v>
      </c>
      <c r="D562" t="s">
        <v>75</v>
      </c>
      <c r="E562" s="5">
        <v>10</v>
      </c>
      <c r="F562">
        <v>96.18</v>
      </c>
      <c r="G562" s="12" t="s">
        <v>84</v>
      </c>
      <c r="H562" s="11">
        <v>0.39</v>
      </c>
      <c r="I562" t="s">
        <v>29</v>
      </c>
      <c r="J562">
        <v>12.68</v>
      </c>
      <c r="K562" s="5" t="s">
        <v>44</v>
      </c>
      <c r="L562" t="s">
        <v>31</v>
      </c>
      <c r="M562" t="s">
        <v>22</v>
      </c>
      <c r="N562" t="s">
        <v>23</v>
      </c>
      <c r="O562" t="s">
        <v>39</v>
      </c>
      <c r="P562" t="s">
        <v>25</v>
      </c>
      <c r="Q562">
        <v>769.44</v>
      </c>
      <c r="R562">
        <v>300.08160000000004</v>
      </c>
      <c r="S562" s="12">
        <v>96.387</v>
      </c>
    </row>
    <row r="563" spans="1:19" hidden="1" x14ac:dyDescent="0.25">
      <c r="A563" s="13">
        <v>45711</v>
      </c>
      <c r="B563" t="s">
        <v>701</v>
      </c>
      <c r="C563">
        <v>51154</v>
      </c>
      <c r="D563" t="s">
        <v>17</v>
      </c>
      <c r="E563" s="5">
        <v>10</v>
      </c>
      <c r="F563">
        <v>3.93</v>
      </c>
      <c r="G563" s="12" t="s">
        <v>84</v>
      </c>
      <c r="H563" s="11">
        <v>0.38</v>
      </c>
      <c r="I563" t="s">
        <v>19</v>
      </c>
      <c r="J563">
        <v>22.4</v>
      </c>
      <c r="K563" t="s">
        <v>50</v>
      </c>
      <c r="L563" s="14" t="s">
        <v>21</v>
      </c>
      <c r="M563" t="s">
        <v>22</v>
      </c>
      <c r="N563" t="s">
        <v>53</v>
      </c>
      <c r="O563" t="s">
        <v>24</v>
      </c>
      <c r="P563" t="s">
        <v>40</v>
      </c>
      <c r="Q563">
        <v>113.97</v>
      </c>
      <c r="R563">
        <v>43.308599999999998</v>
      </c>
      <c r="S563" s="12">
        <v>78.944999999999993</v>
      </c>
    </row>
    <row r="564" spans="1:19" x14ac:dyDescent="0.25">
      <c r="A564" s="13">
        <v>45663</v>
      </c>
      <c r="B564" t="s">
        <v>130</v>
      </c>
      <c r="C564">
        <v>88028</v>
      </c>
      <c r="D564" t="s">
        <v>66</v>
      </c>
      <c r="E564" s="5">
        <v>1</v>
      </c>
      <c r="F564" s="23">
        <v>39.68</v>
      </c>
      <c r="G564" s="12" t="s">
        <v>84</v>
      </c>
      <c r="H564" s="37">
        <v>0.38</v>
      </c>
      <c r="I564" t="s">
        <v>734</v>
      </c>
      <c r="J564" s="23">
        <v>27.11</v>
      </c>
      <c r="K564" t="s">
        <v>30</v>
      </c>
      <c r="L564" s="14" t="s">
        <v>21</v>
      </c>
      <c r="M564" t="s">
        <v>22</v>
      </c>
      <c r="N564" t="s">
        <v>38</v>
      </c>
      <c r="O564" t="s">
        <v>33</v>
      </c>
      <c r="P564" s="14" t="s">
        <v>34</v>
      </c>
      <c r="Q564" s="23">
        <v>1269.76</v>
      </c>
      <c r="R564" s="23">
        <v>482.50880000000001</v>
      </c>
      <c r="S564" s="24">
        <v>72.177000000000007</v>
      </c>
    </row>
    <row r="565" spans="1:19" hidden="1" x14ac:dyDescent="0.25">
      <c r="A565" s="13">
        <v>45683</v>
      </c>
      <c r="B565" t="s">
        <v>395</v>
      </c>
      <c r="C565">
        <v>59733</v>
      </c>
      <c r="D565" t="s">
        <v>46</v>
      </c>
      <c r="E565" s="5">
        <v>1</v>
      </c>
      <c r="F565">
        <v>31.24</v>
      </c>
      <c r="G565" s="12" t="s">
        <v>84</v>
      </c>
      <c r="H565" s="11">
        <v>0.13</v>
      </c>
      <c r="I565" t="s">
        <v>19</v>
      </c>
      <c r="J565">
        <v>7.58</v>
      </c>
      <c r="K565" t="s">
        <v>50</v>
      </c>
      <c r="L565" t="s">
        <v>31</v>
      </c>
      <c r="M565" t="s">
        <v>22</v>
      </c>
      <c r="N565" t="s">
        <v>32</v>
      </c>
      <c r="O565" t="s">
        <v>24</v>
      </c>
      <c r="P565" t="s">
        <v>34</v>
      </c>
      <c r="Q565">
        <v>812.24</v>
      </c>
      <c r="R565">
        <v>105.5912</v>
      </c>
      <c r="S565" s="12">
        <v>67.90440000000001</v>
      </c>
    </row>
    <row r="566" spans="1:19" hidden="1" x14ac:dyDescent="0.25">
      <c r="A566" s="13">
        <v>45691</v>
      </c>
      <c r="B566" t="s">
        <v>497</v>
      </c>
      <c r="C566">
        <v>42906</v>
      </c>
      <c r="D566" t="s">
        <v>49</v>
      </c>
      <c r="E566" s="5">
        <v>1</v>
      </c>
      <c r="F566">
        <v>53.36</v>
      </c>
      <c r="G566" s="12" t="s">
        <v>84</v>
      </c>
      <c r="H566" s="11">
        <v>0.19</v>
      </c>
      <c r="I566" t="s">
        <v>29</v>
      </c>
      <c r="J566">
        <v>10.44</v>
      </c>
      <c r="K566" t="s">
        <v>20</v>
      </c>
      <c r="L566" t="s">
        <v>31</v>
      </c>
      <c r="M566" t="s">
        <v>22</v>
      </c>
      <c r="N566" t="s">
        <v>38</v>
      </c>
      <c r="O566" t="s">
        <v>33</v>
      </c>
      <c r="P566" t="s">
        <v>25</v>
      </c>
      <c r="Q566">
        <v>693.68</v>
      </c>
      <c r="R566">
        <v>131.79919999999998</v>
      </c>
      <c r="S566" s="12">
        <v>63.166400000000003</v>
      </c>
    </row>
    <row r="567" spans="1:19" hidden="1" x14ac:dyDescent="0.25">
      <c r="A567" s="13">
        <v>45701</v>
      </c>
      <c r="B567" t="s">
        <v>616</v>
      </c>
      <c r="C567">
        <v>39233</v>
      </c>
      <c r="D567" t="s">
        <v>89</v>
      </c>
      <c r="E567" s="5">
        <v>16</v>
      </c>
      <c r="F567">
        <v>67.260000000000005</v>
      </c>
      <c r="G567" s="12" t="s">
        <v>84</v>
      </c>
      <c r="H567" s="11">
        <v>0.37</v>
      </c>
      <c r="I567" t="s">
        <v>19</v>
      </c>
      <c r="J567">
        <v>11.74</v>
      </c>
      <c r="K567" t="s">
        <v>20</v>
      </c>
      <c r="L567" t="s">
        <v>31</v>
      </c>
      <c r="M567" t="s">
        <v>22</v>
      </c>
      <c r="N567" t="s">
        <v>32</v>
      </c>
      <c r="O567" t="s">
        <v>39</v>
      </c>
      <c r="P567" t="s">
        <v>40</v>
      </c>
      <c r="Q567">
        <v>605.34</v>
      </c>
      <c r="R567">
        <v>223.97580000000002</v>
      </c>
      <c r="S567" s="12">
        <v>58.687999999999995</v>
      </c>
    </row>
    <row r="568" spans="1:19" hidden="1" x14ac:dyDescent="0.25">
      <c r="A568" s="13">
        <v>45690</v>
      </c>
      <c r="B568" t="s">
        <v>481</v>
      </c>
      <c r="C568">
        <v>38356</v>
      </c>
      <c r="D568" t="s">
        <v>66</v>
      </c>
      <c r="E568" s="5">
        <v>37</v>
      </c>
      <c r="F568">
        <v>53.49</v>
      </c>
      <c r="G568" s="12" t="s">
        <v>84</v>
      </c>
      <c r="H568" s="11">
        <v>0.42</v>
      </c>
      <c r="I568" t="s">
        <v>734</v>
      </c>
      <c r="J568">
        <v>5.64</v>
      </c>
      <c r="K568" t="s">
        <v>30</v>
      </c>
      <c r="L568" s="14" t="s">
        <v>21</v>
      </c>
      <c r="M568" t="s">
        <v>22</v>
      </c>
      <c r="N568" t="s">
        <v>23</v>
      </c>
      <c r="O568" t="s">
        <v>33</v>
      </c>
      <c r="P568" t="s">
        <v>40</v>
      </c>
      <c r="Q568">
        <v>1765.17</v>
      </c>
      <c r="R568">
        <v>741.37139999999999</v>
      </c>
      <c r="S568" s="12">
        <v>53.146799999999999</v>
      </c>
    </row>
    <row r="569" spans="1:19" hidden="1" x14ac:dyDescent="0.25">
      <c r="A569" s="13">
        <v>45712</v>
      </c>
      <c r="B569" t="s">
        <v>709</v>
      </c>
      <c r="C569">
        <v>44362</v>
      </c>
      <c r="D569" t="s">
        <v>27</v>
      </c>
      <c r="E569" s="5">
        <v>39</v>
      </c>
      <c r="F569">
        <v>23.37</v>
      </c>
      <c r="G569" s="12" t="s">
        <v>84</v>
      </c>
      <c r="H569" s="11">
        <v>0.11</v>
      </c>
      <c r="I569" t="s">
        <v>29</v>
      </c>
      <c r="J569">
        <v>5.76</v>
      </c>
      <c r="K569" t="s">
        <v>50</v>
      </c>
      <c r="L569" t="s">
        <v>31</v>
      </c>
      <c r="M569" t="s">
        <v>22</v>
      </c>
      <c r="N569" t="s">
        <v>38</v>
      </c>
      <c r="O569" t="s">
        <v>33</v>
      </c>
      <c r="P569" t="s">
        <v>40</v>
      </c>
      <c r="Q569">
        <v>630.99</v>
      </c>
      <c r="R569">
        <v>69.408900000000003</v>
      </c>
      <c r="S569" s="12">
        <v>43.7346</v>
      </c>
    </row>
    <row r="570" spans="1:19" hidden="1" x14ac:dyDescent="0.25">
      <c r="A570" s="13">
        <v>45692</v>
      </c>
      <c r="B570" t="s">
        <v>512</v>
      </c>
      <c r="C570">
        <v>22173</v>
      </c>
      <c r="D570" t="s">
        <v>17</v>
      </c>
      <c r="E570" s="5">
        <v>2</v>
      </c>
      <c r="F570">
        <v>99.65</v>
      </c>
      <c r="G570" s="12" t="s">
        <v>84</v>
      </c>
      <c r="H570" s="11">
        <v>0.23</v>
      </c>
      <c r="I570" t="s">
        <v>734</v>
      </c>
      <c r="J570">
        <v>25.65</v>
      </c>
      <c r="K570" t="s">
        <v>37</v>
      </c>
      <c r="L570" t="s">
        <v>31</v>
      </c>
      <c r="M570" t="s">
        <v>22</v>
      </c>
      <c r="N570" t="s">
        <v>38</v>
      </c>
      <c r="O570" t="s">
        <v>39</v>
      </c>
      <c r="P570" t="s">
        <v>25</v>
      </c>
      <c r="Q570">
        <v>99.65</v>
      </c>
      <c r="R570">
        <v>22.919500000000003</v>
      </c>
      <c r="S570" s="12">
        <v>4.0043999999999995</v>
      </c>
    </row>
    <row r="571" spans="1:19" hidden="1" x14ac:dyDescent="0.25">
      <c r="A571" s="13">
        <v>45683</v>
      </c>
      <c r="B571" t="s">
        <v>386</v>
      </c>
      <c r="C571">
        <v>47443</v>
      </c>
      <c r="D571" t="s">
        <v>70</v>
      </c>
      <c r="E571" s="5">
        <v>43</v>
      </c>
      <c r="F571">
        <v>11.26</v>
      </c>
      <c r="G571" s="12" t="s">
        <v>28</v>
      </c>
      <c r="H571" s="11">
        <v>0.19</v>
      </c>
      <c r="I571" t="s">
        <v>29</v>
      </c>
      <c r="J571">
        <v>11.21</v>
      </c>
      <c r="K571" t="s">
        <v>30</v>
      </c>
      <c r="L571" t="s">
        <v>31</v>
      </c>
      <c r="M571" t="s">
        <v>22</v>
      </c>
      <c r="N571" t="s">
        <v>53</v>
      </c>
      <c r="O571" t="s">
        <v>59</v>
      </c>
      <c r="P571" t="s">
        <v>25</v>
      </c>
      <c r="Q571">
        <v>382.84</v>
      </c>
      <c r="R571">
        <v>72.739599999999996</v>
      </c>
      <c r="S571" s="12">
        <v>4145.63</v>
      </c>
    </row>
    <row r="572" spans="1:19" hidden="1" x14ac:dyDescent="0.25">
      <c r="A572" s="13">
        <v>45660</v>
      </c>
      <c r="B572" t="s">
        <v>80</v>
      </c>
      <c r="C572">
        <v>93319</v>
      </c>
      <c r="D572" t="s">
        <v>75</v>
      </c>
      <c r="E572" s="5">
        <v>45</v>
      </c>
      <c r="F572">
        <v>25.51</v>
      </c>
      <c r="G572" s="12" t="s">
        <v>28</v>
      </c>
      <c r="H572" s="11">
        <v>0.41</v>
      </c>
      <c r="I572" t="s">
        <v>19</v>
      </c>
      <c r="J572">
        <v>14.61</v>
      </c>
      <c r="K572" s="5" t="s">
        <v>44</v>
      </c>
      <c r="L572" t="s">
        <v>31</v>
      </c>
      <c r="M572" t="s">
        <v>22</v>
      </c>
      <c r="N572" t="s">
        <v>53</v>
      </c>
      <c r="O572" t="s">
        <v>81</v>
      </c>
      <c r="P572" t="s">
        <v>25</v>
      </c>
      <c r="Q572">
        <v>561.22</v>
      </c>
      <c r="R572">
        <v>230.1002</v>
      </c>
      <c r="S572" s="12">
        <v>2985.0120000000002</v>
      </c>
    </row>
    <row r="573" spans="1:19" x14ac:dyDescent="0.25">
      <c r="A573" s="13">
        <v>45699</v>
      </c>
      <c r="B573" t="s">
        <v>591</v>
      </c>
      <c r="C573">
        <v>74466</v>
      </c>
      <c r="D573" t="s">
        <v>89</v>
      </c>
      <c r="E573" s="5">
        <v>45</v>
      </c>
      <c r="F573" s="23">
        <v>63.83</v>
      </c>
      <c r="G573" s="12" t="s">
        <v>28</v>
      </c>
      <c r="H573" s="37">
        <v>0.15</v>
      </c>
      <c r="I573" t="s">
        <v>734</v>
      </c>
      <c r="J573" s="23">
        <v>20.3</v>
      </c>
      <c r="K573" t="s">
        <v>20</v>
      </c>
      <c r="L573" s="14" t="s">
        <v>21</v>
      </c>
      <c r="M573" t="s">
        <v>22</v>
      </c>
      <c r="N573" t="s">
        <v>23</v>
      </c>
      <c r="O573" t="s">
        <v>33</v>
      </c>
      <c r="P573" s="14" t="s">
        <v>34</v>
      </c>
      <c r="Q573" s="23">
        <v>1404.26</v>
      </c>
      <c r="R573" s="23">
        <v>210.63899999999998</v>
      </c>
      <c r="S573" s="24">
        <v>2865.3750000000005</v>
      </c>
    </row>
    <row r="574" spans="1:19" hidden="1" x14ac:dyDescent="0.25">
      <c r="A574" s="13">
        <v>45698</v>
      </c>
      <c r="B574" t="s">
        <v>485</v>
      </c>
      <c r="C574">
        <v>38601</v>
      </c>
      <c r="D574" t="s">
        <v>49</v>
      </c>
      <c r="E574" s="5">
        <v>48</v>
      </c>
      <c r="F574">
        <v>85.64</v>
      </c>
      <c r="G574" s="12" t="s">
        <v>28</v>
      </c>
      <c r="H574" s="11">
        <v>0.06</v>
      </c>
      <c r="I574" t="s">
        <v>734</v>
      </c>
      <c r="J574">
        <v>9.35</v>
      </c>
      <c r="K574" s="5" t="s">
        <v>44</v>
      </c>
      <c r="L574" t="s">
        <v>31</v>
      </c>
      <c r="M574" t="s">
        <v>22</v>
      </c>
      <c r="N574" t="s">
        <v>32</v>
      </c>
      <c r="O574" t="s">
        <v>24</v>
      </c>
      <c r="P574" t="s">
        <v>40</v>
      </c>
      <c r="Q574">
        <v>3254.32</v>
      </c>
      <c r="R574">
        <v>195.25919999999999</v>
      </c>
      <c r="S574" s="12">
        <v>2737.152</v>
      </c>
    </row>
    <row r="575" spans="1:19" hidden="1" x14ac:dyDescent="0.25">
      <c r="A575" s="13">
        <v>45680</v>
      </c>
      <c r="B575" t="s">
        <v>135</v>
      </c>
      <c r="C575">
        <v>62456</v>
      </c>
      <c r="D575" t="s">
        <v>49</v>
      </c>
      <c r="E575" s="5">
        <v>46</v>
      </c>
      <c r="F575">
        <v>24.23</v>
      </c>
      <c r="G575" s="12" t="s">
        <v>28</v>
      </c>
      <c r="H575" s="11">
        <v>7.0000000000000007E-2</v>
      </c>
      <c r="I575" t="s">
        <v>29</v>
      </c>
      <c r="J575">
        <v>27.93</v>
      </c>
      <c r="K575" t="s">
        <v>20</v>
      </c>
      <c r="L575" t="s">
        <v>31</v>
      </c>
      <c r="M575" t="s">
        <v>22</v>
      </c>
      <c r="N575" t="s">
        <v>53</v>
      </c>
      <c r="O575" t="s">
        <v>24</v>
      </c>
      <c r="P575" t="s">
        <v>25</v>
      </c>
      <c r="Q575">
        <v>629.98</v>
      </c>
      <c r="R575">
        <v>44.098600000000005</v>
      </c>
      <c r="S575" s="12">
        <v>2638.5186000000003</v>
      </c>
    </row>
    <row r="576" spans="1:19" hidden="1" x14ac:dyDescent="0.25">
      <c r="A576" s="13">
        <v>45658</v>
      </c>
      <c r="B576" t="s">
        <v>26</v>
      </c>
      <c r="C576">
        <v>41508</v>
      </c>
      <c r="D576" t="s">
        <v>27</v>
      </c>
      <c r="E576" s="5">
        <v>47</v>
      </c>
      <c r="F576">
        <v>75.47</v>
      </c>
      <c r="G576" s="12" t="s">
        <v>28</v>
      </c>
      <c r="H576" s="11">
        <v>0.28000000000000003</v>
      </c>
      <c r="I576" t="s">
        <v>29</v>
      </c>
      <c r="J576">
        <v>14.92</v>
      </c>
      <c r="K576" t="s">
        <v>30</v>
      </c>
      <c r="L576" t="s">
        <v>31</v>
      </c>
      <c r="M576" t="s">
        <v>22</v>
      </c>
      <c r="N576" t="s">
        <v>32</v>
      </c>
      <c r="O576" t="s">
        <v>33</v>
      </c>
      <c r="P576" t="s">
        <v>34</v>
      </c>
      <c r="Q576">
        <v>3547.09</v>
      </c>
      <c r="R576">
        <v>993.18520000000012</v>
      </c>
      <c r="S576" s="12">
        <v>2553.9048000000003</v>
      </c>
    </row>
    <row r="577" spans="1:19" hidden="1" x14ac:dyDescent="0.25">
      <c r="A577" s="13">
        <v>45680</v>
      </c>
      <c r="B577" t="s">
        <v>345</v>
      </c>
      <c r="C577">
        <v>19210</v>
      </c>
      <c r="D577" t="s">
        <v>17</v>
      </c>
      <c r="E577" s="5">
        <v>35</v>
      </c>
      <c r="F577">
        <v>6.19</v>
      </c>
      <c r="G577" s="12" t="s">
        <v>28</v>
      </c>
      <c r="H577" s="11">
        <v>0.15</v>
      </c>
      <c r="I577" t="s">
        <v>19</v>
      </c>
      <c r="J577">
        <v>12.65</v>
      </c>
      <c r="K577" t="s">
        <v>30</v>
      </c>
      <c r="L577" s="14" t="s">
        <v>21</v>
      </c>
      <c r="M577" t="s">
        <v>22</v>
      </c>
      <c r="N577" t="s">
        <v>23</v>
      </c>
      <c r="O577" t="s">
        <v>59</v>
      </c>
      <c r="P577" t="s">
        <v>25</v>
      </c>
      <c r="Q577">
        <v>111.42</v>
      </c>
      <c r="R577">
        <v>16.713000000000001</v>
      </c>
      <c r="S577" s="12">
        <v>2411.64</v>
      </c>
    </row>
    <row r="578" spans="1:19" hidden="1" x14ac:dyDescent="0.25">
      <c r="A578" s="13">
        <v>45678</v>
      </c>
      <c r="B578" t="s">
        <v>306</v>
      </c>
      <c r="C578">
        <v>68822</v>
      </c>
      <c r="D578" t="s">
        <v>70</v>
      </c>
      <c r="E578" s="5">
        <v>39</v>
      </c>
      <c r="F578">
        <v>81.52</v>
      </c>
      <c r="G578" s="12" t="s">
        <v>28</v>
      </c>
      <c r="H578" s="11">
        <v>0.24</v>
      </c>
      <c r="I578" t="s">
        <v>19</v>
      </c>
      <c r="J578">
        <v>18.12</v>
      </c>
      <c r="K578" s="5" t="s">
        <v>44</v>
      </c>
      <c r="L578" s="14" t="s">
        <v>21</v>
      </c>
      <c r="M578" t="s">
        <v>22</v>
      </c>
      <c r="N578" t="s">
        <v>53</v>
      </c>
      <c r="O578" t="s">
        <v>33</v>
      </c>
      <c r="P578" t="s">
        <v>40</v>
      </c>
      <c r="Q578">
        <v>978.24</v>
      </c>
      <c r="R578">
        <v>234.77760000000001</v>
      </c>
      <c r="S578" s="12">
        <v>2354.5080000000003</v>
      </c>
    </row>
    <row r="579" spans="1:19" x14ac:dyDescent="0.25">
      <c r="A579" s="13">
        <v>45676</v>
      </c>
      <c r="B579" t="s">
        <v>134</v>
      </c>
      <c r="C579">
        <v>57397</v>
      </c>
      <c r="D579" t="s">
        <v>57</v>
      </c>
      <c r="E579" s="5">
        <v>26</v>
      </c>
      <c r="F579" s="23">
        <v>53.13</v>
      </c>
      <c r="G579" s="12" t="s">
        <v>28</v>
      </c>
      <c r="H579" s="37">
        <v>0.2</v>
      </c>
      <c r="I579" t="s">
        <v>19</v>
      </c>
      <c r="J579" s="23">
        <v>17.87</v>
      </c>
      <c r="K579" s="5" t="s">
        <v>44</v>
      </c>
      <c r="L579" s="14" t="s">
        <v>21</v>
      </c>
      <c r="M579" t="s">
        <v>22</v>
      </c>
      <c r="N579" t="s">
        <v>23</v>
      </c>
      <c r="O579" t="s">
        <v>24</v>
      </c>
      <c r="P579" s="14" t="s">
        <v>34</v>
      </c>
      <c r="Q579" s="23">
        <v>1965.8100000000002</v>
      </c>
      <c r="R579" s="23">
        <v>393.16200000000003</v>
      </c>
      <c r="S579" s="24">
        <v>2192.5566000000003</v>
      </c>
    </row>
    <row r="580" spans="1:19" hidden="1" x14ac:dyDescent="0.25">
      <c r="A580" s="13">
        <v>45694</v>
      </c>
      <c r="B580" t="s">
        <v>148</v>
      </c>
      <c r="C580">
        <v>28572</v>
      </c>
      <c r="D580" t="s">
        <v>27</v>
      </c>
      <c r="E580" s="5">
        <v>24</v>
      </c>
      <c r="F580">
        <v>1.07</v>
      </c>
      <c r="G580" s="12" t="s">
        <v>28</v>
      </c>
      <c r="H580" s="11">
        <v>0.34</v>
      </c>
      <c r="I580" t="s">
        <v>19</v>
      </c>
      <c r="J580">
        <v>8.31</v>
      </c>
      <c r="K580" t="s">
        <v>50</v>
      </c>
      <c r="L580" t="s">
        <v>31</v>
      </c>
      <c r="M580" t="s">
        <v>22</v>
      </c>
      <c r="N580" t="s">
        <v>53</v>
      </c>
      <c r="O580" t="s">
        <v>39</v>
      </c>
      <c r="P580" t="s">
        <v>40</v>
      </c>
      <c r="Q580">
        <v>47.080000000000005</v>
      </c>
      <c r="R580">
        <v>16.007200000000005</v>
      </c>
      <c r="S580" s="12">
        <v>2159.7839999999997</v>
      </c>
    </row>
    <row r="581" spans="1:19" hidden="1" x14ac:dyDescent="0.25">
      <c r="A581" s="13">
        <v>45681</v>
      </c>
      <c r="B581" t="s">
        <v>353</v>
      </c>
      <c r="C581">
        <v>18886</v>
      </c>
      <c r="D581" t="s">
        <v>89</v>
      </c>
      <c r="E581" s="5">
        <v>45</v>
      </c>
      <c r="F581">
        <v>26.06</v>
      </c>
      <c r="G581" s="12" t="s">
        <v>28</v>
      </c>
      <c r="H581" s="11">
        <v>0.28000000000000003</v>
      </c>
      <c r="I581" t="s">
        <v>29</v>
      </c>
      <c r="J581">
        <v>27.62</v>
      </c>
      <c r="K581" s="5" t="s">
        <v>44</v>
      </c>
      <c r="L581" s="14" t="s">
        <v>21</v>
      </c>
      <c r="M581" t="s">
        <v>22</v>
      </c>
      <c r="N581" t="s">
        <v>53</v>
      </c>
      <c r="O581" t="s">
        <v>39</v>
      </c>
      <c r="P581" t="s">
        <v>25</v>
      </c>
      <c r="Q581">
        <v>1042.3999999999999</v>
      </c>
      <c r="R581">
        <v>291.87200000000001</v>
      </c>
      <c r="S581" s="12">
        <v>2076.4304999999999</v>
      </c>
    </row>
    <row r="582" spans="1:19" hidden="1" x14ac:dyDescent="0.25">
      <c r="A582" s="13">
        <v>45673</v>
      </c>
      <c r="B582" t="s">
        <v>208</v>
      </c>
      <c r="C582">
        <v>45210</v>
      </c>
      <c r="D582" t="s">
        <v>17</v>
      </c>
      <c r="E582" s="5">
        <v>43</v>
      </c>
      <c r="F582">
        <v>49.95</v>
      </c>
      <c r="G582" s="12" t="s">
        <v>28</v>
      </c>
      <c r="H582" s="11">
        <v>0.06</v>
      </c>
      <c r="I582" t="s">
        <v>19</v>
      </c>
      <c r="J582">
        <v>27.99</v>
      </c>
      <c r="K582" t="s">
        <v>37</v>
      </c>
      <c r="L582" t="s">
        <v>31</v>
      </c>
      <c r="M582" t="s">
        <v>22</v>
      </c>
      <c r="N582" t="s">
        <v>32</v>
      </c>
      <c r="O582" t="s">
        <v>39</v>
      </c>
      <c r="P582" t="s">
        <v>34</v>
      </c>
      <c r="Q582">
        <v>2347.65</v>
      </c>
      <c r="R582">
        <v>140.85900000000001</v>
      </c>
      <c r="S582" s="12">
        <v>2041.2745</v>
      </c>
    </row>
    <row r="583" spans="1:19" hidden="1" x14ac:dyDescent="0.25">
      <c r="A583" s="13">
        <v>45678</v>
      </c>
      <c r="B583" t="s">
        <v>314</v>
      </c>
      <c r="C583">
        <v>63159</v>
      </c>
      <c r="D583" t="s">
        <v>68</v>
      </c>
      <c r="E583" s="5">
        <v>48</v>
      </c>
      <c r="F583">
        <v>88.95</v>
      </c>
      <c r="G583" s="12" t="s">
        <v>28</v>
      </c>
      <c r="H583" s="11">
        <v>0.37</v>
      </c>
      <c r="I583" t="s">
        <v>734</v>
      </c>
      <c r="J583">
        <v>8.65</v>
      </c>
      <c r="K583" t="s">
        <v>50</v>
      </c>
      <c r="L583" t="s">
        <v>31</v>
      </c>
      <c r="M583" t="s">
        <v>22</v>
      </c>
      <c r="N583" t="s">
        <v>23</v>
      </c>
      <c r="O583" t="s">
        <v>39</v>
      </c>
      <c r="P583" t="s">
        <v>25</v>
      </c>
      <c r="Q583">
        <v>800.55000000000007</v>
      </c>
      <c r="R583">
        <v>296.20350000000002</v>
      </c>
      <c r="S583" s="12">
        <v>1972.2048000000002</v>
      </c>
    </row>
    <row r="584" spans="1:19" hidden="1" x14ac:dyDescent="0.25">
      <c r="A584" s="13">
        <v>45703</v>
      </c>
      <c r="B584" t="s">
        <v>626</v>
      </c>
      <c r="C584">
        <v>56584</v>
      </c>
      <c r="D584" t="s">
        <v>17</v>
      </c>
      <c r="E584" s="5">
        <v>47</v>
      </c>
      <c r="F584">
        <v>74.430000000000007</v>
      </c>
      <c r="G584" s="12" t="s">
        <v>28</v>
      </c>
      <c r="H584" s="11">
        <v>0.02</v>
      </c>
      <c r="I584" t="s">
        <v>29</v>
      </c>
      <c r="J584">
        <v>20.67</v>
      </c>
      <c r="K584" t="s">
        <v>30</v>
      </c>
      <c r="L584" s="14" t="s">
        <v>21</v>
      </c>
      <c r="M584" t="s">
        <v>22</v>
      </c>
      <c r="N584" t="s">
        <v>23</v>
      </c>
      <c r="O584" t="s">
        <v>24</v>
      </c>
      <c r="P584" t="s">
        <v>25</v>
      </c>
      <c r="Q584">
        <v>595.44000000000005</v>
      </c>
      <c r="R584">
        <v>11.908800000000001</v>
      </c>
      <c r="S584" s="12">
        <v>1948.2440000000001</v>
      </c>
    </row>
    <row r="585" spans="1:19" hidden="1" x14ac:dyDescent="0.25">
      <c r="A585" s="13">
        <v>45703</v>
      </c>
      <c r="B585" t="s">
        <v>633</v>
      </c>
      <c r="C585">
        <v>41889</v>
      </c>
      <c r="D585" t="s">
        <v>68</v>
      </c>
      <c r="E585" s="5">
        <v>29</v>
      </c>
      <c r="F585">
        <v>92.08</v>
      </c>
      <c r="G585" s="12" t="s">
        <v>28</v>
      </c>
      <c r="H585" s="11">
        <v>0.04</v>
      </c>
      <c r="I585" t="s">
        <v>19</v>
      </c>
      <c r="J585">
        <v>6.21</v>
      </c>
      <c r="K585" s="5" t="s">
        <v>44</v>
      </c>
      <c r="L585" t="s">
        <v>31</v>
      </c>
      <c r="M585" t="s">
        <v>111</v>
      </c>
      <c r="N585" t="s">
        <v>53</v>
      </c>
      <c r="O585" t="s">
        <v>24</v>
      </c>
      <c r="P585" t="s">
        <v>25</v>
      </c>
      <c r="Q585">
        <v>460.4</v>
      </c>
      <c r="R585">
        <v>18.416</v>
      </c>
      <c r="S585" s="12">
        <v>1910.056</v>
      </c>
    </row>
    <row r="586" spans="1:19" hidden="1" x14ac:dyDescent="0.25">
      <c r="A586" s="13">
        <v>45660</v>
      </c>
      <c r="B586" t="s">
        <v>65</v>
      </c>
      <c r="C586">
        <v>27463</v>
      </c>
      <c r="D586" t="s">
        <v>66</v>
      </c>
      <c r="E586" s="5">
        <v>32</v>
      </c>
      <c r="F586">
        <v>95.17</v>
      </c>
      <c r="G586" s="12" t="s">
        <v>28</v>
      </c>
      <c r="H586" s="11">
        <v>0.39</v>
      </c>
      <c r="I586" t="s">
        <v>734</v>
      </c>
      <c r="J586">
        <v>7.75</v>
      </c>
      <c r="K586" t="s">
        <v>30</v>
      </c>
      <c r="L586" s="14" t="s">
        <v>21</v>
      </c>
      <c r="M586" t="s">
        <v>22</v>
      </c>
      <c r="N586" t="s">
        <v>53</v>
      </c>
      <c r="O586" t="s">
        <v>24</v>
      </c>
      <c r="P586" t="s">
        <v>25</v>
      </c>
      <c r="Q586">
        <v>1332.38</v>
      </c>
      <c r="R586">
        <v>519.62820000000011</v>
      </c>
      <c r="S586" s="12">
        <v>1673.568</v>
      </c>
    </row>
    <row r="587" spans="1:19" hidden="1" x14ac:dyDescent="0.25">
      <c r="A587" s="13">
        <v>45693</v>
      </c>
      <c r="B587" t="s">
        <v>516</v>
      </c>
      <c r="C587">
        <v>58882</v>
      </c>
      <c r="D587" t="s">
        <v>42</v>
      </c>
      <c r="E587" s="5">
        <v>35</v>
      </c>
      <c r="F587">
        <v>95.41</v>
      </c>
      <c r="G587" s="12" t="s">
        <v>28</v>
      </c>
      <c r="H587" s="11">
        <v>0.01</v>
      </c>
      <c r="I587" t="s">
        <v>734</v>
      </c>
      <c r="J587">
        <v>15.39</v>
      </c>
      <c r="K587" t="s">
        <v>30</v>
      </c>
      <c r="L587" t="s">
        <v>31</v>
      </c>
      <c r="M587" t="s">
        <v>22</v>
      </c>
      <c r="N587" t="s">
        <v>32</v>
      </c>
      <c r="O587" t="s">
        <v>81</v>
      </c>
      <c r="P587" t="s">
        <v>40</v>
      </c>
      <c r="Q587">
        <v>286.23</v>
      </c>
      <c r="R587">
        <v>2.8623000000000003</v>
      </c>
      <c r="S587" s="12">
        <v>1646.9459999999999</v>
      </c>
    </row>
    <row r="588" spans="1:19" hidden="1" x14ac:dyDescent="0.25">
      <c r="A588" s="13">
        <v>45679</v>
      </c>
      <c r="B588" t="s">
        <v>201</v>
      </c>
      <c r="C588">
        <v>86253</v>
      </c>
      <c r="D588" t="s">
        <v>46</v>
      </c>
      <c r="E588" s="5">
        <v>22</v>
      </c>
      <c r="F588">
        <v>19.27</v>
      </c>
      <c r="G588" s="12" t="s">
        <v>28</v>
      </c>
      <c r="H588" s="11">
        <v>0.28999999999999998</v>
      </c>
      <c r="I588" t="s">
        <v>734</v>
      </c>
      <c r="J588">
        <v>7.24</v>
      </c>
      <c r="K588" t="s">
        <v>20</v>
      </c>
      <c r="L588" t="s">
        <v>31</v>
      </c>
      <c r="M588" t="s">
        <v>22</v>
      </c>
      <c r="N588" t="s">
        <v>23</v>
      </c>
      <c r="O588" t="s">
        <v>81</v>
      </c>
      <c r="P588" t="s">
        <v>34</v>
      </c>
      <c r="Q588">
        <v>481.75</v>
      </c>
      <c r="R588">
        <v>139.70749999999998</v>
      </c>
      <c r="S588" s="12">
        <v>1594.5555999999999</v>
      </c>
    </row>
    <row r="589" spans="1:19" hidden="1" x14ac:dyDescent="0.25">
      <c r="A589" s="13">
        <v>45709</v>
      </c>
      <c r="B589" t="s">
        <v>688</v>
      </c>
      <c r="C589">
        <v>30393</v>
      </c>
      <c r="D589" t="s">
        <v>57</v>
      </c>
      <c r="E589" s="5">
        <v>38</v>
      </c>
      <c r="F589">
        <v>37.89</v>
      </c>
      <c r="G589" s="12" t="s">
        <v>28</v>
      </c>
      <c r="H589" s="11">
        <v>0</v>
      </c>
      <c r="I589" t="s">
        <v>19</v>
      </c>
      <c r="J589">
        <v>16.18</v>
      </c>
      <c r="K589" s="5" t="s">
        <v>44</v>
      </c>
      <c r="L589" t="s">
        <v>31</v>
      </c>
      <c r="M589" t="s">
        <v>22</v>
      </c>
      <c r="N589" t="s">
        <v>32</v>
      </c>
      <c r="O589" t="s">
        <v>59</v>
      </c>
      <c r="P589" t="s">
        <v>25</v>
      </c>
      <c r="Q589">
        <v>833.58</v>
      </c>
      <c r="R589">
        <v>0</v>
      </c>
      <c r="S589" s="12">
        <v>1593.2297999999998</v>
      </c>
    </row>
    <row r="590" spans="1:19" hidden="1" x14ac:dyDescent="0.25">
      <c r="A590" s="13">
        <v>45703</v>
      </c>
      <c r="B590" t="s">
        <v>630</v>
      </c>
      <c r="C590">
        <v>65407</v>
      </c>
      <c r="D590" t="s">
        <v>66</v>
      </c>
      <c r="E590" s="5">
        <v>24</v>
      </c>
      <c r="F590">
        <v>28.62</v>
      </c>
      <c r="G590" s="12" t="s">
        <v>28</v>
      </c>
      <c r="H590" s="11">
        <v>0.42</v>
      </c>
      <c r="I590" t="s">
        <v>29</v>
      </c>
      <c r="J590">
        <v>6.26</v>
      </c>
      <c r="K590" t="s">
        <v>20</v>
      </c>
      <c r="L590" t="s">
        <v>31</v>
      </c>
      <c r="M590" t="s">
        <v>22</v>
      </c>
      <c r="N590" t="s">
        <v>32</v>
      </c>
      <c r="O590" t="s">
        <v>39</v>
      </c>
      <c r="P590" t="s">
        <v>34</v>
      </c>
      <c r="Q590">
        <v>1287.9000000000001</v>
      </c>
      <c r="R590">
        <v>540.91800000000001</v>
      </c>
      <c r="S590" s="12">
        <v>1534.4519999999998</v>
      </c>
    </row>
    <row r="591" spans="1:19" x14ac:dyDescent="0.25">
      <c r="A591" s="13">
        <v>45700</v>
      </c>
      <c r="B591" t="s">
        <v>594</v>
      </c>
      <c r="C591">
        <v>42199</v>
      </c>
      <c r="D591" t="s">
        <v>89</v>
      </c>
      <c r="E591" s="5">
        <v>28</v>
      </c>
      <c r="F591" s="23">
        <v>2.7</v>
      </c>
      <c r="G591" s="12" t="s">
        <v>28</v>
      </c>
      <c r="H591" s="37">
        <v>0.27</v>
      </c>
      <c r="I591" t="s">
        <v>19</v>
      </c>
      <c r="J591" s="23">
        <v>21.89</v>
      </c>
      <c r="K591" t="s">
        <v>20</v>
      </c>
      <c r="L591" s="14" t="s">
        <v>21</v>
      </c>
      <c r="M591" t="s">
        <v>22</v>
      </c>
      <c r="N591" t="s">
        <v>32</v>
      </c>
      <c r="O591" t="s">
        <v>33</v>
      </c>
      <c r="P591" s="14" t="s">
        <v>34</v>
      </c>
      <c r="Q591" s="23">
        <v>118.80000000000001</v>
      </c>
      <c r="R591" s="23">
        <v>32.076000000000008</v>
      </c>
      <c r="S591" s="24">
        <v>1439.3456000000001</v>
      </c>
    </row>
    <row r="592" spans="1:19" hidden="1" x14ac:dyDescent="0.25">
      <c r="A592" s="13">
        <v>45680</v>
      </c>
      <c r="B592" t="s">
        <v>339</v>
      </c>
      <c r="C592">
        <v>25936</v>
      </c>
      <c r="D592" t="s">
        <v>57</v>
      </c>
      <c r="E592" s="5">
        <v>41</v>
      </c>
      <c r="F592">
        <v>77.459999999999994</v>
      </c>
      <c r="G592" s="12" t="s">
        <v>28</v>
      </c>
      <c r="H592" s="11">
        <v>0.05</v>
      </c>
      <c r="I592" t="s">
        <v>19</v>
      </c>
      <c r="J592">
        <v>13.74</v>
      </c>
      <c r="K592" s="5" t="s">
        <v>44</v>
      </c>
      <c r="L592" t="s">
        <v>31</v>
      </c>
      <c r="M592" t="s">
        <v>22</v>
      </c>
      <c r="N592" t="s">
        <v>32</v>
      </c>
      <c r="O592" t="s">
        <v>24</v>
      </c>
      <c r="P592" t="s">
        <v>25</v>
      </c>
      <c r="Q592">
        <v>154.91999999999999</v>
      </c>
      <c r="R592">
        <v>7.7459999999999996</v>
      </c>
      <c r="S592" s="12">
        <v>1399.412</v>
      </c>
    </row>
    <row r="593" spans="1:19" hidden="1" x14ac:dyDescent="0.25">
      <c r="A593" s="13">
        <v>45703</v>
      </c>
      <c r="B593" t="s">
        <v>632</v>
      </c>
      <c r="C593">
        <v>66761</v>
      </c>
      <c r="D593" t="s">
        <v>17</v>
      </c>
      <c r="E593" s="5">
        <v>40</v>
      </c>
      <c r="F593">
        <v>82.33</v>
      </c>
      <c r="G593" s="12" t="s">
        <v>28</v>
      </c>
      <c r="H593" s="11">
        <v>0.2</v>
      </c>
      <c r="I593" t="s">
        <v>19</v>
      </c>
      <c r="J593">
        <v>22.07</v>
      </c>
      <c r="K593" s="5" t="s">
        <v>44</v>
      </c>
      <c r="L593" t="s">
        <v>31</v>
      </c>
      <c r="M593" t="s">
        <v>22</v>
      </c>
      <c r="N593" t="s">
        <v>53</v>
      </c>
      <c r="O593" t="s">
        <v>33</v>
      </c>
      <c r="P593" t="s">
        <v>40</v>
      </c>
      <c r="Q593">
        <v>2387.5700000000002</v>
      </c>
      <c r="R593">
        <v>477.51400000000007</v>
      </c>
      <c r="S593" s="12">
        <v>1375.248</v>
      </c>
    </row>
    <row r="594" spans="1:19" hidden="1" x14ac:dyDescent="0.25">
      <c r="A594" s="13">
        <v>45693</v>
      </c>
      <c r="B594" t="s">
        <v>54</v>
      </c>
      <c r="C594">
        <v>26380</v>
      </c>
      <c r="D594" t="s">
        <v>89</v>
      </c>
      <c r="E594" s="5">
        <v>42</v>
      </c>
      <c r="F594">
        <v>9.94</v>
      </c>
      <c r="G594" s="12" t="s">
        <v>28</v>
      </c>
      <c r="H594" s="11">
        <v>0.17</v>
      </c>
      <c r="I594" t="s">
        <v>19</v>
      </c>
      <c r="J594">
        <v>19.18</v>
      </c>
      <c r="K594" s="5" t="s">
        <v>44</v>
      </c>
      <c r="L594" t="s">
        <v>31</v>
      </c>
      <c r="M594" t="s">
        <v>22</v>
      </c>
      <c r="N594" t="s">
        <v>38</v>
      </c>
      <c r="O594" t="s">
        <v>59</v>
      </c>
      <c r="P594" t="s">
        <v>40</v>
      </c>
      <c r="Q594">
        <v>477.12</v>
      </c>
      <c r="R594">
        <v>81.110400000000013</v>
      </c>
      <c r="S594" s="12">
        <v>1349.3591999999999</v>
      </c>
    </row>
    <row r="595" spans="1:19" x14ac:dyDescent="0.25">
      <c r="A595" s="13">
        <v>45706</v>
      </c>
      <c r="B595" t="s">
        <v>604</v>
      </c>
      <c r="C595">
        <v>63876</v>
      </c>
      <c r="D595" t="s">
        <v>89</v>
      </c>
      <c r="E595" s="5">
        <v>48</v>
      </c>
      <c r="F595" s="23">
        <v>51.28</v>
      </c>
      <c r="G595" s="12" t="s">
        <v>28</v>
      </c>
      <c r="H595" s="37">
        <v>0.09</v>
      </c>
      <c r="I595" t="s">
        <v>29</v>
      </c>
      <c r="J595" s="23">
        <v>28.51</v>
      </c>
      <c r="K595" s="5" t="s">
        <v>44</v>
      </c>
      <c r="L595" s="14" t="s">
        <v>21</v>
      </c>
      <c r="M595" t="s">
        <v>22</v>
      </c>
      <c r="N595" t="s">
        <v>23</v>
      </c>
      <c r="O595" t="s">
        <v>81</v>
      </c>
      <c r="P595" s="14" t="s">
        <v>34</v>
      </c>
      <c r="Q595" s="23">
        <v>1846.08</v>
      </c>
      <c r="R595" s="23">
        <v>166.1472</v>
      </c>
      <c r="S595" s="24">
        <v>1292.5920000000001</v>
      </c>
    </row>
    <row r="596" spans="1:19" hidden="1" x14ac:dyDescent="0.25">
      <c r="A596" s="13">
        <v>45689</v>
      </c>
      <c r="B596" t="s">
        <v>466</v>
      </c>
      <c r="C596">
        <v>66548</v>
      </c>
      <c r="D596" t="s">
        <v>57</v>
      </c>
      <c r="E596" s="5">
        <v>47</v>
      </c>
      <c r="F596">
        <v>19.420000000000002</v>
      </c>
      <c r="G596" s="12" t="s">
        <v>28</v>
      </c>
      <c r="H596" s="11">
        <v>0.22</v>
      </c>
      <c r="I596" t="s">
        <v>19</v>
      </c>
      <c r="J596">
        <v>22.84</v>
      </c>
      <c r="K596" t="s">
        <v>20</v>
      </c>
      <c r="L596" t="s">
        <v>31</v>
      </c>
      <c r="M596" t="s">
        <v>22</v>
      </c>
      <c r="N596" t="s">
        <v>23</v>
      </c>
      <c r="O596" t="s">
        <v>39</v>
      </c>
      <c r="P596" t="s">
        <v>25</v>
      </c>
      <c r="Q596">
        <v>737.96</v>
      </c>
      <c r="R596">
        <v>162.35120000000001</v>
      </c>
      <c r="S596" s="12">
        <v>1260.1922</v>
      </c>
    </row>
    <row r="597" spans="1:19" hidden="1" x14ac:dyDescent="0.25">
      <c r="A597" s="13">
        <v>45696</v>
      </c>
      <c r="B597" t="s">
        <v>387</v>
      </c>
      <c r="C597">
        <v>89840</v>
      </c>
      <c r="D597" t="s">
        <v>17</v>
      </c>
      <c r="E597" s="5">
        <v>23</v>
      </c>
      <c r="F597">
        <v>57</v>
      </c>
      <c r="G597" s="12" t="s">
        <v>28</v>
      </c>
      <c r="H597" s="11">
        <v>0.08</v>
      </c>
      <c r="I597" t="s">
        <v>734</v>
      </c>
      <c r="J597">
        <v>18.14</v>
      </c>
      <c r="K597" t="s">
        <v>50</v>
      </c>
      <c r="L597" t="s">
        <v>31</v>
      </c>
      <c r="M597" t="s">
        <v>22</v>
      </c>
      <c r="N597" t="s">
        <v>23</v>
      </c>
      <c r="O597" t="s">
        <v>24</v>
      </c>
      <c r="P597" t="s">
        <v>34</v>
      </c>
      <c r="Q597">
        <v>1710</v>
      </c>
      <c r="R597">
        <v>136.80000000000001</v>
      </c>
      <c r="S597" s="12">
        <v>1256.1380999999999</v>
      </c>
    </row>
    <row r="598" spans="1:19" hidden="1" x14ac:dyDescent="0.25">
      <c r="A598" s="13">
        <v>45702</v>
      </c>
      <c r="B598" t="s">
        <v>337</v>
      </c>
      <c r="C598">
        <v>28197</v>
      </c>
      <c r="D598" t="s">
        <v>17</v>
      </c>
      <c r="E598" s="5">
        <v>18</v>
      </c>
      <c r="F598">
        <v>57.2</v>
      </c>
      <c r="G598" s="12" t="s">
        <v>28</v>
      </c>
      <c r="H598" s="11">
        <v>7.0000000000000007E-2</v>
      </c>
      <c r="I598" t="s">
        <v>19</v>
      </c>
      <c r="J598">
        <v>18.399999999999999</v>
      </c>
      <c r="K598" t="s">
        <v>37</v>
      </c>
      <c r="L598" t="s">
        <v>31</v>
      </c>
      <c r="M598" t="s">
        <v>22</v>
      </c>
      <c r="N598" t="s">
        <v>23</v>
      </c>
      <c r="O598" t="s">
        <v>24</v>
      </c>
      <c r="P598" t="s">
        <v>25</v>
      </c>
      <c r="Q598">
        <v>1258.4000000000001</v>
      </c>
      <c r="R598">
        <v>88.088000000000008</v>
      </c>
      <c r="S598" s="12">
        <v>1123.6428000000001</v>
      </c>
    </row>
    <row r="599" spans="1:19" hidden="1" x14ac:dyDescent="0.25">
      <c r="A599" s="13">
        <v>45711</v>
      </c>
      <c r="B599" t="s">
        <v>501</v>
      </c>
      <c r="C599">
        <v>80463</v>
      </c>
      <c r="D599" t="s">
        <v>57</v>
      </c>
      <c r="E599" s="5">
        <v>22</v>
      </c>
      <c r="F599">
        <v>92.26</v>
      </c>
      <c r="G599" s="12" t="s">
        <v>28</v>
      </c>
      <c r="H599" s="11">
        <v>0.47</v>
      </c>
      <c r="I599" t="s">
        <v>29</v>
      </c>
      <c r="J599">
        <v>15.86</v>
      </c>
      <c r="K599" s="5" t="s">
        <v>44</v>
      </c>
      <c r="L599" s="14" t="s">
        <v>21</v>
      </c>
      <c r="M599" t="s">
        <v>22</v>
      </c>
      <c r="N599" t="s">
        <v>38</v>
      </c>
      <c r="O599" t="s">
        <v>59</v>
      </c>
      <c r="P599" t="s">
        <v>40</v>
      </c>
      <c r="Q599">
        <v>2029.72</v>
      </c>
      <c r="R599">
        <v>953.96839999999997</v>
      </c>
      <c r="S599" s="12">
        <v>1075.7516000000001</v>
      </c>
    </row>
    <row r="600" spans="1:19" hidden="1" x14ac:dyDescent="0.25">
      <c r="A600" s="13">
        <v>45681</v>
      </c>
      <c r="B600" t="s">
        <v>362</v>
      </c>
      <c r="C600">
        <v>99998</v>
      </c>
      <c r="D600" t="s">
        <v>68</v>
      </c>
      <c r="E600" s="5">
        <v>49</v>
      </c>
      <c r="F600">
        <v>41.29</v>
      </c>
      <c r="G600" s="12" t="s">
        <v>28</v>
      </c>
      <c r="H600" s="11">
        <v>0.38</v>
      </c>
      <c r="I600" t="s">
        <v>29</v>
      </c>
      <c r="J600">
        <v>8.27</v>
      </c>
      <c r="K600" t="s">
        <v>50</v>
      </c>
      <c r="L600" t="s">
        <v>31</v>
      </c>
      <c r="M600" t="s">
        <v>111</v>
      </c>
      <c r="N600" t="s">
        <v>32</v>
      </c>
      <c r="O600" t="s">
        <v>81</v>
      </c>
      <c r="P600" t="s">
        <v>40</v>
      </c>
      <c r="Q600">
        <v>1775.47</v>
      </c>
      <c r="R600">
        <v>674.67860000000007</v>
      </c>
      <c r="S600" s="12">
        <v>1031.5871999999999</v>
      </c>
    </row>
    <row r="601" spans="1:19" hidden="1" x14ac:dyDescent="0.25">
      <c r="A601" s="13">
        <v>45676</v>
      </c>
      <c r="B601" t="s">
        <v>280</v>
      </c>
      <c r="C601">
        <v>92672</v>
      </c>
      <c r="D601" t="s">
        <v>42</v>
      </c>
      <c r="E601" s="5">
        <v>20</v>
      </c>
      <c r="F601">
        <v>51.85</v>
      </c>
      <c r="G601" s="12" t="s">
        <v>28</v>
      </c>
      <c r="H601" s="11">
        <v>0.39</v>
      </c>
      <c r="I601" t="s">
        <v>19</v>
      </c>
      <c r="J601">
        <v>29.14</v>
      </c>
      <c r="K601" t="s">
        <v>37</v>
      </c>
      <c r="L601" s="14" t="s">
        <v>21</v>
      </c>
      <c r="M601" t="s">
        <v>22</v>
      </c>
      <c r="N601" t="s">
        <v>38</v>
      </c>
      <c r="O601" t="s">
        <v>59</v>
      </c>
      <c r="P601" t="s">
        <v>25</v>
      </c>
      <c r="Q601">
        <v>2540.65</v>
      </c>
      <c r="R601">
        <v>990.85350000000005</v>
      </c>
      <c r="S601" s="12">
        <v>1019.874</v>
      </c>
    </row>
    <row r="602" spans="1:19" hidden="1" x14ac:dyDescent="0.25">
      <c r="A602" s="13">
        <v>45690</v>
      </c>
      <c r="B602" t="s">
        <v>429</v>
      </c>
      <c r="C602">
        <v>36463</v>
      </c>
      <c r="D602" t="s">
        <v>68</v>
      </c>
      <c r="E602" s="5">
        <v>18</v>
      </c>
      <c r="F602">
        <v>35.97</v>
      </c>
      <c r="G602" s="12" t="s">
        <v>28</v>
      </c>
      <c r="H602" s="11">
        <v>0.47</v>
      </c>
      <c r="I602" t="s">
        <v>734</v>
      </c>
      <c r="J602">
        <v>21.85</v>
      </c>
      <c r="K602" t="s">
        <v>50</v>
      </c>
      <c r="L602" t="s">
        <v>31</v>
      </c>
      <c r="M602" t="s">
        <v>22</v>
      </c>
      <c r="N602" t="s">
        <v>23</v>
      </c>
      <c r="O602" t="s">
        <v>81</v>
      </c>
      <c r="P602" t="s">
        <v>40</v>
      </c>
      <c r="Q602">
        <v>1618.6499999999999</v>
      </c>
      <c r="R602">
        <v>760.76549999999986</v>
      </c>
      <c r="S602" s="12">
        <v>1015.452</v>
      </c>
    </row>
    <row r="603" spans="1:19" hidden="1" x14ac:dyDescent="0.25">
      <c r="A603" s="13">
        <v>45660</v>
      </c>
      <c r="B603" t="s">
        <v>86</v>
      </c>
      <c r="C603">
        <v>70644</v>
      </c>
      <c r="D603" t="s">
        <v>42</v>
      </c>
      <c r="E603" s="5">
        <v>33</v>
      </c>
      <c r="F603">
        <v>58.11</v>
      </c>
      <c r="G603" s="12" t="s">
        <v>28</v>
      </c>
      <c r="H603" s="11">
        <v>0.1</v>
      </c>
      <c r="I603" t="s">
        <v>734</v>
      </c>
      <c r="J603">
        <v>14.91</v>
      </c>
      <c r="K603" t="s">
        <v>20</v>
      </c>
      <c r="L603" t="s">
        <v>31</v>
      </c>
      <c r="M603" t="s">
        <v>22</v>
      </c>
      <c r="N603" t="s">
        <v>32</v>
      </c>
      <c r="O603" t="s">
        <v>81</v>
      </c>
      <c r="P603" t="s">
        <v>40</v>
      </c>
      <c r="Q603">
        <v>1859.52</v>
      </c>
      <c r="R603">
        <v>185.952</v>
      </c>
      <c r="S603" s="12">
        <v>1014.3012000000001</v>
      </c>
    </row>
    <row r="604" spans="1:19" x14ac:dyDescent="0.25">
      <c r="A604" s="13">
        <v>45708</v>
      </c>
      <c r="B604" t="s">
        <v>202</v>
      </c>
      <c r="C604">
        <v>24318</v>
      </c>
      <c r="D604" t="s">
        <v>49</v>
      </c>
      <c r="E604" s="5">
        <v>19</v>
      </c>
      <c r="F604" s="23">
        <v>48.89</v>
      </c>
      <c r="G604" s="12" t="s">
        <v>28</v>
      </c>
      <c r="H604" s="37">
        <v>0.41</v>
      </c>
      <c r="I604" t="s">
        <v>734</v>
      </c>
      <c r="J604" s="23">
        <v>29.4</v>
      </c>
      <c r="K604" s="5" t="s">
        <v>44</v>
      </c>
      <c r="L604" s="14" t="s">
        <v>21</v>
      </c>
      <c r="M604" t="s">
        <v>22</v>
      </c>
      <c r="N604" t="s">
        <v>23</v>
      </c>
      <c r="O604" t="s">
        <v>39</v>
      </c>
      <c r="P604" s="14" t="s">
        <v>34</v>
      </c>
      <c r="Q604" s="23">
        <v>1417.81</v>
      </c>
      <c r="R604" s="23">
        <v>581.3021</v>
      </c>
      <c r="S604" s="24">
        <v>975.44479999999999</v>
      </c>
    </row>
    <row r="605" spans="1:19" hidden="1" x14ac:dyDescent="0.25">
      <c r="A605" s="13">
        <v>45705</v>
      </c>
      <c r="B605" t="s">
        <v>652</v>
      </c>
      <c r="C605">
        <v>71371</v>
      </c>
      <c r="D605" t="s">
        <v>68</v>
      </c>
      <c r="E605" s="5">
        <v>12</v>
      </c>
      <c r="F605">
        <v>28.18</v>
      </c>
      <c r="G605" s="12" t="s">
        <v>28</v>
      </c>
      <c r="H605" s="11">
        <v>0.06</v>
      </c>
      <c r="I605" t="s">
        <v>734</v>
      </c>
      <c r="J605">
        <v>29.96</v>
      </c>
      <c r="K605" t="s">
        <v>50</v>
      </c>
      <c r="L605" s="14" t="s">
        <v>21</v>
      </c>
      <c r="M605" t="s">
        <v>22</v>
      </c>
      <c r="N605" t="s">
        <v>23</v>
      </c>
      <c r="O605" t="s">
        <v>81</v>
      </c>
      <c r="P605" t="s">
        <v>40</v>
      </c>
      <c r="Q605">
        <v>366.34</v>
      </c>
      <c r="R605">
        <v>21.980399999999996</v>
      </c>
      <c r="S605" s="12">
        <v>922.62239999999997</v>
      </c>
    </row>
    <row r="606" spans="1:19" hidden="1" x14ac:dyDescent="0.25">
      <c r="A606" s="13">
        <v>45712</v>
      </c>
      <c r="B606" t="s">
        <v>710</v>
      </c>
      <c r="C606">
        <v>56646</v>
      </c>
      <c r="D606" t="s">
        <v>49</v>
      </c>
      <c r="E606" s="5">
        <v>16</v>
      </c>
      <c r="F606">
        <v>34.93</v>
      </c>
      <c r="G606" s="12" t="s">
        <v>28</v>
      </c>
      <c r="H606" s="11">
        <v>0.35</v>
      </c>
      <c r="I606" t="s">
        <v>29</v>
      </c>
      <c r="J606">
        <v>18</v>
      </c>
      <c r="K606" t="s">
        <v>30</v>
      </c>
      <c r="L606" s="14" t="s">
        <v>21</v>
      </c>
      <c r="M606" t="s">
        <v>22</v>
      </c>
      <c r="N606" t="s">
        <v>53</v>
      </c>
      <c r="O606" t="s">
        <v>33</v>
      </c>
      <c r="P606" t="s">
        <v>25</v>
      </c>
      <c r="Q606">
        <v>1222.55</v>
      </c>
      <c r="R606">
        <v>427.89249999999998</v>
      </c>
      <c r="S606" s="12">
        <v>921.66719999999998</v>
      </c>
    </row>
    <row r="607" spans="1:19" hidden="1" x14ac:dyDescent="0.25">
      <c r="A607" s="13">
        <v>45700</v>
      </c>
      <c r="B607" t="s">
        <v>601</v>
      </c>
      <c r="C607">
        <v>33149</v>
      </c>
      <c r="D607" t="s">
        <v>70</v>
      </c>
      <c r="E607" s="5">
        <v>43</v>
      </c>
      <c r="F607">
        <v>22.8</v>
      </c>
      <c r="G607" s="12" t="s">
        <v>28</v>
      </c>
      <c r="H607" s="11">
        <v>0.21</v>
      </c>
      <c r="I607" t="s">
        <v>19</v>
      </c>
      <c r="J607">
        <v>26.41</v>
      </c>
      <c r="K607" s="5" t="s">
        <v>44</v>
      </c>
      <c r="L607" t="s">
        <v>31</v>
      </c>
      <c r="M607" t="s">
        <v>22</v>
      </c>
      <c r="N607" t="s">
        <v>32</v>
      </c>
      <c r="O607" t="s">
        <v>59</v>
      </c>
      <c r="P607" t="s">
        <v>25</v>
      </c>
      <c r="Q607">
        <v>684</v>
      </c>
      <c r="R607">
        <v>143.63999999999999</v>
      </c>
      <c r="S607" s="12">
        <v>913.83600000000001</v>
      </c>
    </row>
    <row r="608" spans="1:19" hidden="1" x14ac:dyDescent="0.25">
      <c r="A608" s="13">
        <v>45692</v>
      </c>
      <c r="B608" t="s">
        <v>505</v>
      </c>
      <c r="C608">
        <v>11103</v>
      </c>
      <c r="D608" t="s">
        <v>27</v>
      </c>
      <c r="E608" s="5">
        <v>31</v>
      </c>
      <c r="F608">
        <v>93.44</v>
      </c>
      <c r="G608" s="12" t="s">
        <v>28</v>
      </c>
      <c r="H608" s="11">
        <v>0.4</v>
      </c>
      <c r="I608" t="s">
        <v>19</v>
      </c>
      <c r="J608">
        <v>11.59</v>
      </c>
      <c r="K608" t="s">
        <v>30</v>
      </c>
      <c r="L608" s="14" t="s">
        <v>21</v>
      </c>
      <c r="M608" t="s">
        <v>22</v>
      </c>
      <c r="N608" t="s">
        <v>23</v>
      </c>
      <c r="O608" t="s">
        <v>33</v>
      </c>
      <c r="P608" t="s">
        <v>40</v>
      </c>
      <c r="Q608">
        <v>2429.44</v>
      </c>
      <c r="R608">
        <v>971.77600000000007</v>
      </c>
      <c r="S608" s="12">
        <v>893.39520000000005</v>
      </c>
    </row>
    <row r="609" spans="1:19" hidden="1" x14ac:dyDescent="0.25">
      <c r="A609" s="13">
        <v>45695</v>
      </c>
      <c r="B609" t="s">
        <v>543</v>
      </c>
      <c r="C609">
        <v>98139</v>
      </c>
      <c r="D609" t="s">
        <v>46</v>
      </c>
      <c r="E609" s="5">
        <v>18</v>
      </c>
      <c r="F609">
        <v>97.07</v>
      </c>
      <c r="G609" s="12" t="s">
        <v>28</v>
      </c>
      <c r="H609" s="11">
        <v>0.3</v>
      </c>
      <c r="I609" t="s">
        <v>734</v>
      </c>
      <c r="J609">
        <v>21.5</v>
      </c>
      <c r="K609" t="s">
        <v>20</v>
      </c>
      <c r="L609" s="14" t="s">
        <v>21</v>
      </c>
      <c r="M609" t="s">
        <v>22</v>
      </c>
      <c r="N609" t="s">
        <v>32</v>
      </c>
      <c r="O609" t="s">
        <v>59</v>
      </c>
      <c r="P609" t="s">
        <v>25</v>
      </c>
      <c r="Q609">
        <v>1941.3999999999999</v>
      </c>
      <c r="R609">
        <v>582.41999999999996</v>
      </c>
      <c r="S609" s="12">
        <v>796.68900000000008</v>
      </c>
    </row>
    <row r="610" spans="1:19" hidden="1" x14ac:dyDescent="0.25">
      <c r="A610" s="13">
        <v>45665</v>
      </c>
      <c r="B610" t="s">
        <v>152</v>
      </c>
      <c r="C610">
        <v>33999</v>
      </c>
      <c r="D610" t="s">
        <v>89</v>
      </c>
      <c r="E610" s="5">
        <v>13</v>
      </c>
      <c r="F610">
        <v>7.33</v>
      </c>
      <c r="G610" s="12" t="s">
        <v>28</v>
      </c>
      <c r="H610" s="11">
        <v>0.09</v>
      </c>
      <c r="I610" t="s">
        <v>734</v>
      </c>
      <c r="J610">
        <v>23.87</v>
      </c>
      <c r="K610" t="s">
        <v>30</v>
      </c>
      <c r="L610" t="s">
        <v>31</v>
      </c>
      <c r="M610" t="s">
        <v>111</v>
      </c>
      <c r="N610" t="s">
        <v>53</v>
      </c>
      <c r="O610" t="s">
        <v>81</v>
      </c>
      <c r="P610" t="s">
        <v>25</v>
      </c>
      <c r="Q610">
        <v>102.62</v>
      </c>
      <c r="R610">
        <v>9.2357999999999993</v>
      </c>
      <c r="S610" s="12">
        <v>785.71349999999995</v>
      </c>
    </row>
    <row r="611" spans="1:19" hidden="1" x14ac:dyDescent="0.25">
      <c r="A611" s="13">
        <v>45710</v>
      </c>
      <c r="B611" t="s">
        <v>681</v>
      </c>
      <c r="C611">
        <v>30256</v>
      </c>
      <c r="D611" t="s">
        <v>46</v>
      </c>
      <c r="E611" s="5">
        <v>30</v>
      </c>
      <c r="F611">
        <v>30.92</v>
      </c>
      <c r="G611" s="12" t="s">
        <v>28</v>
      </c>
      <c r="H611" s="11">
        <v>0.17</v>
      </c>
      <c r="I611" t="s">
        <v>29</v>
      </c>
      <c r="J611">
        <v>5.1100000000000003</v>
      </c>
      <c r="K611" t="s">
        <v>50</v>
      </c>
      <c r="L611" t="s">
        <v>31</v>
      </c>
      <c r="M611" t="s">
        <v>22</v>
      </c>
      <c r="N611" t="s">
        <v>32</v>
      </c>
      <c r="O611" t="s">
        <v>39</v>
      </c>
      <c r="P611" t="s">
        <v>25</v>
      </c>
      <c r="Q611">
        <v>927.6</v>
      </c>
      <c r="R611">
        <v>157.69200000000001</v>
      </c>
      <c r="S611" s="12">
        <v>769.90800000000002</v>
      </c>
    </row>
    <row r="612" spans="1:19" hidden="1" x14ac:dyDescent="0.25">
      <c r="A612" s="13">
        <v>45706</v>
      </c>
      <c r="B612" t="s">
        <v>564</v>
      </c>
      <c r="C612">
        <v>47181</v>
      </c>
      <c r="D612" t="s">
        <v>66</v>
      </c>
      <c r="E612" s="5">
        <v>30</v>
      </c>
      <c r="F612">
        <v>43.43</v>
      </c>
      <c r="G612" s="12" t="s">
        <v>28</v>
      </c>
      <c r="H612" s="11">
        <v>0.01</v>
      </c>
      <c r="I612" t="s">
        <v>19</v>
      </c>
      <c r="J612">
        <v>12.2</v>
      </c>
      <c r="K612" t="s">
        <v>30</v>
      </c>
      <c r="L612" t="s">
        <v>31</v>
      </c>
      <c r="M612" t="s">
        <v>22</v>
      </c>
      <c r="N612" t="s">
        <v>32</v>
      </c>
      <c r="O612" t="s">
        <v>59</v>
      </c>
      <c r="P612" t="s">
        <v>25</v>
      </c>
      <c r="Q612">
        <v>1867.49</v>
      </c>
      <c r="R612">
        <v>18.674900000000001</v>
      </c>
      <c r="S612" s="12">
        <v>743.44200000000001</v>
      </c>
    </row>
    <row r="613" spans="1:19" hidden="1" x14ac:dyDescent="0.25">
      <c r="A613" s="13">
        <v>45660</v>
      </c>
      <c r="B613" t="s">
        <v>87</v>
      </c>
      <c r="C613">
        <v>96877</v>
      </c>
      <c r="D613" t="s">
        <v>46</v>
      </c>
      <c r="E613" s="5">
        <v>37</v>
      </c>
      <c r="F613">
        <v>20.309999999999999</v>
      </c>
      <c r="G613" s="12" t="s">
        <v>28</v>
      </c>
      <c r="H613" s="11">
        <v>7.0000000000000007E-2</v>
      </c>
      <c r="I613" t="s">
        <v>29</v>
      </c>
      <c r="J613">
        <v>29.01</v>
      </c>
      <c r="K613" t="s">
        <v>37</v>
      </c>
      <c r="L613" t="s">
        <v>31</v>
      </c>
      <c r="M613" t="s">
        <v>22</v>
      </c>
      <c r="N613" t="s">
        <v>32</v>
      </c>
      <c r="O613" t="s">
        <v>39</v>
      </c>
      <c r="P613" t="s">
        <v>40</v>
      </c>
      <c r="Q613">
        <v>751.46999999999991</v>
      </c>
      <c r="R613">
        <v>52.602899999999998</v>
      </c>
      <c r="S613" s="12">
        <v>698.86709999999994</v>
      </c>
    </row>
    <row r="614" spans="1:19" hidden="1" x14ac:dyDescent="0.25">
      <c r="A614" s="13">
        <v>45672</v>
      </c>
      <c r="B614" t="s">
        <v>204</v>
      </c>
      <c r="C614">
        <v>88527</v>
      </c>
      <c r="D614" t="s">
        <v>17</v>
      </c>
      <c r="E614" s="5">
        <v>44</v>
      </c>
      <c r="F614">
        <v>17.32</v>
      </c>
      <c r="G614" s="12" t="s">
        <v>28</v>
      </c>
      <c r="H614" s="11">
        <v>0.1</v>
      </c>
      <c r="I614" t="s">
        <v>19</v>
      </c>
      <c r="J614">
        <v>25.64</v>
      </c>
      <c r="K614" s="5" t="s">
        <v>44</v>
      </c>
      <c r="L614" t="s">
        <v>31</v>
      </c>
      <c r="M614" t="s">
        <v>22</v>
      </c>
      <c r="N614" t="s">
        <v>23</v>
      </c>
      <c r="O614" t="s">
        <v>81</v>
      </c>
      <c r="P614" t="s">
        <v>40</v>
      </c>
      <c r="Q614">
        <v>762.08</v>
      </c>
      <c r="R614">
        <v>76.208000000000013</v>
      </c>
      <c r="S614" s="12">
        <v>685.87200000000007</v>
      </c>
    </row>
    <row r="615" spans="1:19" hidden="1" x14ac:dyDescent="0.25">
      <c r="A615" s="13">
        <v>45699</v>
      </c>
      <c r="B615" t="s">
        <v>583</v>
      </c>
      <c r="C615">
        <v>44089</v>
      </c>
      <c r="D615" t="s">
        <v>46</v>
      </c>
      <c r="E615" s="5">
        <v>8</v>
      </c>
      <c r="F615">
        <v>89.95</v>
      </c>
      <c r="G615" s="12" t="s">
        <v>28</v>
      </c>
      <c r="H615" s="11">
        <v>0.28000000000000003</v>
      </c>
      <c r="I615" t="s">
        <v>19</v>
      </c>
      <c r="J615">
        <v>13.23</v>
      </c>
      <c r="K615" t="s">
        <v>30</v>
      </c>
      <c r="L615" s="14" t="s">
        <v>21</v>
      </c>
      <c r="M615" t="s">
        <v>22</v>
      </c>
      <c r="N615" t="s">
        <v>23</v>
      </c>
      <c r="O615" t="s">
        <v>33</v>
      </c>
      <c r="P615" t="s">
        <v>40</v>
      </c>
      <c r="Q615">
        <v>3777.9</v>
      </c>
      <c r="R615">
        <v>1057.8120000000001</v>
      </c>
      <c r="S615" s="12">
        <v>659.80399999999997</v>
      </c>
    </row>
    <row r="616" spans="1:19" hidden="1" x14ac:dyDescent="0.25">
      <c r="A616" s="13">
        <v>45705</v>
      </c>
      <c r="B616" t="s">
        <v>432</v>
      </c>
      <c r="C616">
        <v>18429</v>
      </c>
      <c r="D616" t="s">
        <v>70</v>
      </c>
      <c r="E616" s="5">
        <v>9</v>
      </c>
      <c r="F616">
        <v>7.52</v>
      </c>
      <c r="G616" s="12" t="s">
        <v>28</v>
      </c>
      <c r="H616" s="11">
        <v>0.42</v>
      </c>
      <c r="I616" t="s">
        <v>734</v>
      </c>
      <c r="J616">
        <v>7.6</v>
      </c>
      <c r="K616" t="s">
        <v>20</v>
      </c>
      <c r="L616" s="14" t="s">
        <v>21</v>
      </c>
      <c r="M616" t="s">
        <v>22</v>
      </c>
      <c r="N616" t="s">
        <v>53</v>
      </c>
      <c r="O616" t="s">
        <v>24</v>
      </c>
      <c r="P616" t="s">
        <v>40</v>
      </c>
      <c r="Q616">
        <v>330.88</v>
      </c>
      <c r="R616">
        <v>138.96959999999999</v>
      </c>
      <c r="S616" s="12">
        <v>638.97570000000007</v>
      </c>
    </row>
    <row r="617" spans="1:19" x14ac:dyDescent="0.25">
      <c r="A617" s="13">
        <v>45710</v>
      </c>
      <c r="B617" t="s">
        <v>380</v>
      </c>
      <c r="C617">
        <v>51802</v>
      </c>
      <c r="D617" t="s">
        <v>70</v>
      </c>
      <c r="E617" s="5">
        <v>12</v>
      </c>
      <c r="F617" s="23">
        <v>40.28</v>
      </c>
      <c r="G617" s="12" t="s">
        <v>28</v>
      </c>
      <c r="H617" s="37">
        <v>0.41</v>
      </c>
      <c r="I617" t="s">
        <v>29</v>
      </c>
      <c r="J617" s="23">
        <v>21.02</v>
      </c>
      <c r="K617" t="s">
        <v>37</v>
      </c>
      <c r="L617" s="14" t="s">
        <v>21</v>
      </c>
      <c r="M617" t="s">
        <v>22</v>
      </c>
      <c r="N617" t="s">
        <v>53</v>
      </c>
      <c r="O617" t="s">
        <v>59</v>
      </c>
      <c r="P617" s="14" t="s">
        <v>34</v>
      </c>
      <c r="Q617" s="23">
        <v>1047.28</v>
      </c>
      <c r="R617" s="23">
        <v>429.38479999999998</v>
      </c>
      <c r="S617" s="24">
        <v>584.98320000000001</v>
      </c>
    </row>
    <row r="618" spans="1:19" hidden="1" x14ac:dyDescent="0.25">
      <c r="A618" s="13">
        <v>45706</v>
      </c>
      <c r="B618" t="s">
        <v>594</v>
      </c>
      <c r="C618">
        <v>71444</v>
      </c>
      <c r="D618" t="s">
        <v>89</v>
      </c>
      <c r="E618" s="5">
        <v>14</v>
      </c>
      <c r="F618">
        <v>77.680000000000007</v>
      </c>
      <c r="G618" s="12" t="s">
        <v>28</v>
      </c>
      <c r="H618" s="11">
        <v>0.18</v>
      </c>
      <c r="I618" t="s">
        <v>734</v>
      </c>
      <c r="J618">
        <v>27.18</v>
      </c>
      <c r="K618" s="5" t="s">
        <v>44</v>
      </c>
      <c r="L618" t="s">
        <v>31</v>
      </c>
      <c r="M618" t="s">
        <v>22</v>
      </c>
      <c r="N618" t="s">
        <v>23</v>
      </c>
      <c r="O618" t="s">
        <v>81</v>
      </c>
      <c r="P618" t="s">
        <v>40</v>
      </c>
      <c r="Q618">
        <v>3495.6000000000004</v>
      </c>
      <c r="R618">
        <v>629.20800000000008</v>
      </c>
      <c r="S618" s="12">
        <v>580.24400000000003</v>
      </c>
    </row>
    <row r="619" spans="1:19" hidden="1" x14ac:dyDescent="0.25">
      <c r="A619" s="13">
        <v>45682</v>
      </c>
      <c r="B619" t="s">
        <v>376</v>
      </c>
      <c r="C619">
        <v>50399</v>
      </c>
      <c r="D619" t="s">
        <v>27</v>
      </c>
      <c r="E619" s="5">
        <v>44</v>
      </c>
      <c r="F619">
        <v>4.9800000000000004</v>
      </c>
      <c r="G619" s="12" t="s">
        <v>28</v>
      </c>
      <c r="H619" s="11">
        <v>0.46</v>
      </c>
      <c r="I619" t="s">
        <v>19</v>
      </c>
      <c r="J619">
        <v>8.11</v>
      </c>
      <c r="K619" t="s">
        <v>30</v>
      </c>
      <c r="L619" s="14" t="s">
        <v>21</v>
      </c>
      <c r="M619" t="s">
        <v>22</v>
      </c>
      <c r="N619" t="s">
        <v>23</v>
      </c>
      <c r="O619" t="s">
        <v>24</v>
      </c>
      <c r="P619" t="s">
        <v>25</v>
      </c>
      <c r="Q619">
        <v>229.08</v>
      </c>
      <c r="R619">
        <v>105.37680000000002</v>
      </c>
      <c r="S619" s="12">
        <v>559.59640000000002</v>
      </c>
    </row>
    <row r="620" spans="1:19" hidden="1" x14ac:dyDescent="0.25">
      <c r="A620" s="13">
        <v>45709</v>
      </c>
      <c r="B620" t="s">
        <v>329</v>
      </c>
      <c r="C620">
        <v>77552</v>
      </c>
      <c r="D620" t="s">
        <v>70</v>
      </c>
      <c r="E620" s="5">
        <v>11</v>
      </c>
      <c r="F620">
        <v>40.57</v>
      </c>
      <c r="G620" s="12" t="s">
        <v>28</v>
      </c>
      <c r="H620" s="11">
        <v>0.39</v>
      </c>
      <c r="I620" t="s">
        <v>29</v>
      </c>
      <c r="J620">
        <v>26.94</v>
      </c>
      <c r="K620" t="s">
        <v>50</v>
      </c>
      <c r="L620" s="14" t="s">
        <v>21</v>
      </c>
      <c r="M620" t="s">
        <v>22</v>
      </c>
      <c r="N620" t="s">
        <v>32</v>
      </c>
      <c r="O620" t="s">
        <v>24</v>
      </c>
      <c r="P620" t="s">
        <v>25</v>
      </c>
      <c r="Q620">
        <v>1582.23</v>
      </c>
      <c r="R620">
        <v>617.06970000000001</v>
      </c>
      <c r="S620" s="12">
        <v>480.88479999999993</v>
      </c>
    </row>
    <row r="621" spans="1:19" hidden="1" x14ac:dyDescent="0.25">
      <c r="A621" s="13">
        <v>45709</v>
      </c>
      <c r="B621" t="s">
        <v>663</v>
      </c>
      <c r="C621">
        <v>40067</v>
      </c>
      <c r="D621" t="s">
        <v>46</v>
      </c>
      <c r="E621" s="5">
        <v>19</v>
      </c>
      <c r="F621">
        <v>29.65</v>
      </c>
      <c r="G621" s="12" t="s">
        <v>28</v>
      </c>
      <c r="H621" s="11">
        <v>0.17</v>
      </c>
      <c r="I621" t="s">
        <v>29</v>
      </c>
      <c r="J621">
        <v>28.19</v>
      </c>
      <c r="K621" s="5" t="s">
        <v>44</v>
      </c>
      <c r="L621" t="s">
        <v>31</v>
      </c>
      <c r="M621" t="s">
        <v>22</v>
      </c>
      <c r="N621" t="s">
        <v>23</v>
      </c>
      <c r="O621" t="s">
        <v>24</v>
      </c>
      <c r="P621" t="s">
        <v>25</v>
      </c>
      <c r="Q621">
        <v>355.79999999999995</v>
      </c>
      <c r="R621">
        <v>60.485999999999997</v>
      </c>
      <c r="S621" s="12">
        <v>456.18240000000003</v>
      </c>
    </row>
    <row r="622" spans="1:19" hidden="1" x14ac:dyDescent="0.25">
      <c r="A622" s="13">
        <v>45710</v>
      </c>
      <c r="B622" t="s">
        <v>213</v>
      </c>
      <c r="C622">
        <v>22403</v>
      </c>
      <c r="D622" t="s">
        <v>49</v>
      </c>
      <c r="E622" s="5">
        <v>41</v>
      </c>
      <c r="F622">
        <v>14.63</v>
      </c>
      <c r="G622" s="12" t="s">
        <v>28</v>
      </c>
      <c r="H622" s="11">
        <v>0.04</v>
      </c>
      <c r="I622" t="s">
        <v>734</v>
      </c>
      <c r="J622">
        <v>20.46</v>
      </c>
      <c r="K622" t="s">
        <v>30</v>
      </c>
      <c r="L622" s="14" t="s">
        <v>21</v>
      </c>
      <c r="M622" t="s">
        <v>22</v>
      </c>
      <c r="N622" t="s">
        <v>53</v>
      </c>
      <c r="O622" t="s">
        <v>24</v>
      </c>
      <c r="P622" t="s">
        <v>40</v>
      </c>
      <c r="Q622">
        <v>102.41000000000001</v>
      </c>
      <c r="R622">
        <v>4.0964000000000009</v>
      </c>
      <c r="S622" s="12">
        <v>442.17679999999996</v>
      </c>
    </row>
    <row r="623" spans="1:19" hidden="1" x14ac:dyDescent="0.25">
      <c r="A623" s="13">
        <v>45682</v>
      </c>
      <c r="B623" t="s">
        <v>378</v>
      </c>
      <c r="C623">
        <v>57438</v>
      </c>
      <c r="D623" t="s">
        <v>49</v>
      </c>
      <c r="E623" s="5">
        <v>9</v>
      </c>
      <c r="F623">
        <v>53.55</v>
      </c>
      <c r="G623" s="12" t="s">
        <v>28</v>
      </c>
      <c r="H623" s="11">
        <v>0.12</v>
      </c>
      <c r="I623" t="s">
        <v>734</v>
      </c>
      <c r="J623">
        <v>26.62</v>
      </c>
      <c r="K623" t="s">
        <v>30</v>
      </c>
      <c r="L623" t="s">
        <v>31</v>
      </c>
      <c r="M623" t="s">
        <v>22</v>
      </c>
      <c r="N623" t="s">
        <v>23</v>
      </c>
      <c r="O623" t="s">
        <v>33</v>
      </c>
      <c r="P623" t="s">
        <v>34</v>
      </c>
      <c r="Q623">
        <v>481.95</v>
      </c>
      <c r="R623">
        <v>57.833999999999996</v>
      </c>
      <c r="S623" s="12">
        <v>424.11599999999999</v>
      </c>
    </row>
    <row r="624" spans="1:19" hidden="1" x14ac:dyDescent="0.25">
      <c r="A624" s="13">
        <v>45665</v>
      </c>
      <c r="B624" t="s">
        <v>100</v>
      </c>
      <c r="C624">
        <v>54223</v>
      </c>
      <c r="D624" t="s">
        <v>57</v>
      </c>
      <c r="E624" s="5">
        <v>8</v>
      </c>
      <c r="F624">
        <v>61.05</v>
      </c>
      <c r="G624" s="12" t="s">
        <v>28</v>
      </c>
      <c r="H624" s="11">
        <v>0.01</v>
      </c>
      <c r="I624" t="s">
        <v>19</v>
      </c>
      <c r="J624">
        <v>10.74</v>
      </c>
      <c r="K624" t="s">
        <v>30</v>
      </c>
      <c r="L624" s="14" t="s">
        <v>21</v>
      </c>
      <c r="M624" t="s">
        <v>22</v>
      </c>
      <c r="N624" t="s">
        <v>38</v>
      </c>
      <c r="O624" t="s">
        <v>81</v>
      </c>
      <c r="P624" t="s">
        <v>25</v>
      </c>
      <c r="Q624">
        <v>793.65</v>
      </c>
      <c r="R624">
        <v>7.9364999999999997</v>
      </c>
      <c r="S624" s="12">
        <v>302.57919999999996</v>
      </c>
    </row>
    <row r="625" spans="1:19" hidden="1" x14ac:dyDescent="0.25">
      <c r="A625" s="13">
        <v>45709</v>
      </c>
      <c r="B625" t="s">
        <v>481</v>
      </c>
      <c r="C625">
        <v>36398</v>
      </c>
      <c r="D625" t="s">
        <v>46</v>
      </c>
      <c r="E625" s="5">
        <v>4</v>
      </c>
      <c r="F625">
        <v>25.01</v>
      </c>
      <c r="G625" s="12" t="s">
        <v>28</v>
      </c>
      <c r="H625" s="11">
        <v>0.04</v>
      </c>
      <c r="I625" t="s">
        <v>19</v>
      </c>
      <c r="J625">
        <v>21.59</v>
      </c>
      <c r="K625" t="s">
        <v>37</v>
      </c>
      <c r="L625" t="s">
        <v>31</v>
      </c>
      <c r="M625" t="s">
        <v>22</v>
      </c>
      <c r="N625" t="s">
        <v>23</v>
      </c>
      <c r="O625" t="s">
        <v>81</v>
      </c>
      <c r="P625" t="s">
        <v>34</v>
      </c>
      <c r="Q625">
        <v>475.19000000000005</v>
      </c>
      <c r="R625">
        <v>19.007600000000004</v>
      </c>
      <c r="S625" s="12">
        <v>270.36799999999999</v>
      </c>
    </row>
    <row r="626" spans="1:19" hidden="1" x14ac:dyDescent="0.25">
      <c r="A626" s="13">
        <v>45710</v>
      </c>
      <c r="B626" t="s">
        <v>486</v>
      </c>
      <c r="C626">
        <v>28561</v>
      </c>
      <c r="D626" t="s">
        <v>46</v>
      </c>
      <c r="E626" s="5">
        <v>36</v>
      </c>
      <c r="F626">
        <v>68.66</v>
      </c>
      <c r="G626" s="12" t="s">
        <v>28</v>
      </c>
      <c r="H626" s="11">
        <v>0.28999999999999998</v>
      </c>
      <c r="I626" t="s">
        <v>19</v>
      </c>
      <c r="J626">
        <v>29.74</v>
      </c>
      <c r="K626" t="s">
        <v>30</v>
      </c>
      <c r="L626" s="14" t="s">
        <v>21</v>
      </c>
      <c r="M626" t="s">
        <v>22</v>
      </c>
      <c r="N626" t="s">
        <v>32</v>
      </c>
      <c r="O626" t="s">
        <v>59</v>
      </c>
      <c r="P626" t="s">
        <v>40</v>
      </c>
      <c r="Q626">
        <v>823.92</v>
      </c>
      <c r="R626">
        <v>238.93679999999998</v>
      </c>
      <c r="S626" s="12">
        <v>268.1748</v>
      </c>
    </row>
    <row r="627" spans="1:19" x14ac:dyDescent="0.25">
      <c r="A627" s="13">
        <v>45674</v>
      </c>
      <c r="B627" t="s">
        <v>230</v>
      </c>
      <c r="C627">
        <v>16423</v>
      </c>
      <c r="D627" t="s">
        <v>49</v>
      </c>
      <c r="E627" s="5">
        <v>17</v>
      </c>
      <c r="F627" s="23">
        <v>36.270000000000003</v>
      </c>
      <c r="G627" s="12" t="s">
        <v>28</v>
      </c>
      <c r="H627" s="37">
        <v>0.14000000000000001</v>
      </c>
      <c r="I627" t="s">
        <v>29</v>
      </c>
      <c r="J627" s="23">
        <v>26.22</v>
      </c>
      <c r="K627" t="s">
        <v>37</v>
      </c>
      <c r="L627" s="14" t="s">
        <v>21</v>
      </c>
      <c r="M627" t="s">
        <v>22</v>
      </c>
      <c r="N627" t="s">
        <v>53</v>
      </c>
      <c r="O627" t="s">
        <v>81</v>
      </c>
      <c r="P627" s="14" t="s">
        <v>34</v>
      </c>
      <c r="Q627" s="23">
        <v>1051.8300000000002</v>
      </c>
      <c r="R627" s="23">
        <v>147.25620000000004</v>
      </c>
      <c r="S627" s="24">
        <v>265.52470000000005</v>
      </c>
    </row>
    <row r="628" spans="1:19" hidden="1" x14ac:dyDescent="0.25">
      <c r="A628" s="13">
        <v>45677</v>
      </c>
      <c r="B628" t="s">
        <v>217</v>
      </c>
      <c r="C628">
        <v>20111</v>
      </c>
      <c r="D628" t="s">
        <v>75</v>
      </c>
      <c r="E628" s="5">
        <v>4</v>
      </c>
      <c r="F628">
        <v>61.64</v>
      </c>
      <c r="G628" s="12" t="s">
        <v>28</v>
      </c>
      <c r="H628" s="11">
        <v>0.24</v>
      </c>
      <c r="I628" t="s">
        <v>734</v>
      </c>
      <c r="J628">
        <v>14.45</v>
      </c>
      <c r="K628" t="s">
        <v>37</v>
      </c>
      <c r="L628" s="14" t="s">
        <v>21</v>
      </c>
      <c r="M628" t="s">
        <v>22</v>
      </c>
      <c r="N628" t="s">
        <v>53</v>
      </c>
      <c r="O628" t="s">
        <v>33</v>
      </c>
      <c r="P628" t="s">
        <v>25</v>
      </c>
      <c r="Q628">
        <v>2588.88</v>
      </c>
      <c r="R628">
        <v>621.33119999999997</v>
      </c>
      <c r="S628" s="12">
        <v>254.61919999999998</v>
      </c>
    </row>
    <row r="629" spans="1:19" hidden="1" x14ac:dyDescent="0.25">
      <c r="A629" s="13">
        <v>45702</v>
      </c>
      <c r="B629" t="s">
        <v>620</v>
      </c>
      <c r="C629">
        <v>24103</v>
      </c>
      <c r="D629" t="s">
        <v>89</v>
      </c>
      <c r="E629" s="5">
        <v>26</v>
      </c>
      <c r="F629">
        <v>96.08</v>
      </c>
      <c r="G629" s="12" t="s">
        <v>28</v>
      </c>
      <c r="H629" s="11">
        <v>0.1</v>
      </c>
      <c r="I629" t="s">
        <v>734</v>
      </c>
      <c r="J629">
        <v>16.52</v>
      </c>
      <c r="K629" t="s">
        <v>50</v>
      </c>
      <c r="L629" s="14" t="s">
        <v>21</v>
      </c>
      <c r="M629" t="s">
        <v>22</v>
      </c>
      <c r="N629" t="s">
        <v>53</v>
      </c>
      <c r="O629" t="s">
        <v>81</v>
      </c>
      <c r="P629" t="s">
        <v>40</v>
      </c>
      <c r="Q629">
        <v>1537.28</v>
      </c>
      <c r="R629">
        <v>153.72800000000001</v>
      </c>
      <c r="S629" s="12">
        <v>205.79519999999999</v>
      </c>
    </row>
    <row r="630" spans="1:19" hidden="1" x14ac:dyDescent="0.25">
      <c r="A630" s="13">
        <v>45696</v>
      </c>
      <c r="B630" t="s">
        <v>545</v>
      </c>
      <c r="C630">
        <v>51699</v>
      </c>
      <c r="D630" t="s">
        <v>17</v>
      </c>
      <c r="E630" s="5">
        <v>5</v>
      </c>
      <c r="F630">
        <v>69</v>
      </c>
      <c r="G630" s="12" t="s">
        <v>28</v>
      </c>
      <c r="H630" s="11">
        <v>0.41</v>
      </c>
      <c r="I630" t="s">
        <v>734</v>
      </c>
      <c r="J630">
        <v>15.01</v>
      </c>
      <c r="K630" t="s">
        <v>50</v>
      </c>
      <c r="L630" t="s">
        <v>31</v>
      </c>
      <c r="M630" t="s">
        <v>22</v>
      </c>
      <c r="N630" t="s">
        <v>32</v>
      </c>
      <c r="O630" t="s">
        <v>24</v>
      </c>
      <c r="P630" t="s">
        <v>25</v>
      </c>
      <c r="Q630">
        <v>3381</v>
      </c>
      <c r="R630">
        <v>1386.2099999999998</v>
      </c>
      <c r="S630" s="12">
        <v>194.77499999999998</v>
      </c>
    </row>
    <row r="631" spans="1:19" hidden="1" x14ac:dyDescent="0.25">
      <c r="A631" s="13">
        <v>45675</v>
      </c>
      <c r="B631" t="s">
        <v>259</v>
      </c>
      <c r="C631">
        <v>60083</v>
      </c>
      <c r="D631" t="s">
        <v>75</v>
      </c>
      <c r="E631" s="5">
        <v>46</v>
      </c>
      <c r="F631">
        <v>69.45</v>
      </c>
      <c r="G631" s="12" t="s">
        <v>28</v>
      </c>
      <c r="H631" s="11">
        <v>0.49</v>
      </c>
      <c r="I631" t="s">
        <v>734</v>
      </c>
      <c r="J631">
        <v>23.58</v>
      </c>
      <c r="K631" t="s">
        <v>37</v>
      </c>
      <c r="L631" s="14" t="s">
        <v>21</v>
      </c>
      <c r="M631" t="s">
        <v>735</v>
      </c>
      <c r="N631" t="s">
        <v>32</v>
      </c>
      <c r="O631" t="s">
        <v>81</v>
      </c>
      <c r="P631" t="s">
        <v>40</v>
      </c>
      <c r="Q631">
        <v>625.05000000000007</v>
      </c>
      <c r="R631">
        <v>306.27450000000005</v>
      </c>
      <c r="S631" s="12">
        <v>175.38420000000002</v>
      </c>
    </row>
    <row r="632" spans="1:19" hidden="1" x14ac:dyDescent="0.25">
      <c r="A632" s="13">
        <v>45690</v>
      </c>
      <c r="B632" t="s">
        <v>277</v>
      </c>
      <c r="C632">
        <v>83959</v>
      </c>
      <c r="D632" t="s">
        <v>66</v>
      </c>
      <c r="E632" s="5">
        <v>29</v>
      </c>
      <c r="F632">
        <v>36.86</v>
      </c>
      <c r="G632" s="12" t="s">
        <v>28</v>
      </c>
      <c r="H632" s="11">
        <v>0.08</v>
      </c>
      <c r="I632" t="s">
        <v>29</v>
      </c>
      <c r="J632">
        <v>11.28</v>
      </c>
      <c r="K632" t="s">
        <v>20</v>
      </c>
      <c r="L632" t="s">
        <v>31</v>
      </c>
      <c r="M632" t="s">
        <v>22</v>
      </c>
      <c r="N632" t="s">
        <v>23</v>
      </c>
      <c r="O632" t="s">
        <v>81</v>
      </c>
      <c r="P632" t="s">
        <v>34</v>
      </c>
      <c r="Q632">
        <v>1400.68</v>
      </c>
      <c r="R632">
        <v>112.0544</v>
      </c>
      <c r="S632" s="12">
        <v>167.84039999999999</v>
      </c>
    </row>
    <row r="633" spans="1:19" x14ac:dyDescent="0.25">
      <c r="A633" s="13">
        <v>45697</v>
      </c>
      <c r="B633" t="s">
        <v>112</v>
      </c>
      <c r="C633">
        <v>63992</v>
      </c>
      <c r="D633" t="s">
        <v>17</v>
      </c>
      <c r="E633" s="5">
        <v>3</v>
      </c>
      <c r="F633" s="23">
        <v>54.64</v>
      </c>
      <c r="G633" s="12" t="s">
        <v>28</v>
      </c>
      <c r="H633" s="37">
        <v>0.48</v>
      </c>
      <c r="I633" t="s">
        <v>734</v>
      </c>
      <c r="J633" s="23">
        <v>18.809999999999999</v>
      </c>
      <c r="K633" t="s">
        <v>37</v>
      </c>
      <c r="L633" s="14" t="s">
        <v>21</v>
      </c>
      <c r="M633" t="s">
        <v>22</v>
      </c>
      <c r="N633" t="s">
        <v>23</v>
      </c>
      <c r="O633" t="s">
        <v>33</v>
      </c>
      <c r="P633" s="14" t="s">
        <v>34</v>
      </c>
      <c r="Q633" s="23">
        <v>1092.8</v>
      </c>
      <c r="R633" s="23">
        <v>524.54399999999998</v>
      </c>
      <c r="S633" s="24">
        <v>135.92519999999999</v>
      </c>
    </row>
    <row r="634" spans="1:19" hidden="1" x14ac:dyDescent="0.25">
      <c r="A634" s="13">
        <v>45699</v>
      </c>
      <c r="B634" t="s">
        <v>334</v>
      </c>
      <c r="C634">
        <v>36525</v>
      </c>
      <c r="D634" t="s">
        <v>42</v>
      </c>
      <c r="E634" s="5">
        <v>4</v>
      </c>
      <c r="F634">
        <v>33.130000000000003</v>
      </c>
      <c r="G634" s="12" t="s">
        <v>28</v>
      </c>
      <c r="H634" s="11">
        <v>0.11</v>
      </c>
      <c r="I634" t="s">
        <v>734</v>
      </c>
      <c r="J634">
        <v>19.21</v>
      </c>
      <c r="K634" t="s">
        <v>37</v>
      </c>
      <c r="L634" s="14" t="s">
        <v>21</v>
      </c>
      <c r="M634" t="s">
        <v>22</v>
      </c>
      <c r="N634" t="s">
        <v>38</v>
      </c>
      <c r="O634" t="s">
        <v>59</v>
      </c>
      <c r="P634" t="s">
        <v>25</v>
      </c>
      <c r="Q634">
        <v>861.38000000000011</v>
      </c>
      <c r="R634">
        <v>94.751800000000017</v>
      </c>
      <c r="S634" s="12">
        <v>132.28719999999998</v>
      </c>
    </row>
    <row r="635" spans="1:19" hidden="1" x14ac:dyDescent="0.25">
      <c r="A635" s="13">
        <v>45689</v>
      </c>
      <c r="B635" t="s">
        <v>271</v>
      </c>
      <c r="C635">
        <v>75189</v>
      </c>
      <c r="D635" t="s">
        <v>89</v>
      </c>
      <c r="E635" s="5">
        <v>2</v>
      </c>
      <c r="F635">
        <v>3.51</v>
      </c>
      <c r="G635" s="12" t="s">
        <v>28</v>
      </c>
      <c r="H635" s="11">
        <v>0.49</v>
      </c>
      <c r="I635" t="s">
        <v>734</v>
      </c>
      <c r="J635">
        <v>6.16</v>
      </c>
      <c r="K635" t="s">
        <v>37</v>
      </c>
      <c r="L635" t="s">
        <v>31</v>
      </c>
      <c r="M635" t="s">
        <v>22</v>
      </c>
      <c r="N635" t="s">
        <v>38</v>
      </c>
      <c r="O635" t="s">
        <v>39</v>
      </c>
      <c r="P635" t="s">
        <v>25</v>
      </c>
      <c r="Q635">
        <v>171.98999999999998</v>
      </c>
      <c r="R635">
        <v>84.275099999999995</v>
      </c>
      <c r="S635" s="12">
        <v>126.74160000000001</v>
      </c>
    </row>
    <row r="636" spans="1:19" hidden="1" x14ac:dyDescent="0.25">
      <c r="A636" s="13">
        <v>45694</v>
      </c>
      <c r="B636" t="s">
        <v>532</v>
      </c>
      <c r="C636">
        <v>15847</v>
      </c>
      <c r="D636" t="s">
        <v>70</v>
      </c>
      <c r="E636" s="5">
        <v>13</v>
      </c>
      <c r="F636">
        <v>57.79</v>
      </c>
      <c r="G636" s="12" t="s">
        <v>28</v>
      </c>
      <c r="H636" s="11">
        <v>0.43</v>
      </c>
      <c r="I636" t="s">
        <v>734</v>
      </c>
      <c r="J636">
        <v>23.42</v>
      </c>
      <c r="K636" t="s">
        <v>50</v>
      </c>
      <c r="L636" s="14" t="s">
        <v>21</v>
      </c>
      <c r="M636" t="s">
        <v>22</v>
      </c>
      <c r="N636" t="s">
        <v>38</v>
      </c>
      <c r="O636" t="s">
        <v>81</v>
      </c>
      <c r="P636" t="s">
        <v>25</v>
      </c>
      <c r="Q636">
        <v>866.85</v>
      </c>
      <c r="R636">
        <v>372.74549999999999</v>
      </c>
      <c r="S636" s="12">
        <v>111.73760000000001</v>
      </c>
    </row>
    <row r="637" spans="1:19" hidden="1" x14ac:dyDescent="0.25">
      <c r="A637" s="13">
        <v>45664</v>
      </c>
      <c r="B637" t="s">
        <v>148</v>
      </c>
      <c r="C637">
        <v>36008</v>
      </c>
      <c r="D637" t="s">
        <v>46</v>
      </c>
      <c r="E637" s="5">
        <v>10</v>
      </c>
      <c r="F637">
        <v>61.11</v>
      </c>
      <c r="G637" s="12" t="s">
        <v>28</v>
      </c>
      <c r="H637" s="11">
        <v>0.25</v>
      </c>
      <c r="I637" t="s">
        <v>19</v>
      </c>
      <c r="J637">
        <v>13.76</v>
      </c>
      <c r="K637" t="s">
        <v>37</v>
      </c>
      <c r="L637" t="s">
        <v>31</v>
      </c>
      <c r="M637" t="s">
        <v>22</v>
      </c>
      <c r="N637" t="s">
        <v>53</v>
      </c>
      <c r="O637" t="s">
        <v>81</v>
      </c>
      <c r="P637" t="s">
        <v>34</v>
      </c>
      <c r="Q637">
        <v>2627.73</v>
      </c>
      <c r="R637">
        <v>656.9325</v>
      </c>
      <c r="S637" s="12">
        <v>101.30399999999999</v>
      </c>
    </row>
    <row r="638" spans="1:19" hidden="1" x14ac:dyDescent="0.25">
      <c r="A638" s="13">
        <v>45710</v>
      </c>
      <c r="B638" t="s">
        <v>697</v>
      </c>
      <c r="C638">
        <v>53990</v>
      </c>
      <c r="D638" t="s">
        <v>57</v>
      </c>
      <c r="E638" s="5">
        <v>7</v>
      </c>
      <c r="F638">
        <v>15.86</v>
      </c>
      <c r="G638" s="12" t="s">
        <v>28</v>
      </c>
      <c r="H638" s="11">
        <v>0.32</v>
      </c>
      <c r="I638" t="s">
        <v>29</v>
      </c>
      <c r="J638">
        <v>15.48</v>
      </c>
      <c r="K638" t="s">
        <v>50</v>
      </c>
      <c r="L638" t="s">
        <v>31</v>
      </c>
      <c r="M638" t="s">
        <v>22</v>
      </c>
      <c r="N638" t="s">
        <v>23</v>
      </c>
      <c r="O638" t="s">
        <v>24</v>
      </c>
      <c r="P638" t="s">
        <v>40</v>
      </c>
      <c r="Q638">
        <v>650.26</v>
      </c>
      <c r="R638">
        <v>208.08320000000001</v>
      </c>
      <c r="S638" s="12">
        <v>98.313600000000008</v>
      </c>
    </row>
    <row r="639" spans="1:19" hidden="1" x14ac:dyDescent="0.25">
      <c r="A639" s="13">
        <v>45708</v>
      </c>
      <c r="B639" t="s">
        <v>124</v>
      </c>
      <c r="C639">
        <v>54703</v>
      </c>
      <c r="D639" t="s">
        <v>68</v>
      </c>
      <c r="E639" s="5">
        <v>3</v>
      </c>
      <c r="F639">
        <v>58.34</v>
      </c>
      <c r="G639" s="12" t="s">
        <v>28</v>
      </c>
      <c r="H639" s="11">
        <v>0.12</v>
      </c>
      <c r="I639" t="s">
        <v>29</v>
      </c>
      <c r="J639">
        <v>23.3</v>
      </c>
      <c r="K639" s="5" t="s">
        <v>44</v>
      </c>
      <c r="L639" s="14" t="s">
        <v>21</v>
      </c>
      <c r="M639" t="s">
        <v>22</v>
      </c>
      <c r="N639" t="s">
        <v>32</v>
      </c>
      <c r="O639" t="s">
        <v>24</v>
      </c>
      <c r="P639" t="s">
        <v>25</v>
      </c>
      <c r="Q639">
        <v>1108.46</v>
      </c>
      <c r="R639">
        <v>133.01519999999999</v>
      </c>
      <c r="S639" s="12">
        <v>95.328000000000003</v>
      </c>
    </row>
    <row r="640" spans="1:19" hidden="1" x14ac:dyDescent="0.25">
      <c r="A640" s="13">
        <v>45712</v>
      </c>
      <c r="B640" t="s">
        <v>409</v>
      </c>
      <c r="C640">
        <v>68794</v>
      </c>
      <c r="D640" t="s">
        <v>89</v>
      </c>
      <c r="E640" s="5">
        <v>1</v>
      </c>
      <c r="F640">
        <v>92.52</v>
      </c>
      <c r="G640" s="12" t="s">
        <v>28</v>
      </c>
      <c r="H640" s="11">
        <v>0.28999999999999998</v>
      </c>
      <c r="I640" t="s">
        <v>29</v>
      </c>
      <c r="J640">
        <v>8.43</v>
      </c>
      <c r="K640" t="s">
        <v>30</v>
      </c>
      <c r="L640" s="14" t="s">
        <v>21</v>
      </c>
      <c r="M640" t="s">
        <v>22</v>
      </c>
      <c r="N640" t="s">
        <v>53</v>
      </c>
      <c r="O640" t="s">
        <v>59</v>
      </c>
      <c r="P640" t="s">
        <v>40</v>
      </c>
      <c r="Q640">
        <v>3608.2799999999997</v>
      </c>
      <c r="R640">
        <v>1046.4011999999998</v>
      </c>
      <c r="S640" s="12">
        <v>71.4405</v>
      </c>
    </row>
    <row r="641" spans="1:19" hidden="1" x14ac:dyDescent="0.25">
      <c r="A641" s="13">
        <v>45705</v>
      </c>
      <c r="B641" t="s">
        <v>64</v>
      </c>
      <c r="C641">
        <v>35808</v>
      </c>
      <c r="D641" t="s">
        <v>49</v>
      </c>
      <c r="E641" s="5">
        <v>22</v>
      </c>
      <c r="F641">
        <v>5.36</v>
      </c>
      <c r="G641" s="12" t="s">
        <v>28</v>
      </c>
      <c r="H641" s="11">
        <v>7.0000000000000007E-2</v>
      </c>
      <c r="I641" t="s">
        <v>29</v>
      </c>
      <c r="J641">
        <v>21.55</v>
      </c>
      <c r="K641" t="s">
        <v>37</v>
      </c>
      <c r="L641" t="s">
        <v>31</v>
      </c>
      <c r="M641" t="s">
        <v>22</v>
      </c>
      <c r="N641" t="s">
        <v>53</v>
      </c>
      <c r="O641" t="s">
        <v>81</v>
      </c>
      <c r="P641" t="s">
        <v>40</v>
      </c>
      <c r="Q641">
        <v>251.92000000000002</v>
      </c>
      <c r="R641">
        <v>17.634400000000003</v>
      </c>
      <c r="S641" s="12">
        <v>58.959999999999994</v>
      </c>
    </row>
    <row r="642" spans="1:19" hidden="1" x14ac:dyDescent="0.25">
      <c r="A642" s="13">
        <v>45701</v>
      </c>
      <c r="B642" t="s">
        <v>613</v>
      </c>
      <c r="C642">
        <v>65448</v>
      </c>
      <c r="D642" t="s">
        <v>66</v>
      </c>
      <c r="E642" s="5">
        <v>2</v>
      </c>
      <c r="F642">
        <v>26.1</v>
      </c>
      <c r="G642" s="12" t="s">
        <v>28</v>
      </c>
      <c r="H642" s="11">
        <v>0.48</v>
      </c>
      <c r="I642" t="s">
        <v>19</v>
      </c>
      <c r="J642">
        <v>10.45</v>
      </c>
      <c r="K642" t="s">
        <v>20</v>
      </c>
      <c r="L642" t="s">
        <v>31</v>
      </c>
      <c r="M642" t="s">
        <v>22</v>
      </c>
      <c r="N642" t="s">
        <v>23</v>
      </c>
      <c r="O642" t="s">
        <v>33</v>
      </c>
      <c r="P642" t="s">
        <v>34</v>
      </c>
      <c r="Q642">
        <v>78.300000000000011</v>
      </c>
      <c r="R642">
        <v>37.584000000000003</v>
      </c>
      <c r="S642" s="12">
        <v>53.816000000000003</v>
      </c>
    </row>
    <row r="643" spans="1:19" hidden="1" x14ac:dyDescent="0.25">
      <c r="A643" s="13">
        <v>45684</v>
      </c>
      <c r="B643" t="s">
        <v>228</v>
      </c>
      <c r="C643">
        <v>40495</v>
      </c>
      <c r="D643" t="s">
        <v>68</v>
      </c>
      <c r="E643" s="5">
        <v>1</v>
      </c>
      <c r="F643">
        <v>73.459999999999994</v>
      </c>
      <c r="G643" s="12" t="s">
        <v>28</v>
      </c>
      <c r="H643" s="11">
        <v>0.36</v>
      </c>
      <c r="I643" t="s">
        <v>29</v>
      </c>
      <c r="J643">
        <v>10.69</v>
      </c>
      <c r="K643" t="s">
        <v>37</v>
      </c>
      <c r="L643" s="14" t="s">
        <v>21</v>
      </c>
      <c r="M643" t="s">
        <v>22</v>
      </c>
      <c r="N643" t="s">
        <v>53</v>
      </c>
      <c r="O643" t="s">
        <v>59</v>
      </c>
      <c r="P643" t="s">
        <v>25</v>
      </c>
      <c r="Q643">
        <v>2791.4799999999996</v>
      </c>
      <c r="R643">
        <v>1004.9327999999998</v>
      </c>
      <c r="S643" s="12">
        <v>50.918200000000006</v>
      </c>
    </row>
    <row r="644" spans="1:19" hidden="1" x14ac:dyDescent="0.25">
      <c r="A644" s="13">
        <v>45694</v>
      </c>
      <c r="B644" t="s">
        <v>184</v>
      </c>
      <c r="C644">
        <v>18404</v>
      </c>
      <c r="D644" t="s">
        <v>49</v>
      </c>
      <c r="E644" s="5">
        <v>44</v>
      </c>
      <c r="F644">
        <v>13.89</v>
      </c>
      <c r="G644" s="12" t="s">
        <v>28</v>
      </c>
      <c r="H644" s="11">
        <v>0.46</v>
      </c>
      <c r="I644" t="s">
        <v>734</v>
      </c>
      <c r="J644">
        <v>20.97</v>
      </c>
      <c r="K644" t="s">
        <v>37</v>
      </c>
      <c r="L644" s="14" t="s">
        <v>21</v>
      </c>
      <c r="M644" t="s">
        <v>22</v>
      </c>
      <c r="N644" t="s">
        <v>23</v>
      </c>
      <c r="O644" t="s">
        <v>39</v>
      </c>
      <c r="P644" t="s">
        <v>25</v>
      </c>
      <c r="Q644">
        <v>652.83000000000004</v>
      </c>
      <c r="R644">
        <v>300.30180000000001</v>
      </c>
      <c r="S644" s="12">
        <v>31.072800000000001</v>
      </c>
    </row>
    <row r="645" spans="1:19" x14ac:dyDescent="0.25">
      <c r="A645" s="13">
        <v>45709</v>
      </c>
      <c r="B645" t="s">
        <v>683</v>
      </c>
      <c r="C645">
        <v>21189</v>
      </c>
      <c r="D645" t="s">
        <v>75</v>
      </c>
      <c r="E645" s="5">
        <v>44</v>
      </c>
      <c r="F645" s="23">
        <v>33.82</v>
      </c>
      <c r="G645" s="12" t="s">
        <v>43</v>
      </c>
      <c r="H645" s="37">
        <v>0.38</v>
      </c>
      <c r="I645" t="s">
        <v>29</v>
      </c>
      <c r="J645" s="23">
        <v>12.31</v>
      </c>
      <c r="K645" s="5" t="s">
        <v>44</v>
      </c>
      <c r="L645" s="14" t="s">
        <v>21</v>
      </c>
      <c r="M645" t="s">
        <v>22</v>
      </c>
      <c r="N645" t="s">
        <v>53</v>
      </c>
      <c r="O645" t="s">
        <v>33</v>
      </c>
      <c r="P645" s="14" t="s">
        <v>34</v>
      </c>
      <c r="Q645" s="23">
        <v>236.74</v>
      </c>
      <c r="R645" s="23">
        <v>89.961200000000005</v>
      </c>
      <c r="S645" s="24">
        <v>3335.904</v>
      </c>
    </row>
    <row r="646" spans="1:19" hidden="1" x14ac:dyDescent="0.25">
      <c r="A646" s="13">
        <v>45698</v>
      </c>
      <c r="B646" t="s">
        <v>570</v>
      </c>
      <c r="C646">
        <v>40301</v>
      </c>
      <c r="D646" t="s">
        <v>66</v>
      </c>
      <c r="E646" s="5">
        <v>48</v>
      </c>
      <c r="F646">
        <v>19.149999999999999</v>
      </c>
      <c r="G646" s="12" t="s">
        <v>43</v>
      </c>
      <c r="H646" s="11">
        <v>0.42</v>
      </c>
      <c r="I646" t="s">
        <v>734</v>
      </c>
      <c r="J646">
        <v>25.62</v>
      </c>
      <c r="K646" t="s">
        <v>50</v>
      </c>
      <c r="L646" t="s">
        <v>31</v>
      </c>
      <c r="M646" t="s">
        <v>22</v>
      </c>
      <c r="N646" t="s">
        <v>32</v>
      </c>
      <c r="O646" t="s">
        <v>39</v>
      </c>
      <c r="P646" t="s">
        <v>25</v>
      </c>
      <c r="Q646">
        <v>919.19999999999993</v>
      </c>
      <c r="R646">
        <v>386.06399999999996</v>
      </c>
      <c r="S646" s="12">
        <v>2970.5328</v>
      </c>
    </row>
    <row r="647" spans="1:19" hidden="1" x14ac:dyDescent="0.25">
      <c r="A647" s="13">
        <v>45706</v>
      </c>
      <c r="B647" t="s">
        <v>317</v>
      </c>
      <c r="C647">
        <v>17413</v>
      </c>
      <c r="D647" t="s">
        <v>89</v>
      </c>
      <c r="E647" s="5">
        <v>45</v>
      </c>
      <c r="F647">
        <v>10.64</v>
      </c>
      <c r="G647" s="12" t="s">
        <v>43</v>
      </c>
      <c r="H647" s="11">
        <v>0.27</v>
      </c>
      <c r="I647" t="s">
        <v>29</v>
      </c>
      <c r="J647">
        <v>24.44</v>
      </c>
      <c r="K647" t="s">
        <v>20</v>
      </c>
      <c r="L647" t="s">
        <v>31</v>
      </c>
      <c r="M647" t="s">
        <v>22</v>
      </c>
      <c r="N647" t="s">
        <v>38</v>
      </c>
      <c r="O647" t="s">
        <v>39</v>
      </c>
      <c r="P647" t="s">
        <v>40</v>
      </c>
      <c r="Q647">
        <v>319.20000000000005</v>
      </c>
      <c r="R647">
        <v>86.184000000000012</v>
      </c>
      <c r="S647" s="12">
        <v>2866.3920000000003</v>
      </c>
    </row>
    <row r="648" spans="1:19" hidden="1" x14ac:dyDescent="0.25">
      <c r="A648" s="13">
        <v>45690</v>
      </c>
      <c r="B648" t="s">
        <v>480</v>
      </c>
      <c r="C648">
        <v>53924</v>
      </c>
      <c r="D648" t="s">
        <v>27</v>
      </c>
      <c r="E648" s="5">
        <v>32</v>
      </c>
      <c r="F648">
        <v>55.51</v>
      </c>
      <c r="G648" s="12" t="s">
        <v>43</v>
      </c>
      <c r="H648" s="11">
        <v>0.23</v>
      </c>
      <c r="I648" t="s">
        <v>19</v>
      </c>
      <c r="J648">
        <v>27.66</v>
      </c>
      <c r="K648" t="s">
        <v>20</v>
      </c>
      <c r="L648" t="s">
        <v>31</v>
      </c>
      <c r="M648" t="s">
        <v>22</v>
      </c>
      <c r="N648" t="s">
        <v>23</v>
      </c>
      <c r="O648" t="s">
        <v>33</v>
      </c>
      <c r="P648" t="s">
        <v>40</v>
      </c>
      <c r="Q648">
        <v>2442.44</v>
      </c>
      <c r="R648">
        <v>561.76120000000003</v>
      </c>
      <c r="S648" s="12">
        <v>2622.8096</v>
      </c>
    </row>
    <row r="649" spans="1:19" hidden="1" x14ac:dyDescent="0.25">
      <c r="A649" s="13">
        <v>45712</v>
      </c>
      <c r="B649" t="s">
        <v>699</v>
      </c>
      <c r="C649">
        <v>92509</v>
      </c>
      <c r="D649" t="s">
        <v>27</v>
      </c>
      <c r="E649" s="5">
        <v>22</v>
      </c>
      <c r="F649">
        <v>1.78</v>
      </c>
      <c r="G649" s="12" t="s">
        <v>43</v>
      </c>
      <c r="H649" s="11">
        <v>0.37</v>
      </c>
      <c r="I649" t="s">
        <v>29</v>
      </c>
      <c r="J649">
        <v>15.63</v>
      </c>
      <c r="K649" t="s">
        <v>50</v>
      </c>
      <c r="L649" t="s">
        <v>31</v>
      </c>
      <c r="M649" t="s">
        <v>22</v>
      </c>
      <c r="N649" t="s">
        <v>23</v>
      </c>
      <c r="O649" t="s">
        <v>59</v>
      </c>
      <c r="P649" t="s">
        <v>34</v>
      </c>
      <c r="Q649">
        <v>69.42</v>
      </c>
      <c r="R649">
        <v>25.685400000000001</v>
      </c>
      <c r="S649" s="12">
        <v>2000.2751999999998</v>
      </c>
    </row>
    <row r="650" spans="1:19" hidden="1" x14ac:dyDescent="0.25">
      <c r="A650" s="13">
        <v>45677</v>
      </c>
      <c r="B650" t="s">
        <v>212</v>
      </c>
      <c r="C650">
        <v>75447</v>
      </c>
      <c r="D650" t="s">
        <v>49</v>
      </c>
      <c r="E650" s="5">
        <v>42</v>
      </c>
      <c r="F650">
        <v>76.03</v>
      </c>
      <c r="G650" s="12" t="s">
        <v>43</v>
      </c>
      <c r="H650" s="11">
        <v>0.33</v>
      </c>
      <c r="I650" t="s">
        <v>19</v>
      </c>
      <c r="J650">
        <v>13.75</v>
      </c>
      <c r="K650" t="s">
        <v>50</v>
      </c>
      <c r="L650" s="14" t="s">
        <v>21</v>
      </c>
      <c r="M650" t="s">
        <v>22</v>
      </c>
      <c r="N650" t="s">
        <v>38</v>
      </c>
      <c r="O650" t="s">
        <v>24</v>
      </c>
      <c r="P650" t="s">
        <v>40</v>
      </c>
      <c r="Q650">
        <v>3421.35</v>
      </c>
      <c r="R650">
        <v>1129.0454999999999</v>
      </c>
      <c r="S650" s="12">
        <v>1967.5488</v>
      </c>
    </row>
    <row r="651" spans="1:19" hidden="1" x14ac:dyDescent="0.25">
      <c r="A651" s="13">
        <v>45693</v>
      </c>
      <c r="B651" t="s">
        <v>523</v>
      </c>
      <c r="C651">
        <v>24646</v>
      </c>
      <c r="D651" t="s">
        <v>89</v>
      </c>
      <c r="E651" s="5">
        <v>36</v>
      </c>
      <c r="F651">
        <v>89.87</v>
      </c>
      <c r="G651" s="12" t="s">
        <v>43</v>
      </c>
      <c r="H651" s="11">
        <v>0.34</v>
      </c>
      <c r="I651" t="s">
        <v>29</v>
      </c>
      <c r="J651">
        <v>28.76</v>
      </c>
      <c r="K651" t="s">
        <v>37</v>
      </c>
      <c r="L651" t="s">
        <v>31</v>
      </c>
      <c r="M651" t="s">
        <v>22</v>
      </c>
      <c r="N651" t="s">
        <v>32</v>
      </c>
      <c r="O651" t="s">
        <v>81</v>
      </c>
      <c r="P651" t="s">
        <v>25</v>
      </c>
      <c r="Q651">
        <v>3145.4500000000003</v>
      </c>
      <c r="R651">
        <v>1069.4530000000002</v>
      </c>
      <c r="S651" s="12">
        <v>1879.1208000000001</v>
      </c>
    </row>
    <row r="652" spans="1:19" hidden="1" x14ac:dyDescent="0.25">
      <c r="A652" s="13">
        <v>45703</v>
      </c>
      <c r="B652" t="s">
        <v>140</v>
      </c>
      <c r="C652">
        <v>82564</v>
      </c>
      <c r="D652" t="s">
        <v>49</v>
      </c>
      <c r="E652" s="5">
        <v>34</v>
      </c>
      <c r="F652">
        <v>56.1</v>
      </c>
      <c r="G652" s="12" t="s">
        <v>43</v>
      </c>
      <c r="H652" s="11">
        <v>0.34</v>
      </c>
      <c r="I652" t="s">
        <v>19</v>
      </c>
      <c r="J652">
        <v>20.48</v>
      </c>
      <c r="K652" t="s">
        <v>30</v>
      </c>
      <c r="L652" t="s">
        <v>31</v>
      </c>
      <c r="M652" t="s">
        <v>22</v>
      </c>
      <c r="N652" t="s">
        <v>38</v>
      </c>
      <c r="O652" t="s">
        <v>39</v>
      </c>
      <c r="P652" t="s">
        <v>25</v>
      </c>
      <c r="Q652">
        <v>785.4</v>
      </c>
      <c r="R652">
        <v>267.036</v>
      </c>
      <c r="S652" s="12">
        <v>1761.7440000000001</v>
      </c>
    </row>
    <row r="653" spans="1:19" hidden="1" x14ac:dyDescent="0.25">
      <c r="A653" s="13">
        <v>45680</v>
      </c>
      <c r="B653" t="s">
        <v>344</v>
      </c>
      <c r="C653">
        <v>77423</v>
      </c>
      <c r="D653" t="s">
        <v>46</v>
      </c>
      <c r="E653" s="5">
        <v>24</v>
      </c>
      <c r="F653">
        <v>78.3</v>
      </c>
      <c r="G653" s="12" t="s">
        <v>43</v>
      </c>
      <c r="H653" s="11">
        <v>0.12</v>
      </c>
      <c r="I653" t="s">
        <v>734</v>
      </c>
      <c r="J653">
        <v>21.3</v>
      </c>
      <c r="K653" t="s">
        <v>50</v>
      </c>
      <c r="L653" t="s">
        <v>31</v>
      </c>
      <c r="M653" t="s">
        <v>22</v>
      </c>
      <c r="N653" t="s">
        <v>32</v>
      </c>
      <c r="O653" t="s">
        <v>24</v>
      </c>
      <c r="P653" t="s">
        <v>34</v>
      </c>
      <c r="Q653">
        <v>2740.5</v>
      </c>
      <c r="R653">
        <v>328.86</v>
      </c>
      <c r="S653" s="12">
        <v>1624.896</v>
      </c>
    </row>
    <row r="654" spans="1:19" x14ac:dyDescent="0.25">
      <c r="A654" s="13">
        <v>45707</v>
      </c>
      <c r="B654" t="s">
        <v>295</v>
      </c>
      <c r="C654">
        <v>16392</v>
      </c>
      <c r="D654" t="s">
        <v>17</v>
      </c>
      <c r="E654" s="5">
        <v>37</v>
      </c>
      <c r="F654" s="23">
        <v>42.46</v>
      </c>
      <c r="G654" s="12" t="s">
        <v>43</v>
      </c>
      <c r="H654" s="37">
        <v>0.37</v>
      </c>
      <c r="I654" t="s">
        <v>19</v>
      </c>
      <c r="J654" s="23">
        <v>18.309999999999999</v>
      </c>
      <c r="K654" t="s">
        <v>50</v>
      </c>
      <c r="L654" s="14" t="s">
        <v>21</v>
      </c>
      <c r="M654" t="s">
        <v>22</v>
      </c>
      <c r="N654" t="s">
        <v>53</v>
      </c>
      <c r="O654" t="s">
        <v>39</v>
      </c>
      <c r="P654" s="14" t="s">
        <v>34</v>
      </c>
      <c r="Q654" s="23">
        <v>1995.6200000000001</v>
      </c>
      <c r="R654" s="23">
        <v>738.37940000000003</v>
      </c>
      <c r="S654" s="24">
        <v>1519.59</v>
      </c>
    </row>
    <row r="655" spans="1:19" x14ac:dyDescent="0.25">
      <c r="A655" s="13">
        <v>45668</v>
      </c>
      <c r="B655" t="s">
        <v>142</v>
      </c>
      <c r="C655">
        <v>15216</v>
      </c>
      <c r="D655" t="s">
        <v>42</v>
      </c>
      <c r="E655" s="5">
        <v>21</v>
      </c>
      <c r="F655" s="23">
        <v>71.91</v>
      </c>
      <c r="G655" s="12" t="s">
        <v>43</v>
      </c>
      <c r="H655" s="37">
        <v>0.24</v>
      </c>
      <c r="I655" t="s">
        <v>19</v>
      </c>
      <c r="J655" s="23">
        <v>16.260000000000002</v>
      </c>
      <c r="K655" t="s">
        <v>20</v>
      </c>
      <c r="L655" s="14" t="s">
        <v>21</v>
      </c>
      <c r="M655" t="s">
        <v>22</v>
      </c>
      <c r="N655" t="s">
        <v>32</v>
      </c>
      <c r="O655" t="s">
        <v>81</v>
      </c>
      <c r="P655" s="14" t="s">
        <v>34</v>
      </c>
      <c r="Q655" s="23">
        <v>1869.6599999999999</v>
      </c>
      <c r="R655" s="23">
        <v>448.71839999999997</v>
      </c>
      <c r="S655" s="24">
        <v>1441.0851</v>
      </c>
    </row>
    <row r="656" spans="1:19" hidden="1" x14ac:dyDescent="0.25">
      <c r="A656" s="13">
        <v>45668</v>
      </c>
      <c r="B656" t="s">
        <v>175</v>
      </c>
      <c r="C656">
        <v>69068</v>
      </c>
      <c r="D656" t="s">
        <v>17</v>
      </c>
      <c r="E656" s="5">
        <v>26</v>
      </c>
      <c r="F656">
        <v>75.41</v>
      </c>
      <c r="G656" s="12" t="s">
        <v>43</v>
      </c>
      <c r="H656" s="11">
        <v>0.09</v>
      </c>
      <c r="I656" t="s">
        <v>19</v>
      </c>
      <c r="J656">
        <v>27.24</v>
      </c>
      <c r="K656" t="s">
        <v>50</v>
      </c>
      <c r="L656" t="s">
        <v>31</v>
      </c>
      <c r="M656" t="s">
        <v>735</v>
      </c>
      <c r="N656" t="s">
        <v>38</v>
      </c>
      <c r="O656" t="s">
        <v>24</v>
      </c>
      <c r="P656" t="s">
        <v>34</v>
      </c>
      <c r="Q656">
        <v>1583.61</v>
      </c>
      <c r="R656">
        <v>142.52489999999997</v>
      </c>
      <c r="S656" s="12">
        <v>1420.9415999999999</v>
      </c>
    </row>
    <row r="657" spans="1:19" hidden="1" x14ac:dyDescent="0.25">
      <c r="A657" s="13">
        <v>45691</v>
      </c>
      <c r="B657" t="s">
        <v>501</v>
      </c>
      <c r="C657">
        <v>77015</v>
      </c>
      <c r="D657" t="s">
        <v>68</v>
      </c>
      <c r="E657" s="5">
        <v>42</v>
      </c>
      <c r="F657">
        <v>19.86</v>
      </c>
      <c r="G657" s="12" t="s">
        <v>43</v>
      </c>
      <c r="H657" s="11">
        <v>0.31</v>
      </c>
      <c r="I657" t="s">
        <v>29</v>
      </c>
      <c r="J657">
        <v>23.32</v>
      </c>
      <c r="K657" t="s">
        <v>30</v>
      </c>
      <c r="L657" s="14" t="s">
        <v>21</v>
      </c>
      <c r="M657" t="s">
        <v>22</v>
      </c>
      <c r="N657" t="s">
        <v>23</v>
      </c>
      <c r="O657" t="s">
        <v>59</v>
      </c>
      <c r="P657" t="s">
        <v>25</v>
      </c>
      <c r="Q657">
        <v>575.93999999999994</v>
      </c>
      <c r="R657">
        <v>178.54139999999998</v>
      </c>
      <c r="S657" s="12">
        <v>1416.5424</v>
      </c>
    </row>
    <row r="658" spans="1:19" hidden="1" x14ac:dyDescent="0.25">
      <c r="A658" s="13">
        <v>45682</v>
      </c>
      <c r="B658" t="s">
        <v>379</v>
      </c>
      <c r="C658">
        <v>99623</v>
      </c>
      <c r="D658" t="s">
        <v>57</v>
      </c>
      <c r="E658" s="5">
        <v>36</v>
      </c>
      <c r="F658">
        <v>14.29</v>
      </c>
      <c r="G658" s="12" t="s">
        <v>43</v>
      </c>
      <c r="H658" s="11">
        <v>0.11</v>
      </c>
      <c r="I658" t="s">
        <v>19</v>
      </c>
      <c r="J658">
        <v>28.09</v>
      </c>
      <c r="K658" t="s">
        <v>37</v>
      </c>
      <c r="L658" t="s">
        <v>31</v>
      </c>
      <c r="M658" t="s">
        <v>735</v>
      </c>
      <c r="N658" t="s">
        <v>53</v>
      </c>
      <c r="O658" t="s">
        <v>33</v>
      </c>
      <c r="P658" t="s">
        <v>34</v>
      </c>
      <c r="Q658">
        <v>628.76</v>
      </c>
      <c r="R658">
        <v>69.163600000000002</v>
      </c>
      <c r="S658" s="12">
        <v>1352.1815999999999</v>
      </c>
    </row>
    <row r="659" spans="1:19" hidden="1" x14ac:dyDescent="0.25">
      <c r="A659" s="13">
        <v>45706</v>
      </c>
      <c r="B659" t="s">
        <v>472</v>
      </c>
      <c r="C659">
        <v>18724</v>
      </c>
      <c r="D659" t="s">
        <v>57</v>
      </c>
      <c r="E659" s="5">
        <v>24</v>
      </c>
      <c r="F659">
        <v>78.31</v>
      </c>
      <c r="G659" s="12" t="s">
        <v>43</v>
      </c>
      <c r="H659" s="11">
        <v>0.09</v>
      </c>
      <c r="I659" t="s">
        <v>734</v>
      </c>
      <c r="J659">
        <v>19.77</v>
      </c>
      <c r="K659" s="5" t="s">
        <v>44</v>
      </c>
      <c r="L659" t="s">
        <v>31</v>
      </c>
      <c r="M659" t="s">
        <v>22</v>
      </c>
      <c r="N659" t="s">
        <v>38</v>
      </c>
      <c r="O659" t="s">
        <v>39</v>
      </c>
      <c r="P659" t="s">
        <v>34</v>
      </c>
      <c r="Q659">
        <v>3680.57</v>
      </c>
      <c r="R659">
        <v>331.25130000000001</v>
      </c>
      <c r="S659" s="12">
        <v>1348.3008</v>
      </c>
    </row>
    <row r="660" spans="1:19" hidden="1" x14ac:dyDescent="0.25">
      <c r="A660" s="13">
        <v>45699</v>
      </c>
      <c r="B660" t="s">
        <v>331</v>
      </c>
      <c r="C660">
        <v>14406</v>
      </c>
      <c r="D660" t="s">
        <v>49</v>
      </c>
      <c r="E660" s="5">
        <v>21</v>
      </c>
      <c r="F660">
        <v>67.37</v>
      </c>
      <c r="G660" s="12" t="s">
        <v>43</v>
      </c>
      <c r="H660" s="11">
        <v>0.06</v>
      </c>
      <c r="I660" t="s">
        <v>29</v>
      </c>
      <c r="J660">
        <v>11.59</v>
      </c>
      <c r="K660" s="5" t="s">
        <v>44</v>
      </c>
      <c r="L660" t="s">
        <v>31</v>
      </c>
      <c r="M660" t="s">
        <v>22</v>
      </c>
      <c r="N660" t="s">
        <v>38</v>
      </c>
      <c r="O660" t="s">
        <v>81</v>
      </c>
      <c r="P660" t="s">
        <v>25</v>
      </c>
      <c r="Q660">
        <v>1414.77</v>
      </c>
      <c r="R660">
        <v>84.886200000000002</v>
      </c>
      <c r="S660" s="12">
        <v>1329.8838000000001</v>
      </c>
    </row>
    <row r="661" spans="1:19" x14ac:dyDescent="0.25">
      <c r="A661" s="13">
        <v>45707</v>
      </c>
      <c r="B661" t="s">
        <v>666</v>
      </c>
      <c r="C661">
        <v>54134</v>
      </c>
      <c r="D661" t="s">
        <v>46</v>
      </c>
      <c r="E661" s="5">
        <v>21</v>
      </c>
      <c r="F661" s="23">
        <v>72.27</v>
      </c>
      <c r="G661" s="12" t="s">
        <v>43</v>
      </c>
      <c r="H661" s="37">
        <v>0.21</v>
      </c>
      <c r="I661" t="s">
        <v>734</v>
      </c>
      <c r="J661" s="23">
        <v>23.43</v>
      </c>
      <c r="K661" t="s">
        <v>50</v>
      </c>
      <c r="L661" s="14" t="s">
        <v>21</v>
      </c>
      <c r="M661" t="s">
        <v>22</v>
      </c>
      <c r="N661" t="s">
        <v>23</v>
      </c>
      <c r="O661" t="s">
        <v>33</v>
      </c>
      <c r="P661" s="14" t="s">
        <v>34</v>
      </c>
      <c r="Q661" s="23">
        <v>1517.6699999999998</v>
      </c>
      <c r="R661" s="23">
        <v>318.71069999999997</v>
      </c>
      <c r="S661" s="24">
        <v>1198.9593</v>
      </c>
    </row>
    <row r="662" spans="1:19" hidden="1" x14ac:dyDescent="0.25">
      <c r="A662" s="13">
        <v>45695</v>
      </c>
      <c r="B662" t="s">
        <v>544</v>
      </c>
      <c r="C662">
        <v>13451</v>
      </c>
      <c r="D662" t="s">
        <v>17</v>
      </c>
      <c r="E662" s="5">
        <v>23</v>
      </c>
      <c r="F662">
        <v>55.44</v>
      </c>
      <c r="G662" s="12" t="s">
        <v>43</v>
      </c>
      <c r="H662" s="11">
        <v>0.32</v>
      </c>
      <c r="I662" t="s">
        <v>734</v>
      </c>
      <c r="J662">
        <v>12.74</v>
      </c>
      <c r="K662" t="s">
        <v>20</v>
      </c>
      <c r="L662" t="s">
        <v>31</v>
      </c>
      <c r="M662" t="s">
        <v>111</v>
      </c>
      <c r="N662" t="s">
        <v>23</v>
      </c>
      <c r="O662" t="s">
        <v>33</v>
      </c>
      <c r="P662" t="s">
        <v>34</v>
      </c>
      <c r="Q662">
        <v>2051.2799999999997</v>
      </c>
      <c r="R662">
        <v>656.40959999999995</v>
      </c>
      <c r="S662" s="12">
        <v>1177.3607999999999</v>
      </c>
    </row>
    <row r="663" spans="1:19" x14ac:dyDescent="0.25">
      <c r="A663" s="13">
        <v>45667</v>
      </c>
      <c r="B663" t="s">
        <v>121</v>
      </c>
      <c r="C663">
        <v>99365</v>
      </c>
      <c r="D663" t="s">
        <v>27</v>
      </c>
      <c r="E663" s="5">
        <v>47</v>
      </c>
      <c r="F663" s="23">
        <v>45.76</v>
      </c>
      <c r="G663" s="12" t="s">
        <v>43</v>
      </c>
      <c r="H663" s="37">
        <v>0.47</v>
      </c>
      <c r="I663" t="s">
        <v>19</v>
      </c>
      <c r="J663" s="23">
        <v>9.2200000000000006</v>
      </c>
      <c r="K663" t="s">
        <v>37</v>
      </c>
      <c r="L663" s="14" t="s">
        <v>21</v>
      </c>
      <c r="M663" t="s">
        <v>22</v>
      </c>
      <c r="N663" t="s">
        <v>53</v>
      </c>
      <c r="O663" t="s">
        <v>81</v>
      </c>
      <c r="P663" s="14" t="s">
        <v>34</v>
      </c>
      <c r="Q663" s="23">
        <v>2150.7199999999998</v>
      </c>
      <c r="R663" s="23">
        <v>1010.8383999999999</v>
      </c>
      <c r="S663" s="24">
        <v>1139.8815999999999</v>
      </c>
    </row>
    <row r="664" spans="1:19" x14ac:dyDescent="0.25">
      <c r="A664" s="13">
        <v>45681</v>
      </c>
      <c r="B664" t="s">
        <v>165</v>
      </c>
      <c r="C664">
        <v>93413</v>
      </c>
      <c r="D664" t="s">
        <v>68</v>
      </c>
      <c r="E664" s="5">
        <v>43</v>
      </c>
      <c r="F664" s="23">
        <v>43.34</v>
      </c>
      <c r="G664" s="12" t="s">
        <v>43</v>
      </c>
      <c r="H664" s="37">
        <v>0.23</v>
      </c>
      <c r="I664" t="s">
        <v>29</v>
      </c>
      <c r="J664" s="23">
        <v>13.42</v>
      </c>
      <c r="K664" t="s">
        <v>50</v>
      </c>
      <c r="L664" s="14" t="s">
        <v>21</v>
      </c>
      <c r="M664" t="s">
        <v>735</v>
      </c>
      <c r="N664" t="s">
        <v>53</v>
      </c>
      <c r="O664" t="s">
        <v>24</v>
      </c>
      <c r="P664" s="14" t="s">
        <v>34</v>
      </c>
      <c r="Q664" s="23">
        <v>1343.5400000000002</v>
      </c>
      <c r="R664" s="23">
        <v>309.01420000000007</v>
      </c>
      <c r="S664" s="24">
        <v>1100.7914000000001</v>
      </c>
    </row>
    <row r="665" spans="1:19" hidden="1" x14ac:dyDescent="0.25">
      <c r="A665" s="13">
        <v>45674</v>
      </c>
      <c r="B665" t="s">
        <v>244</v>
      </c>
      <c r="C665">
        <v>90370</v>
      </c>
      <c r="D665" t="s">
        <v>42</v>
      </c>
      <c r="E665" s="5">
        <v>24</v>
      </c>
      <c r="F665">
        <v>41.98</v>
      </c>
      <c r="G665" s="12" t="s">
        <v>43</v>
      </c>
      <c r="H665" s="11">
        <v>0.33</v>
      </c>
      <c r="I665" t="s">
        <v>734</v>
      </c>
      <c r="J665">
        <v>28.62</v>
      </c>
      <c r="K665" s="5" t="s">
        <v>44</v>
      </c>
      <c r="L665" t="s">
        <v>31</v>
      </c>
      <c r="M665" t="s">
        <v>22</v>
      </c>
      <c r="N665" t="s">
        <v>32</v>
      </c>
      <c r="O665" t="s">
        <v>39</v>
      </c>
      <c r="P665" t="s">
        <v>25</v>
      </c>
      <c r="Q665">
        <v>1385.34</v>
      </c>
      <c r="R665">
        <v>457.16219999999998</v>
      </c>
      <c r="S665" s="12">
        <v>1093.8072</v>
      </c>
    </row>
    <row r="666" spans="1:19" hidden="1" x14ac:dyDescent="0.25">
      <c r="A666" s="13">
        <v>45661</v>
      </c>
      <c r="B666" t="s">
        <v>101</v>
      </c>
      <c r="C666">
        <v>77001</v>
      </c>
      <c r="D666" t="s">
        <v>46</v>
      </c>
      <c r="E666" s="5">
        <v>31</v>
      </c>
      <c r="F666">
        <v>53</v>
      </c>
      <c r="G666" s="12" t="s">
        <v>43</v>
      </c>
      <c r="H666" s="11">
        <v>0.17</v>
      </c>
      <c r="I666" t="s">
        <v>734</v>
      </c>
      <c r="J666">
        <v>8.09</v>
      </c>
      <c r="K666" t="s">
        <v>20</v>
      </c>
      <c r="L666" t="s">
        <v>31</v>
      </c>
      <c r="M666" t="s">
        <v>22</v>
      </c>
      <c r="N666" t="s">
        <v>23</v>
      </c>
      <c r="O666" t="s">
        <v>81</v>
      </c>
      <c r="P666" t="s">
        <v>25</v>
      </c>
      <c r="Q666">
        <v>901</v>
      </c>
      <c r="R666">
        <v>153.17000000000002</v>
      </c>
      <c r="S666" s="12">
        <v>1082.9819</v>
      </c>
    </row>
    <row r="667" spans="1:19" hidden="1" x14ac:dyDescent="0.25">
      <c r="A667" s="13">
        <v>45707</v>
      </c>
      <c r="B667" t="s">
        <v>631</v>
      </c>
      <c r="C667">
        <v>24264</v>
      </c>
      <c r="D667" t="s">
        <v>70</v>
      </c>
      <c r="E667" s="5">
        <v>32</v>
      </c>
      <c r="F667">
        <v>11.1</v>
      </c>
      <c r="G667" s="12" t="s">
        <v>43</v>
      </c>
      <c r="H667" s="11">
        <v>0.36</v>
      </c>
      <c r="I667" t="s">
        <v>29</v>
      </c>
      <c r="J667">
        <v>29.91</v>
      </c>
      <c r="K667" t="s">
        <v>50</v>
      </c>
      <c r="L667" t="s">
        <v>31</v>
      </c>
      <c r="M667" t="s">
        <v>22</v>
      </c>
      <c r="N667" t="s">
        <v>53</v>
      </c>
      <c r="O667" t="s">
        <v>39</v>
      </c>
      <c r="P667" t="s">
        <v>34</v>
      </c>
      <c r="Q667">
        <v>244.2</v>
      </c>
      <c r="R667">
        <v>87.911999999999992</v>
      </c>
      <c r="S667" s="12">
        <v>1068.5376000000001</v>
      </c>
    </row>
    <row r="668" spans="1:19" hidden="1" x14ac:dyDescent="0.25">
      <c r="A668" s="13">
        <v>45673</v>
      </c>
      <c r="B668" t="s">
        <v>209</v>
      </c>
      <c r="C668">
        <v>11175</v>
      </c>
      <c r="D668" t="s">
        <v>89</v>
      </c>
      <c r="E668" s="5">
        <v>20</v>
      </c>
      <c r="F668">
        <v>50.57</v>
      </c>
      <c r="G668" s="12" t="s">
        <v>43</v>
      </c>
      <c r="H668" s="11">
        <v>0.23</v>
      </c>
      <c r="I668" t="s">
        <v>19</v>
      </c>
      <c r="J668">
        <v>23.73</v>
      </c>
      <c r="K668" t="s">
        <v>50</v>
      </c>
      <c r="L668" t="s">
        <v>31</v>
      </c>
      <c r="M668" t="s">
        <v>22</v>
      </c>
      <c r="N668" t="s">
        <v>53</v>
      </c>
      <c r="O668" t="s">
        <v>24</v>
      </c>
      <c r="P668" t="s">
        <v>25</v>
      </c>
      <c r="Q668">
        <v>505.7</v>
      </c>
      <c r="R668">
        <v>116.31100000000001</v>
      </c>
      <c r="S668" s="12">
        <v>1041.846</v>
      </c>
    </row>
    <row r="669" spans="1:19" hidden="1" x14ac:dyDescent="0.25">
      <c r="A669" s="13">
        <v>45662</v>
      </c>
      <c r="B669" t="s">
        <v>119</v>
      </c>
      <c r="C669">
        <v>13836</v>
      </c>
      <c r="D669" t="s">
        <v>17</v>
      </c>
      <c r="E669" s="5">
        <v>16</v>
      </c>
      <c r="F669">
        <v>95.89</v>
      </c>
      <c r="G669" s="12" t="s">
        <v>43</v>
      </c>
      <c r="H669" s="11">
        <v>0.14000000000000001</v>
      </c>
      <c r="I669" t="s">
        <v>29</v>
      </c>
      <c r="J669">
        <v>23.54</v>
      </c>
      <c r="K669" s="5" t="s">
        <v>44</v>
      </c>
      <c r="L669" t="s">
        <v>31</v>
      </c>
      <c r="M669" t="s">
        <v>22</v>
      </c>
      <c r="N669" t="s">
        <v>23</v>
      </c>
      <c r="O669" t="s">
        <v>24</v>
      </c>
      <c r="P669" t="s">
        <v>34</v>
      </c>
      <c r="Q669">
        <v>479.45</v>
      </c>
      <c r="R669">
        <v>67.123000000000005</v>
      </c>
      <c r="S669" s="12">
        <v>1002.624</v>
      </c>
    </row>
    <row r="670" spans="1:19" hidden="1" x14ac:dyDescent="0.25">
      <c r="A670" s="13">
        <v>45669</v>
      </c>
      <c r="B670" t="s">
        <v>179</v>
      </c>
      <c r="C670">
        <v>67290</v>
      </c>
      <c r="D670" t="s">
        <v>27</v>
      </c>
      <c r="E670" s="5">
        <v>16</v>
      </c>
      <c r="F670">
        <v>42.51</v>
      </c>
      <c r="G670" s="12" t="s">
        <v>43</v>
      </c>
      <c r="H670" s="11">
        <v>0.41</v>
      </c>
      <c r="I670" t="s">
        <v>734</v>
      </c>
      <c r="J670">
        <v>22.09</v>
      </c>
      <c r="K670" s="5" t="s">
        <v>44</v>
      </c>
      <c r="L670" s="14" t="s">
        <v>21</v>
      </c>
      <c r="M670" t="s">
        <v>22</v>
      </c>
      <c r="N670" t="s">
        <v>23</v>
      </c>
      <c r="O670" t="s">
        <v>81</v>
      </c>
      <c r="P670" t="s">
        <v>25</v>
      </c>
      <c r="Q670">
        <v>382.59</v>
      </c>
      <c r="R670">
        <v>156.86189999999999</v>
      </c>
      <c r="S670" s="12">
        <v>959.95839999999998</v>
      </c>
    </row>
    <row r="671" spans="1:19" hidden="1" x14ac:dyDescent="0.25">
      <c r="A671" s="13">
        <v>45688</v>
      </c>
      <c r="B671" t="s">
        <v>454</v>
      </c>
      <c r="C671">
        <v>30694</v>
      </c>
      <c r="D671" t="s">
        <v>57</v>
      </c>
      <c r="E671" s="5">
        <v>15</v>
      </c>
      <c r="F671">
        <v>1.31</v>
      </c>
      <c r="G671" s="12" t="s">
        <v>43</v>
      </c>
      <c r="H671" s="11">
        <v>0.31</v>
      </c>
      <c r="I671" t="s">
        <v>734</v>
      </c>
      <c r="J671">
        <v>29.32</v>
      </c>
      <c r="K671" t="s">
        <v>37</v>
      </c>
      <c r="L671" t="s">
        <v>31</v>
      </c>
      <c r="M671" t="s">
        <v>22</v>
      </c>
      <c r="N671" t="s">
        <v>23</v>
      </c>
      <c r="O671" t="s">
        <v>24</v>
      </c>
      <c r="P671" t="s">
        <v>40</v>
      </c>
      <c r="Q671">
        <v>45.85</v>
      </c>
      <c r="R671">
        <v>14.2135</v>
      </c>
      <c r="S671" s="12">
        <v>930.81</v>
      </c>
    </row>
    <row r="672" spans="1:19" x14ac:dyDescent="0.25">
      <c r="A672" s="13">
        <v>45708</v>
      </c>
      <c r="B672" t="s">
        <v>676</v>
      </c>
      <c r="C672">
        <v>91352</v>
      </c>
      <c r="D672" t="s">
        <v>27</v>
      </c>
      <c r="E672" s="5">
        <v>29</v>
      </c>
      <c r="F672" s="23">
        <v>40.11</v>
      </c>
      <c r="G672" s="12" t="s">
        <v>43</v>
      </c>
      <c r="H672" s="37">
        <v>0.22</v>
      </c>
      <c r="I672" t="s">
        <v>734</v>
      </c>
      <c r="J672" s="23">
        <v>18.95</v>
      </c>
      <c r="K672" t="s">
        <v>37</v>
      </c>
      <c r="L672" s="14" t="s">
        <v>21</v>
      </c>
      <c r="M672" t="s">
        <v>22</v>
      </c>
      <c r="N672" t="s">
        <v>38</v>
      </c>
      <c r="O672" t="s">
        <v>24</v>
      </c>
      <c r="P672" s="14" t="s">
        <v>34</v>
      </c>
      <c r="Q672" s="23">
        <v>1002.75</v>
      </c>
      <c r="R672" s="23">
        <v>220.60499999999999</v>
      </c>
      <c r="S672" s="24">
        <v>915.93599999999992</v>
      </c>
    </row>
    <row r="673" spans="1:19" x14ac:dyDescent="0.25">
      <c r="A673" s="13">
        <v>45663</v>
      </c>
      <c r="B673" t="s">
        <v>97</v>
      </c>
      <c r="C673">
        <v>99241</v>
      </c>
      <c r="D673" t="s">
        <v>27</v>
      </c>
      <c r="E673" s="5">
        <v>13</v>
      </c>
      <c r="F673" s="23">
        <v>1.34</v>
      </c>
      <c r="G673" s="12" t="s">
        <v>43</v>
      </c>
      <c r="H673" s="37">
        <v>0.13</v>
      </c>
      <c r="I673" t="s">
        <v>19</v>
      </c>
      <c r="J673" s="23">
        <v>29.88</v>
      </c>
      <c r="K673" t="s">
        <v>20</v>
      </c>
      <c r="L673" s="14" t="s">
        <v>21</v>
      </c>
      <c r="M673" t="s">
        <v>22</v>
      </c>
      <c r="N673" t="s">
        <v>32</v>
      </c>
      <c r="O673" t="s">
        <v>24</v>
      </c>
      <c r="P673" s="14" t="s">
        <v>34</v>
      </c>
      <c r="Q673" s="23">
        <v>32.160000000000004</v>
      </c>
      <c r="R673" s="23">
        <v>4.1808000000000005</v>
      </c>
      <c r="S673" s="24">
        <v>846.22199999999998</v>
      </c>
    </row>
    <row r="674" spans="1:19" x14ac:dyDescent="0.25">
      <c r="A674" s="13">
        <v>45686</v>
      </c>
      <c r="B674" t="s">
        <v>433</v>
      </c>
      <c r="C674">
        <v>51083</v>
      </c>
      <c r="D674" t="s">
        <v>42</v>
      </c>
      <c r="E674" s="5">
        <v>22</v>
      </c>
      <c r="F674" s="23">
        <v>27.62</v>
      </c>
      <c r="G674" s="12" t="s">
        <v>43</v>
      </c>
      <c r="H674" s="37">
        <v>0.12</v>
      </c>
      <c r="I674" t="s">
        <v>19</v>
      </c>
      <c r="J674" s="23">
        <v>12.7</v>
      </c>
      <c r="K674" s="5" t="s">
        <v>44</v>
      </c>
      <c r="L674" s="14" t="s">
        <v>21</v>
      </c>
      <c r="M674" t="s">
        <v>22</v>
      </c>
      <c r="N674" t="s">
        <v>23</v>
      </c>
      <c r="O674" t="s">
        <v>33</v>
      </c>
      <c r="P674" s="14" t="s">
        <v>34</v>
      </c>
      <c r="Q674" s="23">
        <v>552.4</v>
      </c>
      <c r="R674" s="23">
        <v>66.287999999999997</v>
      </c>
      <c r="S674" s="24">
        <v>807.70799999999997</v>
      </c>
    </row>
    <row r="675" spans="1:19" hidden="1" x14ac:dyDescent="0.25">
      <c r="A675" s="13">
        <v>45701</v>
      </c>
      <c r="B675" t="s">
        <v>610</v>
      </c>
      <c r="C675">
        <v>25174</v>
      </c>
      <c r="D675" t="s">
        <v>66</v>
      </c>
      <c r="E675" s="5">
        <v>11</v>
      </c>
      <c r="F675">
        <v>73.92</v>
      </c>
      <c r="G675" s="12" t="s">
        <v>43</v>
      </c>
      <c r="H675" s="11">
        <v>0.41</v>
      </c>
      <c r="I675" t="s">
        <v>29</v>
      </c>
      <c r="J675">
        <v>26.43</v>
      </c>
      <c r="K675" t="s">
        <v>20</v>
      </c>
      <c r="L675" t="s">
        <v>31</v>
      </c>
      <c r="M675" t="s">
        <v>22</v>
      </c>
      <c r="N675" t="s">
        <v>38</v>
      </c>
      <c r="O675" t="s">
        <v>33</v>
      </c>
      <c r="P675" t="s">
        <v>34</v>
      </c>
      <c r="Q675">
        <v>739.2</v>
      </c>
      <c r="R675">
        <v>303.072</v>
      </c>
      <c r="S675" s="12">
        <v>785.42640000000006</v>
      </c>
    </row>
    <row r="676" spans="1:19" hidden="1" x14ac:dyDescent="0.25">
      <c r="A676" s="13">
        <v>45658</v>
      </c>
      <c r="B676" t="s">
        <v>41</v>
      </c>
      <c r="C676">
        <v>92584</v>
      </c>
      <c r="D676" t="s">
        <v>42</v>
      </c>
      <c r="E676" s="5">
        <v>18</v>
      </c>
      <c r="F676">
        <v>98.3</v>
      </c>
      <c r="G676" s="12" t="s">
        <v>43</v>
      </c>
      <c r="H676" s="11">
        <v>0.06</v>
      </c>
      <c r="I676" t="s">
        <v>29</v>
      </c>
      <c r="J676">
        <v>25.36</v>
      </c>
      <c r="K676" s="5" t="s">
        <v>44</v>
      </c>
      <c r="L676" t="s">
        <v>31</v>
      </c>
      <c r="M676" t="s">
        <v>22</v>
      </c>
      <c r="N676" t="s">
        <v>32</v>
      </c>
      <c r="O676" t="s">
        <v>24</v>
      </c>
      <c r="P676" t="s">
        <v>34</v>
      </c>
      <c r="Q676">
        <v>4423.5</v>
      </c>
      <c r="R676">
        <v>265.40999999999997</v>
      </c>
      <c r="S676" s="12">
        <v>781.63200000000006</v>
      </c>
    </row>
    <row r="677" spans="1:19" hidden="1" x14ac:dyDescent="0.25">
      <c r="A677" s="13">
        <v>45661</v>
      </c>
      <c r="B677" t="s">
        <v>105</v>
      </c>
      <c r="C677">
        <v>71488</v>
      </c>
      <c r="D677" t="s">
        <v>17</v>
      </c>
      <c r="E677" s="5">
        <v>40</v>
      </c>
      <c r="F677">
        <v>10.83</v>
      </c>
      <c r="G677" s="12" t="s">
        <v>43</v>
      </c>
      <c r="H677" s="11">
        <v>0.11</v>
      </c>
      <c r="I677" t="s">
        <v>19</v>
      </c>
      <c r="J677">
        <v>7.02</v>
      </c>
      <c r="K677" t="s">
        <v>37</v>
      </c>
      <c r="L677" t="s">
        <v>31</v>
      </c>
      <c r="M677" t="s">
        <v>735</v>
      </c>
      <c r="N677" t="s">
        <v>38</v>
      </c>
      <c r="O677" t="s">
        <v>59</v>
      </c>
      <c r="P677" t="s">
        <v>34</v>
      </c>
      <c r="Q677">
        <v>108.3</v>
      </c>
      <c r="R677">
        <v>11.913</v>
      </c>
      <c r="S677" s="12">
        <v>775.15200000000004</v>
      </c>
    </row>
    <row r="678" spans="1:19" hidden="1" x14ac:dyDescent="0.25">
      <c r="A678" s="13">
        <v>45698</v>
      </c>
      <c r="B678" t="s">
        <v>572</v>
      </c>
      <c r="C678">
        <v>24209</v>
      </c>
      <c r="D678" t="s">
        <v>89</v>
      </c>
      <c r="E678" s="5">
        <v>30</v>
      </c>
      <c r="F678">
        <v>31.98</v>
      </c>
      <c r="G678" s="12" t="s">
        <v>43</v>
      </c>
      <c r="H678" s="11">
        <v>0.47</v>
      </c>
      <c r="I678" t="s">
        <v>19</v>
      </c>
      <c r="J678">
        <v>5.82</v>
      </c>
      <c r="K678" t="s">
        <v>37</v>
      </c>
      <c r="L678" t="s">
        <v>31</v>
      </c>
      <c r="M678" t="s">
        <v>22</v>
      </c>
      <c r="N678" t="s">
        <v>53</v>
      </c>
      <c r="O678" t="s">
        <v>33</v>
      </c>
      <c r="P678" t="s">
        <v>34</v>
      </c>
      <c r="Q678">
        <v>671.58</v>
      </c>
      <c r="R678">
        <v>315.64260000000002</v>
      </c>
      <c r="S678" s="12">
        <v>769.2360000000001</v>
      </c>
    </row>
    <row r="679" spans="1:19" hidden="1" x14ac:dyDescent="0.25">
      <c r="A679" s="13">
        <v>45706</v>
      </c>
      <c r="B679" t="s">
        <v>444</v>
      </c>
      <c r="C679">
        <v>88209</v>
      </c>
      <c r="D679" t="s">
        <v>17</v>
      </c>
      <c r="E679" s="5">
        <v>19</v>
      </c>
      <c r="F679">
        <v>38.47</v>
      </c>
      <c r="G679" s="12" t="s">
        <v>43</v>
      </c>
      <c r="H679" s="11">
        <v>0.3</v>
      </c>
      <c r="I679" t="s">
        <v>734</v>
      </c>
      <c r="J679">
        <v>6.98</v>
      </c>
      <c r="K679" t="s">
        <v>37</v>
      </c>
      <c r="L679" t="s">
        <v>31</v>
      </c>
      <c r="M679" t="s">
        <v>22</v>
      </c>
      <c r="N679" t="s">
        <v>23</v>
      </c>
      <c r="O679" t="s">
        <v>39</v>
      </c>
      <c r="P679" t="s">
        <v>25</v>
      </c>
      <c r="Q679">
        <v>1846.56</v>
      </c>
      <c r="R679">
        <v>553.96799999999996</v>
      </c>
      <c r="S679" s="12">
        <v>637.06619999999998</v>
      </c>
    </row>
    <row r="680" spans="1:19" hidden="1" x14ac:dyDescent="0.25">
      <c r="A680" s="13">
        <v>45702</v>
      </c>
      <c r="B680" t="s">
        <v>621</v>
      </c>
      <c r="C680">
        <v>52012</v>
      </c>
      <c r="D680" t="s">
        <v>17</v>
      </c>
      <c r="E680" s="5">
        <v>10</v>
      </c>
      <c r="F680">
        <v>15.52</v>
      </c>
      <c r="G680" s="12" t="s">
        <v>43</v>
      </c>
      <c r="H680" s="11">
        <v>0.49</v>
      </c>
      <c r="I680" t="s">
        <v>734</v>
      </c>
      <c r="J680">
        <v>28.39</v>
      </c>
      <c r="K680" t="s">
        <v>37</v>
      </c>
      <c r="L680" t="s">
        <v>31</v>
      </c>
      <c r="M680" t="s">
        <v>22</v>
      </c>
      <c r="N680" t="s">
        <v>23</v>
      </c>
      <c r="O680" t="s">
        <v>39</v>
      </c>
      <c r="P680" t="s">
        <v>40</v>
      </c>
      <c r="Q680">
        <v>403.52</v>
      </c>
      <c r="R680">
        <v>197.72479999999999</v>
      </c>
      <c r="S680" s="12">
        <v>625.23500000000001</v>
      </c>
    </row>
    <row r="681" spans="1:19" hidden="1" x14ac:dyDescent="0.25">
      <c r="A681" s="13">
        <v>45688</v>
      </c>
      <c r="B681" t="s">
        <v>459</v>
      </c>
      <c r="C681">
        <v>20255</v>
      </c>
      <c r="D681" t="s">
        <v>68</v>
      </c>
      <c r="E681" s="5">
        <v>28</v>
      </c>
      <c r="F681">
        <v>30.82</v>
      </c>
      <c r="G681" s="12" t="s">
        <v>43</v>
      </c>
      <c r="H681" s="11">
        <v>0.31</v>
      </c>
      <c r="I681" t="s">
        <v>19</v>
      </c>
      <c r="J681">
        <v>18.78</v>
      </c>
      <c r="K681" t="s">
        <v>50</v>
      </c>
      <c r="L681" t="s">
        <v>31</v>
      </c>
      <c r="M681" t="s">
        <v>22</v>
      </c>
      <c r="N681" t="s">
        <v>32</v>
      </c>
      <c r="O681" t="s">
        <v>59</v>
      </c>
      <c r="P681" t="s">
        <v>34</v>
      </c>
      <c r="Q681">
        <v>523.94000000000005</v>
      </c>
      <c r="R681">
        <v>162.42140000000001</v>
      </c>
      <c r="S681" s="12">
        <v>623.39199999999983</v>
      </c>
    </row>
    <row r="682" spans="1:19" hidden="1" x14ac:dyDescent="0.25">
      <c r="A682" s="13">
        <v>45687</v>
      </c>
      <c r="B682" t="s">
        <v>336</v>
      </c>
      <c r="C682">
        <v>83705</v>
      </c>
      <c r="D682" t="s">
        <v>75</v>
      </c>
      <c r="E682" s="5">
        <v>13</v>
      </c>
      <c r="F682">
        <v>37.729999999999997</v>
      </c>
      <c r="G682" s="12" t="s">
        <v>43</v>
      </c>
      <c r="H682" s="11">
        <v>0.04</v>
      </c>
      <c r="I682" t="s">
        <v>19</v>
      </c>
      <c r="J682">
        <v>14.67</v>
      </c>
      <c r="K682" t="s">
        <v>37</v>
      </c>
      <c r="L682" t="s">
        <v>31</v>
      </c>
      <c r="M682" t="s">
        <v>22</v>
      </c>
      <c r="N682" t="s">
        <v>32</v>
      </c>
      <c r="O682" t="s">
        <v>24</v>
      </c>
      <c r="P682" t="s">
        <v>34</v>
      </c>
      <c r="Q682">
        <v>452.76</v>
      </c>
      <c r="R682">
        <v>18.110399999999998</v>
      </c>
      <c r="S682" s="12">
        <v>605.76749999999993</v>
      </c>
    </row>
    <row r="683" spans="1:19" hidden="1" x14ac:dyDescent="0.25">
      <c r="A683" s="13">
        <v>45684</v>
      </c>
      <c r="B683" t="s">
        <v>406</v>
      </c>
      <c r="C683">
        <v>73070</v>
      </c>
      <c r="D683" t="s">
        <v>17</v>
      </c>
      <c r="E683" s="5">
        <v>17</v>
      </c>
      <c r="F683">
        <v>73.92</v>
      </c>
      <c r="G683" s="12" t="s">
        <v>43</v>
      </c>
      <c r="H683" s="11">
        <v>0.38</v>
      </c>
      <c r="I683" t="s">
        <v>734</v>
      </c>
      <c r="J683">
        <v>5.78</v>
      </c>
      <c r="K683" t="s">
        <v>30</v>
      </c>
      <c r="L683" t="s">
        <v>31</v>
      </c>
      <c r="M683" t="s">
        <v>22</v>
      </c>
      <c r="N683" t="s">
        <v>38</v>
      </c>
      <c r="O683" t="s">
        <v>59</v>
      </c>
      <c r="P683" t="s">
        <v>25</v>
      </c>
      <c r="Q683">
        <v>517.44000000000005</v>
      </c>
      <c r="R683">
        <v>196.62720000000002</v>
      </c>
      <c r="S683" s="12">
        <v>592.83249999999998</v>
      </c>
    </row>
    <row r="684" spans="1:19" hidden="1" x14ac:dyDescent="0.25">
      <c r="A684" s="13">
        <v>45682</v>
      </c>
      <c r="B684" t="s">
        <v>244</v>
      </c>
      <c r="C684">
        <v>66754</v>
      </c>
      <c r="D684" t="s">
        <v>66</v>
      </c>
      <c r="E684" s="5">
        <v>19</v>
      </c>
      <c r="F684">
        <v>39.29</v>
      </c>
      <c r="G684" s="12" t="s">
        <v>43</v>
      </c>
      <c r="H684" s="11">
        <v>0.31</v>
      </c>
      <c r="I684" t="s">
        <v>19</v>
      </c>
      <c r="J684">
        <v>29.23</v>
      </c>
      <c r="K684" t="s">
        <v>50</v>
      </c>
      <c r="L684" t="s">
        <v>31</v>
      </c>
      <c r="M684" t="s">
        <v>22</v>
      </c>
      <c r="N684" t="s">
        <v>32</v>
      </c>
      <c r="O684" t="s">
        <v>24</v>
      </c>
      <c r="P684" t="s">
        <v>34</v>
      </c>
      <c r="Q684">
        <v>1493.02</v>
      </c>
      <c r="R684">
        <v>462.83620000000002</v>
      </c>
      <c r="S684" s="12">
        <v>584.69840000000011</v>
      </c>
    </row>
    <row r="685" spans="1:19" hidden="1" x14ac:dyDescent="0.25">
      <c r="A685" s="13">
        <v>45684</v>
      </c>
      <c r="B685" t="s">
        <v>221</v>
      </c>
      <c r="C685">
        <v>67622</v>
      </c>
      <c r="D685" t="s">
        <v>17</v>
      </c>
      <c r="E685" s="5">
        <v>22</v>
      </c>
      <c r="F685">
        <v>78.73</v>
      </c>
      <c r="G685" s="12" t="s">
        <v>43</v>
      </c>
      <c r="H685" s="11">
        <v>0.26</v>
      </c>
      <c r="I685" t="s">
        <v>734</v>
      </c>
      <c r="J685">
        <v>26.8</v>
      </c>
      <c r="K685" t="s">
        <v>50</v>
      </c>
      <c r="L685" t="s">
        <v>31</v>
      </c>
      <c r="M685" t="s">
        <v>22</v>
      </c>
      <c r="N685" t="s">
        <v>32</v>
      </c>
      <c r="O685" t="s">
        <v>39</v>
      </c>
      <c r="P685" t="s">
        <v>34</v>
      </c>
      <c r="Q685">
        <v>3149.2000000000003</v>
      </c>
      <c r="R685">
        <v>818.79200000000014</v>
      </c>
      <c r="S685" s="12">
        <v>558.91000000000008</v>
      </c>
    </row>
    <row r="686" spans="1:19" hidden="1" x14ac:dyDescent="0.25">
      <c r="A686" s="13">
        <v>45676</v>
      </c>
      <c r="B686" t="s">
        <v>282</v>
      </c>
      <c r="C686">
        <v>73507</v>
      </c>
      <c r="D686" t="s">
        <v>27</v>
      </c>
      <c r="E686" s="5">
        <v>31</v>
      </c>
      <c r="F686">
        <v>76.11</v>
      </c>
      <c r="G686" s="12" t="s">
        <v>43</v>
      </c>
      <c r="H686" s="11">
        <v>0.33</v>
      </c>
      <c r="I686" t="s">
        <v>19</v>
      </c>
      <c r="J686">
        <v>5.38</v>
      </c>
      <c r="K686" t="s">
        <v>50</v>
      </c>
      <c r="L686" s="14" t="s">
        <v>21</v>
      </c>
      <c r="M686" t="s">
        <v>22</v>
      </c>
      <c r="N686" t="s">
        <v>38</v>
      </c>
      <c r="O686" t="s">
        <v>81</v>
      </c>
      <c r="P686" t="s">
        <v>25</v>
      </c>
      <c r="Q686">
        <v>1522.2</v>
      </c>
      <c r="R686">
        <v>502.32600000000002</v>
      </c>
      <c r="S686" s="12">
        <v>551.01880000000006</v>
      </c>
    </row>
    <row r="687" spans="1:19" hidden="1" x14ac:dyDescent="0.25">
      <c r="A687" s="13">
        <v>45663</v>
      </c>
      <c r="B687" t="s">
        <v>135</v>
      </c>
      <c r="C687">
        <v>62316</v>
      </c>
      <c r="D687" t="s">
        <v>75</v>
      </c>
      <c r="E687" s="5">
        <v>7</v>
      </c>
      <c r="F687">
        <v>77.22</v>
      </c>
      <c r="G687" s="12" t="s">
        <v>43</v>
      </c>
      <c r="H687" s="11">
        <v>0.03</v>
      </c>
      <c r="I687" t="s">
        <v>29</v>
      </c>
      <c r="J687">
        <v>13.56</v>
      </c>
      <c r="K687" t="s">
        <v>37</v>
      </c>
      <c r="L687" t="s">
        <v>31</v>
      </c>
      <c r="M687" t="s">
        <v>22</v>
      </c>
      <c r="N687" t="s">
        <v>32</v>
      </c>
      <c r="O687" t="s">
        <v>33</v>
      </c>
      <c r="P687" t="s">
        <v>40</v>
      </c>
      <c r="Q687">
        <v>1621.62</v>
      </c>
      <c r="R687">
        <v>48.648599999999995</v>
      </c>
      <c r="S687" s="12">
        <v>547.81439999999998</v>
      </c>
    </row>
    <row r="688" spans="1:19" hidden="1" x14ac:dyDescent="0.25">
      <c r="A688" s="13">
        <v>45689</v>
      </c>
      <c r="B688" t="s">
        <v>474</v>
      </c>
      <c r="C688">
        <v>43382</v>
      </c>
      <c r="D688" t="s">
        <v>70</v>
      </c>
      <c r="E688" s="5">
        <v>22</v>
      </c>
      <c r="F688">
        <v>36.85</v>
      </c>
      <c r="G688" s="12" t="s">
        <v>43</v>
      </c>
      <c r="H688" s="11">
        <v>0.3</v>
      </c>
      <c r="I688" t="s">
        <v>734</v>
      </c>
      <c r="J688">
        <v>8.31</v>
      </c>
      <c r="K688" s="5" t="s">
        <v>44</v>
      </c>
      <c r="L688" t="s">
        <v>31</v>
      </c>
      <c r="M688" t="s">
        <v>22</v>
      </c>
      <c r="N688" t="s">
        <v>32</v>
      </c>
      <c r="O688" t="s">
        <v>33</v>
      </c>
      <c r="P688" t="s">
        <v>34</v>
      </c>
      <c r="Q688">
        <v>442.20000000000005</v>
      </c>
      <c r="R688">
        <v>132.66</v>
      </c>
      <c r="S688" s="12">
        <v>539.70839999999998</v>
      </c>
    </row>
    <row r="689" spans="1:19" hidden="1" x14ac:dyDescent="0.25">
      <c r="A689" s="13">
        <v>45674</v>
      </c>
      <c r="B689" t="s">
        <v>246</v>
      </c>
      <c r="C689">
        <v>74739</v>
      </c>
      <c r="D689" t="s">
        <v>42</v>
      </c>
      <c r="E689" s="5">
        <v>16</v>
      </c>
      <c r="F689">
        <v>53</v>
      </c>
      <c r="G689" s="12" t="s">
        <v>43</v>
      </c>
      <c r="H689" s="11">
        <v>0.49</v>
      </c>
      <c r="I689" t="s">
        <v>19</v>
      </c>
      <c r="J689">
        <v>12.67</v>
      </c>
      <c r="K689" s="5" t="s">
        <v>44</v>
      </c>
      <c r="L689" t="s">
        <v>31</v>
      </c>
      <c r="M689" t="s">
        <v>22</v>
      </c>
      <c r="N689" t="s">
        <v>32</v>
      </c>
      <c r="O689" t="s">
        <v>33</v>
      </c>
      <c r="P689" t="s">
        <v>34</v>
      </c>
      <c r="Q689">
        <v>2226</v>
      </c>
      <c r="R689">
        <v>1090.74</v>
      </c>
      <c r="S689" s="12">
        <v>534.57600000000002</v>
      </c>
    </row>
    <row r="690" spans="1:19" hidden="1" x14ac:dyDescent="0.25">
      <c r="A690" s="13">
        <v>45686</v>
      </c>
      <c r="B690" t="s">
        <v>395</v>
      </c>
      <c r="C690">
        <v>60919</v>
      </c>
      <c r="D690" t="s">
        <v>66</v>
      </c>
      <c r="E690" s="5">
        <v>20</v>
      </c>
      <c r="F690">
        <v>81.010000000000005</v>
      </c>
      <c r="G690" s="12" t="s">
        <v>43</v>
      </c>
      <c r="H690" s="11">
        <v>0.14000000000000001</v>
      </c>
      <c r="I690" t="s">
        <v>29</v>
      </c>
      <c r="J690">
        <v>25.2</v>
      </c>
      <c r="K690" t="s">
        <v>37</v>
      </c>
      <c r="L690" s="14" t="s">
        <v>21</v>
      </c>
      <c r="M690" t="s">
        <v>22</v>
      </c>
      <c r="N690" t="s">
        <v>23</v>
      </c>
      <c r="O690" t="s">
        <v>39</v>
      </c>
      <c r="P690" t="s">
        <v>25</v>
      </c>
      <c r="Q690">
        <v>3078.38</v>
      </c>
      <c r="R690">
        <v>430.97320000000008</v>
      </c>
      <c r="S690" s="12">
        <v>486.11199999999997</v>
      </c>
    </row>
    <row r="691" spans="1:19" hidden="1" x14ac:dyDescent="0.25">
      <c r="A691" s="13">
        <v>45709</v>
      </c>
      <c r="B691" t="s">
        <v>685</v>
      </c>
      <c r="C691">
        <v>55347</v>
      </c>
      <c r="D691" t="s">
        <v>42</v>
      </c>
      <c r="E691" s="5">
        <v>21</v>
      </c>
      <c r="F691">
        <v>68.260000000000005</v>
      </c>
      <c r="G691" s="12" t="s">
        <v>43</v>
      </c>
      <c r="H691" s="11">
        <v>0.35</v>
      </c>
      <c r="I691" t="s">
        <v>19</v>
      </c>
      <c r="J691">
        <v>21.44</v>
      </c>
      <c r="K691" t="s">
        <v>37</v>
      </c>
      <c r="L691" s="14" t="s">
        <v>21</v>
      </c>
      <c r="M691" t="s">
        <v>111</v>
      </c>
      <c r="N691" t="s">
        <v>23</v>
      </c>
      <c r="O691" t="s">
        <v>81</v>
      </c>
      <c r="P691" t="s">
        <v>40</v>
      </c>
      <c r="Q691">
        <v>1023.9000000000001</v>
      </c>
      <c r="R691">
        <v>358.36500000000001</v>
      </c>
      <c r="S691" s="12">
        <v>455.43959999999993</v>
      </c>
    </row>
    <row r="692" spans="1:19" hidden="1" x14ac:dyDescent="0.25">
      <c r="A692" s="13">
        <v>45683</v>
      </c>
      <c r="B692" t="s">
        <v>392</v>
      </c>
      <c r="C692">
        <v>18394</v>
      </c>
      <c r="D692" t="s">
        <v>46</v>
      </c>
      <c r="E692" s="5">
        <v>10</v>
      </c>
      <c r="F692">
        <v>79.790000000000006</v>
      </c>
      <c r="G692" s="12" t="s">
        <v>43</v>
      </c>
      <c r="H692" s="11">
        <v>0.04</v>
      </c>
      <c r="I692" t="s">
        <v>734</v>
      </c>
      <c r="J692">
        <v>13.99</v>
      </c>
      <c r="K692" t="s">
        <v>37</v>
      </c>
      <c r="L692" t="s">
        <v>31</v>
      </c>
      <c r="M692" t="s">
        <v>22</v>
      </c>
      <c r="N692" t="s">
        <v>53</v>
      </c>
      <c r="O692" t="s">
        <v>59</v>
      </c>
      <c r="P692" t="s">
        <v>34</v>
      </c>
      <c r="Q692">
        <v>957.48</v>
      </c>
      <c r="R692">
        <v>38.299199999999999</v>
      </c>
      <c r="S692" s="12">
        <v>450.5</v>
      </c>
    </row>
    <row r="693" spans="1:19" x14ac:dyDescent="0.25">
      <c r="A693" s="13">
        <v>45703</v>
      </c>
      <c r="B693" t="s">
        <v>624</v>
      </c>
      <c r="C693">
        <v>57119</v>
      </c>
      <c r="D693" t="s">
        <v>66</v>
      </c>
      <c r="E693" s="5">
        <v>5</v>
      </c>
      <c r="F693" s="23">
        <v>88.69</v>
      </c>
      <c r="G693" s="12" t="s">
        <v>43</v>
      </c>
      <c r="H693" s="37">
        <v>0.44</v>
      </c>
      <c r="I693" t="s">
        <v>29</v>
      </c>
      <c r="J693" s="23">
        <v>26.69</v>
      </c>
      <c r="K693" t="s">
        <v>30</v>
      </c>
      <c r="L693" s="14" t="s">
        <v>21</v>
      </c>
      <c r="M693" t="s">
        <v>22</v>
      </c>
      <c r="N693" t="s">
        <v>53</v>
      </c>
      <c r="O693" t="s">
        <v>59</v>
      </c>
      <c r="P693" s="14" t="s">
        <v>34</v>
      </c>
      <c r="Q693" s="23">
        <v>620.82999999999993</v>
      </c>
      <c r="R693" s="23">
        <v>273.16519999999997</v>
      </c>
      <c r="S693" s="24">
        <v>441.98399999999998</v>
      </c>
    </row>
    <row r="694" spans="1:19" hidden="1" x14ac:dyDescent="0.25">
      <c r="A694" s="13">
        <v>45695</v>
      </c>
      <c r="B694" t="s">
        <v>63</v>
      </c>
      <c r="C694">
        <v>37849</v>
      </c>
      <c r="D694" t="s">
        <v>66</v>
      </c>
      <c r="E694" s="5">
        <v>42</v>
      </c>
      <c r="F694">
        <v>28.72</v>
      </c>
      <c r="G694" s="12" t="s">
        <v>43</v>
      </c>
      <c r="H694" s="11">
        <v>0.44</v>
      </c>
      <c r="I694" t="s">
        <v>734</v>
      </c>
      <c r="J694">
        <v>14.05</v>
      </c>
      <c r="K694" s="5" t="s">
        <v>44</v>
      </c>
      <c r="L694" t="s">
        <v>31</v>
      </c>
      <c r="M694" t="s">
        <v>22</v>
      </c>
      <c r="N694" t="s">
        <v>32</v>
      </c>
      <c r="O694" t="s">
        <v>39</v>
      </c>
      <c r="P694" t="s">
        <v>25</v>
      </c>
      <c r="Q694">
        <v>804.16</v>
      </c>
      <c r="R694">
        <v>353.8304</v>
      </c>
      <c r="S694" s="12">
        <v>433.7088</v>
      </c>
    </row>
    <row r="695" spans="1:19" x14ac:dyDescent="0.25">
      <c r="A695" s="13">
        <v>45672</v>
      </c>
      <c r="B695" t="s">
        <v>198</v>
      </c>
      <c r="C695">
        <v>75353</v>
      </c>
      <c r="D695" t="s">
        <v>75</v>
      </c>
      <c r="E695" s="5">
        <v>39</v>
      </c>
      <c r="F695" s="23">
        <v>98.23</v>
      </c>
      <c r="G695" s="12" t="s">
        <v>43</v>
      </c>
      <c r="H695" s="37">
        <v>0.47</v>
      </c>
      <c r="I695" t="s">
        <v>734</v>
      </c>
      <c r="J695" s="23">
        <v>9.01</v>
      </c>
      <c r="K695" t="s">
        <v>50</v>
      </c>
      <c r="L695" s="14" t="s">
        <v>21</v>
      </c>
      <c r="M695" t="s">
        <v>735</v>
      </c>
      <c r="N695" t="s">
        <v>23</v>
      </c>
      <c r="O695" t="s">
        <v>39</v>
      </c>
      <c r="P695" s="14" t="s">
        <v>34</v>
      </c>
      <c r="Q695" s="23">
        <v>4027.4300000000003</v>
      </c>
      <c r="R695" s="23">
        <v>1892.8921</v>
      </c>
      <c r="S695" s="24">
        <v>396.12299999999999</v>
      </c>
    </row>
    <row r="696" spans="1:19" hidden="1" x14ac:dyDescent="0.25">
      <c r="A696" s="13">
        <v>45706</v>
      </c>
      <c r="B696" t="s">
        <v>654</v>
      </c>
      <c r="C696">
        <v>73537</v>
      </c>
      <c r="D696" t="s">
        <v>75</v>
      </c>
      <c r="E696" s="5">
        <v>7</v>
      </c>
      <c r="F696">
        <v>36.21</v>
      </c>
      <c r="G696" s="12" t="s">
        <v>43</v>
      </c>
      <c r="H696" s="11">
        <v>0.18</v>
      </c>
      <c r="I696" t="s">
        <v>19</v>
      </c>
      <c r="J696">
        <v>24.05</v>
      </c>
      <c r="K696" t="s">
        <v>20</v>
      </c>
      <c r="L696" s="14" t="s">
        <v>21</v>
      </c>
      <c r="M696" t="s">
        <v>22</v>
      </c>
      <c r="N696" t="s">
        <v>23</v>
      </c>
      <c r="O696" t="s">
        <v>59</v>
      </c>
      <c r="P696" t="s">
        <v>25</v>
      </c>
      <c r="Q696">
        <v>543.15</v>
      </c>
      <c r="R696">
        <v>97.766999999999996</v>
      </c>
      <c r="S696" s="12">
        <v>371.90509999999995</v>
      </c>
    </row>
    <row r="697" spans="1:19" x14ac:dyDescent="0.25">
      <c r="A697" s="13">
        <v>45691</v>
      </c>
      <c r="B697" t="s">
        <v>117</v>
      </c>
      <c r="C697">
        <v>31179</v>
      </c>
      <c r="D697" t="s">
        <v>46</v>
      </c>
      <c r="E697" s="5">
        <v>15</v>
      </c>
      <c r="F697" s="23">
        <v>48.88</v>
      </c>
      <c r="G697" s="12" t="s">
        <v>43</v>
      </c>
      <c r="H697" s="37">
        <v>0.31</v>
      </c>
      <c r="I697" t="s">
        <v>734</v>
      </c>
      <c r="J697" s="23">
        <v>21.91</v>
      </c>
      <c r="K697" t="s">
        <v>20</v>
      </c>
      <c r="L697" s="14" t="s">
        <v>21</v>
      </c>
      <c r="M697" t="s">
        <v>22</v>
      </c>
      <c r="N697" t="s">
        <v>32</v>
      </c>
      <c r="O697" t="s">
        <v>81</v>
      </c>
      <c r="P697" s="14" t="s">
        <v>34</v>
      </c>
      <c r="Q697" s="23">
        <v>2052.96</v>
      </c>
      <c r="R697" s="23">
        <v>636.41759999999999</v>
      </c>
      <c r="S697" s="24">
        <v>371.80799999999999</v>
      </c>
    </row>
    <row r="698" spans="1:19" hidden="1" x14ac:dyDescent="0.25">
      <c r="A698" s="13">
        <v>45692</v>
      </c>
      <c r="B698" t="s">
        <v>482</v>
      </c>
      <c r="C698">
        <v>29249</v>
      </c>
      <c r="D698" t="s">
        <v>57</v>
      </c>
      <c r="E698" s="5">
        <v>43</v>
      </c>
      <c r="F698">
        <v>24.56</v>
      </c>
      <c r="G698" s="12" t="s">
        <v>43</v>
      </c>
      <c r="H698" s="11">
        <v>0.04</v>
      </c>
      <c r="I698" t="s">
        <v>734</v>
      </c>
      <c r="J698">
        <v>13</v>
      </c>
      <c r="K698" t="s">
        <v>50</v>
      </c>
      <c r="L698" t="s">
        <v>31</v>
      </c>
      <c r="M698" t="s">
        <v>22</v>
      </c>
      <c r="N698" t="s">
        <v>23</v>
      </c>
      <c r="O698" t="s">
        <v>24</v>
      </c>
      <c r="P698" t="s">
        <v>40</v>
      </c>
      <c r="Q698">
        <v>1203.4399999999998</v>
      </c>
      <c r="R698">
        <v>48.137599999999992</v>
      </c>
      <c r="S698" s="12">
        <v>350.71229999999997</v>
      </c>
    </row>
    <row r="699" spans="1:19" hidden="1" x14ac:dyDescent="0.25">
      <c r="A699" s="13">
        <v>45704</v>
      </c>
      <c r="B699" t="s">
        <v>540</v>
      </c>
      <c r="C699">
        <v>92330</v>
      </c>
      <c r="D699" t="s">
        <v>89</v>
      </c>
      <c r="E699" s="5">
        <v>11</v>
      </c>
      <c r="F699">
        <v>96.36</v>
      </c>
      <c r="G699" s="12" t="s">
        <v>43</v>
      </c>
      <c r="H699" s="11">
        <v>0.33</v>
      </c>
      <c r="I699" t="s">
        <v>29</v>
      </c>
      <c r="J699">
        <v>26.32</v>
      </c>
      <c r="K699" s="5" t="s">
        <v>44</v>
      </c>
      <c r="L699" s="14" t="s">
        <v>21</v>
      </c>
      <c r="M699" t="s">
        <v>22</v>
      </c>
      <c r="N699" t="s">
        <v>32</v>
      </c>
      <c r="O699" t="s">
        <v>81</v>
      </c>
      <c r="P699" t="s">
        <v>25</v>
      </c>
      <c r="Q699">
        <v>3083.52</v>
      </c>
      <c r="R699">
        <v>1017.5616</v>
      </c>
      <c r="S699" s="12">
        <v>345.20639999999997</v>
      </c>
    </row>
    <row r="700" spans="1:19" hidden="1" x14ac:dyDescent="0.25">
      <c r="A700" s="13">
        <v>45705</v>
      </c>
      <c r="B700" t="s">
        <v>651</v>
      </c>
      <c r="C700">
        <v>14652</v>
      </c>
      <c r="D700" t="s">
        <v>70</v>
      </c>
      <c r="E700" s="5">
        <v>13</v>
      </c>
      <c r="F700">
        <v>94.92</v>
      </c>
      <c r="G700" s="12" t="s">
        <v>43</v>
      </c>
      <c r="H700" s="11">
        <v>0.19</v>
      </c>
      <c r="I700" t="s">
        <v>19</v>
      </c>
      <c r="J700">
        <v>18.239999999999998</v>
      </c>
      <c r="K700" t="s">
        <v>50</v>
      </c>
      <c r="L700" s="14" t="s">
        <v>21</v>
      </c>
      <c r="M700" t="s">
        <v>22</v>
      </c>
      <c r="N700" t="s">
        <v>53</v>
      </c>
      <c r="O700" t="s">
        <v>81</v>
      </c>
      <c r="P700" t="s">
        <v>40</v>
      </c>
      <c r="Q700">
        <v>1139.04</v>
      </c>
      <c r="R700">
        <v>216.41759999999999</v>
      </c>
      <c r="S700" s="12">
        <v>344.3596</v>
      </c>
    </row>
    <row r="701" spans="1:19" hidden="1" x14ac:dyDescent="0.25">
      <c r="A701" s="13">
        <v>45679</v>
      </c>
      <c r="B701" t="s">
        <v>328</v>
      </c>
      <c r="C701">
        <v>62462</v>
      </c>
      <c r="D701" t="s">
        <v>42</v>
      </c>
      <c r="E701" s="5">
        <v>25</v>
      </c>
      <c r="F701">
        <v>12.03</v>
      </c>
      <c r="G701" s="12" t="s">
        <v>43</v>
      </c>
      <c r="H701" s="11">
        <v>0.44</v>
      </c>
      <c r="I701" t="s">
        <v>29</v>
      </c>
      <c r="J701">
        <v>6.02</v>
      </c>
      <c r="K701" t="s">
        <v>20</v>
      </c>
      <c r="L701" t="s">
        <v>31</v>
      </c>
      <c r="M701" t="s">
        <v>22</v>
      </c>
      <c r="N701" t="s">
        <v>23</v>
      </c>
      <c r="O701" t="s">
        <v>59</v>
      </c>
      <c r="P701" t="s">
        <v>25</v>
      </c>
      <c r="Q701">
        <v>360.9</v>
      </c>
      <c r="R701">
        <v>158.79599999999999</v>
      </c>
      <c r="S701" s="12">
        <v>342.04250000000002</v>
      </c>
    </row>
    <row r="702" spans="1:19" hidden="1" x14ac:dyDescent="0.25">
      <c r="A702" s="13">
        <v>45689</v>
      </c>
      <c r="B702" t="s">
        <v>476</v>
      </c>
      <c r="C702">
        <v>20188</v>
      </c>
      <c r="D702" t="s">
        <v>17</v>
      </c>
      <c r="E702" s="5">
        <v>12</v>
      </c>
      <c r="F702">
        <v>89.58</v>
      </c>
      <c r="G702" s="12" t="s">
        <v>43</v>
      </c>
      <c r="H702" s="11">
        <v>0.47</v>
      </c>
      <c r="I702" t="s">
        <v>19</v>
      </c>
      <c r="J702">
        <v>20.440000000000001</v>
      </c>
      <c r="K702" t="s">
        <v>50</v>
      </c>
      <c r="L702" s="14" t="s">
        <v>21</v>
      </c>
      <c r="M702" t="s">
        <v>22</v>
      </c>
      <c r="N702" t="s">
        <v>38</v>
      </c>
      <c r="O702" t="s">
        <v>39</v>
      </c>
      <c r="P702" t="s">
        <v>25</v>
      </c>
      <c r="Q702">
        <v>89.58</v>
      </c>
      <c r="R702">
        <v>42.102599999999995</v>
      </c>
      <c r="S702" s="12">
        <v>309.54000000000008</v>
      </c>
    </row>
    <row r="703" spans="1:19" x14ac:dyDescent="0.25">
      <c r="A703" s="13">
        <v>45673</v>
      </c>
      <c r="B703" t="s">
        <v>212</v>
      </c>
      <c r="C703">
        <v>52618</v>
      </c>
      <c r="D703" t="s">
        <v>46</v>
      </c>
      <c r="E703" s="5">
        <v>20</v>
      </c>
      <c r="F703" s="23">
        <v>31.91</v>
      </c>
      <c r="G703" s="12" t="s">
        <v>43</v>
      </c>
      <c r="H703" s="37">
        <v>0.41</v>
      </c>
      <c r="I703" t="s">
        <v>29</v>
      </c>
      <c r="J703" s="23">
        <v>16.329999999999998</v>
      </c>
      <c r="K703" t="s">
        <v>50</v>
      </c>
      <c r="L703" s="14" t="s">
        <v>21</v>
      </c>
      <c r="M703" t="s">
        <v>735</v>
      </c>
      <c r="N703" t="s">
        <v>53</v>
      </c>
      <c r="O703" t="s">
        <v>39</v>
      </c>
      <c r="P703" s="14" t="s">
        <v>34</v>
      </c>
      <c r="Q703" s="23">
        <v>223.37</v>
      </c>
      <c r="R703" s="23">
        <v>91.581699999999998</v>
      </c>
      <c r="S703" s="24">
        <v>304.72000000000003</v>
      </c>
    </row>
    <row r="704" spans="1:19" hidden="1" x14ac:dyDescent="0.25">
      <c r="A704" s="13">
        <v>45691</v>
      </c>
      <c r="B704" t="s">
        <v>490</v>
      </c>
      <c r="C704">
        <v>93033</v>
      </c>
      <c r="D704" t="s">
        <v>49</v>
      </c>
      <c r="E704" s="5">
        <v>35</v>
      </c>
      <c r="F704">
        <v>8.31</v>
      </c>
      <c r="G704" s="12" t="s">
        <v>43</v>
      </c>
      <c r="H704" s="11">
        <v>0.06</v>
      </c>
      <c r="I704" t="s">
        <v>734</v>
      </c>
      <c r="J704">
        <v>11.42</v>
      </c>
      <c r="K704" s="5" t="s">
        <v>44</v>
      </c>
      <c r="L704" t="s">
        <v>31</v>
      </c>
      <c r="M704" t="s">
        <v>22</v>
      </c>
      <c r="N704" t="s">
        <v>53</v>
      </c>
      <c r="O704" t="s">
        <v>33</v>
      </c>
      <c r="P704" t="s">
        <v>40</v>
      </c>
      <c r="Q704">
        <v>274.23</v>
      </c>
      <c r="R704">
        <v>16.453800000000001</v>
      </c>
      <c r="S704" s="12">
        <v>283.46499999999997</v>
      </c>
    </row>
    <row r="705" spans="1:19" hidden="1" x14ac:dyDescent="0.25">
      <c r="A705" s="13">
        <v>45711</v>
      </c>
      <c r="B705" t="s">
        <v>589</v>
      </c>
      <c r="C705">
        <v>82937</v>
      </c>
      <c r="D705" t="s">
        <v>17</v>
      </c>
      <c r="E705" s="5">
        <v>39</v>
      </c>
      <c r="F705">
        <v>26.16</v>
      </c>
      <c r="G705" s="12" t="s">
        <v>43</v>
      </c>
      <c r="H705" s="11">
        <v>0.01</v>
      </c>
      <c r="I705" t="s">
        <v>734</v>
      </c>
      <c r="J705">
        <v>23.84</v>
      </c>
      <c r="K705" t="s">
        <v>37</v>
      </c>
      <c r="L705" t="s">
        <v>31</v>
      </c>
      <c r="M705" t="s">
        <v>22</v>
      </c>
      <c r="N705" t="s">
        <v>32</v>
      </c>
      <c r="O705" t="s">
        <v>39</v>
      </c>
      <c r="P705" t="s">
        <v>34</v>
      </c>
      <c r="Q705">
        <v>1098.72</v>
      </c>
      <c r="R705">
        <v>10.9872</v>
      </c>
      <c r="S705" s="12">
        <v>216.87119999999999</v>
      </c>
    </row>
    <row r="706" spans="1:19" hidden="1" x14ac:dyDescent="0.25">
      <c r="A706" s="13">
        <v>45685</v>
      </c>
      <c r="B706" t="s">
        <v>418</v>
      </c>
      <c r="C706">
        <v>92920</v>
      </c>
      <c r="D706" t="s">
        <v>57</v>
      </c>
      <c r="E706" s="5">
        <v>4</v>
      </c>
      <c r="F706">
        <v>53.54</v>
      </c>
      <c r="G706" s="12" t="s">
        <v>43</v>
      </c>
      <c r="H706" s="11">
        <v>0.34</v>
      </c>
      <c r="I706" t="s">
        <v>19</v>
      </c>
      <c r="J706">
        <v>10.56</v>
      </c>
      <c r="K706" t="s">
        <v>50</v>
      </c>
      <c r="L706" t="s">
        <v>31</v>
      </c>
      <c r="M706" t="s">
        <v>22</v>
      </c>
      <c r="N706" t="s">
        <v>23</v>
      </c>
      <c r="O706" t="s">
        <v>24</v>
      </c>
      <c r="P706" t="s">
        <v>40</v>
      </c>
      <c r="Q706">
        <v>1231.42</v>
      </c>
      <c r="R706">
        <v>418.68280000000004</v>
      </c>
      <c r="S706" s="12">
        <v>202.1712</v>
      </c>
    </row>
    <row r="707" spans="1:19" hidden="1" x14ac:dyDescent="0.25">
      <c r="A707" s="13">
        <v>45704</v>
      </c>
      <c r="B707" t="s">
        <v>368</v>
      </c>
      <c r="C707">
        <v>64538</v>
      </c>
      <c r="D707" t="s">
        <v>68</v>
      </c>
      <c r="E707" s="5">
        <v>13</v>
      </c>
      <c r="F707">
        <v>21.34</v>
      </c>
      <c r="G707" s="12" t="s">
        <v>43</v>
      </c>
      <c r="H707" s="11">
        <v>0.44</v>
      </c>
      <c r="I707" t="s">
        <v>734</v>
      </c>
      <c r="J707">
        <v>23.59</v>
      </c>
      <c r="K707" t="s">
        <v>30</v>
      </c>
      <c r="L707" t="s">
        <v>31</v>
      </c>
      <c r="M707" t="s">
        <v>22</v>
      </c>
      <c r="N707" t="s">
        <v>38</v>
      </c>
      <c r="O707" t="s">
        <v>81</v>
      </c>
      <c r="P707" t="s">
        <v>40</v>
      </c>
      <c r="Q707">
        <v>853.6</v>
      </c>
      <c r="R707">
        <v>375.584</v>
      </c>
      <c r="S707" s="12">
        <v>196.00619999999998</v>
      </c>
    </row>
    <row r="708" spans="1:19" hidden="1" x14ac:dyDescent="0.25">
      <c r="A708" s="13">
        <v>45701</v>
      </c>
      <c r="B708" t="s">
        <v>608</v>
      </c>
      <c r="C708">
        <v>56000</v>
      </c>
      <c r="D708" t="s">
        <v>89</v>
      </c>
      <c r="E708" s="5">
        <v>8</v>
      </c>
      <c r="F708">
        <v>13.94</v>
      </c>
      <c r="G708" s="12" t="s">
        <v>43</v>
      </c>
      <c r="H708" s="11">
        <v>0.05</v>
      </c>
      <c r="I708" t="s">
        <v>734</v>
      </c>
      <c r="J708">
        <v>19.28</v>
      </c>
      <c r="K708" t="s">
        <v>50</v>
      </c>
      <c r="L708" t="s">
        <v>31</v>
      </c>
      <c r="M708" t="s">
        <v>111</v>
      </c>
      <c r="N708" t="s">
        <v>23</v>
      </c>
      <c r="O708" t="s">
        <v>33</v>
      </c>
      <c r="P708" t="s">
        <v>25</v>
      </c>
      <c r="Q708">
        <v>13.94</v>
      </c>
      <c r="R708">
        <v>0.69700000000000006</v>
      </c>
      <c r="S708" s="12">
        <v>176.96639999999999</v>
      </c>
    </row>
    <row r="709" spans="1:19" hidden="1" x14ac:dyDescent="0.25">
      <c r="A709" s="13">
        <v>45691</v>
      </c>
      <c r="B709" t="s">
        <v>487</v>
      </c>
      <c r="C709">
        <v>96702</v>
      </c>
      <c r="D709" t="s">
        <v>17</v>
      </c>
      <c r="E709" s="5">
        <v>4</v>
      </c>
      <c r="F709">
        <v>79.62</v>
      </c>
      <c r="G709" s="12" t="s">
        <v>43</v>
      </c>
      <c r="H709" s="11">
        <v>0.49</v>
      </c>
      <c r="I709" t="s">
        <v>734</v>
      </c>
      <c r="J709">
        <v>5.35</v>
      </c>
      <c r="K709" s="5" t="s">
        <v>44</v>
      </c>
      <c r="L709" t="s">
        <v>31</v>
      </c>
      <c r="M709" t="s">
        <v>111</v>
      </c>
      <c r="N709" t="s">
        <v>32</v>
      </c>
      <c r="O709" t="s">
        <v>59</v>
      </c>
      <c r="P709" t="s">
        <v>40</v>
      </c>
      <c r="Q709">
        <v>2786.7000000000003</v>
      </c>
      <c r="R709">
        <v>1365.4830000000002</v>
      </c>
      <c r="S709" s="12">
        <v>168.94720000000001</v>
      </c>
    </row>
    <row r="710" spans="1:19" hidden="1" x14ac:dyDescent="0.25">
      <c r="A710" s="13">
        <v>45688</v>
      </c>
      <c r="B710" t="s">
        <v>455</v>
      </c>
      <c r="C710">
        <v>93259</v>
      </c>
      <c r="D710" t="s">
        <v>70</v>
      </c>
      <c r="E710" s="5">
        <v>5</v>
      </c>
      <c r="F710">
        <v>28.27</v>
      </c>
      <c r="G710" s="12" t="s">
        <v>43</v>
      </c>
      <c r="H710" s="11">
        <v>0.27</v>
      </c>
      <c r="I710" t="s">
        <v>29</v>
      </c>
      <c r="J710">
        <v>13.09</v>
      </c>
      <c r="K710" t="s">
        <v>30</v>
      </c>
      <c r="L710" t="s">
        <v>31</v>
      </c>
      <c r="M710" t="s">
        <v>22</v>
      </c>
      <c r="N710" t="s">
        <v>38</v>
      </c>
      <c r="O710" t="s">
        <v>59</v>
      </c>
      <c r="P710" t="s">
        <v>40</v>
      </c>
      <c r="Q710">
        <v>593.66999999999996</v>
      </c>
      <c r="R710">
        <v>160.29089999999999</v>
      </c>
      <c r="S710" s="12">
        <v>154.035</v>
      </c>
    </row>
    <row r="711" spans="1:19" hidden="1" x14ac:dyDescent="0.25">
      <c r="A711" s="13">
        <v>45708</v>
      </c>
      <c r="B711" t="s">
        <v>675</v>
      </c>
      <c r="C711">
        <v>65815</v>
      </c>
      <c r="D711" t="s">
        <v>49</v>
      </c>
      <c r="E711" s="5">
        <v>5</v>
      </c>
      <c r="F711">
        <v>7.56</v>
      </c>
      <c r="G711" s="12" t="s">
        <v>43</v>
      </c>
      <c r="H711" s="11">
        <v>0.13</v>
      </c>
      <c r="I711" t="s">
        <v>734</v>
      </c>
      <c r="J711">
        <v>6.69</v>
      </c>
      <c r="K711" t="s">
        <v>37</v>
      </c>
      <c r="L711" s="14" t="s">
        <v>21</v>
      </c>
      <c r="M711" t="s">
        <v>22</v>
      </c>
      <c r="N711" t="s">
        <v>53</v>
      </c>
      <c r="O711" t="s">
        <v>39</v>
      </c>
      <c r="P711" t="s">
        <v>40</v>
      </c>
      <c r="Q711">
        <v>60.48</v>
      </c>
      <c r="R711">
        <v>7.8624000000000001</v>
      </c>
      <c r="S711" s="12">
        <v>148.51350000000002</v>
      </c>
    </row>
    <row r="712" spans="1:19" hidden="1" x14ac:dyDescent="0.25">
      <c r="A712" s="13">
        <v>45709</v>
      </c>
      <c r="B712" t="s">
        <v>413</v>
      </c>
      <c r="C712">
        <v>19333</v>
      </c>
      <c r="D712" t="s">
        <v>49</v>
      </c>
      <c r="E712" s="5">
        <v>6</v>
      </c>
      <c r="F712">
        <v>47.46</v>
      </c>
      <c r="G712" s="12" t="s">
        <v>43</v>
      </c>
      <c r="H712" s="11">
        <v>0.48</v>
      </c>
      <c r="I712" t="s">
        <v>29</v>
      </c>
      <c r="J712">
        <v>27.6</v>
      </c>
      <c r="K712" s="5" t="s">
        <v>44</v>
      </c>
      <c r="L712" t="s">
        <v>31</v>
      </c>
      <c r="M712" t="s">
        <v>111</v>
      </c>
      <c r="N712" t="s">
        <v>32</v>
      </c>
      <c r="O712" t="s">
        <v>39</v>
      </c>
      <c r="P712" t="s">
        <v>40</v>
      </c>
      <c r="Q712">
        <v>284.76</v>
      </c>
      <c r="R712">
        <v>136.6848</v>
      </c>
      <c r="S712" s="12">
        <v>148.0752</v>
      </c>
    </row>
    <row r="713" spans="1:19" x14ac:dyDescent="0.25">
      <c r="A713" s="13">
        <v>45698</v>
      </c>
      <c r="B713" t="s">
        <v>384</v>
      </c>
      <c r="C713">
        <v>30125</v>
      </c>
      <c r="D713" t="s">
        <v>66</v>
      </c>
      <c r="E713" s="5">
        <v>2</v>
      </c>
      <c r="F713" s="23">
        <v>65.58</v>
      </c>
      <c r="G713" s="12" t="s">
        <v>43</v>
      </c>
      <c r="H713" s="37">
        <v>0.34</v>
      </c>
      <c r="I713" t="s">
        <v>734</v>
      </c>
      <c r="J713" s="23">
        <v>14.49</v>
      </c>
      <c r="K713" t="s">
        <v>50</v>
      </c>
      <c r="L713" s="14" t="s">
        <v>21</v>
      </c>
      <c r="M713" t="s">
        <v>22</v>
      </c>
      <c r="N713" t="s">
        <v>38</v>
      </c>
      <c r="O713" t="s">
        <v>59</v>
      </c>
      <c r="P713" s="14" t="s">
        <v>34</v>
      </c>
      <c r="Q713" s="23">
        <v>3082.2599999999998</v>
      </c>
      <c r="R713" s="23">
        <v>1047.9684</v>
      </c>
      <c r="S713" s="24">
        <v>97.858800000000002</v>
      </c>
    </row>
    <row r="714" spans="1:19" hidden="1" x14ac:dyDescent="0.25">
      <c r="A714" s="13">
        <v>45680</v>
      </c>
      <c r="B714" t="s">
        <v>253</v>
      </c>
      <c r="C714">
        <v>32062</v>
      </c>
      <c r="D714" t="s">
        <v>89</v>
      </c>
      <c r="E714" s="5">
        <v>18</v>
      </c>
      <c r="F714">
        <v>40.72</v>
      </c>
      <c r="G714" s="12" t="s">
        <v>43</v>
      </c>
      <c r="H714" s="11">
        <v>0.18</v>
      </c>
      <c r="I714" t="s">
        <v>734</v>
      </c>
      <c r="J714">
        <v>19.82</v>
      </c>
      <c r="K714" s="5" t="s">
        <v>44</v>
      </c>
      <c r="L714" t="s">
        <v>31</v>
      </c>
      <c r="M714" t="s">
        <v>22</v>
      </c>
      <c r="N714" t="s">
        <v>32</v>
      </c>
      <c r="O714" t="s">
        <v>59</v>
      </c>
      <c r="P714" t="s">
        <v>34</v>
      </c>
      <c r="Q714">
        <v>325.76</v>
      </c>
      <c r="R714">
        <v>58.636799999999994</v>
      </c>
      <c r="S714" s="12">
        <v>94.706999999999994</v>
      </c>
    </row>
    <row r="715" spans="1:19" hidden="1" x14ac:dyDescent="0.25">
      <c r="A715" s="13">
        <v>45686</v>
      </c>
      <c r="B715" t="s">
        <v>400</v>
      </c>
      <c r="C715">
        <v>36620</v>
      </c>
      <c r="D715" t="s">
        <v>75</v>
      </c>
      <c r="E715" s="5">
        <v>3</v>
      </c>
      <c r="F715">
        <v>80.38</v>
      </c>
      <c r="G715" s="12" t="s">
        <v>43</v>
      </c>
      <c r="H715" s="11">
        <v>0.08</v>
      </c>
      <c r="I715" t="s">
        <v>29</v>
      </c>
      <c r="J715">
        <v>6.84</v>
      </c>
      <c r="K715" t="s">
        <v>37</v>
      </c>
      <c r="L715" s="14" t="s">
        <v>21</v>
      </c>
      <c r="M715" t="s">
        <v>22</v>
      </c>
      <c r="N715" t="s">
        <v>23</v>
      </c>
      <c r="O715" t="s">
        <v>59</v>
      </c>
      <c r="P715" t="s">
        <v>25</v>
      </c>
      <c r="Q715">
        <v>1768.36</v>
      </c>
      <c r="R715">
        <v>141.46879999999999</v>
      </c>
      <c r="S715" s="12">
        <v>92.7774</v>
      </c>
    </row>
    <row r="716" spans="1:19" x14ac:dyDescent="0.25">
      <c r="A716" s="13">
        <v>45661</v>
      </c>
      <c r="B716" t="s">
        <v>95</v>
      </c>
      <c r="C716">
        <v>61362</v>
      </c>
      <c r="D716" t="s">
        <v>68</v>
      </c>
      <c r="E716" s="5">
        <v>2</v>
      </c>
      <c r="F716" s="23">
        <v>88.78</v>
      </c>
      <c r="G716" s="12" t="s">
        <v>43</v>
      </c>
      <c r="H716" s="37">
        <v>0.18</v>
      </c>
      <c r="I716" t="s">
        <v>19</v>
      </c>
      <c r="J716" s="23">
        <v>5.23</v>
      </c>
      <c r="K716" t="s">
        <v>20</v>
      </c>
      <c r="L716" s="14" t="s">
        <v>21</v>
      </c>
      <c r="M716" t="s">
        <v>22</v>
      </c>
      <c r="N716" t="s">
        <v>32</v>
      </c>
      <c r="O716" t="s">
        <v>59</v>
      </c>
      <c r="P716" s="14" t="s">
        <v>34</v>
      </c>
      <c r="Q716" s="23">
        <v>1686.82</v>
      </c>
      <c r="R716" s="23">
        <v>303.62759999999997</v>
      </c>
      <c r="S716" s="24">
        <v>76.111999999999995</v>
      </c>
    </row>
    <row r="717" spans="1:19" hidden="1" x14ac:dyDescent="0.25">
      <c r="A717" s="13">
        <v>45710</v>
      </c>
      <c r="B717" t="s">
        <v>614</v>
      </c>
      <c r="C717">
        <v>71135</v>
      </c>
      <c r="D717" t="s">
        <v>66</v>
      </c>
      <c r="E717" s="5">
        <v>2</v>
      </c>
      <c r="F717">
        <v>81.39</v>
      </c>
      <c r="G717" s="12" t="s">
        <v>43</v>
      </c>
      <c r="H717" s="11">
        <v>0.06</v>
      </c>
      <c r="I717" t="s">
        <v>19</v>
      </c>
      <c r="J717">
        <v>12</v>
      </c>
      <c r="K717" t="s">
        <v>50</v>
      </c>
      <c r="L717" s="14" t="s">
        <v>21</v>
      </c>
      <c r="M717" t="s">
        <v>22</v>
      </c>
      <c r="N717" t="s">
        <v>53</v>
      </c>
      <c r="O717" t="s">
        <v>24</v>
      </c>
      <c r="P717" t="s">
        <v>40</v>
      </c>
      <c r="Q717">
        <v>162.78</v>
      </c>
      <c r="R717">
        <v>9.7667999999999999</v>
      </c>
      <c r="S717" s="12">
        <v>63.1464</v>
      </c>
    </row>
    <row r="718" spans="1:19" hidden="1" x14ac:dyDescent="0.25">
      <c r="A718" s="13">
        <v>45687</v>
      </c>
      <c r="B718" t="s">
        <v>437</v>
      </c>
      <c r="C718">
        <v>88842</v>
      </c>
      <c r="D718" t="s">
        <v>57</v>
      </c>
      <c r="E718" s="5">
        <v>1</v>
      </c>
      <c r="F718">
        <v>2.63</v>
      </c>
      <c r="G718" s="12" t="s">
        <v>43</v>
      </c>
      <c r="H718" s="11">
        <v>0.28000000000000003</v>
      </c>
      <c r="I718" t="s">
        <v>19</v>
      </c>
      <c r="J718">
        <v>14.29</v>
      </c>
      <c r="K718" t="s">
        <v>20</v>
      </c>
      <c r="L718" t="s">
        <v>31</v>
      </c>
      <c r="M718" t="s">
        <v>22</v>
      </c>
      <c r="N718" t="s">
        <v>38</v>
      </c>
      <c r="O718" t="s">
        <v>39</v>
      </c>
      <c r="P718" t="s">
        <v>25</v>
      </c>
      <c r="Q718">
        <v>99.94</v>
      </c>
      <c r="R718">
        <v>27.983200000000004</v>
      </c>
      <c r="S718" s="12">
        <v>59.36</v>
      </c>
    </row>
    <row r="719" spans="1:19" hidden="1" x14ac:dyDescent="0.25">
      <c r="A719" s="13">
        <v>45662</v>
      </c>
      <c r="B719" t="s">
        <v>122</v>
      </c>
      <c r="C719">
        <v>72201</v>
      </c>
      <c r="D719" t="s">
        <v>66</v>
      </c>
      <c r="E719" s="5">
        <v>2</v>
      </c>
      <c r="F719">
        <v>71.87</v>
      </c>
      <c r="G719" s="12" t="s">
        <v>43</v>
      </c>
      <c r="H719" s="11">
        <v>0.08</v>
      </c>
      <c r="I719" t="s">
        <v>734</v>
      </c>
      <c r="J719">
        <v>12.73</v>
      </c>
      <c r="K719" t="s">
        <v>20</v>
      </c>
      <c r="L719" t="s">
        <v>31</v>
      </c>
      <c r="M719" t="s">
        <v>111</v>
      </c>
      <c r="N719" t="s">
        <v>38</v>
      </c>
      <c r="O719" t="s">
        <v>81</v>
      </c>
      <c r="P719" t="s">
        <v>25</v>
      </c>
      <c r="Q719">
        <v>71.87</v>
      </c>
      <c r="R719">
        <v>5.7496</v>
      </c>
      <c r="S719" s="12">
        <v>50.252399999999994</v>
      </c>
    </row>
    <row r="720" spans="1:19" hidden="1" x14ac:dyDescent="0.25">
      <c r="A720" s="13">
        <v>45677</v>
      </c>
      <c r="B720" t="s">
        <v>288</v>
      </c>
      <c r="C720">
        <v>11825</v>
      </c>
      <c r="D720" t="s">
        <v>70</v>
      </c>
      <c r="E720" s="5">
        <v>41</v>
      </c>
      <c r="F720">
        <v>23.17</v>
      </c>
      <c r="G720" s="12" t="s">
        <v>43</v>
      </c>
      <c r="H720" s="11">
        <v>0.11</v>
      </c>
      <c r="I720" t="s">
        <v>19</v>
      </c>
      <c r="J720">
        <v>21.33</v>
      </c>
      <c r="K720" t="s">
        <v>20</v>
      </c>
      <c r="L720" s="14" t="s">
        <v>21</v>
      </c>
      <c r="M720" t="s">
        <v>735</v>
      </c>
      <c r="N720" t="s">
        <v>23</v>
      </c>
      <c r="O720" t="s">
        <v>24</v>
      </c>
      <c r="P720" t="s">
        <v>25</v>
      </c>
      <c r="Q720">
        <v>254.87</v>
      </c>
      <c r="R720">
        <v>28.035700000000002</v>
      </c>
      <c r="S720" s="12">
        <v>44.771999999999998</v>
      </c>
    </row>
    <row r="721" spans="1:19" x14ac:dyDescent="0.25">
      <c r="A721" s="13">
        <v>45701</v>
      </c>
      <c r="B721" t="s">
        <v>607</v>
      </c>
      <c r="C721">
        <v>75065</v>
      </c>
      <c r="D721" t="s">
        <v>68</v>
      </c>
      <c r="E721" s="5">
        <v>3</v>
      </c>
      <c r="F721" s="23">
        <v>1.54</v>
      </c>
      <c r="G721" s="12" t="s">
        <v>43</v>
      </c>
      <c r="H721" s="37">
        <v>0.14000000000000001</v>
      </c>
      <c r="I721" t="s">
        <v>19</v>
      </c>
      <c r="J721" s="23">
        <v>12.87</v>
      </c>
      <c r="K721" t="s">
        <v>30</v>
      </c>
      <c r="L721" s="14" t="s">
        <v>21</v>
      </c>
      <c r="M721" t="s">
        <v>22</v>
      </c>
      <c r="N721" t="s">
        <v>53</v>
      </c>
      <c r="O721" t="s">
        <v>39</v>
      </c>
      <c r="P721" s="14" t="s">
        <v>34</v>
      </c>
      <c r="Q721" s="23">
        <v>67.760000000000005</v>
      </c>
      <c r="R721" s="23">
        <v>9.4864000000000015</v>
      </c>
      <c r="S721" s="24">
        <v>40.716000000000008</v>
      </c>
    </row>
    <row r="722" spans="1:19" hidden="1" x14ac:dyDescent="0.25">
      <c r="A722" s="13">
        <v>45685</v>
      </c>
      <c r="B722" t="s">
        <v>124</v>
      </c>
      <c r="C722">
        <v>79524</v>
      </c>
      <c r="D722" t="s">
        <v>57</v>
      </c>
      <c r="E722" s="5">
        <v>2</v>
      </c>
      <c r="F722">
        <v>66.599999999999994</v>
      </c>
      <c r="G722" s="12" t="s">
        <v>43</v>
      </c>
      <c r="H722" s="11">
        <v>0.48</v>
      </c>
      <c r="I722" t="s">
        <v>19</v>
      </c>
      <c r="J722">
        <v>21.49</v>
      </c>
      <c r="K722" t="s">
        <v>37</v>
      </c>
      <c r="L722" t="s">
        <v>31</v>
      </c>
      <c r="M722" t="s">
        <v>22</v>
      </c>
      <c r="N722" t="s">
        <v>32</v>
      </c>
      <c r="O722" t="s">
        <v>81</v>
      </c>
      <c r="P722" t="s">
        <v>25</v>
      </c>
      <c r="Q722">
        <v>1798.1999999999998</v>
      </c>
      <c r="R722">
        <v>863.13599999999985</v>
      </c>
      <c r="S722" s="12">
        <v>20.811999999999998</v>
      </c>
    </row>
    <row r="723" spans="1:19" hidden="1" x14ac:dyDescent="0.25">
      <c r="A723" s="13">
        <v>45691</v>
      </c>
      <c r="B723" t="s">
        <v>495</v>
      </c>
      <c r="C723">
        <v>13255</v>
      </c>
      <c r="D723" t="s">
        <v>75</v>
      </c>
      <c r="E723" s="5">
        <v>6</v>
      </c>
      <c r="F723">
        <v>50.55</v>
      </c>
      <c r="G723" s="12" t="s">
        <v>43</v>
      </c>
      <c r="H723" s="11">
        <v>0.4</v>
      </c>
      <c r="I723" t="s">
        <v>29</v>
      </c>
      <c r="J723">
        <v>28.95</v>
      </c>
      <c r="K723" t="s">
        <v>20</v>
      </c>
      <c r="L723" s="14" t="s">
        <v>21</v>
      </c>
      <c r="M723" t="s">
        <v>22</v>
      </c>
      <c r="N723" t="s">
        <v>32</v>
      </c>
      <c r="O723" t="s">
        <v>59</v>
      </c>
      <c r="P723" t="s">
        <v>25</v>
      </c>
      <c r="Q723">
        <v>1364.85</v>
      </c>
      <c r="R723">
        <v>545.93999999999994</v>
      </c>
      <c r="S723" s="12">
        <v>6.5286</v>
      </c>
    </row>
    <row r="724" spans="1:19" hidden="1" x14ac:dyDescent="0.25">
      <c r="A724" s="13">
        <v>45706</v>
      </c>
      <c r="B724" t="s">
        <v>507</v>
      </c>
      <c r="C724">
        <v>32123</v>
      </c>
      <c r="D724" t="s">
        <v>70</v>
      </c>
      <c r="E724" s="5">
        <v>47</v>
      </c>
      <c r="F724">
        <v>75.760000000000005</v>
      </c>
      <c r="G724" s="12" t="s">
        <v>52</v>
      </c>
      <c r="H724" s="11">
        <v>0.31</v>
      </c>
      <c r="I724" t="s">
        <v>29</v>
      </c>
      <c r="J724">
        <v>12.71</v>
      </c>
      <c r="K724" t="s">
        <v>50</v>
      </c>
      <c r="L724" t="s">
        <v>31</v>
      </c>
      <c r="M724" t="s">
        <v>22</v>
      </c>
      <c r="N724" t="s">
        <v>32</v>
      </c>
      <c r="O724" t="s">
        <v>24</v>
      </c>
      <c r="P724" t="s">
        <v>40</v>
      </c>
      <c r="Q724">
        <v>1742.48</v>
      </c>
      <c r="R724">
        <v>540.16880000000003</v>
      </c>
      <c r="S724" s="12">
        <v>3349.3187000000003</v>
      </c>
    </row>
    <row r="725" spans="1:19" hidden="1" x14ac:dyDescent="0.25">
      <c r="A725" s="13">
        <v>45698</v>
      </c>
      <c r="B725" t="s">
        <v>507</v>
      </c>
      <c r="C725">
        <v>65967</v>
      </c>
      <c r="D725" t="s">
        <v>89</v>
      </c>
      <c r="E725" s="5">
        <v>38</v>
      </c>
      <c r="F725">
        <v>5.26</v>
      </c>
      <c r="G725" s="12" t="s">
        <v>52</v>
      </c>
      <c r="H725" s="11">
        <v>0.27</v>
      </c>
      <c r="I725" t="s">
        <v>734</v>
      </c>
      <c r="J725">
        <v>8.5500000000000007</v>
      </c>
      <c r="K725" s="5" t="s">
        <v>44</v>
      </c>
      <c r="L725" t="s">
        <v>31</v>
      </c>
      <c r="M725" t="s">
        <v>22</v>
      </c>
      <c r="N725" t="s">
        <v>32</v>
      </c>
      <c r="O725" t="s">
        <v>33</v>
      </c>
      <c r="P725" t="s">
        <v>25</v>
      </c>
      <c r="Q725">
        <v>94.679999999999993</v>
      </c>
      <c r="R725">
        <v>25.563600000000001</v>
      </c>
      <c r="S725" s="12">
        <v>3059.0608000000002</v>
      </c>
    </row>
    <row r="726" spans="1:19" hidden="1" x14ac:dyDescent="0.25">
      <c r="A726" s="13">
        <v>45671</v>
      </c>
      <c r="B726" t="s">
        <v>109</v>
      </c>
      <c r="C726">
        <v>97755</v>
      </c>
      <c r="D726" t="s">
        <v>68</v>
      </c>
      <c r="E726" s="5">
        <v>37</v>
      </c>
      <c r="F726">
        <v>39.369999999999997</v>
      </c>
      <c r="G726" s="12" t="s">
        <v>52</v>
      </c>
      <c r="H726" s="11">
        <v>0.1</v>
      </c>
      <c r="I726" t="s">
        <v>19</v>
      </c>
      <c r="J726">
        <v>19.98</v>
      </c>
      <c r="K726" t="s">
        <v>20</v>
      </c>
      <c r="L726" t="s">
        <v>31</v>
      </c>
      <c r="M726" t="s">
        <v>22</v>
      </c>
      <c r="N726" t="s">
        <v>38</v>
      </c>
      <c r="O726" t="s">
        <v>39</v>
      </c>
      <c r="P726" t="s">
        <v>25</v>
      </c>
      <c r="Q726">
        <v>1299.2099999999998</v>
      </c>
      <c r="R726">
        <v>129.92099999999999</v>
      </c>
      <c r="S726" s="12">
        <v>3009.0176000000001</v>
      </c>
    </row>
    <row r="727" spans="1:19" hidden="1" x14ac:dyDescent="0.25">
      <c r="A727" s="13">
        <v>45694</v>
      </c>
      <c r="B727" t="s">
        <v>402</v>
      </c>
      <c r="C727">
        <v>72345</v>
      </c>
      <c r="D727" t="s">
        <v>17</v>
      </c>
      <c r="E727" s="5">
        <v>40</v>
      </c>
      <c r="F727">
        <v>88.28</v>
      </c>
      <c r="G727" s="12" t="s">
        <v>52</v>
      </c>
      <c r="H727" s="11">
        <v>0.16</v>
      </c>
      <c r="I727" t="s">
        <v>19</v>
      </c>
      <c r="J727">
        <v>25.53</v>
      </c>
      <c r="K727" s="5" t="s">
        <v>44</v>
      </c>
      <c r="L727" t="s">
        <v>31</v>
      </c>
      <c r="M727" t="s">
        <v>22</v>
      </c>
      <c r="N727" t="s">
        <v>32</v>
      </c>
      <c r="O727" t="s">
        <v>24</v>
      </c>
      <c r="P727" t="s">
        <v>40</v>
      </c>
      <c r="Q727">
        <v>3531.2</v>
      </c>
      <c r="R727">
        <v>564.99199999999996</v>
      </c>
      <c r="S727" s="12">
        <v>2966.2079999999996</v>
      </c>
    </row>
    <row r="728" spans="1:19" hidden="1" x14ac:dyDescent="0.25">
      <c r="A728" s="13">
        <v>45707</v>
      </c>
      <c r="B728" t="s">
        <v>670</v>
      </c>
      <c r="C728">
        <v>98718</v>
      </c>
      <c r="D728" t="s">
        <v>49</v>
      </c>
      <c r="E728" s="5">
        <v>43</v>
      </c>
      <c r="F728">
        <v>32.200000000000003</v>
      </c>
      <c r="G728" s="12" t="s">
        <v>52</v>
      </c>
      <c r="H728" s="11">
        <v>0.44</v>
      </c>
      <c r="I728" t="s">
        <v>734</v>
      </c>
      <c r="J728">
        <v>27.03</v>
      </c>
      <c r="K728" t="s">
        <v>50</v>
      </c>
      <c r="L728" s="14" t="s">
        <v>21</v>
      </c>
      <c r="M728" t="s">
        <v>22</v>
      </c>
      <c r="N728" t="s">
        <v>38</v>
      </c>
      <c r="O728" t="s">
        <v>59</v>
      </c>
      <c r="P728" t="s">
        <v>25</v>
      </c>
      <c r="Q728">
        <v>1416.8000000000002</v>
      </c>
      <c r="R728">
        <v>623.39200000000005</v>
      </c>
      <c r="S728" s="12">
        <v>2858.4121000000005</v>
      </c>
    </row>
    <row r="729" spans="1:19" hidden="1" x14ac:dyDescent="0.25">
      <c r="A729" s="13">
        <v>45678</v>
      </c>
      <c r="B729" t="s">
        <v>321</v>
      </c>
      <c r="C729">
        <v>45875</v>
      </c>
      <c r="D729" t="s">
        <v>70</v>
      </c>
      <c r="E729" s="5">
        <v>49</v>
      </c>
      <c r="F729">
        <v>21.96</v>
      </c>
      <c r="G729" s="12" t="s">
        <v>52</v>
      </c>
      <c r="H729" s="11">
        <v>0.2</v>
      </c>
      <c r="I729" t="s">
        <v>734</v>
      </c>
      <c r="J729">
        <v>8.9600000000000009</v>
      </c>
      <c r="K729" s="5" t="s">
        <v>44</v>
      </c>
      <c r="L729" s="14" t="s">
        <v>21</v>
      </c>
      <c r="M729" t="s">
        <v>22</v>
      </c>
      <c r="N729" t="s">
        <v>53</v>
      </c>
      <c r="O729" t="s">
        <v>24</v>
      </c>
      <c r="P729" t="s">
        <v>40</v>
      </c>
      <c r="Q729">
        <v>219.60000000000002</v>
      </c>
      <c r="R729">
        <v>43.920000000000009</v>
      </c>
      <c r="S729" s="12">
        <v>2744.9603999999999</v>
      </c>
    </row>
    <row r="730" spans="1:19" hidden="1" x14ac:dyDescent="0.25">
      <c r="A730" s="13">
        <v>45675</v>
      </c>
      <c r="B730" t="s">
        <v>268</v>
      </c>
      <c r="C730">
        <v>84190</v>
      </c>
      <c r="D730" t="s">
        <v>46</v>
      </c>
      <c r="E730" s="5">
        <v>42</v>
      </c>
      <c r="F730">
        <v>72.89</v>
      </c>
      <c r="G730" s="12" t="s">
        <v>52</v>
      </c>
      <c r="H730" s="11">
        <v>0.31</v>
      </c>
      <c r="I730" t="s">
        <v>734</v>
      </c>
      <c r="J730">
        <v>26.14</v>
      </c>
      <c r="K730" t="s">
        <v>20</v>
      </c>
      <c r="L730" s="14" t="s">
        <v>21</v>
      </c>
      <c r="M730" t="s">
        <v>22</v>
      </c>
      <c r="N730" t="s">
        <v>23</v>
      </c>
      <c r="O730" t="s">
        <v>33</v>
      </c>
      <c r="P730" t="s">
        <v>40</v>
      </c>
      <c r="Q730">
        <v>145.78</v>
      </c>
      <c r="R730">
        <v>45.191800000000001</v>
      </c>
      <c r="S730" s="12">
        <v>2694.9467999999997</v>
      </c>
    </row>
    <row r="731" spans="1:19" hidden="1" x14ac:dyDescent="0.25">
      <c r="A731" s="13">
        <v>45711</v>
      </c>
      <c r="B731" t="s">
        <v>233</v>
      </c>
      <c r="C731">
        <v>69489</v>
      </c>
      <c r="D731" t="s">
        <v>49</v>
      </c>
      <c r="E731" s="5">
        <v>43</v>
      </c>
      <c r="F731">
        <v>28.9</v>
      </c>
      <c r="G731" s="12" t="s">
        <v>52</v>
      </c>
      <c r="H731" s="11">
        <v>0.34</v>
      </c>
      <c r="I731" t="s">
        <v>734</v>
      </c>
      <c r="J731">
        <v>10.93</v>
      </c>
      <c r="K731" t="s">
        <v>20</v>
      </c>
      <c r="L731" t="s">
        <v>31</v>
      </c>
      <c r="M731" t="s">
        <v>22</v>
      </c>
      <c r="N731" t="s">
        <v>53</v>
      </c>
      <c r="O731" t="s">
        <v>81</v>
      </c>
      <c r="P731" t="s">
        <v>25</v>
      </c>
      <c r="Q731">
        <v>867</v>
      </c>
      <c r="R731">
        <v>294.78000000000003</v>
      </c>
      <c r="S731" s="12">
        <v>2427.5650000000005</v>
      </c>
    </row>
    <row r="732" spans="1:19" hidden="1" x14ac:dyDescent="0.25">
      <c r="A732" s="13">
        <v>45707</v>
      </c>
      <c r="B732" t="s">
        <v>63</v>
      </c>
      <c r="C732">
        <v>48466</v>
      </c>
      <c r="D732" t="s">
        <v>27</v>
      </c>
      <c r="E732" s="5">
        <v>44</v>
      </c>
      <c r="F732">
        <v>88.28</v>
      </c>
      <c r="G732" s="12" t="s">
        <v>52</v>
      </c>
      <c r="H732" s="11">
        <v>0.36</v>
      </c>
      <c r="I732" t="s">
        <v>19</v>
      </c>
      <c r="J732">
        <v>21.08</v>
      </c>
      <c r="K732" t="s">
        <v>20</v>
      </c>
      <c r="L732" s="14" t="s">
        <v>21</v>
      </c>
      <c r="M732" t="s">
        <v>22</v>
      </c>
      <c r="N732" t="s">
        <v>32</v>
      </c>
      <c r="O732" t="s">
        <v>81</v>
      </c>
      <c r="P732" t="s">
        <v>40</v>
      </c>
      <c r="Q732">
        <v>3972.6</v>
      </c>
      <c r="R732">
        <v>1430.136</v>
      </c>
      <c r="S732" s="12">
        <v>2375.2739999999999</v>
      </c>
    </row>
    <row r="733" spans="1:19" hidden="1" x14ac:dyDescent="0.25">
      <c r="A733" s="13">
        <v>45710</v>
      </c>
      <c r="B733" t="s">
        <v>539</v>
      </c>
      <c r="C733">
        <v>22970</v>
      </c>
      <c r="D733" t="s">
        <v>46</v>
      </c>
      <c r="E733" s="5">
        <v>27</v>
      </c>
      <c r="F733">
        <v>2.78</v>
      </c>
      <c r="G733" s="12" t="s">
        <v>52</v>
      </c>
      <c r="H733" s="11">
        <v>0.2</v>
      </c>
      <c r="I733" t="s">
        <v>29</v>
      </c>
      <c r="J733">
        <v>23.09</v>
      </c>
      <c r="K733" t="s">
        <v>37</v>
      </c>
      <c r="L733" t="s">
        <v>31</v>
      </c>
      <c r="M733" t="s">
        <v>22</v>
      </c>
      <c r="N733" t="s">
        <v>32</v>
      </c>
      <c r="O733" t="s">
        <v>33</v>
      </c>
      <c r="P733" t="s">
        <v>34</v>
      </c>
      <c r="Q733">
        <v>38.919999999999995</v>
      </c>
      <c r="R733">
        <v>7.7839999999999989</v>
      </c>
      <c r="S733" s="12">
        <v>2294.7191999999995</v>
      </c>
    </row>
    <row r="734" spans="1:19" hidden="1" x14ac:dyDescent="0.25">
      <c r="A734" s="13">
        <v>45695</v>
      </c>
      <c r="B734" t="s">
        <v>541</v>
      </c>
      <c r="C734">
        <v>55360</v>
      </c>
      <c r="D734" t="s">
        <v>75</v>
      </c>
      <c r="E734" s="5">
        <v>43</v>
      </c>
      <c r="F734">
        <v>44.7</v>
      </c>
      <c r="G734" s="12" t="s">
        <v>52</v>
      </c>
      <c r="H734" s="11">
        <v>0.08</v>
      </c>
      <c r="I734" t="s">
        <v>19</v>
      </c>
      <c r="J734">
        <v>27.27</v>
      </c>
      <c r="K734" s="5" t="s">
        <v>44</v>
      </c>
      <c r="L734" s="14" t="s">
        <v>21</v>
      </c>
      <c r="M734" t="s">
        <v>22</v>
      </c>
      <c r="N734" t="s">
        <v>38</v>
      </c>
      <c r="O734" t="s">
        <v>59</v>
      </c>
      <c r="P734" t="s">
        <v>40</v>
      </c>
      <c r="Q734">
        <v>804.6</v>
      </c>
      <c r="R734">
        <v>64.368000000000009</v>
      </c>
      <c r="S734" s="12">
        <v>2198.5727999999999</v>
      </c>
    </row>
    <row r="735" spans="1:19" hidden="1" x14ac:dyDescent="0.25">
      <c r="A735" s="13">
        <v>45693</v>
      </c>
      <c r="B735" t="s">
        <v>524</v>
      </c>
      <c r="C735">
        <v>47492</v>
      </c>
      <c r="D735" t="s">
        <v>27</v>
      </c>
      <c r="E735" s="5">
        <v>35</v>
      </c>
      <c r="F735">
        <v>20.76</v>
      </c>
      <c r="G735" s="12" t="s">
        <v>52</v>
      </c>
      <c r="H735" s="11">
        <v>0.41</v>
      </c>
      <c r="I735" t="s">
        <v>29</v>
      </c>
      <c r="J735">
        <v>25.13</v>
      </c>
      <c r="K735" t="s">
        <v>50</v>
      </c>
      <c r="L735" t="s">
        <v>31</v>
      </c>
      <c r="M735" t="s">
        <v>22</v>
      </c>
      <c r="N735" t="s">
        <v>53</v>
      </c>
      <c r="O735" t="s">
        <v>33</v>
      </c>
      <c r="P735" t="s">
        <v>40</v>
      </c>
      <c r="Q735">
        <v>186.84</v>
      </c>
      <c r="R735">
        <v>76.604399999999998</v>
      </c>
      <c r="S735" s="12">
        <v>2075.9970000000003</v>
      </c>
    </row>
    <row r="736" spans="1:19" hidden="1" x14ac:dyDescent="0.25">
      <c r="A736" s="13">
        <v>45696</v>
      </c>
      <c r="B736" t="s">
        <v>547</v>
      </c>
      <c r="C736">
        <v>72262</v>
      </c>
      <c r="D736" t="s">
        <v>17</v>
      </c>
      <c r="E736" s="5">
        <v>38</v>
      </c>
      <c r="F736">
        <v>99.39</v>
      </c>
      <c r="G736" s="12" t="s">
        <v>52</v>
      </c>
      <c r="H736" s="11">
        <v>7.0000000000000007E-2</v>
      </c>
      <c r="I736" t="s">
        <v>29</v>
      </c>
      <c r="J736">
        <v>27.39</v>
      </c>
      <c r="K736" t="s">
        <v>30</v>
      </c>
      <c r="L736" t="s">
        <v>31</v>
      </c>
      <c r="M736" t="s">
        <v>111</v>
      </c>
      <c r="N736" t="s">
        <v>23</v>
      </c>
      <c r="O736" t="s">
        <v>39</v>
      </c>
      <c r="P736" t="s">
        <v>34</v>
      </c>
      <c r="Q736">
        <v>2087.19</v>
      </c>
      <c r="R736">
        <v>146.10330000000002</v>
      </c>
      <c r="S736" s="12">
        <v>1910.8679999999999</v>
      </c>
    </row>
    <row r="737" spans="1:19" hidden="1" x14ac:dyDescent="0.25">
      <c r="A737" s="13">
        <v>45698</v>
      </c>
      <c r="B737" t="s">
        <v>573</v>
      </c>
      <c r="C737">
        <v>48689</v>
      </c>
      <c r="D737" t="s">
        <v>89</v>
      </c>
      <c r="E737" s="5">
        <v>45</v>
      </c>
      <c r="F737">
        <v>22.61</v>
      </c>
      <c r="G737" s="12" t="s">
        <v>52</v>
      </c>
      <c r="H737" s="11">
        <v>0.48</v>
      </c>
      <c r="I737" t="s">
        <v>734</v>
      </c>
      <c r="J737">
        <v>8.58</v>
      </c>
      <c r="K737" t="s">
        <v>30</v>
      </c>
      <c r="L737" t="s">
        <v>31</v>
      </c>
      <c r="M737" t="s">
        <v>22</v>
      </c>
      <c r="N737" t="s">
        <v>23</v>
      </c>
      <c r="O737" t="s">
        <v>59</v>
      </c>
      <c r="P737" t="s">
        <v>25</v>
      </c>
      <c r="Q737">
        <v>700.91</v>
      </c>
      <c r="R737">
        <v>336.43679999999995</v>
      </c>
      <c r="S737" s="12">
        <v>1839.672</v>
      </c>
    </row>
    <row r="738" spans="1:19" hidden="1" x14ac:dyDescent="0.25">
      <c r="A738" s="13">
        <v>45660</v>
      </c>
      <c r="B738" t="s">
        <v>78</v>
      </c>
      <c r="C738">
        <v>48575</v>
      </c>
      <c r="D738" t="s">
        <v>68</v>
      </c>
      <c r="E738" s="5">
        <v>39</v>
      </c>
      <c r="F738">
        <v>53</v>
      </c>
      <c r="G738" s="12" t="s">
        <v>52</v>
      </c>
      <c r="H738" s="11">
        <v>0.26</v>
      </c>
      <c r="I738" t="s">
        <v>734</v>
      </c>
      <c r="J738">
        <v>24.88</v>
      </c>
      <c r="K738" t="s">
        <v>20</v>
      </c>
      <c r="L738" t="s">
        <v>31</v>
      </c>
      <c r="M738" t="s">
        <v>22</v>
      </c>
      <c r="N738" t="s">
        <v>23</v>
      </c>
      <c r="O738" t="s">
        <v>39</v>
      </c>
      <c r="P738" t="s">
        <v>40</v>
      </c>
      <c r="Q738">
        <v>1272</v>
      </c>
      <c r="R738">
        <v>330.72</v>
      </c>
      <c r="S738" s="12">
        <v>1728.0431999999998</v>
      </c>
    </row>
    <row r="739" spans="1:19" hidden="1" x14ac:dyDescent="0.25">
      <c r="A739" s="13">
        <v>45705</v>
      </c>
      <c r="B739" t="s">
        <v>648</v>
      </c>
      <c r="C739">
        <v>66829</v>
      </c>
      <c r="D739" t="s">
        <v>17</v>
      </c>
      <c r="E739" s="5">
        <v>35</v>
      </c>
      <c r="F739">
        <v>22.77</v>
      </c>
      <c r="G739" s="12" t="s">
        <v>52</v>
      </c>
      <c r="H739" s="11">
        <v>0.39</v>
      </c>
      <c r="I739" t="s">
        <v>29</v>
      </c>
      <c r="J739">
        <v>10.87</v>
      </c>
      <c r="K739" t="s">
        <v>50</v>
      </c>
      <c r="L739" s="14" t="s">
        <v>21</v>
      </c>
      <c r="M739" t="s">
        <v>22</v>
      </c>
      <c r="N739" t="s">
        <v>23</v>
      </c>
      <c r="O739" t="s">
        <v>33</v>
      </c>
      <c r="P739" t="s">
        <v>25</v>
      </c>
      <c r="Q739">
        <v>1115.73</v>
      </c>
      <c r="R739">
        <v>435.13470000000001</v>
      </c>
      <c r="S739" s="12">
        <v>1656.0039999999997</v>
      </c>
    </row>
    <row r="740" spans="1:19" hidden="1" x14ac:dyDescent="0.25">
      <c r="A740" s="13">
        <v>45702</v>
      </c>
      <c r="B740" t="s">
        <v>625</v>
      </c>
      <c r="C740">
        <v>15458</v>
      </c>
      <c r="D740" t="s">
        <v>70</v>
      </c>
      <c r="E740" s="5">
        <v>40</v>
      </c>
      <c r="F740">
        <v>54.79</v>
      </c>
      <c r="G740" s="12" t="s">
        <v>52</v>
      </c>
      <c r="H740" s="11">
        <v>0.06</v>
      </c>
      <c r="I740" t="s">
        <v>19</v>
      </c>
      <c r="J740">
        <v>13.06</v>
      </c>
      <c r="K740" s="5" t="s">
        <v>44</v>
      </c>
      <c r="L740" s="14" t="s">
        <v>21</v>
      </c>
      <c r="M740" t="s">
        <v>22</v>
      </c>
      <c r="N740" t="s">
        <v>53</v>
      </c>
      <c r="O740" t="s">
        <v>59</v>
      </c>
      <c r="P740" t="s">
        <v>25</v>
      </c>
      <c r="Q740">
        <v>767.06</v>
      </c>
      <c r="R740">
        <v>46.023599999999995</v>
      </c>
      <c r="S740" s="12">
        <v>1632.7359999999999</v>
      </c>
    </row>
    <row r="741" spans="1:19" hidden="1" x14ac:dyDescent="0.25">
      <c r="A741" s="13">
        <v>45703</v>
      </c>
      <c r="B741" t="s">
        <v>251</v>
      </c>
      <c r="C741">
        <v>22055</v>
      </c>
      <c r="D741" t="s">
        <v>49</v>
      </c>
      <c r="E741" s="5">
        <v>31</v>
      </c>
      <c r="F741">
        <v>42.22</v>
      </c>
      <c r="G741" s="12" t="s">
        <v>52</v>
      </c>
      <c r="H741" s="11">
        <v>0.48</v>
      </c>
      <c r="I741" t="s">
        <v>29</v>
      </c>
      <c r="J741">
        <v>14.28</v>
      </c>
      <c r="K741" t="s">
        <v>37</v>
      </c>
      <c r="L741" t="s">
        <v>31</v>
      </c>
      <c r="M741" t="s">
        <v>22</v>
      </c>
      <c r="N741" t="s">
        <v>23</v>
      </c>
      <c r="O741" t="s">
        <v>33</v>
      </c>
      <c r="P741" t="s">
        <v>25</v>
      </c>
      <c r="Q741">
        <v>717.74</v>
      </c>
      <c r="R741">
        <v>344.51519999999999</v>
      </c>
      <c r="S741" s="12">
        <v>1629.7072000000001</v>
      </c>
    </row>
    <row r="742" spans="1:19" hidden="1" x14ac:dyDescent="0.25">
      <c r="A742" s="13">
        <v>45684</v>
      </c>
      <c r="B742" t="s">
        <v>402</v>
      </c>
      <c r="C742">
        <v>60888</v>
      </c>
      <c r="D742" t="s">
        <v>46</v>
      </c>
      <c r="E742" s="5">
        <v>23</v>
      </c>
      <c r="F742">
        <v>31.33</v>
      </c>
      <c r="G742" s="12" t="s">
        <v>52</v>
      </c>
      <c r="H742" s="11">
        <v>0.25</v>
      </c>
      <c r="I742" t="s">
        <v>19</v>
      </c>
      <c r="J742">
        <v>23.59</v>
      </c>
      <c r="K742" t="s">
        <v>50</v>
      </c>
      <c r="L742" s="14" t="s">
        <v>21</v>
      </c>
      <c r="M742" t="s">
        <v>22</v>
      </c>
      <c r="N742" t="s">
        <v>32</v>
      </c>
      <c r="O742" t="s">
        <v>33</v>
      </c>
      <c r="P742" t="s">
        <v>25</v>
      </c>
      <c r="Q742">
        <v>845.91</v>
      </c>
      <c r="R742">
        <v>211.47749999999999</v>
      </c>
      <c r="S742" s="12">
        <v>1617.5808000000002</v>
      </c>
    </row>
    <row r="743" spans="1:19" hidden="1" x14ac:dyDescent="0.25">
      <c r="A743" s="13">
        <v>45683</v>
      </c>
      <c r="B743" t="s">
        <v>396</v>
      </c>
      <c r="C743">
        <v>73460</v>
      </c>
      <c r="D743" t="s">
        <v>42</v>
      </c>
      <c r="E743" s="5">
        <v>25</v>
      </c>
      <c r="F743">
        <v>81.61</v>
      </c>
      <c r="G743" s="12" t="s">
        <v>52</v>
      </c>
      <c r="H743" s="11">
        <v>0.41</v>
      </c>
      <c r="I743" t="s">
        <v>19</v>
      </c>
      <c r="J743">
        <v>8.3000000000000007</v>
      </c>
      <c r="K743" t="s">
        <v>50</v>
      </c>
      <c r="L743" s="14" t="s">
        <v>21</v>
      </c>
      <c r="M743" t="s">
        <v>22</v>
      </c>
      <c r="N743" t="s">
        <v>38</v>
      </c>
      <c r="O743" t="s">
        <v>59</v>
      </c>
      <c r="P743" t="s">
        <v>25</v>
      </c>
      <c r="Q743">
        <v>3019.57</v>
      </c>
      <c r="R743">
        <v>1238.0237</v>
      </c>
      <c r="S743" s="12">
        <v>1609.2150000000001</v>
      </c>
    </row>
    <row r="744" spans="1:19" x14ac:dyDescent="0.25">
      <c r="A744" s="13">
        <v>45669</v>
      </c>
      <c r="B744" t="s">
        <v>180</v>
      </c>
      <c r="C744">
        <v>28811</v>
      </c>
      <c r="D744" t="s">
        <v>27</v>
      </c>
      <c r="E744" s="5">
        <v>32</v>
      </c>
      <c r="F744" s="23">
        <v>53</v>
      </c>
      <c r="G744" s="12" t="s">
        <v>52</v>
      </c>
      <c r="H744" s="37">
        <v>0.17</v>
      </c>
      <c r="I744" t="s">
        <v>29</v>
      </c>
      <c r="J744" s="23">
        <v>6.48</v>
      </c>
      <c r="K744" t="s">
        <v>37</v>
      </c>
      <c r="L744" s="14" t="s">
        <v>21</v>
      </c>
      <c r="M744" t="s">
        <v>22</v>
      </c>
      <c r="N744" t="s">
        <v>32</v>
      </c>
      <c r="O744" t="s">
        <v>59</v>
      </c>
      <c r="P744" s="14" t="s">
        <v>34</v>
      </c>
      <c r="Q744" s="23">
        <v>1802</v>
      </c>
      <c r="R744" s="23">
        <v>306.34000000000003</v>
      </c>
      <c r="S744" s="24">
        <v>1607.2672</v>
      </c>
    </row>
    <row r="745" spans="1:19" hidden="1" x14ac:dyDescent="0.25">
      <c r="A745" s="13">
        <v>45687</v>
      </c>
      <c r="B745" t="s">
        <v>448</v>
      </c>
      <c r="C745">
        <v>19222</v>
      </c>
      <c r="D745" t="s">
        <v>68</v>
      </c>
      <c r="E745" s="5">
        <v>24</v>
      </c>
      <c r="F745">
        <v>26.6</v>
      </c>
      <c r="G745" s="12" t="s">
        <v>52</v>
      </c>
      <c r="H745" s="11">
        <v>0.2</v>
      </c>
      <c r="I745" t="s">
        <v>19</v>
      </c>
      <c r="J745">
        <v>6.51</v>
      </c>
      <c r="K745" s="5" t="s">
        <v>44</v>
      </c>
      <c r="L745" t="s">
        <v>31</v>
      </c>
      <c r="M745" t="s">
        <v>22</v>
      </c>
      <c r="N745" t="s">
        <v>38</v>
      </c>
      <c r="O745" t="s">
        <v>81</v>
      </c>
      <c r="P745" t="s">
        <v>34</v>
      </c>
      <c r="Q745">
        <v>771.40000000000009</v>
      </c>
      <c r="R745">
        <v>154.28000000000003</v>
      </c>
      <c r="S745" s="12">
        <v>1566.7199999999998</v>
      </c>
    </row>
    <row r="746" spans="1:19" hidden="1" x14ac:dyDescent="0.25">
      <c r="A746" s="13">
        <v>45707</v>
      </c>
      <c r="B746" t="s">
        <v>669</v>
      </c>
      <c r="C746">
        <v>82618</v>
      </c>
      <c r="D746" t="s">
        <v>57</v>
      </c>
      <c r="E746" s="5">
        <v>28</v>
      </c>
      <c r="F746">
        <v>58.23</v>
      </c>
      <c r="G746" s="12" t="s">
        <v>52</v>
      </c>
      <c r="H746" s="11">
        <v>0.15</v>
      </c>
      <c r="I746" t="s">
        <v>19</v>
      </c>
      <c r="J746">
        <v>17.27</v>
      </c>
      <c r="K746" s="5" t="s">
        <v>44</v>
      </c>
      <c r="L746" s="14" t="s">
        <v>21</v>
      </c>
      <c r="M746" t="s">
        <v>22</v>
      </c>
      <c r="N746" t="s">
        <v>32</v>
      </c>
      <c r="O746" t="s">
        <v>59</v>
      </c>
      <c r="P746" t="s">
        <v>25</v>
      </c>
      <c r="Q746">
        <v>2736.81</v>
      </c>
      <c r="R746">
        <v>410.5215</v>
      </c>
      <c r="S746" s="12">
        <v>1540.56</v>
      </c>
    </row>
    <row r="747" spans="1:19" hidden="1" x14ac:dyDescent="0.25">
      <c r="A747" s="13">
        <v>45701</v>
      </c>
      <c r="B747" t="s">
        <v>219</v>
      </c>
      <c r="C747">
        <v>16019</v>
      </c>
      <c r="D747" t="s">
        <v>68</v>
      </c>
      <c r="E747" s="5">
        <v>16</v>
      </c>
      <c r="F747">
        <v>97.02</v>
      </c>
      <c r="G747" s="12" t="s">
        <v>52</v>
      </c>
      <c r="H747" s="11">
        <v>0.19</v>
      </c>
      <c r="I747" t="s">
        <v>734</v>
      </c>
      <c r="J747">
        <v>16.47</v>
      </c>
      <c r="K747" s="5" t="s">
        <v>44</v>
      </c>
      <c r="L747" s="14" t="s">
        <v>21</v>
      </c>
      <c r="M747" t="s">
        <v>22</v>
      </c>
      <c r="N747" t="s">
        <v>32</v>
      </c>
      <c r="O747" t="s">
        <v>59</v>
      </c>
      <c r="P747" t="s">
        <v>25</v>
      </c>
      <c r="Q747">
        <v>2619.54</v>
      </c>
      <c r="R747">
        <v>497.71260000000001</v>
      </c>
      <c r="S747" s="12">
        <v>1466.192</v>
      </c>
    </row>
    <row r="748" spans="1:19" hidden="1" x14ac:dyDescent="0.25">
      <c r="A748" s="13">
        <v>45702</v>
      </c>
      <c r="B748" t="s">
        <v>541</v>
      </c>
      <c r="C748">
        <v>52528</v>
      </c>
      <c r="D748" t="s">
        <v>49</v>
      </c>
      <c r="E748" s="5">
        <v>29</v>
      </c>
      <c r="F748">
        <v>98.99</v>
      </c>
      <c r="G748" s="12" t="s">
        <v>52</v>
      </c>
      <c r="H748" s="11">
        <v>0.41</v>
      </c>
      <c r="I748" t="s">
        <v>734</v>
      </c>
      <c r="J748">
        <v>13.95</v>
      </c>
      <c r="K748" t="s">
        <v>20</v>
      </c>
      <c r="L748" t="s">
        <v>31</v>
      </c>
      <c r="M748" t="s">
        <v>22</v>
      </c>
      <c r="N748" t="s">
        <v>32</v>
      </c>
      <c r="O748" t="s">
        <v>81</v>
      </c>
      <c r="P748" t="s">
        <v>34</v>
      </c>
      <c r="Q748">
        <v>692.93</v>
      </c>
      <c r="R748">
        <v>284.10129999999998</v>
      </c>
      <c r="S748" s="12">
        <v>1372.1176</v>
      </c>
    </row>
    <row r="749" spans="1:19" hidden="1" x14ac:dyDescent="0.25">
      <c r="A749" s="13">
        <v>45663</v>
      </c>
      <c r="B749" t="s">
        <v>137</v>
      </c>
      <c r="C749">
        <v>83705</v>
      </c>
      <c r="D749" t="s">
        <v>89</v>
      </c>
      <c r="E749" s="5">
        <v>40</v>
      </c>
      <c r="F749">
        <v>81.540000000000006</v>
      </c>
      <c r="G749" s="12" t="s">
        <v>52</v>
      </c>
      <c r="H749" s="11">
        <v>0.42</v>
      </c>
      <c r="I749" t="s">
        <v>29</v>
      </c>
      <c r="J749">
        <v>19.64</v>
      </c>
      <c r="K749" t="s">
        <v>30</v>
      </c>
      <c r="L749" s="14" t="s">
        <v>21</v>
      </c>
      <c r="M749" t="s">
        <v>22</v>
      </c>
      <c r="N749" t="s">
        <v>32</v>
      </c>
      <c r="O749" t="s">
        <v>24</v>
      </c>
      <c r="P749" t="s">
        <v>40</v>
      </c>
      <c r="Q749">
        <v>1467.72</v>
      </c>
      <c r="R749">
        <v>616.44240000000002</v>
      </c>
      <c r="S749" s="12">
        <v>1335.6</v>
      </c>
    </row>
    <row r="750" spans="1:19" x14ac:dyDescent="0.25">
      <c r="A750" s="13">
        <v>45701</v>
      </c>
      <c r="B750" t="s">
        <v>611</v>
      </c>
      <c r="C750">
        <v>86332</v>
      </c>
      <c r="D750" t="s">
        <v>89</v>
      </c>
      <c r="E750" s="5">
        <v>47</v>
      </c>
      <c r="F750" s="23">
        <v>38.44</v>
      </c>
      <c r="G750" s="12" t="s">
        <v>52</v>
      </c>
      <c r="H750" s="37">
        <v>0.3</v>
      </c>
      <c r="I750" t="s">
        <v>19</v>
      </c>
      <c r="J750" s="23">
        <v>19.66</v>
      </c>
      <c r="K750" s="5" t="s">
        <v>44</v>
      </c>
      <c r="L750" s="14" t="s">
        <v>21</v>
      </c>
      <c r="M750" t="s">
        <v>22</v>
      </c>
      <c r="N750" t="s">
        <v>53</v>
      </c>
      <c r="O750" t="s">
        <v>33</v>
      </c>
      <c r="P750" s="14" t="s">
        <v>34</v>
      </c>
      <c r="Q750" s="23">
        <v>76.88</v>
      </c>
      <c r="R750" s="23">
        <v>23.063999999999997</v>
      </c>
      <c r="S750" s="24">
        <v>1285.4969999999998</v>
      </c>
    </row>
    <row r="751" spans="1:19" hidden="1" x14ac:dyDescent="0.25">
      <c r="A751" s="13">
        <v>45695</v>
      </c>
      <c r="B751" t="s">
        <v>538</v>
      </c>
      <c r="C751">
        <v>74290</v>
      </c>
      <c r="D751" t="s">
        <v>89</v>
      </c>
      <c r="E751" s="5">
        <v>24</v>
      </c>
      <c r="F751">
        <v>26.35</v>
      </c>
      <c r="G751" s="12" t="s">
        <v>52</v>
      </c>
      <c r="H751" s="11">
        <v>0.23</v>
      </c>
      <c r="I751" t="s">
        <v>29</v>
      </c>
      <c r="J751">
        <v>10.51</v>
      </c>
      <c r="K751" t="s">
        <v>37</v>
      </c>
      <c r="L751" t="s">
        <v>31</v>
      </c>
      <c r="M751" t="s">
        <v>22</v>
      </c>
      <c r="N751" t="s">
        <v>32</v>
      </c>
      <c r="O751" t="s">
        <v>59</v>
      </c>
      <c r="P751" t="s">
        <v>40</v>
      </c>
      <c r="Q751">
        <v>131.75</v>
      </c>
      <c r="R751">
        <v>30.302500000000002</v>
      </c>
      <c r="S751" s="12">
        <v>1271.9807999999998</v>
      </c>
    </row>
    <row r="752" spans="1:19" hidden="1" x14ac:dyDescent="0.25">
      <c r="A752" s="13">
        <v>45697</v>
      </c>
      <c r="B752" t="s">
        <v>562</v>
      </c>
      <c r="C752">
        <v>72865</v>
      </c>
      <c r="D752" t="s">
        <v>75</v>
      </c>
      <c r="E752" s="5">
        <v>18</v>
      </c>
      <c r="F752">
        <v>52.65</v>
      </c>
      <c r="G752" s="12" t="s">
        <v>52</v>
      </c>
      <c r="H752" s="11">
        <v>0.15</v>
      </c>
      <c r="I752" t="s">
        <v>19</v>
      </c>
      <c r="J752">
        <v>24.78</v>
      </c>
      <c r="K752" s="5" t="s">
        <v>44</v>
      </c>
      <c r="L752" s="14" t="s">
        <v>21</v>
      </c>
      <c r="M752" t="s">
        <v>111</v>
      </c>
      <c r="N752" t="s">
        <v>38</v>
      </c>
      <c r="O752" t="s">
        <v>39</v>
      </c>
      <c r="P752" t="s">
        <v>40</v>
      </c>
      <c r="Q752">
        <v>421.2</v>
      </c>
      <c r="R752">
        <v>63.179999999999993</v>
      </c>
      <c r="S752" s="12">
        <v>1234.8504</v>
      </c>
    </row>
    <row r="753" spans="1:19" x14ac:dyDescent="0.25">
      <c r="A753" s="13">
        <v>45667</v>
      </c>
      <c r="B753" t="s">
        <v>167</v>
      </c>
      <c r="C753">
        <v>68776</v>
      </c>
      <c r="D753" t="s">
        <v>17</v>
      </c>
      <c r="E753" s="5">
        <v>21</v>
      </c>
      <c r="F753" s="23">
        <v>53</v>
      </c>
      <c r="G753" s="12" t="s">
        <v>52</v>
      </c>
      <c r="H753" s="37">
        <v>0.37</v>
      </c>
      <c r="I753" t="s">
        <v>19</v>
      </c>
      <c r="J753" s="23">
        <v>23.07</v>
      </c>
      <c r="K753" t="s">
        <v>50</v>
      </c>
      <c r="L753" s="14" t="s">
        <v>21</v>
      </c>
      <c r="M753" t="s">
        <v>22</v>
      </c>
      <c r="N753" t="s">
        <v>38</v>
      </c>
      <c r="O753" t="s">
        <v>24</v>
      </c>
      <c r="P753" s="14" t="s">
        <v>34</v>
      </c>
      <c r="Q753" s="23">
        <v>636</v>
      </c>
      <c r="R753" s="23">
        <v>235.32</v>
      </c>
      <c r="S753" s="24">
        <v>1229.0544</v>
      </c>
    </row>
    <row r="754" spans="1:19" hidden="1" x14ac:dyDescent="0.25">
      <c r="A754" s="13">
        <v>45676</v>
      </c>
      <c r="B754" t="s">
        <v>286</v>
      </c>
      <c r="C754">
        <v>17270</v>
      </c>
      <c r="D754" t="s">
        <v>57</v>
      </c>
      <c r="E754" s="5">
        <v>17</v>
      </c>
      <c r="F754">
        <v>46.58</v>
      </c>
      <c r="G754" s="12" t="s">
        <v>52</v>
      </c>
      <c r="H754" s="11">
        <v>0.08</v>
      </c>
      <c r="I754" t="s">
        <v>19</v>
      </c>
      <c r="J754">
        <v>13.72</v>
      </c>
      <c r="K754" t="s">
        <v>50</v>
      </c>
      <c r="L754" t="s">
        <v>31</v>
      </c>
      <c r="M754" t="s">
        <v>22</v>
      </c>
      <c r="N754" t="s">
        <v>38</v>
      </c>
      <c r="O754" t="s">
        <v>59</v>
      </c>
      <c r="P754" t="s">
        <v>34</v>
      </c>
      <c r="Q754">
        <v>2282.42</v>
      </c>
      <c r="R754">
        <v>182.59360000000001</v>
      </c>
      <c r="S754" s="12">
        <v>1220.0356000000002</v>
      </c>
    </row>
    <row r="755" spans="1:19" hidden="1" x14ac:dyDescent="0.25">
      <c r="A755" s="13">
        <v>45688</v>
      </c>
      <c r="B755" t="s">
        <v>452</v>
      </c>
      <c r="C755">
        <v>73454</v>
      </c>
      <c r="D755" t="s">
        <v>75</v>
      </c>
      <c r="E755" s="5">
        <v>35</v>
      </c>
      <c r="F755">
        <v>54.61</v>
      </c>
      <c r="G755" s="12" t="s">
        <v>52</v>
      </c>
      <c r="H755" s="11">
        <v>0.33</v>
      </c>
      <c r="I755" t="s">
        <v>734</v>
      </c>
      <c r="J755">
        <v>11.85</v>
      </c>
      <c r="K755" t="s">
        <v>30</v>
      </c>
      <c r="L755" s="14" t="s">
        <v>21</v>
      </c>
      <c r="M755" t="s">
        <v>22</v>
      </c>
      <c r="N755" t="s">
        <v>53</v>
      </c>
      <c r="O755" t="s">
        <v>24</v>
      </c>
      <c r="P755" t="s">
        <v>25</v>
      </c>
      <c r="Q755">
        <v>1692.91</v>
      </c>
      <c r="R755">
        <v>558.66030000000001</v>
      </c>
      <c r="S755" s="12">
        <v>1217.3699999999999</v>
      </c>
    </row>
    <row r="756" spans="1:19" hidden="1" x14ac:dyDescent="0.25">
      <c r="A756" s="13">
        <v>45710</v>
      </c>
      <c r="B756" t="s">
        <v>693</v>
      </c>
      <c r="C756">
        <v>90598</v>
      </c>
      <c r="D756" t="s">
        <v>89</v>
      </c>
      <c r="E756" s="5">
        <v>21</v>
      </c>
      <c r="F756">
        <v>53.87</v>
      </c>
      <c r="G756" s="12" t="s">
        <v>52</v>
      </c>
      <c r="H756" s="11">
        <v>0.17</v>
      </c>
      <c r="I756" t="s">
        <v>19</v>
      </c>
      <c r="J756">
        <v>10.41</v>
      </c>
      <c r="K756" t="s">
        <v>30</v>
      </c>
      <c r="L756" t="s">
        <v>31</v>
      </c>
      <c r="M756" t="s">
        <v>22</v>
      </c>
      <c r="N756" t="s">
        <v>23</v>
      </c>
      <c r="O756" t="s">
        <v>59</v>
      </c>
      <c r="P756" t="s">
        <v>40</v>
      </c>
      <c r="Q756">
        <v>2478.02</v>
      </c>
      <c r="R756">
        <v>421.26340000000005</v>
      </c>
      <c r="S756" s="12">
        <v>1211.3388</v>
      </c>
    </row>
    <row r="757" spans="1:19" hidden="1" x14ac:dyDescent="0.25">
      <c r="A757" s="13">
        <v>45676</v>
      </c>
      <c r="B757" t="s">
        <v>274</v>
      </c>
      <c r="C757">
        <v>37350</v>
      </c>
      <c r="D757" t="s">
        <v>75</v>
      </c>
      <c r="E757" s="5">
        <v>23</v>
      </c>
      <c r="F757">
        <v>26.86</v>
      </c>
      <c r="G757" s="12" t="s">
        <v>52</v>
      </c>
      <c r="H757" s="11">
        <v>0.27</v>
      </c>
      <c r="I757" t="s">
        <v>19</v>
      </c>
      <c r="J757">
        <v>29.35</v>
      </c>
      <c r="K757" t="s">
        <v>37</v>
      </c>
      <c r="L757" t="s">
        <v>31</v>
      </c>
      <c r="M757" t="s">
        <v>22</v>
      </c>
      <c r="N757" t="s">
        <v>32</v>
      </c>
      <c r="O757" t="s">
        <v>33</v>
      </c>
      <c r="P757" t="s">
        <v>25</v>
      </c>
      <c r="Q757">
        <v>1316.1399999999999</v>
      </c>
      <c r="R757">
        <v>355.3578</v>
      </c>
      <c r="S757" s="12">
        <v>1202.8632</v>
      </c>
    </row>
    <row r="758" spans="1:19" hidden="1" x14ac:dyDescent="0.25">
      <c r="A758" s="13">
        <v>45704</v>
      </c>
      <c r="B758" t="s">
        <v>641</v>
      </c>
      <c r="C758">
        <v>57661</v>
      </c>
      <c r="D758" t="s">
        <v>68</v>
      </c>
      <c r="E758" s="5">
        <v>28</v>
      </c>
      <c r="F758">
        <v>69.650000000000006</v>
      </c>
      <c r="G758" s="12" t="s">
        <v>52</v>
      </c>
      <c r="H758" s="11">
        <v>0.41</v>
      </c>
      <c r="I758" t="s">
        <v>19</v>
      </c>
      <c r="J758">
        <v>18.600000000000001</v>
      </c>
      <c r="K758" t="s">
        <v>37</v>
      </c>
      <c r="L758" t="s">
        <v>31</v>
      </c>
      <c r="M758" t="s">
        <v>22</v>
      </c>
      <c r="N758" t="s">
        <v>53</v>
      </c>
      <c r="O758" t="s">
        <v>39</v>
      </c>
      <c r="P758" t="s">
        <v>34</v>
      </c>
      <c r="Q758">
        <v>1950.2000000000003</v>
      </c>
      <c r="R758">
        <v>799.58200000000011</v>
      </c>
      <c r="S758" s="12">
        <v>1150.6180000000002</v>
      </c>
    </row>
    <row r="759" spans="1:19" hidden="1" x14ac:dyDescent="0.25">
      <c r="A759" s="13">
        <v>45698</v>
      </c>
      <c r="B759" t="s">
        <v>569</v>
      </c>
      <c r="C759">
        <v>94212</v>
      </c>
      <c r="D759" t="s">
        <v>57</v>
      </c>
      <c r="E759" s="5">
        <v>16</v>
      </c>
      <c r="F759">
        <v>23.01</v>
      </c>
      <c r="G759" s="12" t="s">
        <v>52</v>
      </c>
      <c r="H759" s="11">
        <v>0.21</v>
      </c>
      <c r="I759" t="s">
        <v>734</v>
      </c>
      <c r="J759">
        <v>7.61</v>
      </c>
      <c r="K759" t="s">
        <v>37</v>
      </c>
      <c r="L759" t="s">
        <v>31</v>
      </c>
      <c r="M759" t="s">
        <v>111</v>
      </c>
      <c r="N759" t="s">
        <v>23</v>
      </c>
      <c r="O759" t="s">
        <v>39</v>
      </c>
      <c r="P759" t="s">
        <v>25</v>
      </c>
      <c r="Q759">
        <v>1127.49</v>
      </c>
      <c r="R759">
        <v>236.77289999999999</v>
      </c>
      <c r="S759" s="12">
        <v>1083.0239999999999</v>
      </c>
    </row>
    <row r="760" spans="1:19" hidden="1" x14ac:dyDescent="0.25">
      <c r="A760" s="13">
        <v>45695</v>
      </c>
      <c r="B760" t="s">
        <v>537</v>
      </c>
      <c r="C760">
        <v>82747</v>
      </c>
      <c r="D760" t="s">
        <v>66</v>
      </c>
      <c r="E760" s="5">
        <v>22</v>
      </c>
      <c r="F760">
        <v>3.97</v>
      </c>
      <c r="G760" s="12" t="s">
        <v>52</v>
      </c>
      <c r="H760" s="11">
        <v>0.06</v>
      </c>
      <c r="I760" t="s">
        <v>29</v>
      </c>
      <c r="J760">
        <v>21.64</v>
      </c>
      <c r="K760" t="s">
        <v>30</v>
      </c>
      <c r="L760" s="14" t="s">
        <v>21</v>
      </c>
      <c r="M760" t="s">
        <v>22</v>
      </c>
      <c r="N760" t="s">
        <v>38</v>
      </c>
      <c r="O760" t="s">
        <v>81</v>
      </c>
      <c r="P760" t="s">
        <v>25</v>
      </c>
      <c r="Q760">
        <v>79.400000000000006</v>
      </c>
      <c r="R760">
        <v>4.7640000000000002</v>
      </c>
      <c r="S760" s="12">
        <v>1071.7344000000001</v>
      </c>
    </row>
    <row r="761" spans="1:19" x14ac:dyDescent="0.25">
      <c r="A761" s="13">
        <v>45690</v>
      </c>
      <c r="B761" t="s">
        <v>327</v>
      </c>
      <c r="C761">
        <v>57214</v>
      </c>
      <c r="D761" t="s">
        <v>75</v>
      </c>
      <c r="E761" s="5">
        <v>17</v>
      </c>
      <c r="F761" s="23">
        <v>89.09</v>
      </c>
      <c r="G761" s="12" t="s">
        <v>52</v>
      </c>
      <c r="H761" s="37">
        <v>0.08</v>
      </c>
      <c r="I761" t="s">
        <v>19</v>
      </c>
      <c r="J761" s="23">
        <v>16.940000000000001</v>
      </c>
      <c r="K761" s="5" t="s">
        <v>44</v>
      </c>
      <c r="L761" s="14" t="s">
        <v>21</v>
      </c>
      <c r="M761" t="s">
        <v>22</v>
      </c>
      <c r="N761" t="s">
        <v>38</v>
      </c>
      <c r="O761" t="s">
        <v>39</v>
      </c>
      <c r="P761" s="14" t="s">
        <v>34</v>
      </c>
      <c r="Q761" s="23">
        <v>2850.88</v>
      </c>
      <c r="R761" s="23">
        <v>228.07040000000001</v>
      </c>
      <c r="S761" s="24">
        <v>1038.0846000000001</v>
      </c>
    </row>
    <row r="762" spans="1:19" hidden="1" x14ac:dyDescent="0.25">
      <c r="A762" s="13">
        <v>45681</v>
      </c>
      <c r="B762" t="s">
        <v>360</v>
      </c>
      <c r="C762">
        <v>53907</v>
      </c>
      <c r="D762" t="s">
        <v>57</v>
      </c>
      <c r="E762" s="5">
        <v>31</v>
      </c>
      <c r="F762">
        <v>44.47</v>
      </c>
      <c r="G762" s="12" t="s">
        <v>52</v>
      </c>
      <c r="H762" s="11">
        <v>0.42</v>
      </c>
      <c r="I762" t="s">
        <v>734</v>
      </c>
      <c r="J762">
        <v>29.77</v>
      </c>
      <c r="K762" t="s">
        <v>37</v>
      </c>
      <c r="L762" t="s">
        <v>31</v>
      </c>
      <c r="M762" t="s">
        <v>22</v>
      </c>
      <c r="N762" t="s">
        <v>38</v>
      </c>
      <c r="O762" t="s">
        <v>33</v>
      </c>
      <c r="P762" t="s">
        <v>25</v>
      </c>
      <c r="Q762">
        <v>1423.04</v>
      </c>
      <c r="R762">
        <v>597.67679999999996</v>
      </c>
      <c r="S762" s="12">
        <v>1034.5258000000001</v>
      </c>
    </row>
    <row r="763" spans="1:19" hidden="1" x14ac:dyDescent="0.25">
      <c r="A763" s="13">
        <v>45682</v>
      </c>
      <c r="B763" t="s">
        <v>365</v>
      </c>
      <c r="C763">
        <v>85632</v>
      </c>
      <c r="D763" t="s">
        <v>17</v>
      </c>
      <c r="E763" s="5">
        <v>38</v>
      </c>
      <c r="F763">
        <v>53</v>
      </c>
      <c r="G763" s="12" t="s">
        <v>52</v>
      </c>
      <c r="H763" s="11">
        <v>0.19</v>
      </c>
      <c r="I763" t="s">
        <v>734</v>
      </c>
      <c r="J763">
        <v>28.05</v>
      </c>
      <c r="K763" t="s">
        <v>37</v>
      </c>
      <c r="L763" t="s">
        <v>31</v>
      </c>
      <c r="M763" t="s">
        <v>22</v>
      </c>
      <c r="N763" t="s">
        <v>23</v>
      </c>
      <c r="O763" t="s">
        <v>24</v>
      </c>
      <c r="P763" t="s">
        <v>34</v>
      </c>
      <c r="Q763">
        <v>2014</v>
      </c>
      <c r="R763">
        <v>382.66</v>
      </c>
      <c r="S763" s="12">
        <v>1030.1838</v>
      </c>
    </row>
    <row r="764" spans="1:19" x14ac:dyDescent="0.25">
      <c r="A764" s="13">
        <v>45659</v>
      </c>
      <c r="B764" t="s">
        <v>64</v>
      </c>
      <c r="C764">
        <v>57754</v>
      </c>
      <c r="D764" t="s">
        <v>42</v>
      </c>
      <c r="E764" s="5">
        <v>22</v>
      </c>
      <c r="F764" s="23">
        <v>53</v>
      </c>
      <c r="G764" s="12" t="s">
        <v>52</v>
      </c>
      <c r="H764" s="37">
        <v>0.24</v>
      </c>
      <c r="I764" t="s">
        <v>19</v>
      </c>
      <c r="J764" s="23">
        <v>8.1300000000000008</v>
      </c>
      <c r="K764" t="s">
        <v>20</v>
      </c>
      <c r="L764" s="14" t="s">
        <v>21</v>
      </c>
      <c r="M764" t="s">
        <v>22</v>
      </c>
      <c r="N764" t="s">
        <v>23</v>
      </c>
      <c r="O764" t="s">
        <v>24</v>
      </c>
      <c r="P764" s="14" t="s">
        <v>34</v>
      </c>
      <c r="Q764" s="23">
        <v>265</v>
      </c>
      <c r="R764" s="23">
        <v>63.599999999999994</v>
      </c>
      <c r="S764" s="24">
        <v>1004.9732</v>
      </c>
    </row>
    <row r="765" spans="1:19" hidden="1" x14ac:dyDescent="0.25">
      <c r="A765" s="13">
        <v>45709</v>
      </c>
      <c r="B765" t="s">
        <v>687</v>
      </c>
      <c r="C765">
        <v>66038</v>
      </c>
      <c r="D765" t="s">
        <v>70</v>
      </c>
      <c r="E765" s="5">
        <v>39</v>
      </c>
      <c r="F765">
        <v>12.24</v>
      </c>
      <c r="G765" s="12" t="s">
        <v>52</v>
      </c>
      <c r="H765" s="11">
        <v>0.14000000000000001</v>
      </c>
      <c r="I765" t="s">
        <v>734</v>
      </c>
      <c r="J765">
        <v>20.190000000000001</v>
      </c>
      <c r="K765" t="s">
        <v>20</v>
      </c>
      <c r="L765" t="s">
        <v>31</v>
      </c>
      <c r="M765" t="s">
        <v>22</v>
      </c>
      <c r="N765" t="s">
        <v>38</v>
      </c>
      <c r="O765" t="s">
        <v>39</v>
      </c>
      <c r="P765" t="s">
        <v>34</v>
      </c>
      <c r="Q765">
        <v>575.28</v>
      </c>
      <c r="R765">
        <v>80.539200000000008</v>
      </c>
      <c r="S765" s="12">
        <v>965.16030000000001</v>
      </c>
    </row>
    <row r="766" spans="1:19" hidden="1" x14ac:dyDescent="0.25">
      <c r="A766" s="13">
        <v>45689</v>
      </c>
      <c r="B766" t="s">
        <v>473</v>
      </c>
      <c r="C766">
        <v>44879</v>
      </c>
      <c r="D766" t="s">
        <v>68</v>
      </c>
      <c r="E766" s="5">
        <v>26</v>
      </c>
      <c r="F766">
        <v>45.43</v>
      </c>
      <c r="G766" s="12" t="s">
        <v>52</v>
      </c>
      <c r="H766" s="11">
        <v>0.46</v>
      </c>
      <c r="I766" t="s">
        <v>734</v>
      </c>
      <c r="J766">
        <v>26.5</v>
      </c>
      <c r="K766" t="s">
        <v>30</v>
      </c>
      <c r="L766" t="s">
        <v>31</v>
      </c>
      <c r="M766" t="s">
        <v>22</v>
      </c>
      <c r="N766" t="s">
        <v>53</v>
      </c>
      <c r="O766" t="s">
        <v>33</v>
      </c>
      <c r="P766" t="s">
        <v>40</v>
      </c>
      <c r="Q766">
        <v>999.46</v>
      </c>
      <c r="R766">
        <v>459.75160000000005</v>
      </c>
      <c r="S766" s="12">
        <v>849.72159999999997</v>
      </c>
    </row>
    <row r="767" spans="1:19" hidden="1" x14ac:dyDescent="0.25">
      <c r="A767" s="13">
        <v>45673</v>
      </c>
      <c r="B767" t="s">
        <v>211</v>
      </c>
      <c r="C767">
        <v>15635</v>
      </c>
      <c r="D767" t="s">
        <v>42</v>
      </c>
      <c r="E767" s="5">
        <v>12</v>
      </c>
      <c r="F767">
        <v>92.63</v>
      </c>
      <c r="G767" s="12" t="s">
        <v>52</v>
      </c>
      <c r="H767" s="11">
        <v>0.39</v>
      </c>
      <c r="I767" t="s">
        <v>29</v>
      </c>
      <c r="J767">
        <v>16.899999999999999</v>
      </c>
      <c r="K767" s="5" t="s">
        <v>44</v>
      </c>
      <c r="L767" s="14" t="s">
        <v>21</v>
      </c>
      <c r="M767" t="s">
        <v>22</v>
      </c>
      <c r="N767" t="s">
        <v>53</v>
      </c>
      <c r="O767" t="s">
        <v>81</v>
      </c>
      <c r="P767" t="s">
        <v>25</v>
      </c>
      <c r="Q767">
        <v>3149.42</v>
      </c>
      <c r="R767">
        <v>1228.2738000000002</v>
      </c>
      <c r="S767" s="12">
        <v>777.3359999999999</v>
      </c>
    </row>
    <row r="768" spans="1:19" hidden="1" x14ac:dyDescent="0.25">
      <c r="A768" s="13">
        <v>45695</v>
      </c>
      <c r="B768" t="s">
        <v>145</v>
      </c>
      <c r="C768">
        <v>73067</v>
      </c>
      <c r="D768" t="s">
        <v>42</v>
      </c>
      <c r="E768" s="5">
        <v>18</v>
      </c>
      <c r="F768">
        <v>81.52</v>
      </c>
      <c r="G768" s="12" t="s">
        <v>52</v>
      </c>
      <c r="H768" s="11">
        <v>0.18</v>
      </c>
      <c r="I768" t="s">
        <v>29</v>
      </c>
      <c r="J768">
        <v>21.92</v>
      </c>
      <c r="K768" t="s">
        <v>50</v>
      </c>
      <c r="L768" s="14" t="s">
        <v>21</v>
      </c>
      <c r="M768" t="s">
        <v>22</v>
      </c>
      <c r="N768" t="s">
        <v>32</v>
      </c>
      <c r="O768" t="s">
        <v>81</v>
      </c>
      <c r="P768" t="s">
        <v>40</v>
      </c>
      <c r="Q768">
        <v>2119.52</v>
      </c>
      <c r="R768">
        <v>381.5136</v>
      </c>
      <c r="S768" s="12">
        <v>740.23199999999997</v>
      </c>
    </row>
    <row r="769" spans="1:19" hidden="1" x14ac:dyDescent="0.25">
      <c r="A769" s="13">
        <v>45684</v>
      </c>
      <c r="B769" t="s">
        <v>413</v>
      </c>
      <c r="C769">
        <v>85991</v>
      </c>
      <c r="D769" t="s">
        <v>70</v>
      </c>
      <c r="E769" s="5">
        <v>26</v>
      </c>
      <c r="F769">
        <v>57.94</v>
      </c>
      <c r="G769" s="12" t="s">
        <v>52</v>
      </c>
      <c r="H769" s="11">
        <v>0.26</v>
      </c>
      <c r="I769" t="s">
        <v>734</v>
      </c>
      <c r="J769">
        <v>8.82</v>
      </c>
      <c r="K769" t="s">
        <v>50</v>
      </c>
      <c r="L769" t="s">
        <v>31</v>
      </c>
      <c r="M769" t="s">
        <v>22</v>
      </c>
      <c r="N769" t="s">
        <v>38</v>
      </c>
      <c r="O769" t="s">
        <v>33</v>
      </c>
      <c r="P769" t="s">
        <v>34</v>
      </c>
      <c r="Q769">
        <v>289.7</v>
      </c>
      <c r="R769">
        <v>75.322000000000003</v>
      </c>
      <c r="S769" s="12">
        <v>706.99199999999996</v>
      </c>
    </row>
    <row r="770" spans="1:19" hidden="1" x14ac:dyDescent="0.25">
      <c r="A770" s="13">
        <v>45685</v>
      </c>
      <c r="B770" t="s">
        <v>414</v>
      </c>
      <c r="C770">
        <v>62339</v>
      </c>
      <c r="D770" t="s">
        <v>75</v>
      </c>
      <c r="E770" s="5">
        <v>10</v>
      </c>
      <c r="F770">
        <v>53</v>
      </c>
      <c r="G770" s="12" t="s">
        <v>52</v>
      </c>
      <c r="H770" s="11">
        <v>0.02</v>
      </c>
      <c r="I770" t="s">
        <v>29</v>
      </c>
      <c r="J770">
        <v>23.73</v>
      </c>
      <c r="K770" t="s">
        <v>37</v>
      </c>
      <c r="L770" t="s">
        <v>31</v>
      </c>
      <c r="M770" t="s">
        <v>22</v>
      </c>
      <c r="N770" t="s">
        <v>53</v>
      </c>
      <c r="O770" t="s">
        <v>33</v>
      </c>
      <c r="P770" t="s">
        <v>34</v>
      </c>
      <c r="Q770">
        <v>159</v>
      </c>
      <c r="R770">
        <v>3.18</v>
      </c>
      <c r="S770" s="12">
        <v>679.03199999999993</v>
      </c>
    </row>
    <row r="771" spans="1:19" hidden="1" x14ac:dyDescent="0.25">
      <c r="A771" s="13">
        <v>45672</v>
      </c>
      <c r="B771" t="s">
        <v>167</v>
      </c>
      <c r="C771">
        <v>47982</v>
      </c>
      <c r="D771" t="s">
        <v>68</v>
      </c>
      <c r="E771" s="5">
        <v>22</v>
      </c>
      <c r="F771">
        <v>14.69</v>
      </c>
      <c r="G771" s="12" t="s">
        <v>52</v>
      </c>
      <c r="H771" s="11">
        <v>0.49</v>
      </c>
      <c r="I771" t="s">
        <v>29</v>
      </c>
      <c r="J771">
        <v>25.68</v>
      </c>
      <c r="K771" s="5" t="s">
        <v>44</v>
      </c>
      <c r="L771" t="s">
        <v>31</v>
      </c>
      <c r="M771" t="s">
        <v>22</v>
      </c>
      <c r="N771" t="s">
        <v>38</v>
      </c>
      <c r="O771" t="s">
        <v>81</v>
      </c>
      <c r="P771" t="s">
        <v>40</v>
      </c>
      <c r="Q771">
        <v>117.52</v>
      </c>
      <c r="R771">
        <v>57.584799999999994</v>
      </c>
      <c r="S771" s="12">
        <v>641.59700000000009</v>
      </c>
    </row>
    <row r="772" spans="1:19" hidden="1" x14ac:dyDescent="0.25">
      <c r="A772" s="13">
        <v>45687</v>
      </c>
      <c r="B772" t="s">
        <v>98</v>
      </c>
      <c r="C772">
        <v>29526</v>
      </c>
      <c r="D772" t="s">
        <v>89</v>
      </c>
      <c r="E772" s="5">
        <v>29</v>
      </c>
      <c r="F772">
        <v>74.2</v>
      </c>
      <c r="G772" s="12" t="s">
        <v>52</v>
      </c>
      <c r="H772" s="11">
        <v>0.2</v>
      </c>
      <c r="I772" t="s">
        <v>29</v>
      </c>
      <c r="J772">
        <v>10.17</v>
      </c>
      <c r="K772" t="s">
        <v>50</v>
      </c>
      <c r="L772" s="14" t="s">
        <v>21</v>
      </c>
      <c r="M772" t="s">
        <v>22</v>
      </c>
      <c r="N772" t="s">
        <v>23</v>
      </c>
      <c r="O772" t="s">
        <v>24</v>
      </c>
      <c r="P772" t="s">
        <v>25</v>
      </c>
      <c r="Q772">
        <v>74.2</v>
      </c>
      <c r="R772">
        <v>14.840000000000002</v>
      </c>
      <c r="S772" s="12">
        <v>617.12000000000012</v>
      </c>
    </row>
    <row r="773" spans="1:19" hidden="1" x14ac:dyDescent="0.25">
      <c r="A773" s="13">
        <v>45704</v>
      </c>
      <c r="B773" t="s">
        <v>634</v>
      </c>
      <c r="C773">
        <v>31955</v>
      </c>
      <c r="D773" t="s">
        <v>49</v>
      </c>
      <c r="E773" s="5">
        <v>45</v>
      </c>
      <c r="F773">
        <v>3.82</v>
      </c>
      <c r="G773" s="12" t="s">
        <v>52</v>
      </c>
      <c r="H773" s="11">
        <v>0.02</v>
      </c>
      <c r="I773" t="s">
        <v>734</v>
      </c>
      <c r="J773">
        <v>6.77</v>
      </c>
      <c r="K773" t="s">
        <v>50</v>
      </c>
      <c r="L773" s="14" t="s">
        <v>21</v>
      </c>
      <c r="M773" t="s">
        <v>22</v>
      </c>
      <c r="N773" t="s">
        <v>53</v>
      </c>
      <c r="O773" t="s">
        <v>59</v>
      </c>
      <c r="P773" t="s">
        <v>40</v>
      </c>
      <c r="Q773">
        <v>11.459999999999999</v>
      </c>
      <c r="R773">
        <v>0.22919999999999999</v>
      </c>
      <c r="S773" s="12">
        <v>571.10399999999993</v>
      </c>
    </row>
    <row r="774" spans="1:19" hidden="1" x14ac:dyDescent="0.25">
      <c r="A774" s="13">
        <v>45679</v>
      </c>
      <c r="B774" t="s">
        <v>333</v>
      </c>
      <c r="C774">
        <v>57277</v>
      </c>
      <c r="D774" t="s">
        <v>66</v>
      </c>
      <c r="E774" s="5">
        <v>45</v>
      </c>
      <c r="F774">
        <v>99.94</v>
      </c>
      <c r="G774" s="12" t="s">
        <v>52</v>
      </c>
      <c r="H774" s="11">
        <v>0.33</v>
      </c>
      <c r="I774" t="s">
        <v>19</v>
      </c>
      <c r="J774">
        <v>25.94</v>
      </c>
      <c r="K774" t="s">
        <v>30</v>
      </c>
      <c r="L774" s="14" t="s">
        <v>21</v>
      </c>
      <c r="M774" t="s">
        <v>22</v>
      </c>
      <c r="N774" t="s">
        <v>32</v>
      </c>
      <c r="O774" t="s">
        <v>59</v>
      </c>
      <c r="P774" t="s">
        <v>25</v>
      </c>
      <c r="Q774">
        <v>4397.3599999999997</v>
      </c>
      <c r="R774">
        <v>1451.1288</v>
      </c>
      <c r="S774" s="12">
        <v>555.16050000000007</v>
      </c>
    </row>
    <row r="775" spans="1:19" hidden="1" x14ac:dyDescent="0.25">
      <c r="A775" s="13">
        <v>45693</v>
      </c>
      <c r="B775" t="s">
        <v>408</v>
      </c>
      <c r="C775">
        <v>21500</v>
      </c>
      <c r="D775" t="s">
        <v>46</v>
      </c>
      <c r="E775" s="5">
        <v>12</v>
      </c>
      <c r="F775">
        <v>3.49</v>
      </c>
      <c r="G775" s="12" t="s">
        <v>52</v>
      </c>
      <c r="H775" s="11">
        <v>0.2</v>
      </c>
      <c r="I775" t="s">
        <v>734</v>
      </c>
      <c r="J775">
        <v>26.95</v>
      </c>
      <c r="K775" t="s">
        <v>37</v>
      </c>
      <c r="L775" t="s">
        <v>31</v>
      </c>
      <c r="M775" t="s">
        <v>22</v>
      </c>
      <c r="N775" t="s">
        <v>53</v>
      </c>
      <c r="O775" t="s">
        <v>81</v>
      </c>
      <c r="P775" t="s">
        <v>25</v>
      </c>
      <c r="Q775">
        <v>101.21000000000001</v>
      </c>
      <c r="R775">
        <v>20.242000000000004</v>
      </c>
      <c r="S775" s="12">
        <v>546.58799999999997</v>
      </c>
    </row>
    <row r="776" spans="1:19" hidden="1" x14ac:dyDescent="0.25">
      <c r="A776" s="13">
        <v>45697</v>
      </c>
      <c r="B776" t="s">
        <v>222</v>
      </c>
      <c r="C776">
        <v>42853</v>
      </c>
      <c r="D776" t="s">
        <v>49</v>
      </c>
      <c r="E776" s="5">
        <v>10</v>
      </c>
      <c r="F776">
        <v>32.840000000000003</v>
      </c>
      <c r="G776" s="12" t="s">
        <v>52</v>
      </c>
      <c r="H776" s="11">
        <v>0.21</v>
      </c>
      <c r="I776" t="s">
        <v>734</v>
      </c>
      <c r="J776">
        <v>14.08</v>
      </c>
      <c r="K776" s="5" t="s">
        <v>44</v>
      </c>
      <c r="L776" s="14" t="s">
        <v>21</v>
      </c>
      <c r="M776" t="s">
        <v>22</v>
      </c>
      <c r="N776" t="s">
        <v>38</v>
      </c>
      <c r="O776" t="s">
        <v>81</v>
      </c>
      <c r="P776" t="s">
        <v>40</v>
      </c>
      <c r="Q776">
        <v>492.6</v>
      </c>
      <c r="R776">
        <v>103.446</v>
      </c>
      <c r="S776" s="12">
        <v>524.66100000000006</v>
      </c>
    </row>
    <row r="777" spans="1:19" hidden="1" x14ac:dyDescent="0.25">
      <c r="A777" s="13">
        <v>45661</v>
      </c>
      <c r="B777" t="s">
        <v>108</v>
      </c>
      <c r="C777">
        <v>43844</v>
      </c>
      <c r="D777" t="s">
        <v>42</v>
      </c>
      <c r="E777" s="5">
        <v>10</v>
      </c>
      <c r="F777">
        <v>56.8</v>
      </c>
      <c r="G777" s="12" t="s">
        <v>52</v>
      </c>
      <c r="H777" s="11">
        <v>0.33</v>
      </c>
      <c r="I777" t="s">
        <v>19</v>
      </c>
      <c r="J777">
        <v>12.94</v>
      </c>
      <c r="K777" t="s">
        <v>30</v>
      </c>
      <c r="L777" s="14" t="s">
        <v>21</v>
      </c>
      <c r="M777" t="s">
        <v>22</v>
      </c>
      <c r="N777" t="s">
        <v>32</v>
      </c>
      <c r="O777" t="s">
        <v>33</v>
      </c>
      <c r="P777" t="s">
        <v>25</v>
      </c>
      <c r="Q777">
        <v>113.6</v>
      </c>
      <c r="R777">
        <v>37.488</v>
      </c>
      <c r="S777" s="12">
        <v>507.654</v>
      </c>
    </row>
    <row r="778" spans="1:19" hidden="1" x14ac:dyDescent="0.25">
      <c r="A778" s="13">
        <v>45694</v>
      </c>
      <c r="B778" t="s">
        <v>531</v>
      </c>
      <c r="C778">
        <v>57779</v>
      </c>
      <c r="D778" t="s">
        <v>89</v>
      </c>
      <c r="E778" s="5">
        <v>15</v>
      </c>
      <c r="F778">
        <v>99.99</v>
      </c>
      <c r="G778" s="12" t="s">
        <v>52</v>
      </c>
      <c r="H778" s="11">
        <v>0.1</v>
      </c>
      <c r="I778" t="s">
        <v>29</v>
      </c>
      <c r="J778">
        <v>28.49</v>
      </c>
      <c r="K778" t="s">
        <v>50</v>
      </c>
      <c r="L778" s="14" t="s">
        <v>21</v>
      </c>
      <c r="M778" t="s">
        <v>22</v>
      </c>
      <c r="N778" t="s">
        <v>23</v>
      </c>
      <c r="O778" t="s">
        <v>33</v>
      </c>
      <c r="P778" t="s">
        <v>25</v>
      </c>
      <c r="Q778">
        <v>2399.7599999999998</v>
      </c>
      <c r="R778">
        <v>239.976</v>
      </c>
      <c r="S778" s="12">
        <v>494.10450000000003</v>
      </c>
    </row>
    <row r="779" spans="1:19" hidden="1" x14ac:dyDescent="0.25">
      <c r="A779" s="13">
        <v>45694</v>
      </c>
      <c r="B779" t="s">
        <v>527</v>
      </c>
      <c r="C779">
        <v>39619</v>
      </c>
      <c r="D779" t="s">
        <v>89</v>
      </c>
      <c r="E779" s="5">
        <v>21</v>
      </c>
      <c r="F779">
        <v>81.12</v>
      </c>
      <c r="G779" s="12" t="s">
        <v>52</v>
      </c>
      <c r="H779" s="11">
        <v>0.02</v>
      </c>
      <c r="I779" t="s">
        <v>29</v>
      </c>
      <c r="J779">
        <v>28.54</v>
      </c>
      <c r="K779" t="s">
        <v>50</v>
      </c>
      <c r="L779" s="14" t="s">
        <v>21</v>
      </c>
      <c r="M779" t="s">
        <v>22</v>
      </c>
      <c r="N779" t="s">
        <v>23</v>
      </c>
      <c r="O779" t="s">
        <v>24</v>
      </c>
      <c r="P779" t="s">
        <v>25</v>
      </c>
      <c r="Q779">
        <v>1784.64</v>
      </c>
      <c r="R779">
        <v>35.692800000000005</v>
      </c>
      <c r="S779" s="12">
        <v>463.95720000000006</v>
      </c>
    </row>
    <row r="780" spans="1:19" hidden="1" x14ac:dyDescent="0.25">
      <c r="A780" s="13">
        <v>45660</v>
      </c>
      <c r="B780" t="s">
        <v>88</v>
      </c>
      <c r="C780">
        <v>98824</v>
      </c>
      <c r="D780" t="s">
        <v>89</v>
      </c>
      <c r="E780" s="5">
        <v>14</v>
      </c>
      <c r="F780">
        <v>89.64</v>
      </c>
      <c r="G780" s="12" t="s">
        <v>52</v>
      </c>
      <c r="H780" s="11">
        <v>0.26</v>
      </c>
      <c r="I780" t="s">
        <v>734</v>
      </c>
      <c r="J780">
        <v>20.82</v>
      </c>
      <c r="K780" t="s">
        <v>37</v>
      </c>
      <c r="L780" t="s">
        <v>31</v>
      </c>
      <c r="M780" t="s">
        <v>22</v>
      </c>
      <c r="N780" t="s">
        <v>32</v>
      </c>
      <c r="O780" t="s">
        <v>81</v>
      </c>
      <c r="P780" t="s">
        <v>25</v>
      </c>
      <c r="Q780">
        <v>4033.8</v>
      </c>
      <c r="R780">
        <v>1048.788</v>
      </c>
      <c r="S780" s="12">
        <v>460.04</v>
      </c>
    </row>
    <row r="781" spans="1:19" hidden="1" x14ac:dyDescent="0.25">
      <c r="A781" s="13">
        <v>45682</v>
      </c>
      <c r="B781" t="s">
        <v>271</v>
      </c>
      <c r="C781">
        <v>41738</v>
      </c>
      <c r="D781" t="s">
        <v>49</v>
      </c>
      <c r="E781" s="5">
        <v>28</v>
      </c>
      <c r="F781">
        <v>72.45</v>
      </c>
      <c r="G781" s="12" t="s">
        <v>52</v>
      </c>
      <c r="H781" s="11">
        <v>0.32</v>
      </c>
      <c r="I781" t="s">
        <v>29</v>
      </c>
      <c r="J781">
        <v>8.0500000000000007</v>
      </c>
      <c r="K781" t="s">
        <v>37</v>
      </c>
      <c r="L781" t="s">
        <v>31</v>
      </c>
      <c r="M781" t="s">
        <v>111</v>
      </c>
      <c r="N781" t="s">
        <v>53</v>
      </c>
      <c r="O781" t="s">
        <v>39</v>
      </c>
      <c r="P781" t="s">
        <v>25</v>
      </c>
      <c r="Q781">
        <v>941.85</v>
      </c>
      <c r="R781">
        <v>301.392</v>
      </c>
      <c r="S781" s="12">
        <v>418.47120000000001</v>
      </c>
    </row>
    <row r="782" spans="1:19" hidden="1" x14ac:dyDescent="0.25">
      <c r="A782" s="13">
        <v>45697</v>
      </c>
      <c r="B782" t="s">
        <v>565</v>
      </c>
      <c r="C782">
        <v>70219</v>
      </c>
      <c r="D782" t="s">
        <v>27</v>
      </c>
      <c r="E782" s="5">
        <v>16</v>
      </c>
      <c r="F782">
        <v>7.09</v>
      </c>
      <c r="G782" s="12" t="s">
        <v>52</v>
      </c>
      <c r="H782" s="11">
        <v>0.19</v>
      </c>
      <c r="I782" t="s">
        <v>29</v>
      </c>
      <c r="J782">
        <v>18.63</v>
      </c>
      <c r="K782" t="s">
        <v>30</v>
      </c>
      <c r="L782" s="14" t="s">
        <v>21</v>
      </c>
      <c r="M782" t="s">
        <v>22</v>
      </c>
      <c r="N782" t="s">
        <v>32</v>
      </c>
      <c r="O782" t="s">
        <v>81</v>
      </c>
      <c r="P782" t="s">
        <v>25</v>
      </c>
      <c r="Q782">
        <v>49.629999999999995</v>
      </c>
      <c r="R782">
        <v>9.4296999999999986</v>
      </c>
      <c r="S782" s="12">
        <v>407.42880000000002</v>
      </c>
    </row>
    <row r="783" spans="1:19" hidden="1" x14ac:dyDescent="0.25">
      <c r="A783" s="13">
        <v>45682</v>
      </c>
      <c r="B783" t="s">
        <v>366</v>
      </c>
      <c r="C783">
        <v>75293</v>
      </c>
      <c r="D783" t="s">
        <v>42</v>
      </c>
      <c r="E783" s="5">
        <v>8</v>
      </c>
      <c r="F783">
        <v>31.32</v>
      </c>
      <c r="G783" s="12" t="s">
        <v>52</v>
      </c>
      <c r="H783" s="11">
        <v>0.18</v>
      </c>
      <c r="I783" t="s">
        <v>19</v>
      </c>
      <c r="J783">
        <v>9.6199999999999992</v>
      </c>
      <c r="K783" t="s">
        <v>20</v>
      </c>
      <c r="L783" s="14" t="s">
        <v>21</v>
      </c>
      <c r="M783" t="s">
        <v>22</v>
      </c>
      <c r="N783" t="s">
        <v>38</v>
      </c>
      <c r="O783" t="s">
        <v>33</v>
      </c>
      <c r="P783" t="s">
        <v>40</v>
      </c>
      <c r="Q783">
        <v>1033.56</v>
      </c>
      <c r="R783">
        <v>186.04079999999999</v>
      </c>
      <c r="S783" s="12">
        <v>379.31760000000003</v>
      </c>
    </row>
    <row r="784" spans="1:19" hidden="1" x14ac:dyDescent="0.25">
      <c r="A784" s="13">
        <v>45675</v>
      </c>
      <c r="B784" t="s">
        <v>252</v>
      </c>
      <c r="C784">
        <v>31864</v>
      </c>
      <c r="D784" t="s">
        <v>70</v>
      </c>
      <c r="E784" s="5">
        <v>9</v>
      </c>
      <c r="F784">
        <v>16.899999999999999</v>
      </c>
      <c r="G784" s="12" t="s">
        <v>52</v>
      </c>
      <c r="H784" s="11">
        <v>0.19</v>
      </c>
      <c r="I784" t="s">
        <v>734</v>
      </c>
      <c r="J784">
        <v>23.52</v>
      </c>
      <c r="K784" t="s">
        <v>50</v>
      </c>
      <c r="L784" t="s">
        <v>31</v>
      </c>
      <c r="M784" t="s">
        <v>22</v>
      </c>
      <c r="N784" t="s">
        <v>23</v>
      </c>
      <c r="O784" t="s">
        <v>81</v>
      </c>
      <c r="P784" t="s">
        <v>34</v>
      </c>
      <c r="Q784">
        <v>304.2</v>
      </c>
      <c r="R784">
        <v>57.798000000000002</v>
      </c>
      <c r="S784" s="12">
        <v>376.83</v>
      </c>
    </row>
    <row r="785" spans="1:19" hidden="1" x14ac:dyDescent="0.25">
      <c r="A785" s="13">
        <v>45688</v>
      </c>
      <c r="B785" t="s">
        <v>450</v>
      </c>
      <c r="C785">
        <v>41919</v>
      </c>
      <c r="D785" t="s">
        <v>68</v>
      </c>
      <c r="E785" s="5">
        <v>17</v>
      </c>
      <c r="F785">
        <v>52.21</v>
      </c>
      <c r="G785" s="12" t="s">
        <v>52</v>
      </c>
      <c r="H785" s="11">
        <v>0.48</v>
      </c>
      <c r="I785" t="s">
        <v>734</v>
      </c>
      <c r="J785">
        <v>6.84</v>
      </c>
      <c r="K785" t="s">
        <v>50</v>
      </c>
      <c r="L785" t="s">
        <v>31</v>
      </c>
      <c r="M785" t="s">
        <v>22</v>
      </c>
      <c r="N785" t="s">
        <v>32</v>
      </c>
      <c r="O785" t="s">
        <v>39</v>
      </c>
      <c r="P785" t="s">
        <v>25</v>
      </c>
      <c r="Q785">
        <v>887.57</v>
      </c>
      <c r="R785">
        <v>426.03360000000004</v>
      </c>
      <c r="S785" s="12">
        <v>361.51860000000005</v>
      </c>
    </row>
    <row r="786" spans="1:19" hidden="1" x14ac:dyDescent="0.25">
      <c r="A786" s="13">
        <v>45697</v>
      </c>
      <c r="B786" t="s">
        <v>557</v>
      </c>
      <c r="C786">
        <v>86808</v>
      </c>
      <c r="D786" t="s">
        <v>75</v>
      </c>
      <c r="E786" s="5">
        <v>8</v>
      </c>
      <c r="F786">
        <v>24.43</v>
      </c>
      <c r="G786" s="12" t="s">
        <v>52</v>
      </c>
      <c r="H786" s="11">
        <v>0.27</v>
      </c>
      <c r="I786" t="s">
        <v>19</v>
      </c>
      <c r="J786">
        <v>18.79</v>
      </c>
      <c r="K786" t="s">
        <v>20</v>
      </c>
      <c r="L786" t="s">
        <v>31</v>
      </c>
      <c r="M786" t="s">
        <v>111</v>
      </c>
      <c r="N786" t="s">
        <v>23</v>
      </c>
      <c r="O786" t="s">
        <v>39</v>
      </c>
      <c r="P786" t="s">
        <v>25</v>
      </c>
      <c r="Q786">
        <v>464.17</v>
      </c>
      <c r="R786">
        <v>125.32590000000002</v>
      </c>
      <c r="S786" s="12">
        <v>358.02</v>
      </c>
    </row>
    <row r="787" spans="1:19" hidden="1" x14ac:dyDescent="0.25">
      <c r="A787" s="13">
        <v>45681</v>
      </c>
      <c r="B787" t="s">
        <v>354</v>
      </c>
      <c r="C787">
        <v>77971</v>
      </c>
      <c r="D787" t="s">
        <v>70</v>
      </c>
      <c r="E787" s="5">
        <v>22</v>
      </c>
      <c r="F787">
        <v>47.74</v>
      </c>
      <c r="G787" s="12" t="s">
        <v>52</v>
      </c>
      <c r="H787" s="11">
        <v>0.43</v>
      </c>
      <c r="I787" t="s">
        <v>29</v>
      </c>
      <c r="J787">
        <v>20.84</v>
      </c>
      <c r="K787" s="5" t="s">
        <v>44</v>
      </c>
      <c r="L787" t="s">
        <v>31</v>
      </c>
      <c r="M787" t="s">
        <v>22</v>
      </c>
      <c r="N787" t="s">
        <v>23</v>
      </c>
      <c r="O787" t="s">
        <v>59</v>
      </c>
      <c r="P787" t="s">
        <v>40</v>
      </c>
      <c r="Q787">
        <v>2052.8200000000002</v>
      </c>
      <c r="R787">
        <v>882.71260000000007</v>
      </c>
      <c r="S787" s="12">
        <v>339.13</v>
      </c>
    </row>
    <row r="788" spans="1:19" x14ac:dyDescent="0.25">
      <c r="A788" s="13">
        <v>45679</v>
      </c>
      <c r="B788" t="s">
        <v>335</v>
      </c>
      <c r="C788">
        <v>47655</v>
      </c>
      <c r="D788" t="s">
        <v>46</v>
      </c>
      <c r="E788" s="5">
        <v>11</v>
      </c>
      <c r="F788" s="23">
        <v>8.94</v>
      </c>
      <c r="G788" s="12" t="s">
        <v>52</v>
      </c>
      <c r="H788" s="37">
        <v>0.49</v>
      </c>
      <c r="I788" t="s">
        <v>734</v>
      </c>
      <c r="J788" s="23">
        <v>11.96</v>
      </c>
      <c r="K788" t="s">
        <v>37</v>
      </c>
      <c r="L788" s="14" t="s">
        <v>21</v>
      </c>
      <c r="M788" t="s">
        <v>735</v>
      </c>
      <c r="N788" t="s">
        <v>38</v>
      </c>
      <c r="O788" t="s">
        <v>59</v>
      </c>
      <c r="P788" s="14" t="s">
        <v>34</v>
      </c>
      <c r="Q788" s="23">
        <v>330.78</v>
      </c>
      <c r="R788" s="23">
        <v>162.08219999999997</v>
      </c>
      <c r="S788" s="24">
        <v>338.14</v>
      </c>
    </row>
    <row r="789" spans="1:19" hidden="1" x14ac:dyDescent="0.25">
      <c r="A789" s="13">
        <v>45707</v>
      </c>
      <c r="B789" t="s">
        <v>307</v>
      </c>
      <c r="C789">
        <v>61744</v>
      </c>
      <c r="D789" t="s">
        <v>66</v>
      </c>
      <c r="E789" s="5">
        <v>17</v>
      </c>
      <c r="F789">
        <v>80.09</v>
      </c>
      <c r="G789" s="12" t="s">
        <v>52</v>
      </c>
      <c r="H789" s="11">
        <v>0.17</v>
      </c>
      <c r="I789" t="s">
        <v>29</v>
      </c>
      <c r="J789">
        <v>27.31</v>
      </c>
      <c r="K789" t="s">
        <v>30</v>
      </c>
      <c r="L789" t="s">
        <v>31</v>
      </c>
      <c r="M789" t="s">
        <v>22</v>
      </c>
      <c r="N789" t="s">
        <v>32</v>
      </c>
      <c r="O789" t="s">
        <v>33</v>
      </c>
      <c r="P789" t="s">
        <v>25</v>
      </c>
      <c r="Q789">
        <v>3443.8700000000003</v>
      </c>
      <c r="R789">
        <v>585.45790000000011</v>
      </c>
      <c r="S789" s="12">
        <v>323.58480000000003</v>
      </c>
    </row>
    <row r="790" spans="1:19" hidden="1" x14ac:dyDescent="0.25">
      <c r="A790" s="13">
        <v>45692</v>
      </c>
      <c r="B790" t="s">
        <v>503</v>
      </c>
      <c r="C790">
        <v>34336</v>
      </c>
      <c r="D790" t="s">
        <v>42</v>
      </c>
      <c r="E790" s="5">
        <v>11</v>
      </c>
      <c r="F790">
        <v>65.31</v>
      </c>
      <c r="G790" s="12" t="s">
        <v>52</v>
      </c>
      <c r="H790" s="11">
        <v>0.23</v>
      </c>
      <c r="I790" t="s">
        <v>734</v>
      </c>
      <c r="J790">
        <v>29.78</v>
      </c>
      <c r="K790" t="s">
        <v>50</v>
      </c>
      <c r="L790" s="14" t="s">
        <v>21</v>
      </c>
      <c r="M790" t="s">
        <v>22</v>
      </c>
      <c r="N790" t="s">
        <v>23</v>
      </c>
      <c r="O790" t="s">
        <v>81</v>
      </c>
      <c r="P790" t="s">
        <v>25</v>
      </c>
      <c r="Q790">
        <v>326.55</v>
      </c>
      <c r="R790">
        <v>75.106500000000011</v>
      </c>
      <c r="S790" s="12">
        <v>322.38139999999999</v>
      </c>
    </row>
    <row r="791" spans="1:19" hidden="1" x14ac:dyDescent="0.25">
      <c r="A791" s="13">
        <v>45700</v>
      </c>
      <c r="B791" t="s">
        <v>587</v>
      </c>
      <c r="C791">
        <v>40773</v>
      </c>
      <c r="D791" t="s">
        <v>27</v>
      </c>
      <c r="E791" s="5">
        <v>31</v>
      </c>
      <c r="F791">
        <v>94.81</v>
      </c>
      <c r="G791" s="12" t="s">
        <v>52</v>
      </c>
      <c r="H791" s="11">
        <v>0.27</v>
      </c>
      <c r="I791" t="s">
        <v>19</v>
      </c>
      <c r="J791">
        <v>12.8</v>
      </c>
      <c r="K791" t="s">
        <v>30</v>
      </c>
      <c r="L791" t="s">
        <v>31</v>
      </c>
      <c r="M791" t="s">
        <v>22</v>
      </c>
      <c r="N791" t="s">
        <v>38</v>
      </c>
      <c r="O791" t="s">
        <v>24</v>
      </c>
      <c r="P791" t="s">
        <v>40</v>
      </c>
      <c r="Q791">
        <v>1232.53</v>
      </c>
      <c r="R791">
        <v>332.78309999999999</v>
      </c>
      <c r="S791" s="12">
        <v>314.55700000000002</v>
      </c>
    </row>
    <row r="792" spans="1:19" hidden="1" x14ac:dyDescent="0.25">
      <c r="A792" s="13">
        <v>45699</v>
      </c>
      <c r="B792" t="s">
        <v>35</v>
      </c>
      <c r="C792">
        <v>35474</v>
      </c>
      <c r="D792" t="s">
        <v>75</v>
      </c>
      <c r="E792" s="5">
        <v>27</v>
      </c>
      <c r="F792">
        <v>59.24</v>
      </c>
      <c r="G792" s="12" t="s">
        <v>52</v>
      </c>
      <c r="H792" s="11">
        <v>0.41</v>
      </c>
      <c r="I792" t="s">
        <v>734</v>
      </c>
      <c r="J792">
        <v>5.21</v>
      </c>
      <c r="K792" t="s">
        <v>37</v>
      </c>
      <c r="L792" t="s">
        <v>31</v>
      </c>
      <c r="M792" t="s">
        <v>22</v>
      </c>
      <c r="N792" t="s">
        <v>38</v>
      </c>
      <c r="O792" t="s">
        <v>39</v>
      </c>
      <c r="P792" t="s">
        <v>40</v>
      </c>
      <c r="Q792">
        <v>414.68</v>
      </c>
      <c r="R792">
        <v>170.0188</v>
      </c>
      <c r="S792" s="12">
        <v>312.69780000000003</v>
      </c>
    </row>
    <row r="793" spans="1:19" hidden="1" x14ac:dyDescent="0.25">
      <c r="A793" s="13">
        <v>45673</v>
      </c>
      <c r="B793" t="s">
        <v>213</v>
      </c>
      <c r="C793">
        <v>50849</v>
      </c>
      <c r="D793" t="s">
        <v>70</v>
      </c>
      <c r="E793" s="5">
        <v>6</v>
      </c>
      <c r="F793">
        <v>46.02</v>
      </c>
      <c r="G793" s="12" t="s">
        <v>52</v>
      </c>
      <c r="H793" s="11">
        <v>0.09</v>
      </c>
      <c r="I793" t="s">
        <v>734</v>
      </c>
      <c r="J793">
        <v>12.8</v>
      </c>
      <c r="K793" t="s">
        <v>20</v>
      </c>
      <c r="L793" s="14" t="s">
        <v>21</v>
      </c>
      <c r="M793" t="s">
        <v>22</v>
      </c>
      <c r="N793" t="s">
        <v>53</v>
      </c>
      <c r="O793" t="s">
        <v>59</v>
      </c>
      <c r="P793" t="s">
        <v>25</v>
      </c>
      <c r="Q793">
        <v>1104.48</v>
      </c>
      <c r="R793">
        <v>99.403199999999998</v>
      </c>
      <c r="S793" s="12">
        <v>300.88080000000002</v>
      </c>
    </row>
    <row r="794" spans="1:19" hidden="1" x14ac:dyDescent="0.25">
      <c r="A794" s="13">
        <v>45691</v>
      </c>
      <c r="B794" t="s">
        <v>492</v>
      </c>
      <c r="C794">
        <v>39245</v>
      </c>
      <c r="D794" t="s">
        <v>66</v>
      </c>
      <c r="E794" s="5">
        <v>34</v>
      </c>
      <c r="F794">
        <v>25.82</v>
      </c>
      <c r="G794" s="12" t="s">
        <v>52</v>
      </c>
      <c r="H794" s="11">
        <v>0.04</v>
      </c>
      <c r="I794" t="s">
        <v>19</v>
      </c>
      <c r="J794">
        <v>16.38</v>
      </c>
      <c r="K794" s="5" t="s">
        <v>44</v>
      </c>
      <c r="L794" s="14" t="s">
        <v>21</v>
      </c>
      <c r="M794" t="s">
        <v>22</v>
      </c>
      <c r="N794" t="s">
        <v>23</v>
      </c>
      <c r="O794" t="s">
        <v>59</v>
      </c>
      <c r="P794" t="s">
        <v>25</v>
      </c>
      <c r="Q794">
        <v>387.3</v>
      </c>
      <c r="R794">
        <v>15.492000000000001</v>
      </c>
      <c r="S794" s="12">
        <v>278.70479999999998</v>
      </c>
    </row>
    <row r="795" spans="1:19" hidden="1" x14ac:dyDescent="0.25">
      <c r="A795" s="13">
        <v>45680</v>
      </c>
      <c r="B795" t="s">
        <v>341</v>
      </c>
      <c r="C795">
        <v>67749</v>
      </c>
      <c r="D795" t="s">
        <v>66</v>
      </c>
      <c r="E795" s="5">
        <v>8</v>
      </c>
      <c r="F795">
        <v>84.15</v>
      </c>
      <c r="G795" s="12" t="s">
        <v>52</v>
      </c>
      <c r="H795" s="11">
        <v>0.34</v>
      </c>
      <c r="I795" t="s">
        <v>19</v>
      </c>
      <c r="J795">
        <v>23.73</v>
      </c>
      <c r="K795" s="5" t="s">
        <v>44</v>
      </c>
      <c r="L795" s="14" t="s">
        <v>21</v>
      </c>
      <c r="M795" t="s">
        <v>22</v>
      </c>
      <c r="N795" t="s">
        <v>23</v>
      </c>
      <c r="O795" t="s">
        <v>81</v>
      </c>
      <c r="P795" t="s">
        <v>25</v>
      </c>
      <c r="Q795">
        <v>168.3</v>
      </c>
      <c r="R795">
        <v>57.222000000000008</v>
      </c>
      <c r="S795" s="12">
        <v>267.1232</v>
      </c>
    </row>
    <row r="796" spans="1:19" hidden="1" x14ac:dyDescent="0.25">
      <c r="A796" s="13">
        <v>45661</v>
      </c>
      <c r="B796" t="s">
        <v>106</v>
      </c>
      <c r="C796">
        <v>79262</v>
      </c>
      <c r="D796" t="s">
        <v>89</v>
      </c>
      <c r="E796" s="5">
        <v>4</v>
      </c>
      <c r="F796">
        <v>37.18</v>
      </c>
      <c r="G796" s="12" t="s">
        <v>52</v>
      </c>
      <c r="H796" s="11">
        <v>0.11</v>
      </c>
      <c r="I796" t="s">
        <v>734</v>
      </c>
      <c r="J796">
        <v>12.06</v>
      </c>
      <c r="K796" t="s">
        <v>37</v>
      </c>
      <c r="L796" s="14" t="s">
        <v>21</v>
      </c>
      <c r="M796" t="s">
        <v>22</v>
      </c>
      <c r="N796" t="s">
        <v>23</v>
      </c>
      <c r="O796" t="s">
        <v>24</v>
      </c>
      <c r="P796" t="s">
        <v>40</v>
      </c>
      <c r="Q796">
        <v>1821.82</v>
      </c>
      <c r="R796">
        <v>200.40019999999998</v>
      </c>
      <c r="S796" s="12">
        <v>238.13399999999999</v>
      </c>
    </row>
    <row r="797" spans="1:19" hidden="1" x14ac:dyDescent="0.25">
      <c r="A797" s="13">
        <v>45684</v>
      </c>
      <c r="B797" t="s">
        <v>189</v>
      </c>
      <c r="C797">
        <v>45211</v>
      </c>
      <c r="D797" t="s">
        <v>70</v>
      </c>
      <c r="E797" s="5">
        <v>5</v>
      </c>
      <c r="F797">
        <v>33.99</v>
      </c>
      <c r="G797" s="12" t="s">
        <v>52</v>
      </c>
      <c r="H797" s="11">
        <v>0.2</v>
      </c>
      <c r="I797" t="s">
        <v>734</v>
      </c>
      <c r="J797">
        <v>6.41</v>
      </c>
      <c r="K797" t="s">
        <v>30</v>
      </c>
      <c r="L797" t="s">
        <v>31</v>
      </c>
      <c r="M797" t="s">
        <v>22</v>
      </c>
      <c r="N797" t="s">
        <v>23</v>
      </c>
      <c r="O797" t="s">
        <v>24</v>
      </c>
      <c r="P797" t="s">
        <v>40</v>
      </c>
      <c r="Q797">
        <v>883.74</v>
      </c>
      <c r="R797">
        <v>176.74800000000002</v>
      </c>
      <c r="S797" s="12">
        <v>216.3</v>
      </c>
    </row>
    <row r="798" spans="1:19" hidden="1" x14ac:dyDescent="0.25">
      <c r="A798" s="13">
        <v>45690</v>
      </c>
      <c r="B798" t="s">
        <v>478</v>
      </c>
      <c r="C798">
        <v>28433</v>
      </c>
      <c r="D798" t="s">
        <v>57</v>
      </c>
      <c r="E798" s="5">
        <v>3</v>
      </c>
      <c r="F798">
        <v>24.66</v>
      </c>
      <c r="G798" s="12" t="s">
        <v>52</v>
      </c>
      <c r="H798" s="11">
        <v>0.42</v>
      </c>
      <c r="I798" t="s">
        <v>19</v>
      </c>
      <c r="J798">
        <v>7.31</v>
      </c>
      <c r="K798" t="s">
        <v>37</v>
      </c>
      <c r="L798" t="s">
        <v>31</v>
      </c>
      <c r="M798" t="s">
        <v>111</v>
      </c>
      <c r="N798" t="s">
        <v>53</v>
      </c>
      <c r="O798" t="s">
        <v>24</v>
      </c>
      <c r="P798" t="s">
        <v>34</v>
      </c>
      <c r="Q798">
        <v>369.9</v>
      </c>
      <c r="R798">
        <v>155.35799999999998</v>
      </c>
      <c r="S798" s="12">
        <v>206.4888</v>
      </c>
    </row>
    <row r="799" spans="1:19" hidden="1" x14ac:dyDescent="0.25">
      <c r="A799" s="13">
        <v>45680</v>
      </c>
      <c r="B799" t="s">
        <v>348</v>
      </c>
      <c r="C799">
        <v>66110</v>
      </c>
      <c r="D799" t="s">
        <v>42</v>
      </c>
      <c r="E799" s="5">
        <v>12</v>
      </c>
      <c r="F799">
        <v>18.47</v>
      </c>
      <c r="G799" s="12" t="s">
        <v>52</v>
      </c>
      <c r="H799" s="11">
        <v>0.32</v>
      </c>
      <c r="I799" t="s">
        <v>29</v>
      </c>
      <c r="J799">
        <v>17.66</v>
      </c>
      <c r="K799" t="s">
        <v>50</v>
      </c>
      <c r="L799" s="14" t="s">
        <v>21</v>
      </c>
      <c r="M799" t="s">
        <v>22</v>
      </c>
      <c r="N799" t="s">
        <v>53</v>
      </c>
      <c r="O799" t="s">
        <v>39</v>
      </c>
      <c r="P799" t="s">
        <v>25</v>
      </c>
      <c r="Q799">
        <v>480.21999999999997</v>
      </c>
      <c r="R799">
        <v>153.6704</v>
      </c>
      <c r="S799" s="12">
        <v>191.7432</v>
      </c>
    </row>
    <row r="800" spans="1:19" hidden="1" x14ac:dyDescent="0.25">
      <c r="A800" s="13">
        <v>45711</v>
      </c>
      <c r="B800" t="s">
        <v>704</v>
      </c>
      <c r="C800">
        <v>58427</v>
      </c>
      <c r="D800" t="s">
        <v>57</v>
      </c>
      <c r="E800" s="5">
        <v>13</v>
      </c>
      <c r="F800">
        <v>56.93</v>
      </c>
      <c r="G800" s="12" t="s">
        <v>52</v>
      </c>
      <c r="H800" s="11">
        <v>0.06</v>
      </c>
      <c r="I800" t="s">
        <v>19</v>
      </c>
      <c r="J800">
        <v>15.61</v>
      </c>
      <c r="K800" t="s">
        <v>30</v>
      </c>
      <c r="L800" t="s">
        <v>31</v>
      </c>
      <c r="M800" t="s">
        <v>111</v>
      </c>
      <c r="N800" t="s">
        <v>32</v>
      </c>
      <c r="O800" t="s">
        <v>24</v>
      </c>
      <c r="P800" t="s">
        <v>34</v>
      </c>
      <c r="Q800">
        <v>227.72</v>
      </c>
      <c r="R800">
        <v>13.6632</v>
      </c>
      <c r="S800" s="12">
        <v>178.33919999999998</v>
      </c>
    </row>
    <row r="801" spans="1:19" hidden="1" x14ac:dyDescent="0.25">
      <c r="A801" s="13">
        <v>45695</v>
      </c>
      <c r="B801" t="s">
        <v>534</v>
      </c>
      <c r="C801">
        <v>91738</v>
      </c>
      <c r="D801" t="s">
        <v>17</v>
      </c>
      <c r="E801" s="5">
        <v>8</v>
      </c>
      <c r="F801">
        <v>98.58</v>
      </c>
      <c r="G801" s="12" t="s">
        <v>52</v>
      </c>
      <c r="H801" s="11">
        <v>0.22</v>
      </c>
      <c r="I801" t="s">
        <v>29</v>
      </c>
      <c r="J801">
        <v>18.23</v>
      </c>
      <c r="K801" t="s">
        <v>30</v>
      </c>
      <c r="L801" s="14" t="s">
        <v>21</v>
      </c>
      <c r="M801" t="s">
        <v>22</v>
      </c>
      <c r="N801" t="s">
        <v>23</v>
      </c>
      <c r="O801" t="s">
        <v>81</v>
      </c>
      <c r="P801" t="s">
        <v>40</v>
      </c>
      <c r="Q801">
        <v>492.9</v>
      </c>
      <c r="R801">
        <v>108.438</v>
      </c>
      <c r="S801" s="12">
        <v>158.464</v>
      </c>
    </row>
    <row r="802" spans="1:19" hidden="1" x14ac:dyDescent="0.25">
      <c r="A802" s="13">
        <v>45707</v>
      </c>
      <c r="B802" t="s">
        <v>662</v>
      </c>
      <c r="C802">
        <v>53034</v>
      </c>
      <c r="D802" t="s">
        <v>57</v>
      </c>
      <c r="E802" s="5">
        <v>22</v>
      </c>
      <c r="F802">
        <v>90.66</v>
      </c>
      <c r="G802" s="12" t="s">
        <v>52</v>
      </c>
      <c r="H802" s="11">
        <v>0.24</v>
      </c>
      <c r="I802" t="s">
        <v>29</v>
      </c>
      <c r="J802">
        <v>28.96</v>
      </c>
      <c r="K802" t="s">
        <v>50</v>
      </c>
      <c r="L802" t="s">
        <v>31</v>
      </c>
      <c r="M802" t="s">
        <v>22</v>
      </c>
      <c r="N802" t="s">
        <v>23</v>
      </c>
      <c r="O802" t="s">
        <v>81</v>
      </c>
      <c r="P802" t="s">
        <v>34</v>
      </c>
      <c r="Q802">
        <v>4351.68</v>
      </c>
      <c r="R802">
        <v>1044.4032</v>
      </c>
      <c r="S802" s="12">
        <v>156.28800000000001</v>
      </c>
    </row>
    <row r="803" spans="1:19" hidden="1" x14ac:dyDescent="0.25">
      <c r="A803" s="13">
        <v>45659</v>
      </c>
      <c r="B803" t="s">
        <v>51</v>
      </c>
      <c r="C803">
        <v>67068</v>
      </c>
      <c r="D803" t="s">
        <v>42</v>
      </c>
      <c r="E803" s="5">
        <v>10</v>
      </c>
      <c r="F803">
        <v>70.69</v>
      </c>
      <c r="G803" s="12" t="s">
        <v>52</v>
      </c>
      <c r="H803" s="11">
        <v>0.41</v>
      </c>
      <c r="I803" t="s">
        <v>29</v>
      </c>
      <c r="J803">
        <v>29.36</v>
      </c>
      <c r="K803" t="s">
        <v>20</v>
      </c>
      <c r="L803" s="14" t="s">
        <v>21</v>
      </c>
      <c r="M803" t="s">
        <v>22</v>
      </c>
      <c r="N803" t="s">
        <v>53</v>
      </c>
      <c r="O803" t="s">
        <v>33</v>
      </c>
      <c r="P803" t="s">
        <v>25</v>
      </c>
      <c r="Q803">
        <v>2332.77</v>
      </c>
      <c r="R803">
        <v>956.43569999999988</v>
      </c>
      <c r="S803" s="12">
        <v>153.822</v>
      </c>
    </row>
    <row r="804" spans="1:19" hidden="1" x14ac:dyDescent="0.25">
      <c r="A804" s="13">
        <v>45704</v>
      </c>
      <c r="B804" t="s">
        <v>442</v>
      </c>
      <c r="C804">
        <v>37477</v>
      </c>
      <c r="D804" t="s">
        <v>89</v>
      </c>
      <c r="E804" s="5">
        <v>39</v>
      </c>
      <c r="F804">
        <v>68.8</v>
      </c>
      <c r="G804" s="12" t="s">
        <v>52</v>
      </c>
      <c r="H804" s="11">
        <v>0.41</v>
      </c>
      <c r="I804" t="s">
        <v>29</v>
      </c>
      <c r="J804">
        <v>21.97</v>
      </c>
      <c r="K804" t="s">
        <v>50</v>
      </c>
      <c r="L804" t="s">
        <v>31</v>
      </c>
      <c r="M804" t="s">
        <v>22</v>
      </c>
      <c r="N804" t="s">
        <v>38</v>
      </c>
      <c r="O804" t="s">
        <v>81</v>
      </c>
      <c r="P804" t="s">
        <v>34</v>
      </c>
      <c r="Q804">
        <v>2958.4</v>
      </c>
      <c r="R804">
        <v>1212.944</v>
      </c>
      <c r="S804" s="12">
        <v>146.99880000000002</v>
      </c>
    </row>
    <row r="805" spans="1:19" hidden="1" x14ac:dyDescent="0.25">
      <c r="A805" s="13">
        <v>45709</v>
      </c>
      <c r="B805" t="s">
        <v>482</v>
      </c>
      <c r="C805">
        <v>15923</v>
      </c>
      <c r="D805" t="s">
        <v>27</v>
      </c>
      <c r="E805" s="5">
        <v>7</v>
      </c>
      <c r="F805">
        <v>33.83</v>
      </c>
      <c r="G805" s="12" t="s">
        <v>52</v>
      </c>
      <c r="H805" s="11">
        <v>0.35</v>
      </c>
      <c r="I805" t="s">
        <v>734</v>
      </c>
      <c r="J805">
        <v>29.29</v>
      </c>
      <c r="K805" s="5" t="s">
        <v>44</v>
      </c>
      <c r="L805" s="14" t="s">
        <v>21</v>
      </c>
      <c r="M805" t="s">
        <v>111</v>
      </c>
      <c r="N805" t="s">
        <v>53</v>
      </c>
      <c r="O805" t="s">
        <v>59</v>
      </c>
      <c r="P805" t="s">
        <v>25</v>
      </c>
      <c r="Q805">
        <v>304.46999999999997</v>
      </c>
      <c r="R805">
        <v>106.56449999999998</v>
      </c>
      <c r="S805" s="12">
        <v>146.77879999999999</v>
      </c>
    </row>
    <row r="806" spans="1:19" hidden="1" x14ac:dyDescent="0.25">
      <c r="A806" s="13">
        <v>45689</v>
      </c>
      <c r="B806" t="s">
        <v>477</v>
      </c>
      <c r="C806">
        <v>49448</v>
      </c>
      <c r="D806" t="s">
        <v>68</v>
      </c>
      <c r="E806" s="5">
        <v>5</v>
      </c>
      <c r="F806">
        <v>18.98</v>
      </c>
      <c r="G806" s="12" t="s">
        <v>52</v>
      </c>
      <c r="H806" s="11">
        <v>0.47</v>
      </c>
      <c r="I806" t="s">
        <v>734</v>
      </c>
      <c r="J806">
        <v>27.35</v>
      </c>
      <c r="K806" t="s">
        <v>30</v>
      </c>
      <c r="L806" t="s">
        <v>31</v>
      </c>
      <c r="M806" t="s">
        <v>22</v>
      </c>
      <c r="N806" t="s">
        <v>53</v>
      </c>
      <c r="O806" t="s">
        <v>59</v>
      </c>
      <c r="P806" t="s">
        <v>34</v>
      </c>
      <c r="Q806">
        <v>607.36</v>
      </c>
      <c r="R806">
        <v>285.45920000000001</v>
      </c>
      <c r="S806" s="12">
        <v>138.7585</v>
      </c>
    </row>
    <row r="807" spans="1:19" hidden="1" x14ac:dyDescent="0.25">
      <c r="A807" s="13">
        <v>45673</v>
      </c>
      <c r="B807" t="s">
        <v>226</v>
      </c>
      <c r="C807">
        <v>85664</v>
      </c>
      <c r="D807" t="s">
        <v>68</v>
      </c>
      <c r="E807" s="5">
        <v>3</v>
      </c>
      <c r="F807">
        <v>36.69</v>
      </c>
      <c r="G807" s="12" t="s">
        <v>52</v>
      </c>
      <c r="H807" s="11">
        <v>0.19</v>
      </c>
      <c r="I807" t="s">
        <v>734</v>
      </c>
      <c r="J807">
        <v>7.24</v>
      </c>
      <c r="K807" t="s">
        <v>20</v>
      </c>
      <c r="L807" s="14" t="s">
        <v>21</v>
      </c>
      <c r="M807" t="s">
        <v>111</v>
      </c>
      <c r="N807" t="s">
        <v>38</v>
      </c>
      <c r="O807" t="s">
        <v>33</v>
      </c>
      <c r="P807" t="s">
        <v>25</v>
      </c>
      <c r="Q807">
        <v>880.56</v>
      </c>
      <c r="R807">
        <v>167.3064</v>
      </c>
      <c r="S807" s="12">
        <v>133.33950000000002</v>
      </c>
    </row>
    <row r="808" spans="1:19" x14ac:dyDescent="0.25">
      <c r="A808" s="13">
        <v>45704</v>
      </c>
      <c r="B808" t="s">
        <v>639</v>
      </c>
      <c r="C808">
        <v>48281</v>
      </c>
      <c r="D808" t="s">
        <v>27</v>
      </c>
      <c r="E808" s="5">
        <v>2</v>
      </c>
      <c r="F808" s="23">
        <v>19.329999999999998</v>
      </c>
      <c r="G808" s="12" t="s">
        <v>52</v>
      </c>
      <c r="H808" s="37">
        <v>0.22</v>
      </c>
      <c r="I808" t="s">
        <v>19</v>
      </c>
      <c r="J808" s="23">
        <v>18.670000000000002</v>
      </c>
      <c r="K808" t="s">
        <v>30</v>
      </c>
      <c r="L808" s="14" t="s">
        <v>21</v>
      </c>
      <c r="M808" t="s">
        <v>111</v>
      </c>
      <c r="N808" t="s">
        <v>53</v>
      </c>
      <c r="O808" t="s">
        <v>59</v>
      </c>
      <c r="P808" s="14" t="s">
        <v>34</v>
      </c>
      <c r="Q808" s="23">
        <v>251.28999999999996</v>
      </c>
      <c r="R808" s="23">
        <v>55.283799999999992</v>
      </c>
      <c r="S808" s="24">
        <v>116.28359999999999</v>
      </c>
    </row>
    <row r="809" spans="1:19" hidden="1" x14ac:dyDescent="0.25">
      <c r="A809" s="13">
        <v>45708</v>
      </c>
      <c r="B809" t="s">
        <v>674</v>
      </c>
      <c r="C809">
        <v>21386</v>
      </c>
      <c r="D809" t="s">
        <v>46</v>
      </c>
      <c r="E809" s="5">
        <v>20</v>
      </c>
      <c r="F809">
        <v>78.06</v>
      </c>
      <c r="G809" s="12" t="s">
        <v>52</v>
      </c>
      <c r="H809" s="11">
        <v>0.34</v>
      </c>
      <c r="I809" t="s">
        <v>19</v>
      </c>
      <c r="J809">
        <v>20.43</v>
      </c>
      <c r="K809" t="s">
        <v>30</v>
      </c>
      <c r="L809" t="s">
        <v>31</v>
      </c>
      <c r="M809" t="s">
        <v>22</v>
      </c>
      <c r="N809" t="s">
        <v>38</v>
      </c>
      <c r="O809" t="s">
        <v>39</v>
      </c>
      <c r="P809" t="s">
        <v>25</v>
      </c>
      <c r="Q809">
        <v>1717.3200000000002</v>
      </c>
      <c r="R809">
        <v>583.88880000000006</v>
      </c>
      <c r="S809" s="12">
        <v>84.853999999999985</v>
      </c>
    </row>
    <row r="810" spans="1:19" hidden="1" x14ac:dyDescent="0.25">
      <c r="A810" s="13">
        <v>45677</v>
      </c>
      <c r="B810" t="s">
        <v>301</v>
      </c>
      <c r="C810">
        <v>81334</v>
      </c>
      <c r="D810" t="s">
        <v>46</v>
      </c>
      <c r="E810" s="5">
        <v>19</v>
      </c>
      <c r="F810">
        <v>18.100000000000001</v>
      </c>
      <c r="G810" s="12" t="s">
        <v>52</v>
      </c>
      <c r="H810" s="11">
        <v>0.38</v>
      </c>
      <c r="I810" t="s">
        <v>734</v>
      </c>
      <c r="J810">
        <v>10.82</v>
      </c>
      <c r="K810" t="s">
        <v>50</v>
      </c>
      <c r="L810" t="s">
        <v>31</v>
      </c>
      <c r="M810" t="s">
        <v>22</v>
      </c>
      <c r="N810" t="s">
        <v>23</v>
      </c>
      <c r="O810" t="s">
        <v>33</v>
      </c>
      <c r="P810" t="s">
        <v>40</v>
      </c>
      <c r="Q810">
        <v>724</v>
      </c>
      <c r="R810">
        <v>275.12</v>
      </c>
      <c r="S810" s="12">
        <v>82.712699999999998</v>
      </c>
    </row>
    <row r="811" spans="1:19" hidden="1" x14ac:dyDescent="0.25">
      <c r="A811" s="13">
        <v>45692</v>
      </c>
      <c r="B811" t="s">
        <v>156</v>
      </c>
      <c r="C811">
        <v>28355</v>
      </c>
      <c r="D811" t="s">
        <v>46</v>
      </c>
      <c r="E811" s="5">
        <v>1</v>
      </c>
      <c r="F811">
        <v>47.27</v>
      </c>
      <c r="G811" s="12" t="s">
        <v>52</v>
      </c>
      <c r="H811" s="11">
        <v>0.38</v>
      </c>
      <c r="I811" t="s">
        <v>19</v>
      </c>
      <c r="J811">
        <v>20.94</v>
      </c>
      <c r="K811" s="5" t="s">
        <v>44</v>
      </c>
      <c r="L811" t="s">
        <v>31</v>
      </c>
      <c r="M811" t="s">
        <v>22</v>
      </c>
      <c r="N811" t="s">
        <v>23</v>
      </c>
      <c r="O811" t="s">
        <v>59</v>
      </c>
      <c r="P811" t="s">
        <v>40</v>
      </c>
      <c r="Q811">
        <v>519.97</v>
      </c>
      <c r="R811">
        <v>197.58860000000001</v>
      </c>
      <c r="S811" s="12">
        <v>76.730500000000006</v>
      </c>
    </row>
    <row r="812" spans="1:19" x14ac:dyDescent="0.25">
      <c r="A812" s="13">
        <v>45673</v>
      </c>
      <c r="B812" t="s">
        <v>217</v>
      </c>
      <c r="C812">
        <v>18325</v>
      </c>
      <c r="D812" t="s">
        <v>42</v>
      </c>
      <c r="E812" s="5">
        <v>30</v>
      </c>
      <c r="F812" s="23">
        <v>56.75</v>
      </c>
      <c r="G812" s="12" t="s">
        <v>52</v>
      </c>
      <c r="H812" s="37">
        <v>0.38</v>
      </c>
      <c r="I812" t="s">
        <v>19</v>
      </c>
      <c r="J812" s="23">
        <v>8.65</v>
      </c>
      <c r="K812" t="s">
        <v>37</v>
      </c>
      <c r="L812" s="14" t="s">
        <v>21</v>
      </c>
      <c r="M812" t="s">
        <v>22</v>
      </c>
      <c r="N812" t="s">
        <v>38</v>
      </c>
      <c r="O812" t="s">
        <v>24</v>
      </c>
      <c r="P812" s="14" t="s">
        <v>34</v>
      </c>
      <c r="Q812" s="23">
        <v>454</v>
      </c>
      <c r="R812" s="23">
        <v>172.52</v>
      </c>
      <c r="S812" s="24">
        <v>70.931999999999988</v>
      </c>
    </row>
    <row r="813" spans="1:19" hidden="1" x14ac:dyDescent="0.25">
      <c r="A813" s="13">
        <v>45690</v>
      </c>
      <c r="B813" t="s">
        <v>102</v>
      </c>
      <c r="C813">
        <v>20138</v>
      </c>
      <c r="D813" t="s">
        <v>70</v>
      </c>
      <c r="E813" s="5">
        <v>1</v>
      </c>
      <c r="F813">
        <v>60.47</v>
      </c>
      <c r="G813" s="12" t="s">
        <v>52</v>
      </c>
      <c r="H813" s="11">
        <v>0.21</v>
      </c>
      <c r="I813" t="s">
        <v>29</v>
      </c>
      <c r="J813">
        <v>11.15</v>
      </c>
      <c r="K813" t="s">
        <v>50</v>
      </c>
      <c r="L813" s="14" t="s">
        <v>21</v>
      </c>
      <c r="M813" t="s">
        <v>22</v>
      </c>
      <c r="N813" t="s">
        <v>53</v>
      </c>
      <c r="O813" t="s">
        <v>81</v>
      </c>
      <c r="P813" t="s">
        <v>25</v>
      </c>
      <c r="Q813">
        <v>1027.99</v>
      </c>
      <c r="R813">
        <v>215.87789999999998</v>
      </c>
      <c r="S813" s="12">
        <v>54.572100000000006</v>
      </c>
    </row>
    <row r="814" spans="1:19" hidden="1" x14ac:dyDescent="0.25">
      <c r="A814" s="13">
        <v>45693</v>
      </c>
      <c r="B814" t="s">
        <v>514</v>
      </c>
      <c r="C814">
        <v>59152</v>
      </c>
      <c r="D814" t="s">
        <v>68</v>
      </c>
      <c r="E814" s="5">
        <v>1</v>
      </c>
      <c r="F814">
        <v>81.92</v>
      </c>
      <c r="G814" s="12" t="s">
        <v>52</v>
      </c>
      <c r="H814" s="11">
        <v>0.27</v>
      </c>
      <c r="I814" t="s">
        <v>19</v>
      </c>
      <c r="J814">
        <v>13.95</v>
      </c>
      <c r="K814" t="s">
        <v>20</v>
      </c>
      <c r="L814" t="s">
        <v>31</v>
      </c>
      <c r="M814" t="s">
        <v>22</v>
      </c>
      <c r="N814" t="s">
        <v>53</v>
      </c>
      <c r="O814" t="s">
        <v>81</v>
      </c>
      <c r="P814" t="s">
        <v>34</v>
      </c>
      <c r="Q814">
        <v>2048</v>
      </c>
      <c r="R814">
        <v>552.96</v>
      </c>
      <c r="S814" s="12">
        <v>43.783900000000003</v>
      </c>
    </row>
    <row r="815" spans="1:19" hidden="1" x14ac:dyDescent="0.25">
      <c r="A815" s="13">
        <v>45659</v>
      </c>
      <c r="B815" t="s">
        <v>60</v>
      </c>
      <c r="C815">
        <v>69770</v>
      </c>
      <c r="D815" t="s">
        <v>57</v>
      </c>
      <c r="E815" s="5">
        <v>11</v>
      </c>
      <c r="F815">
        <v>24.81</v>
      </c>
      <c r="G815" s="12" t="s">
        <v>52</v>
      </c>
      <c r="H815" s="11">
        <v>0.38</v>
      </c>
      <c r="I815" t="s">
        <v>734</v>
      </c>
      <c r="J815">
        <v>11.17</v>
      </c>
      <c r="K815" t="s">
        <v>50</v>
      </c>
      <c r="L815" t="s">
        <v>31</v>
      </c>
      <c r="M815" t="s">
        <v>22</v>
      </c>
      <c r="N815" t="s">
        <v>38</v>
      </c>
      <c r="O815" t="s">
        <v>33</v>
      </c>
      <c r="P815" t="s">
        <v>34</v>
      </c>
      <c r="Q815">
        <v>248.1</v>
      </c>
      <c r="R815">
        <v>94.278000000000006</v>
      </c>
      <c r="S815" s="12">
        <v>29.391999999999996</v>
      </c>
    </row>
    <row r="816" spans="1:19" x14ac:dyDescent="0.25">
      <c r="A816" s="13">
        <v>45687</v>
      </c>
      <c r="B816" t="s">
        <v>333</v>
      </c>
      <c r="C816">
        <v>33183</v>
      </c>
      <c r="D816" t="s">
        <v>46</v>
      </c>
      <c r="E816" s="5">
        <v>4</v>
      </c>
      <c r="F816" s="23">
        <v>15.33</v>
      </c>
      <c r="G816" s="12" t="s">
        <v>52</v>
      </c>
      <c r="H816" s="37">
        <v>0.31</v>
      </c>
      <c r="I816" t="s">
        <v>19</v>
      </c>
      <c r="J816" s="23">
        <v>26.89</v>
      </c>
      <c r="K816" t="s">
        <v>20</v>
      </c>
      <c r="L816" s="14" t="s">
        <v>21</v>
      </c>
      <c r="M816" t="s">
        <v>22</v>
      </c>
      <c r="N816" t="s">
        <v>23</v>
      </c>
      <c r="O816" t="s">
        <v>59</v>
      </c>
      <c r="P816" s="14" t="s">
        <v>34</v>
      </c>
      <c r="Q816" s="23">
        <v>245.28</v>
      </c>
      <c r="R816" s="23">
        <v>76.036799999999999</v>
      </c>
      <c r="S816" s="24">
        <v>20.835599999999999</v>
      </c>
    </row>
    <row r="817" spans="1:19" x14ac:dyDescent="0.25">
      <c r="A817" s="13">
        <v>45669</v>
      </c>
      <c r="B817" t="s">
        <v>181</v>
      </c>
      <c r="C817">
        <v>93451</v>
      </c>
      <c r="D817" t="s">
        <v>89</v>
      </c>
      <c r="E817" s="5">
        <v>47</v>
      </c>
      <c r="F817" s="23">
        <v>96.77</v>
      </c>
      <c r="G817" s="12" t="s">
        <v>76</v>
      </c>
      <c r="H817" s="37">
        <v>0.38</v>
      </c>
      <c r="I817" t="s">
        <v>19</v>
      </c>
      <c r="J817" s="23">
        <v>10.58</v>
      </c>
      <c r="K817" t="s">
        <v>37</v>
      </c>
      <c r="L817" s="14" t="s">
        <v>21</v>
      </c>
      <c r="M817" t="s">
        <v>22</v>
      </c>
      <c r="N817" t="s">
        <v>53</v>
      </c>
      <c r="O817" t="s">
        <v>24</v>
      </c>
      <c r="P817" s="14" t="s">
        <v>34</v>
      </c>
      <c r="Q817" s="23">
        <v>1548.32</v>
      </c>
      <c r="R817" s="23">
        <v>588.36159999999995</v>
      </c>
      <c r="S817" s="24">
        <v>3359.5223999999998</v>
      </c>
    </row>
    <row r="818" spans="1:19" x14ac:dyDescent="0.25">
      <c r="A818" s="13">
        <v>45684</v>
      </c>
      <c r="B818" t="s">
        <v>88</v>
      </c>
      <c r="C818">
        <v>52998</v>
      </c>
      <c r="D818" t="s">
        <v>68</v>
      </c>
      <c r="E818" s="5">
        <v>46</v>
      </c>
      <c r="F818" s="23">
        <v>76.63</v>
      </c>
      <c r="G818" s="12" t="s">
        <v>76</v>
      </c>
      <c r="H818" s="37">
        <v>0.16</v>
      </c>
      <c r="I818" t="s">
        <v>29</v>
      </c>
      <c r="J818" s="23">
        <v>10.57</v>
      </c>
      <c r="K818" t="s">
        <v>20</v>
      </c>
      <c r="L818" s="14" t="s">
        <v>21</v>
      </c>
      <c r="M818" t="s">
        <v>22</v>
      </c>
      <c r="N818" t="s">
        <v>32</v>
      </c>
      <c r="O818" t="s">
        <v>33</v>
      </c>
      <c r="P818" s="14" t="s">
        <v>34</v>
      </c>
      <c r="Q818" s="23">
        <v>3218.46</v>
      </c>
      <c r="R818" s="23">
        <v>514.95360000000005</v>
      </c>
      <c r="S818" s="24">
        <v>3236.8175999999999</v>
      </c>
    </row>
    <row r="819" spans="1:19" x14ac:dyDescent="0.25">
      <c r="A819" s="13">
        <v>45679</v>
      </c>
      <c r="B819" t="s">
        <v>325</v>
      </c>
      <c r="C819">
        <v>50320</v>
      </c>
      <c r="D819" t="s">
        <v>68</v>
      </c>
      <c r="E819" s="5">
        <v>44</v>
      </c>
      <c r="F819" s="23">
        <v>53</v>
      </c>
      <c r="G819" s="12" t="s">
        <v>76</v>
      </c>
      <c r="H819" s="37">
        <v>0.15</v>
      </c>
      <c r="I819" t="s">
        <v>734</v>
      </c>
      <c r="J819" s="23">
        <v>16.87</v>
      </c>
      <c r="K819" s="5" t="s">
        <v>44</v>
      </c>
      <c r="L819" s="14" t="s">
        <v>21</v>
      </c>
      <c r="M819" t="s">
        <v>22</v>
      </c>
      <c r="N819" t="s">
        <v>53</v>
      </c>
      <c r="O819" t="s">
        <v>24</v>
      </c>
      <c r="P819" s="14" t="s">
        <v>34</v>
      </c>
      <c r="Q819" s="23">
        <v>1802</v>
      </c>
      <c r="R819" s="23">
        <v>270.3</v>
      </c>
      <c r="S819" s="24">
        <v>2946.2311999999997</v>
      </c>
    </row>
    <row r="820" spans="1:19" hidden="1" x14ac:dyDescent="0.25">
      <c r="A820" s="13">
        <v>45701</v>
      </c>
      <c r="B820" t="s">
        <v>127</v>
      </c>
      <c r="C820">
        <v>16455</v>
      </c>
      <c r="D820" t="s">
        <v>70</v>
      </c>
      <c r="E820" s="5">
        <v>46</v>
      </c>
      <c r="F820">
        <v>14.27</v>
      </c>
      <c r="G820" s="12" t="s">
        <v>76</v>
      </c>
      <c r="H820" s="11">
        <v>0.41</v>
      </c>
      <c r="I820" t="s">
        <v>29</v>
      </c>
      <c r="J820">
        <v>11.91</v>
      </c>
      <c r="K820" t="s">
        <v>30</v>
      </c>
      <c r="L820" t="s">
        <v>31</v>
      </c>
      <c r="M820" t="s">
        <v>22</v>
      </c>
      <c r="N820" t="s">
        <v>53</v>
      </c>
      <c r="O820" t="s">
        <v>59</v>
      </c>
      <c r="P820" t="s">
        <v>40</v>
      </c>
      <c r="Q820">
        <v>699.23</v>
      </c>
      <c r="R820">
        <v>286.68430000000001</v>
      </c>
      <c r="S820" s="12">
        <v>2917.0623999999998</v>
      </c>
    </row>
    <row r="821" spans="1:19" hidden="1" x14ac:dyDescent="0.25">
      <c r="A821" s="13">
        <v>45668</v>
      </c>
      <c r="B821" t="s">
        <v>177</v>
      </c>
      <c r="C821">
        <v>29341</v>
      </c>
      <c r="D821" t="s">
        <v>75</v>
      </c>
      <c r="E821" s="5">
        <v>32</v>
      </c>
      <c r="F821">
        <v>71.66</v>
      </c>
      <c r="G821" s="12" t="s">
        <v>76</v>
      </c>
      <c r="H821" s="11">
        <v>0.01</v>
      </c>
      <c r="I821" t="s">
        <v>19</v>
      </c>
      <c r="J821">
        <v>21.49</v>
      </c>
      <c r="K821" t="s">
        <v>30</v>
      </c>
      <c r="L821" t="s">
        <v>31</v>
      </c>
      <c r="M821" t="s">
        <v>22</v>
      </c>
      <c r="N821" t="s">
        <v>38</v>
      </c>
      <c r="O821" t="s">
        <v>59</v>
      </c>
      <c r="P821" t="s">
        <v>40</v>
      </c>
      <c r="Q821">
        <v>1791.5</v>
      </c>
      <c r="R821">
        <v>17.914999999999999</v>
      </c>
      <c r="S821" s="12">
        <v>2784.0383999999999</v>
      </c>
    </row>
    <row r="822" spans="1:19" hidden="1" x14ac:dyDescent="0.25">
      <c r="A822" s="13">
        <v>45662</v>
      </c>
      <c r="B822" t="s">
        <v>121</v>
      </c>
      <c r="C822">
        <v>90636</v>
      </c>
      <c r="D822" t="s">
        <v>89</v>
      </c>
      <c r="E822" s="5">
        <v>39</v>
      </c>
      <c r="F822">
        <v>8.2899999999999991</v>
      </c>
      <c r="G822" s="12" t="s">
        <v>76</v>
      </c>
      <c r="H822" s="11">
        <v>0.08</v>
      </c>
      <c r="I822" t="s">
        <v>734</v>
      </c>
      <c r="J822">
        <v>12.66</v>
      </c>
      <c r="K822" t="s">
        <v>30</v>
      </c>
      <c r="L822" t="s">
        <v>31</v>
      </c>
      <c r="M822" t="s">
        <v>22</v>
      </c>
      <c r="N822" t="s">
        <v>38</v>
      </c>
      <c r="O822" t="s">
        <v>81</v>
      </c>
      <c r="P822" t="s">
        <v>25</v>
      </c>
      <c r="Q822">
        <v>74.609999999999985</v>
      </c>
      <c r="R822">
        <v>5.968799999999999</v>
      </c>
      <c r="S822" s="12">
        <v>2749.5468000000001</v>
      </c>
    </row>
    <row r="823" spans="1:19" x14ac:dyDescent="0.25">
      <c r="A823" s="13">
        <v>45690</v>
      </c>
      <c r="B823" t="s">
        <v>484</v>
      </c>
      <c r="C823">
        <v>41312</v>
      </c>
      <c r="D823" t="s">
        <v>66</v>
      </c>
      <c r="E823" s="5">
        <v>30</v>
      </c>
      <c r="F823" s="23">
        <v>79.09</v>
      </c>
      <c r="G823" s="12" t="s">
        <v>76</v>
      </c>
      <c r="H823" s="37">
        <v>0.31</v>
      </c>
      <c r="I823" t="s">
        <v>19</v>
      </c>
      <c r="J823" s="23">
        <v>17.04</v>
      </c>
      <c r="K823" t="s">
        <v>20</v>
      </c>
      <c r="L823" s="14" t="s">
        <v>21</v>
      </c>
      <c r="M823" t="s">
        <v>22</v>
      </c>
      <c r="N823" t="s">
        <v>32</v>
      </c>
      <c r="O823" t="s">
        <v>24</v>
      </c>
      <c r="P823" s="14" t="s">
        <v>34</v>
      </c>
      <c r="Q823" s="23">
        <v>79.09</v>
      </c>
      <c r="R823" s="23">
        <v>24.517900000000001</v>
      </c>
      <c r="S823" s="24">
        <v>2446.8720000000003</v>
      </c>
    </row>
    <row r="824" spans="1:19" hidden="1" x14ac:dyDescent="0.25">
      <c r="A824" s="13">
        <v>45691</v>
      </c>
      <c r="B824" t="s">
        <v>494</v>
      </c>
      <c r="C824">
        <v>73797</v>
      </c>
      <c r="D824" t="s">
        <v>66</v>
      </c>
      <c r="E824" s="5">
        <v>42</v>
      </c>
      <c r="F824">
        <v>10.119999999999999</v>
      </c>
      <c r="G824" s="12" t="s">
        <v>76</v>
      </c>
      <c r="H824" s="11">
        <v>0.19</v>
      </c>
      <c r="I824" t="s">
        <v>734</v>
      </c>
      <c r="J824">
        <v>12.73</v>
      </c>
      <c r="K824" t="s">
        <v>30</v>
      </c>
      <c r="L824" s="14" t="s">
        <v>21</v>
      </c>
      <c r="M824" t="s">
        <v>22</v>
      </c>
      <c r="N824" t="s">
        <v>23</v>
      </c>
      <c r="O824" t="s">
        <v>39</v>
      </c>
      <c r="P824" t="s">
        <v>25</v>
      </c>
      <c r="Q824">
        <v>344.08</v>
      </c>
      <c r="R824">
        <v>65.375199999999992</v>
      </c>
      <c r="S824" s="12">
        <v>2398.0320000000002</v>
      </c>
    </row>
    <row r="825" spans="1:19" hidden="1" x14ac:dyDescent="0.25">
      <c r="A825" s="13">
        <v>45674</v>
      </c>
      <c r="B825" t="s">
        <v>85</v>
      </c>
      <c r="C825">
        <v>61911</v>
      </c>
      <c r="D825" t="s">
        <v>57</v>
      </c>
      <c r="E825" s="5">
        <v>26</v>
      </c>
      <c r="F825">
        <v>54.91</v>
      </c>
      <c r="G825" s="12" t="s">
        <v>76</v>
      </c>
      <c r="H825" s="11">
        <v>0.17</v>
      </c>
      <c r="I825" t="s">
        <v>19</v>
      </c>
      <c r="J825">
        <v>8.74</v>
      </c>
      <c r="K825" s="5" t="s">
        <v>44</v>
      </c>
      <c r="L825" s="14" t="s">
        <v>21</v>
      </c>
      <c r="M825" t="s">
        <v>22</v>
      </c>
      <c r="N825" t="s">
        <v>38</v>
      </c>
      <c r="O825" t="s">
        <v>24</v>
      </c>
      <c r="P825" t="s">
        <v>25</v>
      </c>
      <c r="Q825">
        <v>1317.84</v>
      </c>
      <c r="R825">
        <v>224.03280000000001</v>
      </c>
      <c r="S825" s="12">
        <v>2395.2707999999998</v>
      </c>
    </row>
    <row r="826" spans="1:19" hidden="1" x14ac:dyDescent="0.25">
      <c r="A826" s="13">
        <v>45707</v>
      </c>
      <c r="B826" t="s">
        <v>665</v>
      </c>
      <c r="C826">
        <v>20432</v>
      </c>
      <c r="D826" t="s">
        <v>75</v>
      </c>
      <c r="E826" s="5">
        <v>47</v>
      </c>
      <c r="F826">
        <v>54.76</v>
      </c>
      <c r="G826" s="12" t="s">
        <v>76</v>
      </c>
      <c r="H826" s="11">
        <v>0.25</v>
      </c>
      <c r="I826" t="s">
        <v>19</v>
      </c>
      <c r="J826">
        <v>17.63</v>
      </c>
      <c r="K826" s="5" t="s">
        <v>44</v>
      </c>
      <c r="L826" t="s">
        <v>31</v>
      </c>
      <c r="M826" t="s">
        <v>22</v>
      </c>
      <c r="N826" t="s">
        <v>38</v>
      </c>
      <c r="O826" t="s">
        <v>24</v>
      </c>
      <c r="P826" t="s">
        <v>40</v>
      </c>
      <c r="Q826">
        <v>2026.12</v>
      </c>
      <c r="R826">
        <v>506.53</v>
      </c>
      <c r="S826" s="12">
        <v>2326.2885000000001</v>
      </c>
    </row>
    <row r="827" spans="1:19" hidden="1" x14ac:dyDescent="0.25">
      <c r="A827" s="13">
        <v>45709</v>
      </c>
      <c r="B827" t="s">
        <v>453</v>
      </c>
      <c r="C827">
        <v>52858</v>
      </c>
      <c r="D827" t="s">
        <v>66</v>
      </c>
      <c r="E827" s="5">
        <v>39</v>
      </c>
      <c r="F827">
        <v>84.49</v>
      </c>
      <c r="G827" s="12" t="s">
        <v>76</v>
      </c>
      <c r="H827" s="11">
        <v>0.2</v>
      </c>
      <c r="I827" t="s">
        <v>29</v>
      </c>
      <c r="J827">
        <v>26.84</v>
      </c>
      <c r="K827" s="5" t="s">
        <v>44</v>
      </c>
      <c r="L827" s="14" t="s">
        <v>21</v>
      </c>
      <c r="M827" t="s">
        <v>111</v>
      </c>
      <c r="N827" t="s">
        <v>38</v>
      </c>
      <c r="O827" t="s">
        <v>59</v>
      </c>
      <c r="P827" t="s">
        <v>40</v>
      </c>
      <c r="Q827">
        <v>337.96</v>
      </c>
      <c r="R827">
        <v>67.591999999999999</v>
      </c>
      <c r="S827" s="12">
        <v>2296.2653999999993</v>
      </c>
    </row>
    <row r="828" spans="1:19" hidden="1" x14ac:dyDescent="0.25">
      <c r="A828" s="13">
        <v>45676</v>
      </c>
      <c r="B828" t="s">
        <v>279</v>
      </c>
      <c r="C828">
        <v>76500</v>
      </c>
      <c r="D828" t="s">
        <v>68</v>
      </c>
      <c r="E828" s="5">
        <v>49</v>
      </c>
      <c r="F828">
        <v>83.53</v>
      </c>
      <c r="G828" s="12" t="s">
        <v>76</v>
      </c>
      <c r="H828" s="11">
        <v>0.18</v>
      </c>
      <c r="I828" t="s">
        <v>29</v>
      </c>
      <c r="J828">
        <v>27.26</v>
      </c>
      <c r="K828" s="5" t="s">
        <v>44</v>
      </c>
      <c r="L828" s="14" t="s">
        <v>21</v>
      </c>
      <c r="M828" t="s">
        <v>111</v>
      </c>
      <c r="N828" t="s">
        <v>32</v>
      </c>
      <c r="O828" t="s">
        <v>33</v>
      </c>
      <c r="P828" t="s">
        <v>40</v>
      </c>
      <c r="Q828">
        <v>2088.25</v>
      </c>
      <c r="R828">
        <v>375.88499999999999</v>
      </c>
      <c r="S828" s="12">
        <v>2099.8263999999999</v>
      </c>
    </row>
    <row r="829" spans="1:19" x14ac:dyDescent="0.25">
      <c r="A829" s="13">
        <v>45711</v>
      </c>
      <c r="B829" t="s">
        <v>599</v>
      </c>
      <c r="C829">
        <v>26433</v>
      </c>
      <c r="D829" t="s">
        <v>68</v>
      </c>
      <c r="E829" s="5">
        <v>30</v>
      </c>
      <c r="F829" s="23">
        <v>79.849999999999994</v>
      </c>
      <c r="G829" s="12" t="s">
        <v>76</v>
      </c>
      <c r="H829" s="37">
        <v>0.48</v>
      </c>
      <c r="I829" t="s">
        <v>734</v>
      </c>
      <c r="J829" s="23">
        <v>9.86</v>
      </c>
      <c r="K829" t="s">
        <v>30</v>
      </c>
      <c r="L829" s="14" t="s">
        <v>21</v>
      </c>
      <c r="M829" t="s">
        <v>22</v>
      </c>
      <c r="N829" t="s">
        <v>38</v>
      </c>
      <c r="O829" t="s">
        <v>39</v>
      </c>
      <c r="P829" s="14" t="s">
        <v>34</v>
      </c>
      <c r="Q829" s="23">
        <v>2076.1</v>
      </c>
      <c r="R829" s="23">
        <v>996.52799999999991</v>
      </c>
      <c r="S829" s="24">
        <v>1995.5520000000004</v>
      </c>
    </row>
    <row r="830" spans="1:19" hidden="1" x14ac:dyDescent="0.25">
      <c r="A830" s="13">
        <v>45675</v>
      </c>
      <c r="B830" t="s">
        <v>255</v>
      </c>
      <c r="C830">
        <v>97856</v>
      </c>
      <c r="D830" t="s">
        <v>42</v>
      </c>
      <c r="E830" s="5">
        <v>41</v>
      </c>
      <c r="F830">
        <v>62.01</v>
      </c>
      <c r="G830" s="12" t="s">
        <v>76</v>
      </c>
      <c r="H830" s="11">
        <v>0.38</v>
      </c>
      <c r="I830" t="s">
        <v>29</v>
      </c>
      <c r="J830">
        <v>28.8</v>
      </c>
      <c r="K830" t="s">
        <v>20</v>
      </c>
      <c r="L830" s="14" t="s">
        <v>21</v>
      </c>
      <c r="M830" t="s">
        <v>22</v>
      </c>
      <c r="N830" t="s">
        <v>23</v>
      </c>
      <c r="O830" t="s">
        <v>81</v>
      </c>
      <c r="P830" t="s">
        <v>25</v>
      </c>
      <c r="Q830">
        <v>2418.39</v>
      </c>
      <c r="R830">
        <v>918.98820000000001</v>
      </c>
      <c r="S830" s="12">
        <v>1973.2398000000001</v>
      </c>
    </row>
    <row r="831" spans="1:19" x14ac:dyDescent="0.25">
      <c r="A831" s="13">
        <v>45701</v>
      </c>
      <c r="B831" t="s">
        <v>606</v>
      </c>
      <c r="C831">
        <v>90392</v>
      </c>
      <c r="D831" t="s">
        <v>17</v>
      </c>
      <c r="E831" s="5">
        <v>46</v>
      </c>
      <c r="F831" s="23">
        <v>47.37</v>
      </c>
      <c r="G831" s="12" t="s">
        <v>76</v>
      </c>
      <c r="H831" s="37">
        <v>0.15</v>
      </c>
      <c r="I831" t="s">
        <v>19</v>
      </c>
      <c r="J831" s="23">
        <v>29.96</v>
      </c>
      <c r="K831" t="s">
        <v>30</v>
      </c>
      <c r="L831" s="14" t="s">
        <v>21</v>
      </c>
      <c r="M831" t="s">
        <v>111</v>
      </c>
      <c r="N831" t="s">
        <v>38</v>
      </c>
      <c r="O831" t="s">
        <v>33</v>
      </c>
      <c r="P831" s="14" t="s">
        <v>34</v>
      </c>
      <c r="Q831" s="23">
        <v>805.29</v>
      </c>
      <c r="R831" s="23">
        <v>120.79349999999999</v>
      </c>
      <c r="S831" s="24">
        <v>1965.5984000000001</v>
      </c>
    </row>
    <row r="832" spans="1:19" hidden="1" x14ac:dyDescent="0.25">
      <c r="A832" s="13">
        <v>45691</v>
      </c>
      <c r="B832" t="s">
        <v>489</v>
      </c>
      <c r="C832">
        <v>30419</v>
      </c>
      <c r="D832" t="s">
        <v>46</v>
      </c>
      <c r="E832" s="5">
        <v>41</v>
      </c>
      <c r="F832">
        <v>71.78</v>
      </c>
      <c r="G832" s="12" t="s">
        <v>76</v>
      </c>
      <c r="H832" s="11">
        <v>0.12</v>
      </c>
      <c r="I832" t="s">
        <v>29</v>
      </c>
      <c r="J832">
        <v>17.82</v>
      </c>
      <c r="K832" t="s">
        <v>20</v>
      </c>
      <c r="L832" s="14" t="s">
        <v>21</v>
      </c>
      <c r="M832" t="s">
        <v>22</v>
      </c>
      <c r="N832" t="s">
        <v>38</v>
      </c>
      <c r="O832" t="s">
        <v>39</v>
      </c>
      <c r="P832" t="s">
        <v>40</v>
      </c>
      <c r="Q832">
        <v>71.78</v>
      </c>
      <c r="R832">
        <v>8.6135999999999999</v>
      </c>
      <c r="S832" s="12">
        <v>1906.1063999999997</v>
      </c>
    </row>
    <row r="833" spans="1:19" x14ac:dyDescent="0.25">
      <c r="A833" s="13">
        <v>45684</v>
      </c>
      <c r="B833" t="s">
        <v>79</v>
      </c>
      <c r="C833">
        <v>31681</v>
      </c>
      <c r="D833" t="s">
        <v>57</v>
      </c>
      <c r="E833" s="5">
        <v>38</v>
      </c>
      <c r="F833" s="23">
        <v>33.869999999999997</v>
      </c>
      <c r="G833" s="12" t="s">
        <v>76</v>
      </c>
      <c r="H833" s="37">
        <v>0.05</v>
      </c>
      <c r="I833" t="s">
        <v>29</v>
      </c>
      <c r="J833" s="23">
        <v>27.04</v>
      </c>
      <c r="K833" t="s">
        <v>20</v>
      </c>
      <c r="L833" s="14" t="s">
        <v>21</v>
      </c>
      <c r="M833" t="s">
        <v>22</v>
      </c>
      <c r="N833" t="s">
        <v>38</v>
      </c>
      <c r="O833" t="s">
        <v>39</v>
      </c>
      <c r="P833" s="14" t="s">
        <v>34</v>
      </c>
      <c r="Q833" s="23">
        <v>1253.1899999999998</v>
      </c>
      <c r="R833" s="23">
        <v>62.659499999999994</v>
      </c>
      <c r="S833" s="24">
        <v>1786.5471999999997</v>
      </c>
    </row>
    <row r="834" spans="1:19" x14ac:dyDescent="0.25">
      <c r="A834" s="13">
        <v>45695</v>
      </c>
      <c r="B834" t="s">
        <v>267</v>
      </c>
      <c r="C834">
        <v>70634</v>
      </c>
      <c r="D834" t="s">
        <v>70</v>
      </c>
      <c r="E834" s="5">
        <v>32</v>
      </c>
      <c r="F834" s="23">
        <v>24.76</v>
      </c>
      <c r="G834" s="12" t="s">
        <v>76</v>
      </c>
      <c r="H834" s="37">
        <v>0.2</v>
      </c>
      <c r="I834" t="s">
        <v>29</v>
      </c>
      <c r="J834" s="23">
        <v>17.34</v>
      </c>
      <c r="K834" t="s">
        <v>30</v>
      </c>
      <c r="L834" s="14" t="s">
        <v>21</v>
      </c>
      <c r="M834" t="s">
        <v>22</v>
      </c>
      <c r="N834" t="s">
        <v>32</v>
      </c>
      <c r="O834" t="s">
        <v>24</v>
      </c>
      <c r="P834" s="14" t="s">
        <v>34</v>
      </c>
      <c r="Q834" s="23">
        <v>198.08</v>
      </c>
      <c r="R834" s="23">
        <v>39.616000000000007</v>
      </c>
      <c r="S834" s="24">
        <v>1749.1232</v>
      </c>
    </row>
    <row r="835" spans="1:19" hidden="1" x14ac:dyDescent="0.25">
      <c r="A835" s="13">
        <v>45709</v>
      </c>
      <c r="B835" t="s">
        <v>133</v>
      </c>
      <c r="C835">
        <v>82087</v>
      </c>
      <c r="D835" t="s">
        <v>17</v>
      </c>
      <c r="E835" s="5">
        <v>36</v>
      </c>
      <c r="F835">
        <v>34.979999999999997</v>
      </c>
      <c r="G835" s="12" t="s">
        <v>76</v>
      </c>
      <c r="H835" s="11">
        <v>0.38</v>
      </c>
      <c r="I835" t="s">
        <v>29</v>
      </c>
      <c r="J835">
        <v>6.27</v>
      </c>
      <c r="K835" t="s">
        <v>37</v>
      </c>
      <c r="L835" t="s">
        <v>31</v>
      </c>
      <c r="M835" t="s">
        <v>111</v>
      </c>
      <c r="N835" t="s">
        <v>38</v>
      </c>
      <c r="O835" t="s">
        <v>59</v>
      </c>
      <c r="P835" t="s">
        <v>25</v>
      </c>
      <c r="Q835">
        <v>734.57999999999993</v>
      </c>
      <c r="R835">
        <v>279.1404</v>
      </c>
      <c r="S835" s="12">
        <v>1676.5344</v>
      </c>
    </row>
    <row r="836" spans="1:19" hidden="1" x14ac:dyDescent="0.25">
      <c r="A836" s="13">
        <v>45689</v>
      </c>
      <c r="B836" t="s">
        <v>212</v>
      </c>
      <c r="C836">
        <v>47634</v>
      </c>
      <c r="D836" t="s">
        <v>66</v>
      </c>
      <c r="E836" s="5">
        <v>29</v>
      </c>
      <c r="F836">
        <v>72.84</v>
      </c>
      <c r="G836" s="12" t="s">
        <v>76</v>
      </c>
      <c r="H836" s="11">
        <v>0.13</v>
      </c>
      <c r="I836" t="s">
        <v>29</v>
      </c>
      <c r="J836">
        <v>22.76</v>
      </c>
      <c r="K836" t="s">
        <v>20</v>
      </c>
      <c r="L836" s="14" t="s">
        <v>21</v>
      </c>
      <c r="M836" t="s">
        <v>22</v>
      </c>
      <c r="N836" t="s">
        <v>53</v>
      </c>
      <c r="O836" t="s">
        <v>81</v>
      </c>
      <c r="P836" t="s">
        <v>25</v>
      </c>
      <c r="Q836">
        <v>145.68</v>
      </c>
      <c r="R836">
        <v>18.938400000000001</v>
      </c>
      <c r="S836" s="12">
        <v>1669.4372000000003</v>
      </c>
    </row>
    <row r="837" spans="1:19" hidden="1" x14ac:dyDescent="0.25">
      <c r="A837" s="13">
        <v>45696</v>
      </c>
      <c r="B837" t="s">
        <v>500</v>
      </c>
      <c r="C837">
        <v>69278</v>
      </c>
      <c r="D837" t="s">
        <v>70</v>
      </c>
      <c r="E837" s="5">
        <v>33</v>
      </c>
      <c r="F837">
        <v>97.42</v>
      </c>
      <c r="G837" s="12" t="s">
        <v>76</v>
      </c>
      <c r="H837" s="11">
        <v>0.31</v>
      </c>
      <c r="I837" t="s">
        <v>19</v>
      </c>
      <c r="J837">
        <v>12.27</v>
      </c>
      <c r="K837" t="s">
        <v>50</v>
      </c>
      <c r="L837" t="s">
        <v>31</v>
      </c>
      <c r="M837" t="s">
        <v>22</v>
      </c>
      <c r="N837" t="s">
        <v>53</v>
      </c>
      <c r="O837" t="s">
        <v>81</v>
      </c>
      <c r="P837" t="s">
        <v>40</v>
      </c>
      <c r="Q837">
        <v>2630.34</v>
      </c>
      <c r="R837">
        <v>815.40539999999999</v>
      </c>
      <c r="S837" s="12">
        <v>1632.2294999999999</v>
      </c>
    </row>
    <row r="838" spans="1:19" hidden="1" x14ac:dyDescent="0.25">
      <c r="A838" s="13">
        <v>45675</v>
      </c>
      <c r="B838" t="s">
        <v>260</v>
      </c>
      <c r="C838">
        <v>95311</v>
      </c>
      <c r="D838" t="s">
        <v>70</v>
      </c>
      <c r="E838" s="5">
        <v>48</v>
      </c>
      <c r="F838">
        <v>5.37</v>
      </c>
      <c r="G838" s="12" t="s">
        <v>76</v>
      </c>
      <c r="H838" s="11">
        <v>0.28999999999999998</v>
      </c>
      <c r="I838" t="s">
        <v>29</v>
      </c>
      <c r="J838">
        <v>20.94</v>
      </c>
      <c r="K838" t="s">
        <v>20</v>
      </c>
      <c r="L838" s="14" t="s">
        <v>21</v>
      </c>
      <c r="M838" t="s">
        <v>22</v>
      </c>
      <c r="N838" t="s">
        <v>32</v>
      </c>
      <c r="O838" t="s">
        <v>59</v>
      </c>
      <c r="P838" t="s">
        <v>25</v>
      </c>
      <c r="Q838">
        <v>247.02</v>
      </c>
      <c r="R838">
        <v>71.635800000000003</v>
      </c>
      <c r="S838" s="12">
        <v>1582.1136000000001</v>
      </c>
    </row>
    <row r="839" spans="1:19" hidden="1" x14ac:dyDescent="0.25">
      <c r="A839" s="13">
        <v>45685</v>
      </c>
      <c r="B839" t="s">
        <v>135</v>
      </c>
      <c r="C839">
        <v>36914</v>
      </c>
      <c r="D839" t="s">
        <v>46</v>
      </c>
      <c r="E839" s="5">
        <v>19</v>
      </c>
      <c r="F839">
        <v>17.05</v>
      </c>
      <c r="G839" s="12" t="s">
        <v>76</v>
      </c>
      <c r="H839" s="11">
        <v>0.01</v>
      </c>
      <c r="I839" t="s">
        <v>29</v>
      </c>
      <c r="J839">
        <v>29.41</v>
      </c>
      <c r="K839" t="s">
        <v>50</v>
      </c>
      <c r="L839" t="s">
        <v>31</v>
      </c>
      <c r="M839" t="s">
        <v>22</v>
      </c>
      <c r="N839" t="s">
        <v>53</v>
      </c>
      <c r="O839" t="s">
        <v>33</v>
      </c>
      <c r="P839" t="s">
        <v>25</v>
      </c>
      <c r="Q839">
        <v>716.1</v>
      </c>
      <c r="R839">
        <v>7.1610000000000005</v>
      </c>
      <c r="S839" s="12">
        <v>1370.85</v>
      </c>
    </row>
    <row r="840" spans="1:19" hidden="1" x14ac:dyDescent="0.25">
      <c r="A840" s="13">
        <v>45695</v>
      </c>
      <c r="B840" t="s">
        <v>392</v>
      </c>
      <c r="C840">
        <v>93520</v>
      </c>
      <c r="D840" t="s">
        <v>17</v>
      </c>
      <c r="E840" s="5">
        <v>20</v>
      </c>
      <c r="F840">
        <v>36.270000000000003</v>
      </c>
      <c r="G840" s="12" t="s">
        <v>76</v>
      </c>
      <c r="H840" s="11">
        <v>0.26</v>
      </c>
      <c r="I840" t="s">
        <v>29</v>
      </c>
      <c r="J840">
        <v>15.04</v>
      </c>
      <c r="K840" t="s">
        <v>37</v>
      </c>
      <c r="L840" t="s">
        <v>31</v>
      </c>
      <c r="M840" t="s">
        <v>22</v>
      </c>
      <c r="N840" t="s">
        <v>53</v>
      </c>
      <c r="O840" t="s">
        <v>59</v>
      </c>
      <c r="P840" t="s">
        <v>40</v>
      </c>
      <c r="Q840">
        <v>290.16000000000003</v>
      </c>
      <c r="R840">
        <v>75.441600000000008</v>
      </c>
      <c r="S840" s="12">
        <v>1358.98</v>
      </c>
    </row>
    <row r="841" spans="1:19" hidden="1" x14ac:dyDescent="0.25">
      <c r="A841" s="13">
        <v>45665</v>
      </c>
      <c r="B841" t="s">
        <v>153</v>
      </c>
      <c r="C841">
        <v>19551</v>
      </c>
      <c r="D841" t="s">
        <v>70</v>
      </c>
      <c r="E841" s="5">
        <v>36</v>
      </c>
      <c r="F841">
        <v>95.06</v>
      </c>
      <c r="G841" s="12" t="s">
        <v>76</v>
      </c>
      <c r="H841" s="11">
        <v>0.08</v>
      </c>
      <c r="I841" t="s">
        <v>734</v>
      </c>
      <c r="J841">
        <v>25.16</v>
      </c>
      <c r="K841" t="s">
        <v>37</v>
      </c>
      <c r="L841" s="14" t="s">
        <v>21</v>
      </c>
      <c r="M841" t="s">
        <v>22</v>
      </c>
      <c r="N841" t="s">
        <v>38</v>
      </c>
      <c r="O841" t="s">
        <v>59</v>
      </c>
      <c r="P841" t="s">
        <v>40</v>
      </c>
      <c r="Q841">
        <v>1806.14</v>
      </c>
      <c r="R841">
        <v>144.49120000000002</v>
      </c>
      <c r="S841" s="12">
        <v>1335.6</v>
      </c>
    </row>
    <row r="842" spans="1:19" hidden="1" x14ac:dyDescent="0.25">
      <c r="A842" s="13">
        <v>45690</v>
      </c>
      <c r="B842" t="s">
        <v>483</v>
      </c>
      <c r="C842">
        <v>57003</v>
      </c>
      <c r="D842" t="s">
        <v>57</v>
      </c>
      <c r="E842" s="5">
        <v>38</v>
      </c>
      <c r="F842">
        <v>7.42</v>
      </c>
      <c r="G842" s="12" t="s">
        <v>76</v>
      </c>
      <c r="H842" s="11">
        <v>0.22</v>
      </c>
      <c r="I842" t="s">
        <v>19</v>
      </c>
      <c r="J842">
        <v>14.92</v>
      </c>
      <c r="K842" t="s">
        <v>30</v>
      </c>
      <c r="L842" t="s">
        <v>31</v>
      </c>
      <c r="M842" t="s">
        <v>22</v>
      </c>
      <c r="N842" t="s">
        <v>38</v>
      </c>
      <c r="O842" t="s">
        <v>59</v>
      </c>
      <c r="P842" t="s">
        <v>40</v>
      </c>
      <c r="Q842">
        <v>215.18</v>
      </c>
      <c r="R842">
        <v>47.339600000000004</v>
      </c>
      <c r="S842" s="12">
        <v>1288.6256000000001</v>
      </c>
    </row>
    <row r="843" spans="1:19" x14ac:dyDescent="0.25">
      <c r="A843" s="13">
        <v>45688</v>
      </c>
      <c r="B843" t="s">
        <v>461</v>
      </c>
      <c r="C843">
        <v>35856</v>
      </c>
      <c r="D843" t="s">
        <v>27</v>
      </c>
      <c r="E843" s="5">
        <v>44</v>
      </c>
      <c r="F843" s="23">
        <v>13.84</v>
      </c>
      <c r="G843" s="12" t="s">
        <v>76</v>
      </c>
      <c r="H843" s="37">
        <v>0.5</v>
      </c>
      <c r="I843" t="s">
        <v>29</v>
      </c>
      <c r="J843" s="23">
        <v>8.6199999999999992</v>
      </c>
      <c r="K843" t="s">
        <v>30</v>
      </c>
      <c r="L843" s="14" t="s">
        <v>21</v>
      </c>
      <c r="M843" t="s">
        <v>22</v>
      </c>
      <c r="N843" t="s">
        <v>53</v>
      </c>
      <c r="O843" t="s">
        <v>24</v>
      </c>
      <c r="P843" s="14" t="s">
        <v>34</v>
      </c>
      <c r="Q843" s="23">
        <v>553.6</v>
      </c>
      <c r="R843" s="23">
        <v>276.8</v>
      </c>
      <c r="S843" s="24">
        <v>1286.6655999999998</v>
      </c>
    </row>
    <row r="844" spans="1:19" hidden="1" x14ac:dyDescent="0.25">
      <c r="A844" s="13">
        <v>45685</v>
      </c>
      <c r="B844" t="s">
        <v>422</v>
      </c>
      <c r="C844">
        <v>71254</v>
      </c>
      <c r="D844" t="s">
        <v>89</v>
      </c>
      <c r="E844" s="5">
        <v>28</v>
      </c>
      <c r="F844">
        <v>96.5</v>
      </c>
      <c r="G844" s="12" t="s">
        <v>76</v>
      </c>
      <c r="H844" s="11">
        <v>0.37</v>
      </c>
      <c r="I844" t="s">
        <v>734</v>
      </c>
      <c r="J844">
        <v>29.41</v>
      </c>
      <c r="K844" s="5" t="s">
        <v>44</v>
      </c>
      <c r="L844" s="14" t="s">
        <v>21</v>
      </c>
      <c r="M844" t="s">
        <v>22</v>
      </c>
      <c r="N844" t="s">
        <v>32</v>
      </c>
      <c r="O844" t="s">
        <v>33</v>
      </c>
      <c r="P844" t="s">
        <v>40</v>
      </c>
      <c r="Q844">
        <v>1833.5</v>
      </c>
      <c r="R844">
        <v>678.39499999999998</v>
      </c>
      <c r="S844" s="12">
        <v>1271.8943999999999</v>
      </c>
    </row>
    <row r="845" spans="1:19" hidden="1" x14ac:dyDescent="0.25">
      <c r="A845" s="13">
        <v>45675</v>
      </c>
      <c r="B845" t="s">
        <v>267</v>
      </c>
      <c r="C845">
        <v>45078</v>
      </c>
      <c r="D845" t="s">
        <v>75</v>
      </c>
      <c r="E845" s="5">
        <v>26</v>
      </c>
      <c r="F845">
        <v>73.87</v>
      </c>
      <c r="G845" s="12" t="s">
        <v>76</v>
      </c>
      <c r="H845" s="11">
        <v>0.09</v>
      </c>
      <c r="I845" t="s">
        <v>734</v>
      </c>
      <c r="J845">
        <v>25.85</v>
      </c>
      <c r="K845" t="s">
        <v>30</v>
      </c>
      <c r="L845" t="s">
        <v>31</v>
      </c>
      <c r="M845" t="s">
        <v>22</v>
      </c>
      <c r="N845" t="s">
        <v>23</v>
      </c>
      <c r="O845" t="s">
        <v>39</v>
      </c>
      <c r="P845" t="s">
        <v>25</v>
      </c>
      <c r="Q845">
        <v>886.44</v>
      </c>
      <c r="R845">
        <v>79.779600000000002</v>
      </c>
      <c r="S845" s="12">
        <v>1259.2788</v>
      </c>
    </row>
    <row r="846" spans="1:19" x14ac:dyDescent="0.25">
      <c r="A846" s="13">
        <v>45707</v>
      </c>
      <c r="B846" t="s">
        <v>373</v>
      </c>
      <c r="C846">
        <v>68037</v>
      </c>
      <c r="D846" t="s">
        <v>68</v>
      </c>
      <c r="E846" s="5">
        <v>47</v>
      </c>
      <c r="F846" s="23">
        <v>29.08</v>
      </c>
      <c r="G846" s="12" t="s">
        <v>76</v>
      </c>
      <c r="H846" s="37">
        <v>0.3</v>
      </c>
      <c r="I846" t="s">
        <v>19</v>
      </c>
      <c r="J846" s="23">
        <v>12.47</v>
      </c>
      <c r="K846" t="s">
        <v>30</v>
      </c>
      <c r="L846" s="14" t="s">
        <v>21</v>
      </c>
      <c r="M846" t="s">
        <v>22</v>
      </c>
      <c r="N846" t="s">
        <v>23</v>
      </c>
      <c r="O846" t="s">
        <v>39</v>
      </c>
      <c r="P846" s="14" t="s">
        <v>34</v>
      </c>
      <c r="Q846" s="23">
        <v>290.79999999999995</v>
      </c>
      <c r="R846" s="23">
        <v>87.239999999999981</v>
      </c>
      <c r="S846" s="24">
        <v>1257.2406000000001</v>
      </c>
    </row>
    <row r="847" spans="1:19" hidden="1" x14ac:dyDescent="0.25">
      <c r="A847" s="13">
        <v>45704</v>
      </c>
      <c r="B847" t="s">
        <v>643</v>
      </c>
      <c r="C847">
        <v>71988</v>
      </c>
      <c r="D847" t="s">
        <v>27</v>
      </c>
      <c r="E847" s="5">
        <v>30</v>
      </c>
      <c r="F847">
        <v>53.22</v>
      </c>
      <c r="G847" s="12" t="s">
        <v>76</v>
      </c>
      <c r="H847" s="11">
        <v>0.34</v>
      </c>
      <c r="I847" t="s">
        <v>29</v>
      </c>
      <c r="J847">
        <v>6.28</v>
      </c>
      <c r="K847" s="5" t="s">
        <v>44</v>
      </c>
      <c r="L847" s="14" t="s">
        <v>21</v>
      </c>
      <c r="M847" t="s">
        <v>22</v>
      </c>
      <c r="N847" t="s">
        <v>53</v>
      </c>
      <c r="O847" t="s">
        <v>81</v>
      </c>
      <c r="P847" t="s">
        <v>25</v>
      </c>
      <c r="Q847">
        <v>1862.7</v>
      </c>
      <c r="R847">
        <v>633.3180000000001</v>
      </c>
      <c r="S847" s="12">
        <v>1248.4860000000001</v>
      </c>
    </row>
    <row r="848" spans="1:19" hidden="1" x14ac:dyDescent="0.25">
      <c r="A848" s="13">
        <v>45704</v>
      </c>
      <c r="B848" t="s">
        <v>453</v>
      </c>
      <c r="C848">
        <v>17580</v>
      </c>
      <c r="D848" t="s">
        <v>17</v>
      </c>
      <c r="E848" s="5">
        <v>35</v>
      </c>
      <c r="F848">
        <v>50.14</v>
      </c>
      <c r="G848" s="12" t="s">
        <v>76</v>
      </c>
      <c r="H848" s="11">
        <v>0.17</v>
      </c>
      <c r="I848" t="s">
        <v>734</v>
      </c>
      <c r="J848">
        <v>23.25</v>
      </c>
      <c r="K848" t="s">
        <v>20</v>
      </c>
      <c r="L848" t="s">
        <v>31</v>
      </c>
      <c r="M848" t="s">
        <v>22</v>
      </c>
      <c r="N848" t="s">
        <v>38</v>
      </c>
      <c r="O848" t="s">
        <v>59</v>
      </c>
      <c r="P848" t="s">
        <v>25</v>
      </c>
      <c r="Q848">
        <v>1504.2</v>
      </c>
      <c r="R848">
        <v>255.71400000000003</v>
      </c>
      <c r="S848" s="12">
        <v>1229.3820000000001</v>
      </c>
    </row>
    <row r="849" spans="1:19" x14ac:dyDescent="0.25">
      <c r="A849" s="13">
        <v>45674</v>
      </c>
      <c r="B849" t="s">
        <v>228</v>
      </c>
      <c r="C849">
        <v>40466</v>
      </c>
      <c r="D849" t="s">
        <v>17</v>
      </c>
      <c r="E849" s="5">
        <v>42</v>
      </c>
      <c r="F849" s="23">
        <v>88.21</v>
      </c>
      <c r="G849" s="12" t="s">
        <v>76</v>
      </c>
      <c r="H849" s="37">
        <v>0.44</v>
      </c>
      <c r="I849" t="s">
        <v>29</v>
      </c>
      <c r="J849" s="23">
        <v>9.31</v>
      </c>
      <c r="K849" t="s">
        <v>30</v>
      </c>
      <c r="L849" s="14" t="s">
        <v>21</v>
      </c>
      <c r="M849" t="s">
        <v>735</v>
      </c>
      <c r="N849" t="s">
        <v>53</v>
      </c>
      <c r="O849" t="s">
        <v>59</v>
      </c>
      <c r="P849" s="14" t="s">
        <v>34</v>
      </c>
      <c r="Q849" s="23">
        <v>1234.9399999999998</v>
      </c>
      <c r="R849" s="23">
        <v>543.3735999999999</v>
      </c>
      <c r="S849" s="24">
        <v>1135.26</v>
      </c>
    </row>
    <row r="850" spans="1:19" hidden="1" x14ac:dyDescent="0.25">
      <c r="A850" s="13">
        <v>45708</v>
      </c>
      <c r="B850" t="s">
        <v>672</v>
      </c>
      <c r="C850">
        <v>29022</v>
      </c>
      <c r="D850" t="s">
        <v>46</v>
      </c>
      <c r="E850" s="5">
        <v>33</v>
      </c>
      <c r="F850">
        <v>91.14</v>
      </c>
      <c r="G850" s="12" t="s">
        <v>76</v>
      </c>
      <c r="H850" s="11">
        <v>0.17</v>
      </c>
      <c r="I850" t="s">
        <v>19</v>
      </c>
      <c r="J850">
        <v>10.08</v>
      </c>
      <c r="K850" t="s">
        <v>37</v>
      </c>
      <c r="L850" t="s">
        <v>31</v>
      </c>
      <c r="M850" t="s">
        <v>22</v>
      </c>
      <c r="N850" t="s">
        <v>38</v>
      </c>
      <c r="O850" t="s">
        <v>33</v>
      </c>
      <c r="P850" t="s">
        <v>40</v>
      </c>
      <c r="Q850">
        <v>2825.34</v>
      </c>
      <c r="R850">
        <v>480.30780000000004</v>
      </c>
      <c r="S850" s="12">
        <v>1133.7215999999999</v>
      </c>
    </row>
    <row r="851" spans="1:19" hidden="1" x14ac:dyDescent="0.25">
      <c r="A851" s="13">
        <v>45685</v>
      </c>
      <c r="B851" t="s">
        <v>110</v>
      </c>
      <c r="C851">
        <v>70273</v>
      </c>
      <c r="D851" t="s">
        <v>17</v>
      </c>
      <c r="E851" s="5">
        <v>24</v>
      </c>
      <c r="F851">
        <v>63.09</v>
      </c>
      <c r="G851" s="12" t="s">
        <v>76</v>
      </c>
      <c r="H851" s="11">
        <v>0.28000000000000003</v>
      </c>
      <c r="I851" t="s">
        <v>734</v>
      </c>
      <c r="J851">
        <v>8.83</v>
      </c>
      <c r="K851" t="s">
        <v>37</v>
      </c>
      <c r="L851" t="s">
        <v>31</v>
      </c>
      <c r="M851" t="s">
        <v>22</v>
      </c>
      <c r="N851" t="s">
        <v>32</v>
      </c>
      <c r="O851" t="s">
        <v>59</v>
      </c>
      <c r="P851" t="s">
        <v>40</v>
      </c>
      <c r="Q851">
        <v>1766.52</v>
      </c>
      <c r="R851">
        <v>494.62560000000002</v>
      </c>
      <c r="S851" s="12">
        <v>1111.5</v>
      </c>
    </row>
    <row r="852" spans="1:19" hidden="1" x14ac:dyDescent="0.25">
      <c r="A852" s="13">
        <v>45661</v>
      </c>
      <c r="B852" t="s">
        <v>97</v>
      </c>
      <c r="C852">
        <v>29963</v>
      </c>
      <c r="D852" t="s">
        <v>57</v>
      </c>
      <c r="E852" s="5">
        <v>12</v>
      </c>
      <c r="F852">
        <v>80.63</v>
      </c>
      <c r="G852" s="12" t="s">
        <v>76</v>
      </c>
      <c r="H852" s="11">
        <v>0.15</v>
      </c>
      <c r="I852" t="s">
        <v>19</v>
      </c>
      <c r="J852">
        <v>27.56</v>
      </c>
      <c r="K852" t="s">
        <v>30</v>
      </c>
      <c r="L852" s="14" t="s">
        <v>21</v>
      </c>
      <c r="M852" t="s">
        <v>735</v>
      </c>
      <c r="N852" t="s">
        <v>23</v>
      </c>
      <c r="O852" t="s">
        <v>33</v>
      </c>
      <c r="P852" t="s">
        <v>40</v>
      </c>
      <c r="Q852">
        <v>3467.0899999999997</v>
      </c>
      <c r="R852">
        <v>520.06349999999998</v>
      </c>
      <c r="S852" s="12">
        <v>1110.9888000000001</v>
      </c>
    </row>
    <row r="853" spans="1:19" x14ac:dyDescent="0.25">
      <c r="A853" s="13">
        <v>45696</v>
      </c>
      <c r="B853" t="s">
        <v>226</v>
      </c>
      <c r="C853">
        <v>79927</v>
      </c>
      <c r="D853" t="s">
        <v>42</v>
      </c>
      <c r="E853" s="5">
        <v>25</v>
      </c>
      <c r="F853" s="23">
        <v>32.46</v>
      </c>
      <c r="G853" s="12" t="s">
        <v>76</v>
      </c>
      <c r="H853" s="37">
        <v>0.28999999999999998</v>
      </c>
      <c r="I853" t="s">
        <v>29</v>
      </c>
      <c r="J853" s="23">
        <v>22.62</v>
      </c>
      <c r="K853" t="s">
        <v>50</v>
      </c>
      <c r="L853" s="14" t="s">
        <v>21</v>
      </c>
      <c r="M853" t="s">
        <v>22</v>
      </c>
      <c r="N853" t="s">
        <v>32</v>
      </c>
      <c r="O853" t="s">
        <v>39</v>
      </c>
      <c r="P853" s="14" t="s">
        <v>34</v>
      </c>
      <c r="Q853" s="23">
        <v>1525.6200000000001</v>
      </c>
      <c r="R853" s="23">
        <v>442.4298</v>
      </c>
      <c r="S853" s="24">
        <v>1103.595</v>
      </c>
    </row>
    <row r="854" spans="1:19" hidden="1" x14ac:dyDescent="0.25">
      <c r="A854" s="13">
        <v>45690</v>
      </c>
      <c r="B854" t="s">
        <v>203</v>
      </c>
      <c r="C854">
        <v>84172</v>
      </c>
      <c r="D854" t="s">
        <v>75</v>
      </c>
      <c r="E854" s="5">
        <v>29</v>
      </c>
      <c r="F854">
        <v>58.15</v>
      </c>
      <c r="G854" s="12" t="s">
        <v>76</v>
      </c>
      <c r="H854" s="11">
        <v>0.37</v>
      </c>
      <c r="I854" t="s">
        <v>19</v>
      </c>
      <c r="J854">
        <v>12.39</v>
      </c>
      <c r="K854" t="s">
        <v>30</v>
      </c>
      <c r="L854" s="14" t="s">
        <v>21</v>
      </c>
      <c r="M854" t="s">
        <v>22</v>
      </c>
      <c r="N854" t="s">
        <v>53</v>
      </c>
      <c r="O854" t="s">
        <v>81</v>
      </c>
      <c r="P854" t="s">
        <v>40</v>
      </c>
      <c r="Q854">
        <v>1686.35</v>
      </c>
      <c r="R854">
        <v>623.94949999999994</v>
      </c>
      <c r="S854" s="12">
        <v>1062.4005</v>
      </c>
    </row>
    <row r="855" spans="1:19" x14ac:dyDescent="0.25">
      <c r="A855" s="13">
        <v>45688</v>
      </c>
      <c r="B855" t="s">
        <v>462</v>
      </c>
      <c r="C855">
        <v>47083</v>
      </c>
      <c r="D855" t="s">
        <v>70</v>
      </c>
      <c r="E855" s="5">
        <v>31</v>
      </c>
      <c r="F855" s="23">
        <v>33.229999999999997</v>
      </c>
      <c r="G855" s="12" t="s">
        <v>76</v>
      </c>
      <c r="H855" s="37">
        <v>0.12</v>
      </c>
      <c r="I855" t="s">
        <v>734</v>
      </c>
      <c r="J855" s="23">
        <v>5.69</v>
      </c>
      <c r="K855" t="s">
        <v>50</v>
      </c>
      <c r="L855" s="14" t="s">
        <v>21</v>
      </c>
      <c r="M855" t="s">
        <v>22</v>
      </c>
      <c r="N855" t="s">
        <v>53</v>
      </c>
      <c r="O855" t="s">
        <v>33</v>
      </c>
      <c r="P855" s="14" t="s">
        <v>34</v>
      </c>
      <c r="Q855" s="23">
        <v>1462.12</v>
      </c>
      <c r="R855" s="23">
        <v>175.45439999999999</v>
      </c>
      <c r="S855" s="24">
        <v>1023.6200000000001</v>
      </c>
    </row>
    <row r="856" spans="1:19" x14ac:dyDescent="0.25">
      <c r="A856" s="13">
        <v>45698</v>
      </c>
      <c r="B856" t="s">
        <v>575</v>
      </c>
      <c r="C856">
        <v>85188</v>
      </c>
      <c r="D856" t="s">
        <v>42</v>
      </c>
      <c r="E856" s="5">
        <v>28</v>
      </c>
      <c r="F856" s="23">
        <v>95.94</v>
      </c>
      <c r="G856" s="12" t="s">
        <v>76</v>
      </c>
      <c r="H856" s="37">
        <v>0.49</v>
      </c>
      <c r="I856" t="s">
        <v>29</v>
      </c>
      <c r="J856" s="23">
        <v>18.940000000000001</v>
      </c>
      <c r="K856" s="5" t="s">
        <v>44</v>
      </c>
      <c r="L856" s="14" t="s">
        <v>21</v>
      </c>
      <c r="M856" t="s">
        <v>22</v>
      </c>
      <c r="N856" t="s">
        <v>32</v>
      </c>
      <c r="O856" t="s">
        <v>81</v>
      </c>
      <c r="P856" s="14" t="s">
        <v>34</v>
      </c>
      <c r="Q856" s="23">
        <v>191.88</v>
      </c>
      <c r="R856" s="23">
        <v>94.021199999999993</v>
      </c>
      <c r="S856" s="24">
        <v>1023.372</v>
      </c>
    </row>
    <row r="857" spans="1:19" hidden="1" x14ac:dyDescent="0.25">
      <c r="A857" s="13">
        <v>45710</v>
      </c>
      <c r="B857" t="s">
        <v>692</v>
      </c>
      <c r="C857">
        <v>45443</v>
      </c>
      <c r="D857" t="s">
        <v>57</v>
      </c>
      <c r="E857" s="5">
        <v>49</v>
      </c>
      <c r="F857">
        <v>51.13</v>
      </c>
      <c r="G857" s="12" t="s">
        <v>76</v>
      </c>
      <c r="H857" s="11">
        <v>0.21</v>
      </c>
      <c r="I857" t="s">
        <v>29</v>
      </c>
      <c r="J857">
        <v>20.95</v>
      </c>
      <c r="K857" s="5" t="s">
        <v>44</v>
      </c>
      <c r="L857" s="14" t="s">
        <v>21</v>
      </c>
      <c r="M857" t="s">
        <v>22</v>
      </c>
      <c r="N857" t="s">
        <v>23</v>
      </c>
      <c r="O857" t="s">
        <v>39</v>
      </c>
      <c r="P857" t="s">
        <v>25</v>
      </c>
      <c r="Q857">
        <v>1738.42</v>
      </c>
      <c r="R857">
        <v>365.06819999999999</v>
      </c>
      <c r="S857" s="12">
        <v>1011.3012</v>
      </c>
    </row>
    <row r="858" spans="1:19" hidden="1" x14ac:dyDescent="0.25">
      <c r="A858" s="13">
        <v>45687</v>
      </c>
      <c r="B858" t="s">
        <v>442</v>
      </c>
      <c r="C858">
        <v>52229</v>
      </c>
      <c r="D858" t="s">
        <v>17</v>
      </c>
      <c r="E858" s="5">
        <v>34</v>
      </c>
      <c r="F858">
        <v>37.64</v>
      </c>
      <c r="G858" s="12" t="s">
        <v>76</v>
      </c>
      <c r="H858" s="11">
        <v>0.37</v>
      </c>
      <c r="I858" t="s">
        <v>734</v>
      </c>
      <c r="J858">
        <v>23.83</v>
      </c>
      <c r="K858" t="s">
        <v>37</v>
      </c>
      <c r="L858" t="s">
        <v>31</v>
      </c>
      <c r="M858" t="s">
        <v>111</v>
      </c>
      <c r="N858" t="s">
        <v>53</v>
      </c>
      <c r="O858" t="s">
        <v>24</v>
      </c>
      <c r="P858" t="s">
        <v>25</v>
      </c>
      <c r="Q858">
        <v>1580.88</v>
      </c>
      <c r="R858">
        <v>584.92560000000003</v>
      </c>
      <c r="S858" s="12">
        <v>968.19420000000002</v>
      </c>
    </row>
    <row r="859" spans="1:19" hidden="1" x14ac:dyDescent="0.25">
      <c r="A859" s="13">
        <v>45666</v>
      </c>
      <c r="B859" t="s">
        <v>157</v>
      </c>
      <c r="C859">
        <v>25548</v>
      </c>
      <c r="D859" t="s">
        <v>70</v>
      </c>
      <c r="E859" s="5">
        <v>19</v>
      </c>
      <c r="F859">
        <v>20.64</v>
      </c>
      <c r="G859" s="12" t="s">
        <v>76</v>
      </c>
      <c r="H859" s="11">
        <v>0.13</v>
      </c>
      <c r="I859" t="s">
        <v>734</v>
      </c>
      <c r="J859">
        <v>18.07</v>
      </c>
      <c r="K859" t="s">
        <v>50</v>
      </c>
      <c r="L859" t="s">
        <v>31</v>
      </c>
      <c r="M859" t="s">
        <v>22</v>
      </c>
      <c r="N859" t="s">
        <v>32</v>
      </c>
      <c r="O859" t="s">
        <v>39</v>
      </c>
      <c r="P859" t="s">
        <v>25</v>
      </c>
      <c r="Q859">
        <v>846.24</v>
      </c>
      <c r="R859">
        <v>110.0112</v>
      </c>
      <c r="S859" s="12">
        <v>954.40800000000002</v>
      </c>
    </row>
    <row r="860" spans="1:19" hidden="1" x14ac:dyDescent="0.25">
      <c r="A860" s="13">
        <v>45674</v>
      </c>
      <c r="B860" t="s">
        <v>237</v>
      </c>
      <c r="C860">
        <v>74829</v>
      </c>
      <c r="D860" t="s">
        <v>70</v>
      </c>
      <c r="E860" s="5">
        <v>33</v>
      </c>
      <c r="F860">
        <v>56.96</v>
      </c>
      <c r="G860" s="12" t="s">
        <v>76</v>
      </c>
      <c r="H860" s="11">
        <v>0.37</v>
      </c>
      <c r="I860" t="s">
        <v>734</v>
      </c>
      <c r="J860">
        <v>13.94</v>
      </c>
      <c r="K860" t="s">
        <v>37</v>
      </c>
      <c r="L860" t="s">
        <v>31</v>
      </c>
      <c r="M860" t="s">
        <v>111</v>
      </c>
      <c r="N860" t="s">
        <v>53</v>
      </c>
      <c r="O860" t="s">
        <v>24</v>
      </c>
      <c r="P860" t="s">
        <v>34</v>
      </c>
      <c r="Q860">
        <v>2392.3200000000002</v>
      </c>
      <c r="R860">
        <v>885.15840000000003</v>
      </c>
      <c r="S860" s="12">
        <v>928.17779999999993</v>
      </c>
    </row>
    <row r="861" spans="1:19" hidden="1" x14ac:dyDescent="0.25">
      <c r="A861" s="13">
        <v>45661</v>
      </c>
      <c r="B861" t="s">
        <v>102</v>
      </c>
      <c r="C861">
        <v>57351</v>
      </c>
      <c r="D861" t="s">
        <v>75</v>
      </c>
      <c r="E861" s="5">
        <v>26</v>
      </c>
      <c r="F861">
        <v>32.6</v>
      </c>
      <c r="G861" s="12" t="s">
        <v>76</v>
      </c>
      <c r="H861" s="11">
        <v>0.11</v>
      </c>
      <c r="I861" t="s">
        <v>19</v>
      </c>
      <c r="J861">
        <v>21.94</v>
      </c>
      <c r="K861" t="s">
        <v>50</v>
      </c>
      <c r="L861" t="s">
        <v>31</v>
      </c>
      <c r="M861" t="s">
        <v>22</v>
      </c>
      <c r="N861" t="s">
        <v>23</v>
      </c>
      <c r="O861" t="s">
        <v>39</v>
      </c>
      <c r="P861" t="s">
        <v>25</v>
      </c>
      <c r="Q861">
        <v>163</v>
      </c>
      <c r="R861">
        <v>17.93</v>
      </c>
      <c r="S861" s="12">
        <v>923.26</v>
      </c>
    </row>
    <row r="862" spans="1:19" x14ac:dyDescent="0.25">
      <c r="A862" s="13">
        <v>45693</v>
      </c>
      <c r="B862" t="s">
        <v>518</v>
      </c>
      <c r="C862">
        <v>85818</v>
      </c>
      <c r="D862" t="s">
        <v>42</v>
      </c>
      <c r="E862" s="5">
        <v>19</v>
      </c>
      <c r="F862" s="23">
        <v>38.75</v>
      </c>
      <c r="G862" s="12" t="s">
        <v>76</v>
      </c>
      <c r="H862" s="37">
        <v>0.48</v>
      </c>
      <c r="I862" t="s">
        <v>19</v>
      </c>
      <c r="J862" s="23">
        <v>19.18</v>
      </c>
      <c r="K862" t="s">
        <v>20</v>
      </c>
      <c r="L862" s="14" t="s">
        <v>21</v>
      </c>
      <c r="M862" t="s">
        <v>22</v>
      </c>
      <c r="N862" t="s">
        <v>53</v>
      </c>
      <c r="O862" t="s">
        <v>59</v>
      </c>
      <c r="P862" s="14" t="s">
        <v>34</v>
      </c>
      <c r="Q862" s="23">
        <v>1588.75</v>
      </c>
      <c r="R862" s="23">
        <v>762.6</v>
      </c>
      <c r="S862" s="24">
        <v>900.43470000000002</v>
      </c>
    </row>
    <row r="863" spans="1:19" hidden="1" x14ac:dyDescent="0.25">
      <c r="A863" s="13">
        <v>45680</v>
      </c>
      <c r="B863" t="s">
        <v>110</v>
      </c>
      <c r="C863">
        <v>76934</v>
      </c>
      <c r="D863" t="s">
        <v>17</v>
      </c>
      <c r="E863" s="5">
        <v>31</v>
      </c>
      <c r="F863">
        <v>43.81</v>
      </c>
      <c r="G863" s="12" t="s">
        <v>76</v>
      </c>
      <c r="H863" s="11">
        <v>0.35</v>
      </c>
      <c r="I863" t="s">
        <v>19</v>
      </c>
      <c r="J863">
        <v>7.23</v>
      </c>
      <c r="K863" t="s">
        <v>30</v>
      </c>
      <c r="L863" t="s">
        <v>31</v>
      </c>
      <c r="M863" t="s">
        <v>22</v>
      </c>
      <c r="N863" t="s">
        <v>38</v>
      </c>
      <c r="O863" t="s">
        <v>39</v>
      </c>
      <c r="P863" t="s">
        <v>40</v>
      </c>
      <c r="Q863">
        <v>1358.1100000000001</v>
      </c>
      <c r="R863">
        <v>475.33850000000001</v>
      </c>
      <c r="S863" s="12">
        <v>882.77150000000006</v>
      </c>
    </row>
    <row r="864" spans="1:19" hidden="1" x14ac:dyDescent="0.25">
      <c r="A864" s="13">
        <v>45682</v>
      </c>
      <c r="B864" t="s">
        <v>384</v>
      </c>
      <c r="C864">
        <v>26948</v>
      </c>
      <c r="D864" t="s">
        <v>66</v>
      </c>
      <c r="E864" s="5">
        <v>18</v>
      </c>
      <c r="F864">
        <v>1.4</v>
      </c>
      <c r="G864" s="12" t="s">
        <v>76</v>
      </c>
      <c r="H864" s="11">
        <v>0.22</v>
      </c>
      <c r="I864" t="s">
        <v>19</v>
      </c>
      <c r="J864">
        <v>11</v>
      </c>
      <c r="K864" t="s">
        <v>20</v>
      </c>
      <c r="L864" t="s">
        <v>31</v>
      </c>
      <c r="M864" t="s">
        <v>111</v>
      </c>
      <c r="N864" t="s">
        <v>23</v>
      </c>
      <c r="O864" t="s">
        <v>39</v>
      </c>
      <c r="P864" t="s">
        <v>25</v>
      </c>
      <c r="Q864">
        <v>50.4</v>
      </c>
      <c r="R864">
        <v>11.087999999999999</v>
      </c>
      <c r="S864" s="12">
        <v>864.63000000000011</v>
      </c>
    </row>
    <row r="865" spans="1:19" hidden="1" x14ac:dyDescent="0.25">
      <c r="A865" s="13">
        <v>45690</v>
      </c>
      <c r="B865" t="s">
        <v>485</v>
      </c>
      <c r="C865">
        <v>17350</v>
      </c>
      <c r="D865" t="s">
        <v>46</v>
      </c>
      <c r="E865" s="5">
        <v>45</v>
      </c>
      <c r="F865">
        <v>81.94</v>
      </c>
      <c r="G865" s="12" t="s">
        <v>76</v>
      </c>
      <c r="H865" s="11">
        <v>0.16</v>
      </c>
      <c r="I865" t="s">
        <v>29</v>
      </c>
      <c r="J865">
        <v>25.75</v>
      </c>
      <c r="K865" t="s">
        <v>20</v>
      </c>
      <c r="L865" t="s">
        <v>31</v>
      </c>
      <c r="M865" t="s">
        <v>22</v>
      </c>
      <c r="N865" t="s">
        <v>32</v>
      </c>
      <c r="O865" t="s">
        <v>81</v>
      </c>
      <c r="P865" t="s">
        <v>34</v>
      </c>
      <c r="Q865">
        <v>245.82</v>
      </c>
      <c r="R865">
        <v>39.331200000000003</v>
      </c>
      <c r="S865" s="12">
        <v>857.8845</v>
      </c>
    </row>
    <row r="866" spans="1:19" x14ac:dyDescent="0.25">
      <c r="A866" s="13">
        <v>45706</v>
      </c>
      <c r="B866" t="s">
        <v>659</v>
      </c>
      <c r="C866">
        <v>75060</v>
      </c>
      <c r="D866" t="s">
        <v>46</v>
      </c>
      <c r="E866" s="5">
        <v>11</v>
      </c>
      <c r="F866" s="23">
        <v>38.54</v>
      </c>
      <c r="G866" s="12" t="s">
        <v>76</v>
      </c>
      <c r="H866" s="37">
        <v>0.13</v>
      </c>
      <c r="I866" t="s">
        <v>29</v>
      </c>
      <c r="J866" s="23">
        <v>15.93</v>
      </c>
      <c r="K866" t="s">
        <v>37</v>
      </c>
      <c r="L866" s="14" t="s">
        <v>21</v>
      </c>
      <c r="M866" t="s">
        <v>22</v>
      </c>
      <c r="N866" t="s">
        <v>23</v>
      </c>
      <c r="O866" t="s">
        <v>24</v>
      </c>
      <c r="P866" s="14" t="s">
        <v>34</v>
      </c>
      <c r="Q866" s="23">
        <v>732.26</v>
      </c>
      <c r="R866" s="23">
        <v>95.193799999999996</v>
      </c>
      <c r="S866" s="24">
        <v>852.92900000000009</v>
      </c>
    </row>
    <row r="867" spans="1:19" hidden="1" x14ac:dyDescent="0.25">
      <c r="A867" s="13">
        <v>45696</v>
      </c>
      <c r="B867" t="s">
        <v>543</v>
      </c>
      <c r="C867">
        <v>82083</v>
      </c>
      <c r="D867" t="s">
        <v>17</v>
      </c>
      <c r="E867" s="5">
        <v>38</v>
      </c>
      <c r="F867">
        <v>52.02</v>
      </c>
      <c r="G867" s="12" t="s">
        <v>76</v>
      </c>
      <c r="H867" s="11">
        <v>0.17</v>
      </c>
      <c r="I867" t="s">
        <v>19</v>
      </c>
      <c r="J867">
        <v>29.18</v>
      </c>
      <c r="K867" t="s">
        <v>37</v>
      </c>
      <c r="L867" s="14" t="s">
        <v>21</v>
      </c>
      <c r="M867" t="s">
        <v>22</v>
      </c>
      <c r="N867" t="s">
        <v>38</v>
      </c>
      <c r="O867" t="s">
        <v>39</v>
      </c>
      <c r="P867" t="s">
        <v>40</v>
      </c>
      <c r="Q867">
        <v>1300.5</v>
      </c>
      <c r="R867">
        <v>221.08500000000001</v>
      </c>
      <c r="S867" s="12">
        <v>824.69119999999998</v>
      </c>
    </row>
    <row r="868" spans="1:19" x14ac:dyDescent="0.25">
      <c r="A868" s="13">
        <v>45691</v>
      </c>
      <c r="B868" t="s">
        <v>496</v>
      </c>
      <c r="C868">
        <v>45043</v>
      </c>
      <c r="D868" t="s">
        <v>27</v>
      </c>
      <c r="E868" s="5">
        <v>27</v>
      </c>
      <c r="F868" s="23">
        <v>71.37</v>
      </c>
      <c r="G868" s="12" t="s">
        <v>76</v>
      </c>
      <c r="H868" s="37">
        <v>0.2</v>
      </c>
      <c r="I868" t="s">
        <v>734</v>
      </c>
      <c r="J868" s="23">
        <v>24.06</v>
      </c>
      <c r="K868" t="s">
        <v>50</v>
      </c>
      <c r="L868" s="14" t="s">
        <v>21</v>
      </c>
      <c r="M868" t="s">
        <v>22</v>
      </c>
      <c r="N868" t="s">
        <v>53</v>
      </c>
      <c r="O868" t="s">
        <v>39</v>
      </c>
      <c r="P868" s="14" t="s">
        <v>34</v>
      </c>
      <c r="Q868" s="23">
        <v>2997.54</v>
      </c>
      <c r="R868" s="23">
        <v>599.50800000000004</v>
      </c>
      <c r="S868" s="24">
        <v>818.91</v>
      </c>
    </row>
    <row r="869" spans="1:19" hidden="1" x14ac:dyDescent="0.25">
      <c r="A869" s="13">
        <v>45707</v>
      </c>
      <c r="B869" t="s">
        <v>610</v>
      </c>
      <c r="C869">
        <v>53699</v>
      </c>
      <c r="D869" t="s">
        <v>57</v>
      </c>
      <c r="E869" s="5">
        <v>44</v>
      </c>
      <c r="F869">
        <v>73.209999999999994</v>
      </c>
      <c r="G869" s="12" t="s">
        <v>76</v>
      </c>
      <c r="H869" s="11">
        <v>0.32</v>
      </c>
      <c r="I869" t="s">
        <v>19</v>
      </c>
      <c r="J869">
        <v>15.69</v>
      </c>
      <c r="K869" t="s">
        <v>37</v>
      </c>
      <c r="L869" t="s">
        <v>31</v>
      </c>
      <c r="M869" t="s">
        <v>22</v>
      </c>
      <c r="N869" t="s">
        <v>38</v>
      </c>
      <c r="O869" t="s">
        <v>39</v>
      </c>
      <c r="P869" t="s">
        <v>34</v>
      </c>
      <c r="Q869">
        <v>805.31</v>
      </c>
      <c r="R869">
        <v>257.69919999999996</v>
      </c>
      <c r="S869" s="12">
        <v>793.40800000000013</v>
      </c>
    </row>
    <row r="870" spans="1:19" hidden="1" x14ac:dyDescent="0.25">
      <c r="A870" s="13">
        <v>45664</v>
      </c>
      <c r="B870" t="s">
        <v>149</v>
      </c>
      <c r="C870">
        <v>73531</v>
      </c>
      <c r="D870" t="s">
        <v>66</v>
      </c>
      <c r="E870" s="5">
        <v>39</v>
      </c>
      <c r="F870">
        <v>16.079999999999998</v>
      </c>
      <c r="G870" s="12" t="s">
        <v>76</v>
      </c>
      <c r="H870" s="11">
        <v>0.37</v>
      </c>
      <c r="I870" t="s">
        <v>19</v>
      </c>
      <c r="J870">
        <v>27.78</v>
      </c>
      <c r="K870" s="5" t="s">
        <v>44</v>
      </c>
      <c r="L870" s="14" t="s">
        <v>21</v>
      </c>
      <c r="M870" t="s">
        <v>22</v>
      </c>
      <c r="N870" t="s">
        <v>23</v>
      </c>
      <c r="O870" t="s">
        <v>59</v>
      </c>
      <c r="P870" t="s">
        <v>25</v>
      </c>
      <c r="Q870">
        <v>160.79999999999998</v>
      </c>
      <c r="R870">
        <v>59.495999999999995</v>
      </c>
      <c r="S870" s="12">
        <v>786.9498000000001</v>
      </c>
    </row>
    <row r="871" spans="1:19" hidden="1" x14ac:dyDescent="0.25">
      <c r="A871" s="13">
        <v>45705</v>
      </c>
      <c r="B871" t="s">
        <v>460</v>
      </c>
      <c r="C871">
        <v>55435</v>
      </c>
      <c r="D871" t="s">
        <v>70</v>
      </c>
      <c r="E871" s="5">
        <v>11</v>
      </c>
      <c r="F871">
        <v>84.49</v>
      </c>
      <c r="G871" s="12" t="s">
        <v>76</v>
      </c>
      <c r="H871" s="11">
        <v>0.44</v>
      </c>
      <c r="I871" t="s">
        <v>734</v>
      </c>
      <c r="J871">
        <v>25.44</v>
      </c>
      <c r="K871" s="5" t="s">
        <v>44</v>
      </c>
      <c r="L871" t="s">
        <v>31</v>
      </c>
      <c r="M871" t="s">
        <v>22</v>
      </c>
      <c r="N871" t="s">
        <v>53</v>
      </c>
      <c r="O871" t="s">
        <v>81</v>
      </c>
      <c r="P871" t="s">
        <v>25</v>
      </c>
      <c r="Q871">
        <v>2957.1499999999996</v>
      </c>
      <c r="R871">
        <v>1301.146</v>
      </c>
      <c r="S871" s="12">
        <v>730.19099999999992</v>
      </c>
    </row>
    <row r="872" spans="1:19" hidden="1" x14ac:dyDescent="0.25">
      <c r="A872" s="13">
        <v>45677</v>
      </c>
      <c r="B872" t="s">
        <v>298</v>
      </c>
      <c r="C872">
        <v>92618</v>
      </c>
      <c r="D872" t="s">
        <v>57</v>
      </c>
      <c r="E872" s="5">
        <v>33</v>
      </c>
      <c r="F872">
        <v>1.4</v>
      </c>
      <c r="G872" s="12" t="s">
        <v>76</v>
      </c>
      <c r="H872" s="11">
        <v>0.22</v>
      </c>
      <c r="I872" t="s">
        <v>19</v>
      </c>
      <c r="J872">
        <v>25.7</v>
      </c>
      <c r="K872" t="s">
        <v>37</v>
      </c>
      <c r="L872" t="s">
        <v>31</v>
      </c>
      <c r="M872" t="s">
        <v>22</v>
      </c>
      <c r="N872" t="s">
        <v>53</v>
      </c>
      <c r="O872" t="s">
        <v>39</v>
      </c>
      <c r="P872" t="s">
        <v>34</v>
      </c>
      <c r="Q872">
        <v>57.4</v>
      </c>
      <c r="R872">
        <v>12.628</v>
      </c>
      <c r="S872" s="12">
        <v>720.46259999999995</v>
      </c>
    </row>
    <row r="873" spans="1:19" x14ac:dyDescent="0.25">
      <c r="A873" s="13">
        <v>45709</v>
      </c>
      <c r="B873" t="s">
        <v>686</v>
      </c>
      <c r="C873">
        <v>66830</v>
      </c>
      <c r="D873" t="s">
        <v>27</v>
      </c>
      <c r="E873" s="5">
        <v>15</v>
      </c>
      <c r="F873" s="23">
        <v>24.45</v>
      </c>
      <c r="G873" s="12" t="s">
        <v>76</v>
      </c>
      <c r="H873" s="37">
        <v>0.35</v>
      </c>
      <c r="I873" t="s">
        <v>734</v>
      </c>
      <c r="J873" s="23">
        <v>27.69</v>
      </c>
      <c r="K873" s="5" t="s">
        <v>44</v>
      </c>
      <c r="L873" s="14" t="s">
        <v>21</v>
      </c>
      <c r="M873" t="s">
        <v>22</v>
      </c>
      <c r="N873" t="s">
        <v>53</v>
      </c>
      <c r="O873" t="s">
        <v>24</v>
      </c>
      <c r="P873" s="14" t="s">
        <v>34</v>
      </c>
      <c r="Q873" s="23">
        <v>220.04999999999998</v>
      </c>
      <c r="R873" s="23">
        <v>77.017499999999984</v>
      </c>
      <c r="S873" s="24">
        <v>665.53500000000008</v>
      </c>
    </row>
    <row r="874" spans="1:19" x14ac:dyDescent="0.25">
      <c r="A874" s="13">
        <v>45661</v>
      </c>
      <c r="B874" t="s">
        <v>114</v>
      </c>
      <c r="C874">
        <v>23270</v>
      </c>
      <c r="D874" t="s">
        <v>49</v>
      </c>
      <c r="E874" s="5">
        <v>23</v>
      </c>
      <c r="F874" s="23">
        <v>96.44</v>
      </c>
      <c r="G874" s="12" t="s">
        <v>76</v>
      </c>
      <c r="H874" s="37">
        <v>0.04</v>
      </c>
      <c r="I874" t="s">
        <v>734</v>
      </c>
      <c r="J874" s="23">
        <v>26.77</v>
      </c>
      <c r="K874" t="s">
        <v>20</v>
      </c>
      <c r="L874" s="14" t="s">
        <v>21</v>
      </c>
      <c r="M874" t="s">
        <v>22</v>
      </c>
      <c r="N874" t="s">
        <v>38</v>
      </c>
      <c r="O874" t="s">
        <v>24</v>
      </c>
      <c r="P874" s="14" t="s">
        <v>34</v>
      </c>
      <c r="Q874" s="23">
        <v>1157.28</v>
      </c>
      <c r="R874" s="23">
        <v>46.291199999999996</v>
      </c>
      <c r="S874" s="24">
        <v>610.16700000000003</v>
      </c>
    </row>
    <row r="875" spans="1:19" hidden="1" x14ac:dyDescent="0.25">
      <c r="A875" s="13">
        <v>45684</v>
      </c>
      <c r="B875" t="s">
        <v>404</v>
      </c>
      <c r="C875">
        <v>12561</v>
      </c>
      <c r="D875" t="s">
        <v>70</v>
      </c>
      <c r="E875" s="5">
        <v>9</v>
      </c>
      <c r="F875">
        <v>69.45</v>
      </c>
      <c r="G875" s="12" t="s">
        <v>76</v>
      </c>
      <c r="H875" s="11">
        <v>0.32</v>
      </c>
      <c r="I875" t="s">
        <v>734</v>
      </c>
      <c r="J875">
        <v>24.36</v>
      </c>
      <c r="K875" t="s">
        <v>20</v>
      </c>
      <c r="L875" s="14" t="s">
        <v>21</v>
      </c>
      <c r="M875" t="s">
        <v>111</v>
      </c>
      <c r="N875" t="s">
        <v>32</v>
      </c>
      <c r="O875" t="s">
        <v>33</v>
      </c>
      <c r="P875" t="s">
        <v>40</v>
      </c>
      <c r="Q875">
        <v>1597.3500000000001</v>
      </c>
      <c r="R875">
        <v>511.15200000000004</v>
      </c>
      <c r="S875" s="12">
        <v>607.59540000000004</v>
      </c>
    </row>
    <row r="876" spans="1:19" hidden="1" x14ac:dyDescent="0.25">
      <c r="A876" s="13">
        <v>45674</v>
      </c>
      <c r="B876" t="s">
        <v>236</v>
      </c>
      <c r="C876">
        <v>47573</v>
      </c>
      <c r="D876" t="s">
        <v>27</v>
      </c>
      <c r="E876" s="5">
        <v>13</v>
      </c>
      <c r="F876">
        <v>89.83</v>
      </c>
      <c r="G876" s="12" t="s">
        <v>76</v>
      </c>
      <c r="H876" s="11">
        <v>0.1</v>
      </c>
      <c r="I876" t="s">
        <v>734</v>
      </c>
      <c r="J876">
        <v>20.11</v>
      </c>
      <c r="K876" t="s">
        <v>30</v>
      </c>
      <c r="L876" s="14" t="s">
        <v>21</v>
      </c>
      <c r="M876" t="s">
        <v>22</v>
      </c>
      <c r="N876" t="s">
        <v>32</v>
      </c>
      <c r="O876" t="s">
        <v>81</v>
      </c>
      <c r="P876" t="s">
        <v>40</v>
      </c>
      <c r="Q876">
        <v>718.64</v>
      </c>
      <c r="R876">
        <v>71.864000000000004</v>
      </c>
      <c r="S876" s="12">
        <v>580.97389999999996</v>
      </c>
    </row>
    <row r="877" spans="1:19" x14ac:dyDescent="0.25">
      <c r="A877" s="13">
        <v>45691</v>
      </c>
      <c r="B877" t="s">
        <v>491</v>
      </c>
      <c r="C877">
        <v>63148</v>
      </c>
      <c r="D877" t="s">
        <v>42</v>
      </c>
      <c r="E877" s="5">
        <v>13</v>
      </c>
      <c r="F877" s="23">
        <v>63.04</v>
      </c>
      <c r="G877" s="12" t="s">
        <v>76</v>
      </c>
      <c r="H877" s="37">
        <v>0.33</v>
      </c>
      <c r="I877" t="s">
        <v>29</v>
      </c>
      <c r="J877" s="23">
        <v>23.72</v>
      </c>
      <c r="K877" t="s">
        <v>30</v>
      </c>
      <c r="L877" s="14" t="s">
        <v>21</v>
      </c>
      <c r="M877" t="s">
        <v>22</v>
      </c>
      <c r="N877" t="s">
        <v>23</v>
      </c>
      <c r="O877" t="s">
        <v>24</v>
      </c>
      <c r="P877" s="14" t="s">
        <v>34</v>
      </c>
      <c r="Q877" s="23">
        <v>252.16</v>
      </c>
      <c r="R877" s="23">
        <v>83.212800000000001</v>
      </c>
      <c r="S877" s="24">
        <v>561.88079999999991</v>
      </c>
    </row>
    <row r="878" spans="1:19" x14ac:dyDescent="0.25">
      <c r="A878" s="13">
        <v>45711</v>
      </c>
      <c r="B878" t="s">
        <v>222</v>
      </c>
      <c r="C878">
        <v>36242</v>
      </c>
      <c r="D878" t="s">
        <v>68</v>
      </c>
      <c r="E878" s="5">
        <v>13</v>
      </c>
      <c r="F878" s="23">
        <v>14.29</v>
      </c>
      <c r="G878" s="12" t="s">
        <v>76</v>
      </c>
      <c r="H878" s="37">
        <v>0.04</v>
      </c>
      <c r="I878" t="s">
        <v>29</v>
      </c>
      <c r="J878" s="23">
        <v>7.12</v>
      </c>
      <c r="K878" t="s">
        <v>37</v>
      </c>
      <c r="L878" s="14" t="s">
        <v>21</v>
      </c>
      <c r="M878" t="s">
        <v>22</v>
      </c>
      <c r="N878" t="s">
        <v>23</v>
      </c>
      <c r="O878" t="s">
        <v>24</v>
      </c>
      <c r="P878" s="14" t="s">
        <v>34</v>
      </c>
      <c r="Q878" s="23">
        <v>185.76999999999998</v>
      </c>
      <c r="R878" s="23">
        <v>7.4307999999999996</v>
      </c>
      <c r="S878" s="24">
        <v>545.16540000000009</v>
      </c>
    </row>
    <row r="879" spans="1:19" hidden="1" x14ac:dyDescent="0.25">
      <c r="A879" s="13">
        <v>45700</v>
      </c>
      <c r="B879" t="s">
        <v>180</v>
      </c>
      <c r="C879">
        <v>66617</v>
      </c>
      <c r="D879" t="s">
        <v>42</v>
      </c>
      <c r="E879" s="5">
        <v>30</v>
      </c>
      <c r="F879">
        <v>85.51</v>
      </c>
      <c r="G879" s="12" t="s">
        <v>76</v>
      </c>
      <c r="H879" s="11">
        <v>0.33</v>
      </c>
      <c r="I879" t="s">
        <v>19</v>
      </c>
      <c r="J879">
        <v>28.3</v>
      </c>
      <c r="K879" t="s">
        <v>37</v>
      </c>
      <c r="L879" t="s">
        <v>31</v>
      </c>
      <c r="M879" t="s">
        <v>22</v>
      </c>
      <c r="N879" t="s">
        <v>53</v>
      </c>
      <c r="O879" t="s">
        <v>33</v>
      </c>
      <c r="P879" t="s">
        <v>34</v>
      </c>
      <c r="Q879">
        <v>2052.2400000000002</v>
      </c>
      <c r="R879">
        <v>677.2392000000001</v>
      </c>
      <c r="S879" s="12">
        <v>540.36</v>
      </c>
    </row>
    <row r="880" spans="1:19" x14ac:dyDescent="0.25">
      <c r="A880" s="13">
        <v>45705</v>
      </c>
      <c r="B880" t="s">
        <v>542</v>
      </c>
      <c r="C880">
        <v>56913</v>
      </c>
      <c r="D880" t="s">
        <v>57</v>
      </c>
      <c r="E880" s="5">
        <v>14</v>
      </c>
      <c r="F880" s="23">
        <v>17.89</v>
      </c>
      <c r="G880" s="12" t="s">
        <v>76</v>
      </c>
      <c r="H880" s="37">
        <v>0.49</v>
      </c>
      <c r="I880" t="s">
        <v>29</v>
      </c>
      <c r="J880" s="23">
        <v>16.149999999999999</v>
      </c>
      <c r="K880" s="5" t="s">
        <v>44</v>
      </c>
      <c r="L880" s="14" t="s">
        <v>21</v>
      </c>
      <c r="M880" t="s">
        <v>22</v>
      </c>
      <c r="N880" t="s">
        <v>23</v>
      </c>
      <c r="O880" t="s">
        <v>81</v>
      </c>
      <c r="P880" s="14" t="s">
        <v>34</v>
      </c>
      <c r="Q880" s="23">
        <v>268.35000000000002</v>
      </c>
      <c r="R880" s="23">
        <v>131.4915</v>
      </c>
      <c r="S880" s="24">
        <v>495.56640000000004</v>
      </c>
    </row>
    <row r="881" spans="1:19" hidden="1" x14ac:dyDescent="0.25">
      <c r="A881" s="13">
        <v>45677</v>
      </c>
      <c r="B881" t="s">
        <v>235</v>
      </c>
      <c r="C881">
        <v>63177</v>
      </c>
      <c r="D881" t="s">
        <v>89</v>
      </c>
      <c r="E881" s="5">
        <v>40</v>
      </c>
      <c r="F881">
        <v>12.29</v>
      </c>
      <c r="G881" s="12" t="s">
        <v>76</v>
      </c>
      <c r="H881" s="11">
        <v>0.06</v>
      </c>
      <c r="I881" t="s">
        <v>734</v>
      </c>
      <c r="J881">
        <v>28.07</v>
      </c>
      <c r="K881" t="s">
        <v>50</v>
      </c>
      <c r="L881" s="14" t="s">
        <v>21</v>
      </c>
      <c r="M881" t="s">
        <v>111</v>
      </c>
      <c r="N881" t="s">
        <v>23</v>
      </c>
      <c r="O881" t="s">
        <v>81</v>
      </c>
      <c r="P881" t="s">
        <v>25</v>
      </c>
      <c r="Q881">
        <v>307.25</v>
      </c>
      <c r="R881">
        <v>18.434999999999999</v>
      </c>
      <c r="S881" s="12">
        <v>448.88</v>
      </c>
    </row>
    <row r="882" spans="1:19" hidden="1" x14ac:dyDescent="0.25">
      <c r="A882" s="13">
        <v>45672</v>
      </c>
      <c r="B882" t="s">
        <v>206</v>
      </c>
      <c r="C882">
        <v>95868</v>
      </c>
      <c r="D882" t="s">
        <v>89</v>
      </c>
      <c r="E882" s="5">
        <v>7</v>
      </c>
      <c r="F882">
        <v>34.31</v>
      </c>
      <c r="G882" s="12" t="s">
        <v>76</v>
      </c>
      <c r="H882" s="11">
        <v>0.15</v>
      </c>
      <c r="I882" t="s">
        <v>19</v>
      </c>
      <c r="J882">
        <v>23.76</v>
      </c>
      <c r="K882" s="5" t="s">
        <v>44</v>
      </c>
      <c r="L882" t="s">
        <v>31</v>
      </c>
      <c r="M882" t="s">
        <v>22</v>
      </c>
      <c r="N882" t="s">
        <v>53</v>
      </c>
      <c r="O882" t="s">
        <v>59</v>
      </c>
      <c r="P882" t="s">
        <v>25</v>
      </c>
      <c r="Q882">
        <v>754.82</v>
      </c>
      <c r="R882">
        <v>113.223</v>
      </c>
      <c r="S882" s="12">
        <v>442.15640000000002</v>
      </c>
    </row>
    <row r="883" spans="1:19" hidden="1" x14ac:dyDescent="0.25">
      <c r="A883" s="13">
        <v>45699</v>
      </c>
      <c r="B883" t="s">
        <v>584</v>
      </c>
      <c r="C883">
        <v>38370</v>
      </c>
      <c r="D883" t="s">
        <v>17</v>
      </c>
      <c r="E883" s="5">
        <v>39</v>
      </c>
      <c r="F883">
        <v>86.15</v>
      </c>
      <c r="G883" s="12" t="s">
        <v>76</v>
      </c>
      <c r="H883" s="11">
        <v>0.37</v>
      </c>
      <c r="I883" t="s">
        <v>29</v>
      </c>
      <c r="J883">
        <v>17.61</v>
      </c>
      <c r="K883" t="s">
        <v>30</v>
      </c>
      <c r="L883" s="14" t="s">
        <v>21</v>
      </c>
      <c r="M883" t="s">
        <v>22</v>
      </c>
      <c r="N883" t="s">
        <v>23</v>
      </c>
      <c r="O883" t="s">
        <v>24</v>
      </c>
      <c r="P883" t="s">
        <v>40</v>
      </c>
      <c r="Q883">
        <v>3704.4500000000003</v>
      </c>
      <c r="R883">
        <v>1370.6465000000001</v>
      </c>
      <c r="S883" s="12">
        <v>440.79750000000001</v>
      </c>
    </row>
    <row r="884" spans="1:19" x14ac:dyDescent="0.25">
      <c r="A884" s="13">
        <v>45696</v>
      </c>
      <c r="B884" t="s">
        <v>553</v>
      </c>
      <c r="C884">
        <v>46316</v>
      </c>
      <c r="D884" t="s">
        <v>75</v>
      </c>
      <c r="E884" s="5">
        <v>9</v>
      </c>
      <c r="F884" s="23">
        <v>58.19</v>
      </c>
      <c r="G884" s="12" t="s">
        <v>76</v>
      </c>
      <c r="H884" s="37">
        <v>0.15</v>
      </c>
      <c r="I884" t="s">
        <v>19</v>
      </c>
      <c r="J884" s="23">
        <v>26.27</v>
      </c>
      <c r="K884" t="s">
        <v>20</v>
      </c>
      <c r="L884" s="14" t="s">
        <v>21</v>
      </c>
      <c r="M884" t="s">
        <v>22</v>
      </c>
      <c r="N884" t="s">
        <v>32</v>
      </c>
      <c r="O884" t="s">
        <v>81</v>
      </c>
      <c r="P884" s="14" t="s">
        <v>34</v>
      </c>
      <c r="Q884" s="23">
        <v>1920.27</v>
      </c>
      <c r="R884" s="23">
        <v>288.04050000000001</v>
      </c>
      <c r="S884" s="24">
        <v>423.12959999999998</v>
      </c>
    </row>
    <row r="885" spans="1:19" x14ac:dyDescent="0.25">
      <c r="A885" s="13">
        <v>45697</v>
      </c>
      <c r="B885" t="s">
        <v>559</v>
      </c>
      <c r="C885">
        <v>31097</v>
      </c>
      <c r="D885" t="s">
        <v>27</v>
      </c>
      <c r="E885" s="5">
        <v>8</v>
      </c>
      <c r="F885" s="23">
        <v>61.61</v>
      </c>
      <c r="G885" s="12" t="s">
        <v>76</v>
      </c>
      <c r="H885" s="37">
        <v>0.48</v>
      </c>
      <c r="I885" t="s">
        <v>734</v>
      </c>
      <c r="J885" s="23">
        <v>26.2</v>
      </c>
      <c r="K885" s="5" t="s">
        <v>44</v>
      </c>
      <c r="L885" s="14" t="s">
        <v>21</v>
      </c>
      <c r="M885" t="s">
        <v>22</v>
      </c>
      <c r="N885" t="s">
        <v>23</v>
      </c>
      <c r="O885" t="s">
        <v>24</v>
      </c>
      <c r="P885" s="14" t="s">
        <v>34</v>
      </c>
      <c r="Q885" s="23">
        <v>2094.7399999999998</v>
      </c>
      <c r="R885" s="23">
        <v>1005.4751999999999</v>
      </c>
      <c r="S885" s="24">
        <v>388.16639999999995</v>
      </c>
    </row>
    <row r="886" spans="1:19" hidden="1" x14ac:dyDescent="0.25">
      <c r="A886" s="13">
        <v>45701</v>
      </c>
      <c r="B886" t="s">
        <v>151</v>
      </c>
      <c r="C886">
        <v>39906</v>
      </c>
      <c r="D886" t="s">
        <v>27</v>
      </c>
      <c r="E886" s="5">
        <v>9</v>
      </c>
      <c r="F886">
        <v>52.56</v>
      </c>
      <c r="G886" s="12" t="s">
        <v>76</v>
      </c>
      <c r="H886" s="11">
        <v>0.41</v>
      </c>
      <c r="I886" t="s">
        <v>29</v>
      </c>
      <c r="J886">
        <v>28.13</v>
      </c>
      <c r="K886" t="s">
        <v>20</v>
      </c>
      <c r="L886" t="s">
        <v>31</v>
      </c>
      <c r="M886" t="s">
        <v>22</v>
      </c>
      <c r="N886" t="s">
        <v>23</v>
      </c>
      <c r="O886" t="s">
        <v>59</v>
      </c>
      <c r="P886" t="s">
        <v>40</v>
      </c>
      <c r="Q886">
        <v>2312.6400000000003</v>
      </c>
      <c r="R886">
        <v>948.18240000000003</v>
      </c>
      <c r="S886" s="12">
        <v>381.36419999999998</v>
      </c>
    </row>
    <row r="887" spans="1:19" hidden="1" x14ac:dyDescent="0.25">
      <c r="A887" s="13">
        <v>45706</v>
      </c>
      <c r="B887" t="s">
        <v>657</v>
      </c>
      <c r="C887">
        <v>23955</v>
      </c>
      <c r="D887" t="s">
        <v>49</v>
      </c>
      <c r="E887" s="5">
        <v>18</v>
      </c>
      <c r="F887">
        <v>56</v>
      </c>
      <c r="G887" s="12" t="s">
        <v>76</v>
      </c>
      <c r="H887" s="11">
        <v>0.38</v>
      </c>
      <c r="I887" t="s">
        <v>19</v>
      </c>
      <c r="J887">
        <v>15.73</v>
      </c>
      <c r="K887" t="s">
        <v>50</v>
      </c>
      <c r="L887" t="s">
        <v>31</v>
      </c>
      <c r="M887" t="s">
        <v>22</v>
      </c>
      <c r="N887" t="s">
        <v>23</v>
      </c>
      <c r="O887" t="s">
        <v>33</v>
      </c>
      <c r="P887" t="s">
        <v>40</v>
      </c>
      <c r="Q887">
        <v>2520</v>
      </c>
      <c r="R887">
        <v>957.6</v>
      </c>
      <c r="S887" s="12">
        <v>366.7176</v>
      </c>
    </row>
    <row r="888" spans="1:19" hidden="1" x14ac:dyDescent="0.25">
      <c r="A888" s="13">
        <v>45680</v>
      </c>
      <c r="B888" t="s">
        <v>350</v>
      </c>
      <c r="C888">
        <v>57620</v>
      </c>
      <c r="D888" t="s">
        <v>17</v>
      </c>
      <c r="E888" s="5">
        <v>26</v>
      </c>
      <c r="F888">
        <v>56.33</v>
      </c>
      <c r="G888" s="12" t="s">
        <v>76</v>
      </c>
      <c r="H888" s="11">
        <v>0.44</v>
      </c>
      <c r="I888" t="s">
        <v>19</v>
      </c>
      <c r="J888">
        <v>14.12</v>
      </c>
      <c r="K888" t="s">
        <v>37</v>
      </c>
      <c r="L888" t="s">
        <v>31</v>
      </c>
      <c r="M888" t="s">
        <v>22</v>
      </c>
      <c r="N888" t="s">
        <v>53</v>
      </c>
      <c r="O888" t="s">
        <v>33</v>
      </c>
      <c r="P888" t="s">
        <v>34</v>
      </c>
      <c r="Q888">
        <v>957.61</v>
      </c>
      <c r="R888">
        <v>421.34840000000003</v>
      </c>
      <c r="S888" s="12">
        <v>326.54959999999994</v>
      </c>
    </row>
    <row r="889" spans="1:19" hidden="1" x14ac:dyDescent="0.25">
      <c r="A889" s="13">
        <v>45679</v>
      </c>
      <c r="B889" t="s">
        <v>326</v>
      </c>
      <c r="C889">
        <v>68632</v>
      </c>
      <c r="D889" t="s">
        <v>75</v>
      </c>
      <c r="E889" s="5">
        <v>24</v>
      </c>
      <c r="F889">
        <v>47.95</v>
      </c>
      <c r="G889" s="12" t="s">
        <v>76</v>
      </c>
      <c r="H889" s="11">
        <v>0.1</v>
      </c>
      <c r="I889" t="s">
        <v>734</v>
      </c>
      <c r="J889">
        <v>6.49</v>
      </c>
      <c r="K889" t="s">
        <v>50</v>
      </c>
      <c r="L889" t="s">
        <v>31</v>
      </c>
      <c r="M889" t="s">
        <v>22</v>
      </c>
      <c r="N889" t="s">
        <v>23</v>
      </c>
      <c r="O889" t="s">
        <v>39</v>
      </c>
      <c r="P889" t="s">
        <v>40</v>
      </c>
      <c r="Q889">
        <v>1534.4</v>
      </c>
      <c r="R889">
        <v>153.44000000000003</v>
      </c>
      <c r="S889" s="12">
        <v>289.46159999999998</v>
      </c>
    </row>
    <row r="890" spans="1:19" hidden="1" x14ac:dyDescent="0.25">
      <c r="A890" s="13">
        <v>45677</v>
      </c>
      <c r="B890" t="s">
        <v>71</v>
      </c>
      <c r="C890">
        <v>98958</v>
      </c>
      <c r="D890" t="s">
        <v>46</v>
      </c>
      <c r="E890" s="5">
        <v>25</v>
      </c>
      <c r="F890">
        <v>33.26</v>
      </c>
      <c r="G890" s="12" t="s">
        <v>76</v>
      </c>
      <c r="H890" s="11">
        <v>0.28000000000000003</v>
      </c>
      <c r="I890" t="s">
        <v>19</v>
      </c>
      <c r="J890">
        <v>16.920000000000002</v>
      </c>
      <c r="K890" s="5" t="s">
        <v>44</v>
      </c>
      <c r="L890" t="s">
        <v>31</v>
      </c>
      <c r="M890" t="s">
        <v>22</v>
      </c>
      <c r="N890" t="s">
        <v>23</v>
      </c>
      <c r="O890" t="s">
        <v>33</v>
      </c>
      <c r="P890" t="s">
        <v>25</v>
      </c>
      <c r="Q890">
        <v>1529.9599999999998</v>
      </c>
      <c r="R890">
        <v>428.3888</v>
      </c>
      <c r="S890" s="12">
        <v>288.815</v>
      </c>
    </row>
    <row r="891" spans="1:19" hidden="1" x14ac:dyDescent="0.25">
      <c r="A891" s="13">
        <v>45688</v>
      </c>
      <c r="B891" t="s">
        <v>458</v>
      </c>
      <c r="C891">
        <v>48634</v>
      </c>
      <c r="D891" t="s">
        <v>66</v>
      </c>
      <c r="E891" s="5">
        <v>40</v>
      </c>
      <c r="F891">
        <v>57.97</v>
      </c>
      <c r="G891" s="12" t="s">
        <v>76</v>
      </c>
      <c r="H891" s="11">
        <v>0.4</v>
      </c>
      <c r="I891" t="s">
        <v>734</v>
      </c>
      <c r="J891">
        <v>6.26</v>
      </c>
      <c r="K891" s="5" t="s">
        <v>44</v>
      </c>
      <c r="L891" s="14" t="s">
        <v>21</v>
      </c>
      <c r="M891" t="s">
        <v>22</v>
      </c>
      <c r="N891" t="s">
        <v>32</v>
      </c>
      <c r="O891" t="s">
        <v>33</v>
      </c>
      <c r="P891" t="s">
        <v>40</v>
      </c>
      <c r="Q891">
        <v>2028.95</v>
      </c>
      <c r="R891">
        <v>811.58</v>
      </c>
      <c r="S891" s="12">
        <v>276.8</v>
      </c>
    </row>
    <row r="892" spans="1:19" hidden="1" x14ac:dyDescent="0.25">
      <c r="A892" s="13">
        <v>45692</v>
      </c>
      <c r="B892" t="s">
        <v>506</v>
      </c>
      <c r="C892">
        <v>24516</v>
      </c>
      <c r="D892" t="s">
        <v>89</v>
      </c>
      <c r="E892" s="5">
        <v>18</v>
      </c>
      <c r="F892">
        <v>24.49</v>
      </c>
      <c r="G892" s="12" t="s">
        <v>76</v>
      </c>
      <c r="H892" s="11">
        <v>0.1</v>
      </c>
      <c r="I892" t="s">
        <v>29</v>
      </c>
      <c r="J892">
        <v>20.399999999999999</v>
      </c>
      <c r="K892" t="s">
        <v>37</v>
      </c>
      <c r="L892" t="s">
        <v>31</v>
      </c>
      <c r="M892" t="s">
        <v>22</v>
      </c>
      <c r="N892" t="s">
        <v>53</v>
      </c>
      <c r="O892" t="s">
        <v>39</v>
      </c>
      <c r="P892" t="s">
        <v>25</v>
      </c>
      <c r="Q892">
        <v>244.89999999999998</v>
      </c>
      <c r="R892">
        <v>24.49</v>
      </c>
      <c r="S892" s="12">
        <v>271.64160000000004</v>
      </c>
    </row>
    <row r="893" spans="1:19" hidden="1" x14ac:dyDescent="0.25">
      <c r="A893" s="13">
        <v>45684</v>
      </c>
      <c r="B893" t="s">
        <v>67</v>
      </c>
      <c r="C893">
        <v>90517</v>
      </c>
      <c r="D893" t="s">
        <v>57</v>
      </c>
      <c r="E893" s="5">
        <v>5</v>
      </c>
      <c r="F893">
        <v>97.73</v>
      </c>
      <c r="G893" s="12" t="s">
        <v>76</v>
      </c>
      <c r="H893" s="11">
        <v>0.28000000000000003</v>
      </c>
      <c r="I893" t="s">
        <v>19</v>
      </c>
      <c r="J893">
        <v>11.06</v>
      </c>
      <c r="K893" s="5" t="s">
        <v>44</v>
      </c>
      <c r="L893" s="14" t="s">
        <v>21</v>
      </c>
      <c r="M893" t="s">
        <v>22</v>
      </c>
      <c r="N893" t="s">
        <v>53</v>
      </c>
      <c r="O893" t="s">
        <v>33</v>
      </c>
      <c r="P893" t="s">
        <v>25</v>
      </c>
      <c r="Q893">
        <v>4495.58</v>
      </c>
      <c r="R893">
        <v>1258.7624000000001</v>
      </c>
      <c r="S893" s="12">
        <v>214.37799999999999</v>
      </c>
    </row>
    <row r="894" spans="1:19" hidden="1" x14ac:dyDescent="0.25">
      <c r="A894" s="13">
        <v>45675</v>
      </c>
      <c r="B894" t="s">
        <v>249</v>
      </c>
      <c r="C894">
        <v>70500</v>
      </c>
      <c r="D894" t="s">
        <v>17</v>
      </c>
      <c r="E894" s="5">
        <v>20</v>
      </c>
      <c r="F894">
        <v>36.200000000000003</v>
      </c>
      <c r="G894" s="12" t="s">
        <v>76</v>
      </c>
      <c r="H894" s="11">
        <v>0.19</v>
      </c>
      <c r="I894" t="s">
        <v>19</v>
      </c>
      <c r="J894">
        <v>26.85</v>
      </c>
      <c r="K894" t="s">
        <v>30</v>
      </c>
      <c r="L894" s="14" t="s">
        <v>21</v>
      </c>
      <c r="M894" t="s">
        <v>22</v>
      </c>
      <c r="N894" t="s">
        <v>32</v>
      </c>
      <c r="O894" t="s">
        <v>81</v>
      </c>
      <c r="P894" t="s">
        <v>40</v>
      </c>
      <c r="Q894">
        <v>941.2</v>
      </c>
      <c r="R894">
        <v>178.828</v>
      </c>
      <c r="S894" s="12">
        <v>205.88400000000001</v>
      </c>
    </row>
    <row r="895" spans="1:19" hidden="1" x14ac:dyDescent="0.25">
      <c r="A895" s="13">
        <v>45678</v>
      </c>
      <c r="B895" t="s">
        <v>308</v>
      </c>
      <c r="C895">
        <v>57059</v>
      </c>
      <c r="D895" t="s">
        <v>49</v>
      </c>
      <c r="E895" s="5">
        <v>10</v>
      </c>
      <c r="F895">
        <v>4.26</v>
      </c>
      <c r="G895" s="12" t="s">
        <v>76</v>
      </c>
      <c r="H895" s="11">
        <v>0.21</v>
      </c>
      <c r="I895" t="s">
        <v>29</v>
      </c>
      <c r="J895">
        <v>16.43</v>
      </c>
      <c r="K895" t="s">
        <v>50</v>
      </c>
      <c r="L895" s="14" t="s">
        <v>21</v>
      </c>
      <c r="M895" t="s">
        <v>111</v>
      </c>
      <c r="N895" t="s">
        <v>38</v>
      </c>
      <c r="O895" t="s">
        <v>24</v>
      </c>
      <c r="P895" t="s">
        <v>25</v>
      </c>
      <c r="Q895">
        <v>12.78</v>
      </c>
      <c r="R895">
        <v>2.6837999999999997</v>
      </c>
      <c r="S895" s="12">
        <v>175.68</v>
      </c>
    </row>
    <row r="896" spans="1:19" hidden="1" x14ac:dyDescent="0.25">
      <c r="A896" s="13">
        <v>45687</v>
      </c>
      <c r="B896" t="s">
        <v>361</v>
      </c>
      <c r="C896">
        <v>17881</v>
      </c>
      <c r="D896" t="s">
        <v>42</v>
      </c>
      <c r="E896" s="5">
        <v>16</v>
      </c>
      <c r="F896">
        <v>16.22</v>
      </c>
      <c r="G896" s="12" t="s">
        <v>76</v>
      </c>
      <c r="H896" s="11">
        <v>0.31</v>
      </c>
      <c r="I896" t="s">
        <v>734</v>
      </c>
      <c r="J896">
        <v>10.11</v>
      </c>
      <c r="K896" s="5" t="s">
        <v>44</v>
      </c>
      <c r="L896" t="s">
        <v>31</v>
      </c>
      <c r="M896" t="s">
        <v>22</v>
      </c>
      <c r="N896" t="s">
        <v>53</v>
      </c>
      <c r="O896" t="s">
        <v>59</v>
      </c>
      <c r="P896" t="s">
        <v>25</v>
      </c>
      <c r="Q896">
        <v>275.74</v>
      </c>
      <c r="R896">
        <v>85.479399999999998</v>
      </c>
      <c r="S896" s="12">
        <v>169.2432</v>
      </c>
    </row>
    <row r="897" spans="1:19" hidden="1" x14ac:dyDescent="0.25">
      <c r="A897" s="13">
        <v>45679</v>
      </c>
      <c r="B897" t="s">
        <v>332</v>
      </c>
      <c r="C897">
        <v>97317</v>
      </c>
      <c r="D897" t="s">
        <v>42</v>
      </c>
      <c r="E897" s="5">
        <v>37</v>
      </c>
      <c r="F897">
        <v>20.91</v>
      </c>
      <c r="G897" s="12" t="s">
        <v>76</v>
      </c>
      <c r="H897" s="11">
        <v>0.41</v>
      </c>
      <c r="I897" t="s">
        <v>734</v>
      </c>
      <c r="J897">
        <v>6.33</v>
      </c>
      <c r="K897" s="5" t="s">
        <v>44</v>
      </c>
      <c r="L897" s="14" t="s">
        <v>21</v>
      </c>
      <c r="M897" t="s">
        <v>22</v>
      </c>
      <c r="N897" t="s">
        <v>53</v>
      </c>
      <c r="O897" t="s">
        <v>59</v>
      </c>
      <c r="P897" t="s">
        <v>25</v>
      </c>
      <c r="Q897">
        <v>940.95</v>
      </c>
      <c r="R897">
        <v>385.78949999999998</v>
      </c>
      <c r="S897" s="12">
        <v>168.6978</v>
      </c>
    </row>
    <row r="898" spans="1:19" hidden="1" x14ac:dyDescent="0.25">
      <c r="A898" s="13">
        <v>45660</v>
      </c>
      <c r="B898" t="s">
        <v>90</v>
      </c>
      <c r="C898">
        <v>73837</v>
      </c>
      <c r="D898" t="s">
        <v>46</v>
      </c>
      <c r="E898" s="5">
        <v>5</v>
      </c>
      <c r="F898">
        <v>53</v>
      </c>
      <c r="G898" s="12" t="s">
        <v>76</v>
      </c>
      <c r="H898" s="11">
        <v>0.38</v>
      </c>
      <c r="I898" t="s">
        <v>734</v>
      </c>
      <c r="J898">
        <v>26.49</v>
      </c>
      <c r="K898" t="s">
        <v>30</v>
      </c>
      <c r="L898" s="14" t="s">
        <v>21</v>
      </c>
      <c r="M898" t="s">
        <v>22</v>
      </c>
      <c r="N898" t="s">
        <v>38</v>
      </c>
      <c r="O898" t="s">
        <v>81</v>
      </c>
      <c r="P898" t="s">
        <v>40</v>
      </c>
      <c r="Q898">
        <v>742</v>
      </c>
      <c r="R898">
        <v>281.95999999999998</v>
      </c>
      <c r="S898" s="12">
        <v>144.61500000000001</v>
      </c>
    </row>
    <row r="899" spans="1:19" hidden="1" x14ac:dyDescent="0.25">
      <c r="A899" s="13">
        <v>45678</v>
      </c>
      <c r="B899" t="s">
        <v>317</v>
      </c>
      <c r="C899">
        <v>34672</v>
      </c>
      <c r="D899" t="s">
        <v>46</v>
      </c>
      <c r="E899" s="5">
        <v>8</v>
      </c>
      <c r="F899">
        <v>77.400000000000006</v>
      </c>
      <c r="G899" s="12" t="s">
        <v>76</v>
      </c>
      <c r="H899" s="11">
        <v>0.22</v>
      </c>
      <c r="I899" t="s">
        <v>19</v>
      </c>
      <c r="J899">
        <v>25.08</v>
      </c>
      <c r="K899" s="5" t="s">
        <v>44</v>
      </c>
      <c r="L899" t="s">
        <v>31</v>
      </c>
      <c r="M899" t="s">
        <v>22</v>
      </c>
      <c r="N899" t="s">
        <v>32</v>
      </c>
      <c r="O899" t="s">
        <v>59</v>
      </c>
      <c r="P899" t="s">
        <v>34</v>
      </c>
      <c r="Q899">
        <v>3018.6000000000004</v>
      </c>
      <c r="R899">
        <v>664.0920000000001</v>
      </c>
      <c r="S899" s="12">
        <v>134.44</v>
      </c>
    </row>
    <row r="900" spans="1:19" hidden="1" x14ac:dyDescent="0.25">
      <c r="A900" s="13">
        <v>45693</v>
      </c>
      <c r="B900" t="s">
        <v>472</v>
      </c>
      <c r="C900">
        <v>18541</v>
      </c>
      <c r="D900" t="s">
        <v>70</v>
      </c>
      <c r="E900" s="5">
        <v>9</v>
      </c>
      <c r="F900">
        <v>78.98</v>
      </c>
      <c r="G900" s="12" t="s">
        <v>76</v>
      </c>
      <c r="H900" s="11">
        <v>0.48</v>
      </c>
      <c r="I900" t="s">
        <v>19</v>
      </c>
      <c r="J900">
        <v>11.83</v>
      </c>
      <c r="K900" t="s">
        <v>20</v>
      </c>
      <c r="L900" t="s">
        <v>31</v>
      </c>
      <c r="M900" t="s">
        <v>22</v>
      </c>
      <c r="N900" t="s">
        <v>32</v>
      </c>
      <c r="O900" t="s">
        <v>24</v>
      </c>
      <c r="P900" t="s">
        <v>25</v>
      </c>
      <c r="Q900">
        <v>2448.38</v>
      </c>
      <c r="R900">
        <v>1175.2224000000001</v>
      </c>
      <c r="S900" s="12">
        <v>110.23560000000001</v>
      </c>
    </row>
    <row r="901" spans="1:19" hidden="1" x14ac:dyDescent="0.25">
      <c r="A901" s="13">
        <v>45677</v>
      </c>
      <c r="B901" t="s">
        <v>302</v>
      </c>
      <c r="C901">
        <v>11760</v>
      </c>
      <c r="D901" t="s">
        <v>70</v>
      </c>
      <c r="E901" s="5">
        <v>17</v>
      </c>
      <c r="F901">
        <v>40.43</v>
      </c>
      <c r="G901" s="12" t="s">
        <v>76</v>
      </c>
      <c r="H901" s="11">
        <v>0.46</v>
      </c>
      <c r="I901" t="s">
        <v>19</v>
      </c>
      <c r="J901">
        <v>25.74</v>
      </c>
      <c r="K901" t="s">
        <v>50</v>
      </c>
      <c r="L901" s="14" t="s">
        <v>21</v>
      </c>
      <c r="M901" t="s">
        <v>22</v>
      </c>
      <c r="N901" t="s">
        <v>32</v>
      </c>
      <c r="O901" t="s">
        <v>33</v>
      </c>
      <c r="P901" t="s">
        <v>25</v>
      </c>
      <c r="Q901">
        <v>1334.19</v>
      </c>
      <c r="R901">
        <v>613.7274000000001</v>
      </c>
      <c r="S901" s="12">
        <v>99.297000000000011</v>
      </c>
    </row>
    <row r="902" spans="1:19" hidden="1" x14ac:dyDescent="0.25">
      <c r="A902" s="13">
        <v>45693</v>
      </c>
      <c r="B902" t="s">
        <v>180</v>
      </c>
      <c r="C902">
        <v>36373</v>
      </c>
      <c r="D902" t="s">
        <v>27</v>
      </c>
      <c r="E902" s="5">
        <v>29</v>
      </c>
      <c r="F902">
        <v>23.71</v>
      </c>
      <c r="G902" s="12" t="s">
        <v>76</v>
      </c>
      <c r="H902" s="11">
        <v>0.5</v>
      </c>
      <c r="I902" t="s">
        <v>19</v>
      </c>
      <c r="J902">
        <v>18.55</v>
      </c>
      <c r="K902" t="s">
        <v>50</v>
      </c>
      <c r="L902" t="s">
        <v>31</v>
      </c>
      <c r="M902" t="s">
        <v>22</v>
      </c>
      <c r="N902" t="s">
        <v>23</v>
      </c>
      <c r="O902" t="s">
        <v>39</v>
      </c>
      <c r="P902" t="s">
        <v>34</v>
      </c>
      <c r="Q902">
        <v>806.14</v>
      </c>
      <c r="R902">
        <v>403.07</v>
      </c>
      <c r="S902" s="12">
        <v>80.968000000000004</v>
      </c>
    </row>
    <row r="903" spans="1:19" x14ac:dyDescent="0.25">
      <c r="A903" s="13">
        <v>45672</v>
      </c>
      <c r="B903" t="s">
        <v>196</v>
      </c>
      <c r="C903">
        <v>68621</v>
      </c>
      <c r="D903" t="s">
        <v>66</v>
      </c>
      <c r="E903" s="5">
        <v>8</v>
      </c>
      <c r="F903" s="23">
        <v>97.22</v>
      </c>
      <c r="G903" s="12" t="s">
        <v>76</v>
      </c>
      <c r="H903" s="37">
        <v>0.05</v>
      </c>
      <c r="I903" t="s">
        <v>19</v>
      </c>
      <c r="J903" s="23">
        <v>23.11</v>
      </c>
      <c r="K903" t="s">
        <v>50</v>
      </c>
      <c r="L903" s="14" t="s">
        <v>21</v>
      </c>
      <c r="M903" t="s">
        <v>111</v>
      </c>
      <c r="N903" t="s">
        <v>23</v>
      </c>
      <c r="O903" t="s">
        <v>24</v>
      </c>
      <c r="P903" s="14" t="s">
        <v>34</v>
      </c>
      <c r="Q903" s="23">
        <v>3499.92</v>
      </c>
      <c r="R903" s="23">
        <v>174.99600000000001</v>
      </c>
      <c r="S903" s="24">
        <v>59.935200000000002</v>
      </c>
    </row>
    <row r="904" spans="1:19" hidden="1" x14ac:dyDescent="0.25">
      <c r="A904" s="13">
        <v>45709</v>
      </c>
      <c r="B904" t="s">
        <v>567</v>
      </c>
      <c r="C904">
        <v>94010</v>
      </c>
      <c r="D904" t="s">
        <v>46</v>
      </c>
      <c r="E904" s="5">
        <v>45</v>
      </c>
      <c r="F904">
        <v>73.55</v>
      </c>
      <c r="G904" s="12" t="s">
        <v>76</v>
      </c>
      <c r="H904" s="11">
        <v>0.28000000000000003</v>
      </c>
      <c r="I904" t="s">
        <v>19</v>
      </c>
      <c r="J904">
        <v>25.66</v>
      </c>
      <c r="K904" t="s">
        <v>37</v>
      </c>
      <c r="L904" t="s">
        <v>31</v>
      </c>
      <c r="M904" t="s">
        <v>22</v>
      </c>
      <c r="N904" t="s">
        <v>23</v>
      </c>
      <c r="O904" t="s">
        <v>81</v>
      </c>
      <c r="P904" t="s">
        <v>25</v>
      </c>
      <c r="Q904">
        <v>2574.25</v>
      </c>
      <c r="R904">
        <v>720.79000000000008</v>
      </c>
      <c r="S904" s="12">
        <v>57.096000000000004</v>
      </c>
    </row>
    <row r="905" spans="1:19" hidden="1" x14ac:dyDescent="0.25">
      <c r="A905" s="13">
        <v>45680</v>
      </c>
      <c r="B905" t="s">
        <v>147</v>
      </c>
      <c r="C905">
        <v>91658</v>
      </c>
      <c r="D905" t="s">
        <v>42</v>
      </c>
      <c r="E905" s="5">
        <v>1</v>
      </c>
      <c r="F905">
        <v>84.63</v>
      </c>
      <c r="G905" s="12" t="s">
        <v>76</v>
      </c>
      <c r="H905" s="11">
        <v>0.2</v>
      </c>
      <c r="I905" t="s">
        <v>734</v>
      </c>
      <c r="J905">
        <v>5.54</v>
      </c>
      <c r="K905" t="s">
        <v>20</v>
      </c>
      <c r="L905" t="s">
        <v>31</v>
      </c>
      <c r="M905" t="s">
        <v>22</v>
      </c>
      <c r="N905" t="s">
        <v>38</v>
      </c>
      <c r="O905" t="s">
        <v>59</v>
      </c>
      <c r="P905" t="s">
        <v>25</v>
      </c>
      <c r="Q905">
        <v>2031.12</v>
      </c>
      <c r="R905">
        <v>406.22399999999999</v>
      </c>
      <c r="S905" s="12">
        <v>50.524900000000002</v>
      </c>
    </row>
    <row r="906" spans="1:19" hidden="1" x14ac:dyDescent="0.25">
      <c r="A906" s="13">
        <v>45689</v>
      </c>
      <c r="B906" t="s">
        <v>464</v>
      </c>
      <c r="C906">
        <v>78662</v>
      </c>
      <c r="D906" t="s">
        <v>46</v>
      </c>
      <c r="E906" s="5">
        <v>1</v>
      </c>
      <c r="F906">
        <v>11.92</v>
      </c>
      <c r="G906" s="12" t="s">
        <v>76</v>
      </c>
      <c r="H906" s="11">
        <v>0.08</v>
      </c>
      <c r="I906" t="s">
        <v>19</v>
      </c>
      <c r="J906">
        <v>27.12</v>
      </c>
      <c r="K906" s="5" t="s">
        <v>44</v>
      </c>
      <c r="L906" s="14" t="s">
        <v>21</v>
      </c>
      <c r="M906" t="s">
        <v>22</v>
      </c>
      <c r="N906" t="s">
        <v>53</v>
      </c>
      <c r="O906" t="s">
        <v>33</v>
      </c>
      <c r="P906" t="s">
        <v>25</v>
      </c>
      <c r="Q906">
        <v>59.6</v>
      </c>
      <c r="R906">
        <v>4.7679999999999998</v>
      </c>
      <c r="S906" s="12">
        <v>47.477400000000003</v>
      </c>
    </row>
    <row r="907" spans="1:19" hidden="1" x14ac:dyDescent="0.25">
      <c r="A907" s="13">
        <v>45710</v>
      </c>
      <c r="B907" t="s">
        <v>690</v>
      </c>
      <c r="C907">
        <v>80488</v>
      </c>
      <c r="D907" t="s">
        <v>46</v>
      </c>
      <c r="E907" s="5">
        <v>1</v>
      </c>
      <c r="F907">
        <v>94.4</v>
      </c>
      <c r="G907" s="12" t="s">
        <v>76</v>
      </c>
      <c r="H907" s="11">
        <v>0.2</v>
      </c>
      <c r="I907" t="s">
        <v>734</v>
      </c>
      <c r="J907">
        <v>5.13</v>
      </c>
      <c r="K907" t="s">
        <v>50</v>
      </c>
      <c r="L907" t="s">
        <v>31</v>
      </c>
      <c r="M907" t="s">
        <v>111</v>
      </c>
      <c r="N907" t="s">
        <v>38</v>
      </c>
      <c r="O907" t="s">
        <v>81</v>
      </c>
      <c r="P907" t="s">
        <v>25</v>
      </c>
      <c r="Q907">
        <v>3304</v>
      </c>
      <c r="R907">
        <v>660.80000000000007</v>
      </c>
      <c r="S907" s="12">
        <v>42.631</v>
      </c>
    </row>
    <row r="908" spans="1:19" hidden="1" x14ac:dyDescent="0.25">
      <c r="A908" s="13">
        <v>45697</v>
      </c>
      <c r="B908" t="s">
        <v>564</v>
      </c>
      <c r="C908">
        <v>62713</v>
      </c>
      <c r="D908" t="s">
        <v>17</v>
      </c>
      <c r="E908" s="5">
        <v>7</v>
      </c>
      <c r="F908">
        <v>70.319999999999993</v>
      </c>
      <c r="G908" s="12" t="s">
        <v>76</v>
      </c>
      <c r="H908" s="11">
        <v>0.31</v>
      </c>
      <c r="I908" t="s">
        <v>734</v>
      </c>
      <c r="J908">
        <v>11.67</v>
      </c>
      <c r="K908" t="s">
        <v>30</v>
      </c>
      <c r="L908" t="s">
        <v>31</v>
      </c>
      <c r="M908" t="s">
        <v>22</v>
      </c>
      <c r="N908" t="s">
        <v>53</v>
      </c>
      <c r="O908" t="s">
        <v>33</v>
      </c>
      <c r="P908" t="s">
        <v>25</v>
      </c>
      <c r="Q908">
        <v>562.55999999999995</v>
      </c>
      <c r="R908">
        <v>174.39359999999999</v>
      </c>
      <c r="S908" s="12">
        <v>40.200299999999999</v>
      </c>
    </row>
    <row r="909" spans="1:19" hidden="1" x14ac:dyDescent="0.25">
      <c r="A909" s="13">
        <v>45682</v>
      </c>
      <c r="B909" t="s">
        <v>380</v>
      </c>
      <c r="C909">
        <v>28824</v>
      </c>
      <c r="D909" t="s">
        <v>66</v>
      </c>
      <c r="E909" s="5">
        <v>36</v>
      </c>
      <c r="F909">
        <v>59.18</v>
      </c>
      <c r="G909" s="12" t="s">
        <v>76</v>
      </c>
      <c r="H909" s="11">
        <v>0.48</v>
      </c>
      <c r="I909" t="s">
        <v>29</v>
      </c>
      <c r="J909">
        <v>18.78</v>
      </c>
      <c r="K909" s="5" t="s">
        <v>44</v>
      </c>
      <c r="L909" s="14" t="s">
        <v>21</v>
      </c>
      <c r="M909" t="s">
        <v>22</v>
      </c>
      <c r="N909" t="s">
        <v>32</v>
      </c>
      <c r="O909" t="s">
        <v>81</v>
      </c>
      <c r="P909" t="s">
        <v>40</v>
      </c>
      <c r="Q909">
        <v>1124.42</v>
      </c>
      <c r="R909">
        <v>539.72159999999997</v>
      </c>
      <c r="S909" s="12">
        <v>39.311999999999998</v>
      </c>
    </row>
    <row r="910" spans="1:19" x14ac:dyDescent="0.25">
      <c r="A910" s="13">
        <v>45674</v>
      </c>
      <c r="B910" t="s">
        <v>242</v>
      </c>
      <c r="C910">
        <v>55073</v>
      </c>
      <c r="D910" t="s">
        <v>75</v>
      </c>
      <c r="E910" s="5">
        <v>2</v>
      </c>
      <c r="F910" s="23">
        <v>29.47</v>
      </c>
      <c r="G910" s="12" t="s">
        <v>76</v>
      </c>
      <c r="H910" s="37">
        <v>0.47</v>
      </c>
      <c r="I910" t="s">
        <v>734</v>
      </c>
      <c r="J910" s="23">
        <v>20.09</v>
      </c>
      <c r="K910" s="5" t="s">
        <v>44</v>
      </c>
      <c r="L910" s="14" t="s">
        <v>21</v>
      </c>
      <c r="M910" t="s">
        <v>22</v>
      </c>
      <c r="N910" t="s">
        <v>23</v>
      </c>
      <c r="O910" t="s">
        <v>24</v>
      </c>
      <c r="P910" s="14" t="s">
        <v>34</v>
      </c>
      <c r="Q910" s="23">
        <v>500.99</v>
      </c>
      <c r="R910" s="23">
        <v>235.46529999999998</v>
      </c>
      <c r="S910" s="24">
        <v>39.176000000000002</v>
      </c>
    </row>
    <row r="911" spans="1:19" hidden="1" x14ac:dyDescent="0.25">
      <c r="A911" s="13">
        <v>45660</v>
      </c>
      <c r="B911" t="s">
        <v>74</v>
      </c>
      <c r="C911">
        <v>54248</v>
      </c>
      <c r="D911" t="s">
        <v>75</v>
      </c>
      <c r="E911" s="5">
        <v>4</v>
      </c>
      <c r="F911">
        <v>67.510000000000005</v>
      </c>
      <c r="G911" s="12" t="s">
        <v>76</v>
      </c>
      <c r="H911" s="11">
        <v>0.06</v>
      </c>
      <c r="I911" t="s">
        <v>29</v>
      </c>
      <c r="J911">
        <v>9.43</v>
      </c>
      <c r="K911" t="s">
        <v>30</v>
      </c>
      <c r="L911" s="14" t="s">
        <v>21</v>
      </c>
      <c r="M911" t="s">
        <v>22</v>
      </c>
      <c r="N911" t="s">
        <v>38</v>
      </c>
      <c r="O911" t="s">
        <v>59</v>
      </c>
      <c r="P911" t="s">
        <v>25</v>
      </c>
      <c r="Q911">
        <v>2025.3000000000002</v>
      </c>
      <c r="R911">
        <v>121.518</v>
      </c>
      <c r="S911" s="12">
        <v>37.522800000000004</v>
      </c>
    </row>
    <row r="912" spans="1:19" hidden="1" x14ac:dyDescent="0.25">
      <c r="A912" s="13">
        <v>45708</v>
      </c>
      <c r="B912" t="s">
        <v>679</v>
      </c>
      <c r="C912">
        <v>55106</v>
      </c>
      <c r="D912" t="s">
        <v>46</v>
      </c>
      <c r="E912" s="5">
        <v>1</v>
      </c>
      <c r="F912">
        <v>41.14</v>
      </c>
      <c r="G912" s="12" t="s">
        <v>76</v>
      </c>
      <c r="H912" s="11">
        <v>0.34</v>
      </c>
      <c r="I912" t="s">
        <v>19</v>
      </c>
      <c r="J912">
        <v>22.67</v>
      </c>
      <c r="K912" s="5" t="s">
        <v>44</v>
      </c>
      <c r="L912" s="14" t="s">
        <v>21</v>
      </c>
      <c r="M912" t="s">
        <v>22</v>
      </c>
      <c r="N912" t="s">
        <v>23</v>
      </c>
      <c r="O912" t="s">
        <v>39</v>
      </c>
      <c r="P912" t="s">
        <v>25</v>
      </c>
      <c r="Q912">
        <v>1316.48</v>
      </c>
      <c r="R912">
        <v>447.60320000000002</v>
      </c>
      <c r="S912" s="12">
        <v>33.719000000000001</v>
      </c>
    </row>
    <row r="913" spans="1:19" hidden="1" x14ac:dyDescent="0.25">
      <c r="A913" s="13">
        <v>45710</v>
      </c>
      <c r="B913" t="s">
        <v>583</v>
      </c>
      <c r="C913">
        <v>60637</v>
      </c>
      <c r="D913" t="s">
        <v>68</v>
      </c>
      <c r="E913" s="5">
        <v>14</v>
      </c>
      <c r="F913">
        <v>92.38</v>
      </c>
      <c r="G913" s="12" t="s">
        <v>76</v>
      </c>
      <c r="H913" s="11">
        <v>0.08</v>
      </c>
      <c r="I913" t="s">
        <v>19</v>
      </c>
      <c r="J913">
        <v>21.68</v>
      </c>
      <c r="K913" t="s">
        <v>37</v>
      </c>
      <c r="L913" s="14" t="s">
        <v>21</v>
      </c>
      <c r="M913" t="s">
        <v>22</v>
      </c>
      <c r="N913" t="s">
        <v>32</v>
      </c>
      <c r="O913" t="s">
        <v>39</v>
      </c>
      <c r="P913" t="s">
        <v>40</v>
      </c>
      <c r="Q913">
        <v>2494.2599999999998</v>
      </c>
      <c r="R913">
        <v>199.54079999999999</v>
      </c>
      <c r="S913" s="12">
        <v>31.135999999999996</v>
      </c>
    </row>
    <row r="914" spans="1:19" hidden="1" x14ac:dyDescent="0.25">
      <c r="A914" s="13">
        <v>45697</v>
      </c>
      <c r="B914" t="s">
        <v>558</v>
      </c>
      <c r="C914">
        <v>59692</v>
      </c>
      <c r="D914" t="s">
        <v>27</v>
      </c>
      <c r="E914" s="5">
        <v>4</v>
      </c>
      <c r="F914">
        <v>1.83</v>
      </c>
      <c r="G914" s="12" t="s">
        <v>76</v>
      </c>
      <c r="H914" s="11">
        <v>0.02</v>
      </c>
      <c r="I914" t="s">
        <v>29</v>
      </c>
      <c r="J914">
        <v>12.94</v>
      </c>
      <c r="K914" t="s">
        <v>37</v>
      </c>
      <c r="L914" s="14" t="s">
        <v>21</v>
      </c>
      <c r="M914" t="s">
        <v>22</v>
      </c>
      <c r="N914" t="s">
        <v>32</v>
      </c>
      <c r="O914" t="s">
        <v>24</v>
      </c>
      <c r="P914" t="s">
        <v>25</v>
      </c>
      <c r="Q914">
        <v>87.84</v>
      </c>
      <c r="R914">
        <v>1.7568000000000001</v>
      </c>
      <c r="S914" s="12">
        <v>19.222799999999999</v>
      </c>
    </row>
    <row r="915" spans="1:19" hidden="1" x14ac:dyDescent="0.25">
      <c r="A915" s="13">
        <v>45671</v>
      </c>
      <c r="B915" t="s">
        <v>185</v>
      </c>
      <c r="C915">
        <v>85397</v>
      </c>
      <c r="D915" t="s">
        <v>42</v>
      </c>
      <c r="E915" s="5">
        <v>2</v>
      </c>
      <c r="F915">
        <v>80.900000000000006</v>
      </c>
      <c r="G915" s="12" t="s">
        <v>76</v>
      </c>
      <c r="H915" s="11">
        <v>0.4</v>
      </c>
      <c r="I915" t="s">
        <v>19</v>
      </c>
      <c r="J915">
        <v>15.75</v>
      </c>
      <c r="K915" t="s">
        <v>37</v>
      </c>
      <c r="L915" t="s">
        <v>31</v>
      </c>
      <c r="M915" t="s">
        <v>22</v>
      </c>
      <c r="N915" t="s">
        <v>53</v>
      </c>
      <c r="O915" t="s">
        <v>81</v>
      </c>
      <c r="P915" t="s">
        <v>34</v>
      </c>
      <c r="Q915">
        <v>3802.3</v>
      </c>
      <c r="R915">
        <v>1520.92</v>
      </c>
      <c r="S915" s="12">
        <v>18.802</v>
      </c>
    </row>
    <row r="916" spans="1:19" x14ac:dyDescent="0.25">
      <c r="A916" s="13">
        <v>45666</v>
      </c>
      <c r="B916" t="s">
        <v>165</v>
      </c>
      <c r="C916">
        <v>98374</v>
      </c>
      <c r="D916" t="s">
        <v>49</v>
      </c>
      <c r="E916" s="5">
        <v>1</v>
      </c>
      <c r="F916" s="23">
        <v>52.3</v>
      </c>
      <c r="G916" s="12" t="s">
        <v>76</v>
      </c>
      <c r="H916" s="37">
        <v>0.28999999999999998</v>
      </c>
      <c r="I916" t="s">
        <v>19</v>
      </c>
      <c r="J916" s="23">
        <v>11.39</v>
      </c>
      <c r="K916" t="s">
        <v>20</v>
      </c>
      <c r="L916" s="14" t="s">
        <v>21</v>
      </c>
      <c r="M916" t="s">
        <v>22</v>
      </c>
      <c r="N916" t="s">
        <v>32</v>
      </c>
      <c r="O916" t="s">
        <v>59</v>
      </c>
      <c r="P916" s="14" t="s">
        <v>34</v>
      </c>
      <c r="Q916" s="23">
        <v>1935.1</v>
      </c>
      <c r="R916" s="23">
        <v>561.17899999999997</v>
      </c>
      <c r="S916" s="24">
        <v>15.1602</v>
      </c>
    </row>
    <row r="917" spans="1:19" hidden="1" x14ac:dyDescent="0.25">
      <c r="A917" s="13">
        <v>45666</v>
      </c>
      <c r="B917" t="s">
        <v>162</v>
      </c>
      <c r="C917">
        <v>15417</v>
      </c>
      <c r="D917" t="s">
        <v>46</v>
      </c>
      <c r="E917" s="5">
        <v>1</v>
      </c>
      <c r="F917">
        <v>22.97</v>
      </c>
      <c r="G917" s="12" t="s">
        <v>76</v>
      </c>
      <c r="H917" s="11">
        <v>0.34</v>
      </c>
      <c r="I917" t="s">
        <v>734</v>
      </c>
      <c r="J917">
        <v>21.19</v>
      </c>
      <c r="K917" t="s">
        <v>50</v>
      </c>
      <c r="L917" t="s">
        <v>31</v>
      </c>
      <c r="M917" t="s">
        <v>22</v>
      </c>
      <c r="N917" t="s">
        <v>38</v>
      </c>
      <c r="O917" t="s">
        <v>33</v>
      </c>
      <c r="P917" t="s">
        <v>25</v>
      </c>
      <c r="Q917">
        <v>22.97</v>
      </c>
      <c r="R917">
        <v>7.8098000000000001</v>
      </c>
      <c r="S917" s="12">
        <v>2.9045999999999998</v>
      </c>
    </row>
    <row r="918" spans="1:19" hidden="1" x14ac:dyDescent="0.25">
      <c r="A918" s="13">
        <v>45658</v>
      </c>
      <c r="B918" t="s">
        <v>35</v>
      </c>
      <c r="C918">
        <v>68247</v>
      </c>
      <c r="D918" t="s">
        <v>17</v>
      </c>
      <c r="E918" s="5">
        <v>45</v>
      </c>
      <c r="F918">
        <v>67.849999999999994</v>
      </c>
      <c r="G918" s="12" t="s">
        <v>36</v>
      </c>
      <c r="H918" s="11">
        <v>0.36</v>
      </c>
      <c r="I918" t="s">
        <v>29</v>
      </c>
      <c r="J918">
        <v>16.41</v>
      </c>
      <c r="K918" t="s">
        <v>37</v>
      </c>
      <c r="L918" s="14" t="s">
        <v>21</v>
      </c>
      <c r="M918" t="s">
        <v>22</v>
      </c>
      <c r="N918" t="s">
        <v>38</v>
      </c>
      <c r="O918" t="s">
        <v>39</v>
      </c>
      <c r="P918" t="s">
        <v>25</v>
      </c>
      <c r="Q918">
        <v>1221.3</v>
      </c>
      <c r="R918">
        <v>439.66799999999995</v>
      </c>
      <c r="S918" s="12">
        <v>4158.09</v>
      </c>
    </row>
    <row r="919" spans="1:19" hidden="1" x14ac:dyDescent="0.25">
      <c r="A919" s="13">
        <v>45704</v>
      </c>
      <c r="B919" t="s">
        <v>637</v>
      </c>
      <c r="C919">
        <v>23413</v>
      </c>
      <c r="D919" t="s">
        <v>42</v>
      </c>
      <c r="E919" s="5">
        <v>39</v>
      </c>
      <c r="F919">
        <v>33.380000000000003</v>
      </c>
      <c r="G919" s="12" t="s">
        <v>36</v>
      </c>
      <c r="H919" s="11">
        <v>0.49</v>
      </c>
      <c r="I919" t="s">
        <v>29</v>
      </c>
      <c r="J919">
        <v>11.14</v>
      </c>
      <c r="K919" t="s">
        <v>30</v>
      </c>
      <c r="L919" s="14" t="s">
        <v>21</v>
      </c>
      <c r="M919" t="s">
        <v>22</v>
      </c>
      <c r="N919" t="s">
        <v>23</v>
      </c>
      <c r="O919" t="s">
        <v>24</v>
      </c>
      <c r="P919" t="s">
        <v>40</v>
      </c>
      <c r="Q919">
        <v>634.22</v>
      </c>
      <c r="R919">
        <v>310.76780000000002</v>
      </c>
      <c r="S919" s="12">
        <v>3584.88</v>
      </c>
    </row>
    <row r="920" spans="1:19" hidden="1" x14ac:dyDescent="0.25">
      <c r="A920" s="13">
        <v>45702</v>
      </c>
      <c r="B920" t="s">
        <v>622</v>
      </c>
      <c r="C920">
        <v>99673</v>
      </c>
      <c r="D920" t="s">
        <v>17</v>
      </c>
      <c r="E920" s="5">
        <v>38</v>
      </c>
      <c r="F920">
        <v>96.19</v>
      </c>
      <c r="G920" s="12" t="s">
        <v>36</v>
      </c>
      <c r="H920" s="11">
        <v>0.35</v>
      </c>
      <c r="I920" t="s">
        <v>29</v>
      </c>
      <c r="J920">
        <v>22.39</v>
      </c>
      <c r="K920" s="5" t="s">
        <v>44</v>
      </c>
      <c r="L920" t="s">
        <v>31</v>
      </c>
      <c r="M920" t="s">
        <v>22</v>
      </c>
      <c r="N920" t="s">
        <v>23</v>
      </c>
      <c r="O920" t="s">
        <v>39</v>
      </c>
      <c r="P920" t="s">
        <v>25</v>
      </c>
      <c r="Q920">
        <v>961.9</v>
      </c>
      <c r="R920">
        <v>336.66499999999996</v>
      </c>
      <c r="S920" s="12">
        <v>3578.0192000000002</v>
      </c>
    </row>
    <row r="921" spans="1:19" hidden="1" x14ac:dyDescent="0.25">
      <c r="A921" s="13">
        <v>45679</v>
      </c>
      <c r="B921" t="s">
        <v>329</v>
      </c>
      <c r="C921">
        <v>75840</v>
      </c>
      <c r="D921" t="s">
        <v>66</v>
      </c>
      <c r="E921" s="5">
        <v>42</v>
      </c>
      <c r="F921">
        <v>36.200000000000003</v>
      </c>
      <c r="G921" s="12" t="s">
        <v>36</v>
      </c>
      <c r="H921" s="11">
        <v>0.01</v>
      </c>
      <c r="I921" t="s">
        <v>19</v>
      </c>
      <c r="J921">
        <v>29.36</v>
      </c>
      <c r="K921" t="s">
        <v>50</v>
      </c>
      <c r="L921" t="s">
        <v>31</v>
      </c>
      <c r="M921" t="s">
        <v>22</v>
      </c>
      <c r="N921" t="s">
        <v>32</v>
      </c>
      <c r="O921" t="s">
        <v>81</v>
      </c>
      <c r="P921" t="s">
        <v>40</v>
      </c>
      <c r="Q921">
        <v>687.80000000000007</v>
      </c>
      <c r="R921">
        <v>6.878000000000001</v>
      </c>
      <c r="S921" s="12">
        <v>3136.6860000000001</v>
      </c>
    </row>
    <row r="922" spans="1:19" hidden="1" x14ac:dyDescent="0.25">
      <c r="A922" s="13">
        <v>45692</v>
      </c>
      <c r="B922" t="s">
        <v>504</v>
      </c>
      <c r="C922">
        <v>57523</v>
      </c>
      <c r="D922" t="s">
        <v>75</v>
      </c>
      <c r="E922" s="5">
        <v>39</v>
      </c>
      <c r="F922">
        <v>81.98</v>
      </c>
      <c r="G922" s="12" t="s">
        <v>36</v>
      </c>
      <c r="H922" s="11">
        <v>0.21</v>
      </c>
      <c r="I922" t="s">
        <v>29</v>
      </c>
      <c r="J922">
        <v>22.38</v>
      </c>
      <c r="K922" t="s">
        <v>50</v>
      </c>
      <c r="L922" t="s">
        <v>31</v>
      </c>
      <c r="M922" t="s">
        <v>22</v>
      </c>
      <c r="N922" t="s">
        <v>38</v>
      </c>
      <c r="O922" t="s">
        <v>24</v>
      </c>
      <c r="P922" t="s">
        <v>34</v>
      </c>
      <c r="Q922">
        <v>2131.48</v>
      </c>
      <c r="R922">
        <v>447.61079999999998</v>
      </c>
      <c r="S922" s="12">
        <v>2633.67</v>
      </c>
    </row>
    <row r="923" spans="1:19" hidden="1" x14ac:dyDescent="0.25">
      <c r="A923" s="13">
        <v>45697</v>
      </c>
      <c r="B923" t="s">
        <v>531</v>
      </c>
      <c r="C923">
        <v>51110</v>
      </c>
      <c r="D923" t="s">
        <v>89</v>
      </c>
      <c r="E923" s="5">
        <v>32</v>
      </c>
      <c r="F923">
        <v>5.79</v>
      </c>
      <c r="G923" s="12" t="s">
        <v>36</v>
      </c>
      <c r="H923" s="11">
        <v>0.17</v>
      </c>
      <c r="I923" t="s">
        <v>29</v>
      </c>
      <c r="J923">
        <v>23.81</v>
      </c>
      <c r="K923" s="5" t="s">
        <v>44</v>
      </c>
      <c r="L923" s="14" t="s">
        <v>21</v>
      </c>
      <c r="M923" t="s">
        <v>22</v>
      </c>
      <c r="N923" t="s">
        <v>32</v>
      </c>
      <c r="O923" t="s">
        <v>24</v>
      </c>
      <c r="P923" t="s">
        <v>25</v>
      </c>
      <c r="Q923">
        <v>23.16</v>
      </c>
      <c r="R923">
        <v>3.9372000000000003</v>
      </c>
      <c r="S923" s="12">
        <v>2622.1055999999999</v>
      </c>
    </row>
    <row r="924" spans="1:19" hidden="1" x14ac:dyDescent="0.25">
      <c r="A924" s="13">
        <v>45662</v>
      </c>
      <c r="B924" t="s">
        <v>120</v>
      </c>
      <c r="C924">
        <v>33206</v>
      </c>
      <c r="D924" t="s">
        <v>17</v>
      </c>
      <c r="E924" s="5">
        <v>47</v>
      </c>
      <c r="F924">
        <v>47.35</v>
      </c>
      <c r="G924" s="12" t="s">
        <v>36</v>
      </c>
      <c r="H924" s="11">
        <v>0.17</v>
      </c>
      <c r="I924" t="s">
        <v>29</v>
      </c>
      <c r="J924">
        <v>18.95</v>
      </c>
      <c r="K924" t="s">
        <v>50</v>
      </c>
      <c r="L924" s="14" t="s">
        <v>21</v>
      </c>
      <c r="M924" t="s">
        <v>22</v>
      </c>
      <c r="N924" t="s">
        <v>32</v>
      </c>
      <c r="O924" t="s">
        <v>33</v>
      </c>
      <c r="P924" t="s">
        <v>25</v>
      </c>
      <c r="Q924">
        <v>473.5</v>
      </c>
      <c r="R924">
        <v>80.495000000000005</v>
      </c>
      <c r="S924" s="12">
        <v>2377.8897999999999</v>
      </c>
    </row>
    <row r="925" spans="1:19" hidden="1" x14ac:dyDescent="0.25">
      <c r="A925" s="13">
        <v>45691</v>
      </c>
      <c r="B925" t="s">
        <v>498</v>
      </c>
      <c r="C925">
        <v>30788</v>
      </c>
      <c r="D925" t="s">
        <v>70</v>
      </c>
      <c r="E925" s="5">
        <v>40</v>
      </c>
      <c r="F925">
        <v>52.83</v>
      </c>
      <c r="G925" s="12" t="s">
        <v>36</v>
      </c>
      <c r="H925" s="11">
        <v>0.12</v>
      </c>
      <c r="I925" t="s">
        <v>734</v>
      </c>
      <c r="J925">
        <v>23.27</v>
      </c>
      <c r="K925" t="s">
        <v>20</v>
      </c>
      <c r="L925" t="s">
        <v>31</v>
      </c>
      <c r="M925" t="s">
        <v>22</v>
      </c>
      <c r="N925" t="s">
        <v>23</v>
      </c>
      <c r="O925" t="s">
        <v>59</v>
      </c>
      <c r="P925" t="s">
        <v>40</v>
      </c>
      <c r="Q925">
        <v>2166.0299999999997</v>
      </c>
      <c r="R925">
        <v>259.92359999999996</v>
      </c>
      <c r="S925" s="12">
        <v>2372.8040000000001</v>
      </c>
    </row>
    <row r="926" spans="1:19" x14ac:dyDescent="0.25">
      <c r="A926" s="13">
        <v>45664</v>
      </c>
      <c r="B926" t="s">
        <v>147</v>
      </c>
      <c r="C926">
        <v>64209</v>
      </c>
      <c r="D926" t="s">
        <v>70</v>
      </c>
      <c r="E926" s="5">
        <v>35</v>
      </c>
      <c r="F926" s="23">
        <v>48.72</v>
      </c>
      <c r="G926" s="12" t="s">
        <v>36</v>
      </c>
      <c r="H926" s="37">
        <v>0.05</v>
      </c>
      <c r="I926" t="s">
        <v>734</v>
      </c>
      <c r="J926" s="23">
        <v>12.54</v>
      </c>
      <c r="K926" t="s">
        <v>37</v>
      </c>
      <c r="L926" s="14" t="s">
        <v>21</v>
      </c>
      <c r="M926" t="s">
        <v>22</v>
      </c>
      <c r="N926" t="s">
        <v>23</v>
      </c>
      <c r="O926" t="s">
        <v>59</v>
      </c>
      <c r="P926" s="14" t="s">
        <v>34</v>
      </c>
      <c r="Q926" s="23">
        <v>2094.96</v>
      </c>
      <c r="R926" s="23">
        <v>104.748</v>
      </c>
      <c r="S926" s="24">
        <v>2243.1360000000004</v>
      </c>
    </row>
    <row r="927" spans="1:19" hidden="1" x14ac:dyDescent="0.25">
      <c r="A927" s="13">
        <v>45701</v>
      </c>
      <c r="B927" t="s">
        <v>605</v>
      </c>
      <c r="C927">
        <v>57141</v>
      </c>
      <c r="D927" t="s">
        <v>66</v>
      </c>
      <c r="E927" s="5">
        <v>27</v>
      </c>
      <c r="F927">
        <v>86.32</v>
      </c>
      <c r="G927" s="12" t="s">
        <v>36</v>
      </c>
      <c r="H927" s="11">
        <v>0.06</v>
      </c>
      <c r="I927" t="s">
        <v>734</v>
      </c>
      <c r="J927">
        <v>15.49</v>
      </c>
      <c r="K927" t="s">
        <v>30</v>
      </c>
      <c r="L927" t="s">
        <v>31</v>
      </c>
      <c r="M927" t="s">
        <v>111</v>
      </c>
      <c r="N927" t="s">
        <v>23</v>
      </c>
      <c r="O927" t="s">
        <v>24</v>
      </c>
      <c r="P927" t="s">
        <v>34</v>
      </c>
      <c r="Q927">
        <v>3366.4799999999996</v>
      </c>
      <c r="R927">
        <v>201.98879999999997</v>
      </c>
      <c r="S927" s="12">
        <v>2121.8274000000001</v>
      </c>
    </row>
    <row r="928" spans="1:19" x14ac:dyDescent="0.25">
      <c r="A928" s="13">
        <v>45704</v>
      </c>
      <c r="B928" t="s">
        <v>139</v>
      </c>
      <c r="C928">
        <v>95071</v>
      </c>
      <c r="D928" t="s">
        <v>89</v>
      </c>
      <c r="E928" s="5">
        <v>28</v>
      </c>
      <c r="F928" s="23">
        <v>56.04</v>
      </c>
      <c r="G928" s="12" t="s">
        <v>36</v>
      </c>
      <c r="H928" s="37">
        <v>0.44</v>
      </c>
      <c r="I928" t="s">
        <v>29</v>
      </c>
      <c r="J928" s="23">
        <v>15.72</v>
      </c>
      <c r="K928" s="5" t="s">
        <v>44</v>
      </c>
      <c r="L928" s="14" t="s">
        <v>21</v>
      </c>
      <c r="M928" t="s">
        <v>22</v>
      </c>
      <c r="N928" t="s">
        <v>53</v>
      </c>
      <c r="O928" t="s">
        <v>81</v>
      </c>
      <c r="P928" s="14" t="s">
        <v>34</v>
      </c>
      <c r="Q928" s="23">
        <v>616.43999999999994</v>
      </c>
      <c r="R928" s="23">
        <v>271.23359999999997</v>
      </c>
      <c r="S928" s="24">
        <v>1959.692</v>
      </c>
    </row>
    <row r="929" spans="1:19" hidden="1" x14ac:dyDescent="0.25">
      <c r="A929" s="13">
        <v>45689</v>
      </c>
      <c r="B929" t="s">
        <v>469</v>
      </c>
      <c r="C929">
        <v>72684</v>
      </c>
      <c r="D929" t="s">
        <v>17</v>
      </c>
      <c r="E929" s="5">
        <v>34</v>
      </c>
      <c r="F929">
        <v>3.82</v>
      </c>
      <c r="G929" s="12" t="s">
        <v>36</v>
      </c>
      <c r="H929" s="11">
        <v>0.03</v>
      </c>
      <c r="I929" t="s">
        <v>29</v>
      </c>
      <c r="J929">
        <v>17.05</v>
      </c>
      <c r="K929" t="s">
        <v>50</v>
      </c>
      <c r="L929" t="s">
        <v>31</v>
      </c>
      <c r="M929" t="s">
        <v>22</v>
      </c>
      <c r="N929" t="s">
        <v>32</v>
      </c>
      <c r="O929" t="s">
        <v>33</v>
      </c>
      <c r="P929" t="s">
        <v>40</v>
      </c>
      <c r="Q929">
        <v>110.78</v>
      </c>
      <c r="R929">
        <v>3.3233999999999999</v>
      </c>
      <c r="S929" s="12">
        <v>1859.6776</v>
      </c>
    </row>
    <row r="930" spans="1:19" hidden="1" x14ac:dyDescent="0.25">
      <c r="A930" s="13">
        <v>45683</v>
      </c>
      <c r="B930" t="s">
        <v>393</v>
      </c>
      <c r="C930">
        <v>81542</v>
      </c>
      <c r="D930" t="s">
        <v>57</v>
      </c>
      <c r="E930" s="5">
        <v>33</v>
      </c>
      <c r="F930">
        <v>58.71</v>
      </c>
      <c r="G930" s="12" t="s">
        <v>36</v>
      </c>
      <c r="H930" s="11">
        <v>0.37</v>
      </c>
      <c r="I930" t="s">
        <v>19</v>
      </c>
      <c r="J930">
        <v>25.07</v>
      </c>
      <c r="K930" s="5" t="s">
        <v>44</v>
      </c>
      <c r="L930" s="14" t="s">
        <v>21</v>
      </c>
      <c r="M930" t="s">
        <v>22</v>
      </c>
      <c r="N930" t="s">
        <v>53</v>
      </c>
      <c r="O930" t="s">
        <v>24</v>
      </c>
      <c r="P930" t="s">
        <v>25</v>
      </c>
      <c r="Q930">
        <v>2583.2400000000002</v>
      </c>
      <c r="R930">
        <v>955.79880000000003</v>
      </c>
      <c r="S930" s="12">
        <v>1854.4679999999998</v>
      </c>
    </row>
    <row r="931" spans="1:19" hidden="1" x14ac:dyDescent="0.25">
      <c r="A931" s="13">
        <v>45680</v>
      </c>
      <c r="B931" t="s">
        <v>342</v>
      </c>
      <c r="C931">
        <v>37615</v>
      </c>
      <c r="D931" t="s">
        <v>27</v>
      </c>
      <c r="E931" s="5">
        <v>35</v>
      </c>
      <c r="F931">
        <v>82.85</v>
      </c>
      <c r="G931" s="12" t="s">
        <v>36</v>
      </c>
      <c r="H931" s="11">
        <v>0.23</v>
      </c>
      <c r="I931" t="s">
        <v>734</v>
      </c>
      <c r="J931">
        <v>15</v>
      </c>
      <c r="K931" t="s">
        <v>50</v>
      </c>
      <c r="L931" t="s">
        <v>31</v>
      </c>
      <c r="M931" t="s">
        <v>111</v>
      </c>
      <c r="N931" t="s">
        <v>53</v>
      </c>
      <c r="O931" t="s">
        <v>81</v>
      </c>
      <c r="P931" t="s">
        <v>25</v>
      </c>
      <c r="Q931">
        <v>414.25</v>
      </c>
      <c r="R931">
        <v>95.277500000000003</v>
      </c>
      <c r="S931" s="12">
        <v>1842.7849999999999</v>
      </c>
    </row>
    <row r="932" spans="1:19" x14ac:dyDescent="0.25">
      <c r="A932" s="13">
        <v>45668</v>
      </c>
      <c r="B932" t="s">
        <v>176</v>
      </c>
      <c r="C932">
        <v>20919</v>
      </c>
      <c r="D932" t="s">
        <v>27</v>
      </c>
      <c r="E932" s="5">
        <v>25</v>
      </c>
      <c r="F932" s="23">
        <v>87.88</v>
      </c>
      <c r="G932" s="12" t="s">
        <v>36</v>
      </c>
      <c r="H932" s="37">
        <v>0.01</v>
      </c>
      <c r="I932" t="s">
        <v>19</v>
      </c>
      <c r="J932" s="23">
        <v>13.74</v>
      </c>
      <c r="K932" t="s">
        <v>50</v>
      </c>
      <c r="L932" s="14" t="s">
        <v>21</v>
      </c>
      <c r="M932" t="s">
        <v>22</v>
      </c>
      <c r="N932" t="s">
        <v>32</v>
      </c>
      <c r="O932" t="s">
        <v>81</v>
      </c>
      <c r="P932" s="14" t="s">
        <v>34</v>
      </c>
      <c r="Q932" s="23">
        <v>2812.16</v>
      </c>
      <c r="R932" s="23">
        <v>28.121600000000001</v>
      </c>
      <c r="S932" s="24">
        <v>1773.585</v>
      </c>
    </row>
    <row r="933" spans="1:19" hidden="1" x14ac:dyDescent="0.25">
      <c r="A933" s="13">
        <v>45685</v>
      </c>
      <c r="B933" t="s">
        <v>420</v>
      </c>
      <c r="C933">
        <v>28665</v>
      </c>
      <c r="D933" t="s">
        <v>49</v>
      </c>
      <c r="E933" s="5">
        <v>26</v>
      </c>
      <c r="F933">
        <v>94.31</v>
      </c>
      <c r="G933" s="12" t="s">
        <v>36</v>
      </c>
      <c r="H933" s="11">
        <v>0.28000000000000003</v>
      </c>
      <c r="I933" t="s">
        <v>734</v>
      </c>
      <c r="J933">
        <v>21.1</v>
      </c>
      <c r="K933" t="s">
        <v>37</v>
      </c>
      <c r="L933" s="14" t="s">
        <v>21</v>
      </c>
      <c r="M933" t="s">
        <v>22</v>
      </c>
      <c r="N933" t="s">
        <v>38</v>
      </c>
      <c r="O933" t="s">
        <v>81</v>
      </c>
      <c r="P933" t="s">
        <v>40</v>
      </c>
      <c r="Q933">
        <v>943.1</v>
      </c>
      <c r="R933">
        <v>264.06800000000004</v>
      </c>
      <c r="S933" s="12">
        <v>1762.1915999999999</v>
      </c>
    </row>
    <row r="934" spans="1:19" hidden="1" x14ac:dyDescent="0.25">
      <c r="A934" s="13">
        <v>45685</v>
      </c>
      <c r="B934" t="s">
        <v>358</v>
      </c>
      <c r="C934">
        <v>86877</v>
      </c>
      <c r="D934" t="s">
        <v>66</v>
      </c>
      <c r="E934" s="5">
        <v>44</v>
      </c>
      <c r="F934">
        <v>72.16</v>
      </c>
      <c r="G934" s="12" t="s">
        <v>36</v>
      </c>
      <c r="H934" s="11">
        <v>0.46</v>
      </c>
      <c r="I934" t="s">
        <v>29</v>
      </c>
      <c r="J934">
        <v>9.66</v>
      </c>
      <c r="K934" t="s">
        <v>50</v>
      </c>
      <c r="L934" t="s">
        <v>31</v>
      </c>
      <c r="M934" t="s">
        <v>22</v>
      </c>
      <c r="N934" t="s">
        <v>23</v>
      </c>
      <c r="O934" t="s">
        <v>39</v>
      </c>
      <c r="P934" t="s">
        <v>40</v>
      </c>
      <c r="Q934">
        <v>3175.04</v>
      </c>
      <c r="R934">
        <v>1460.5184000000002</v>
      </c>
      <c r="S934" s="12">
        <v>1714.5215999999998</v>
      </c>
    </row>
    <row r="935" spans="1:19" hidden="1" x14ac:dyDescent="0.25">
      <c r="A935" s="13">
        <v>45698</v>
      </c>
      <c r="B935" t="s">
        <v>295</v>
      </c>
      <c r="C935">
        <v>56835</v>
      </c>
      <c r="D935" t="s">
        <v>70</v>
      </c>
      <c r="E935" s="5">
        <v>39</v>
      </c>
      <c r="F935">
        <v>60.23</v>
      </c>
      <c r="G935" s="12" t="s">
        <v>36</v>
      </c>
      <c r="H935" s="11">
        <v>0.33</v>
      </c>
      <c r="I935" t="s">
        <v>734</v>
      </c>
      <c r="J935">
        <v>23.11</v>
      </c>
      <c r="K935" s="5" t="s">
        <v>44</v>
      </c>
      <c r="L935" t="s">
        <v>31</v>
      </c>
      <c r="M935" t="s">
        <v>111</v>
      </c>
      <c r="N935" t="s">
        <v>53</v>
      </c>
      <c r="O935" t="s">
        <v>59</v>
      </c>
      <c r="P935" t="s">
        <v>25</v>
      </c>
      <c r="Q935">
        <v>120.46</v>
      </c>
      <c r="R935">
        <v>39.751800000000003</v>
      </c>
      <c r="S935" s="12">
        <v>1706.9324999999999</v>
      </c>
    </row>
    <row r="936" spans="1:19" hidden="1" x14ac:dyDescent="0.25">
      <c r="A936" s="13">
        <v>45681</v>
      </c>
      <c r="B936" t="s">
        <v>352</v>
      </c>
      <c r="C936">
        <v>15329</v>
      </c>
      <c r="D936" t="s">
        <v>42</v>
      </c>
      <c r="E936" s="5">
        <v>47</v>
      </c>
      <c r="F936">
        <v>48.63</v>
      </c>
      <c r="G936" s="12" t="s">
        <v>36</v>
      </c>
      <c r="H936" s="11">
        <v>0.24</v>
      </c>
      <c r="I936" t="s">
        <v>19</v>
      </c>
      <c r="J936">
        <v>5.72</v>
      </c>
      <c r="K936" t="s">
        <v>37</v>
      </c>
      <c r="L936" s="14" t="s">
        <v>21</v>
      </c>
      <c r="M936" t="s">
        <v>22</v>
      </c>
      <c r="N936" t="s">
        <v>53</v>
      </c>
      <c r="O936" t="s">
        <v>33</v>
      </c>
      <c r="P936" t="s">
        <v>40</v>
      </c>
      <c r="Q936">
        <v>972.6</v>
      </c>
      <c r="R936">
        <v>233.42400000000001</v>
      </c>
      <c r="S936" s="12">
        <v>1690.4114</v>
      </c>
    </row>
    <row r="937" spans="1:19" hidden="1" x14ac:dyDescent="0.25">
      <c r="A937" s="13">
        <v>45703</v>
      </c>
      <c r="B937" t="s">
        <v>162</v>
      </c>
      <c r="C937">
        <v>31936</v>
      </c>
      <c r="D937" t="s">
        <v>70</v>
      </c>
      <c r="E937" s="5">
        <v>47</v>
      </c>
      <c r="F937">
        <v>76.2</v>
      </c>
      <c r="G937" s="12" t="s">
        <v>36</v>
      </c>
      <c r="H937" s="11">
        <v>0.32</v>
      </c>
      <c r="I937" t="s">
        <v>29</v>
      </c>
      <c r="J937">
        <v>20.29</v>
      </c>
      <c r="K937" t="s">
        <v>30</v>
      </c>
      <c r="L937" t="s">
        <v>31</v>
      </c>
      <c r="M937" t="s">
        <v>111</v>
      </c>
      <c r="N937" t="s">
        <v>38</v>
      </c>
      <c r="O937" t="s">
        <v>24</v>
      </c>
      <c r="P937" t="s">
        <v>34</v>
      </c>
      <c r="Q937">
        <v>2590.8000000000002</v>
      </c>
      <c r="R937">
        <v>829.05600000000004</v>
      </c>
      <c r="S937" s="12">
        <v>1668.8478</v>
      </c>
    </row>
    <row r="938" spans="1:19" hidden="1" x14ac:dyDescent="0.25">
      <c r="A938" s="13">
        <v>45676</v>
      </c>
      <c r="B938" t="s">
        <v>281</v>
      </c>
      <c r="C938">
        <v>37004</v>
      </c>
      <c r="D938" t="s">
        <v>75</v>
      </c>
      <c r="E938" s="5">
        <v>37</v>
      </c>
      <c r="F938">
        <v>96.93</v>
      </c>
      <c r="G938" s="12" t="s">
        <v>36</v>
      </c>
      <c r="H938" s="11">
        <v>0.13</v>
      </c>
      <c r="I938" t="s">
        <v>19</v>
      </c>
      <c r="J938">
        <v>15.32</v>
      </c>
      <c r="K938" t="s">
        <v>20</v>
      </c>
      <c r="L938" s="14" t="s">
        <v>21</v>
      </c>
      <c r="M938" t="s">
        <v>22</v>
      </c>
      <c r="N938" t="s">
        <v>23</v>
      </c>
      <c r="O938" t="s">
        <v>59</v>
      </c>
      <c r="P938" t="s">
        <v>25</v>
      </c>
      <c r="Q938">
        <v>2520.1800000000003</v>
      </c>
      <c r="R938">
        <v>327.62340000000006</v>
      </c>
      <c r="S938" s="12">
        <v>1572.6480000000001</v>
      </c>
    </row>
    <row r="939" spans="1:19" hidden="1" x14ac:dyDescent="0.25">
      <c r="A939" s="13">
        <v>45691</v>
      </c>
      <c r="B939" t="s">
        <v>381</v>
      </c>
      <c r="C939">
        <v>85491</v>
      </c>
      <c r="D939" t="s">
        <v>27</v>
      </c>
      <c r="E939" s="5">
        <v>37</v>
      </c>
      <c r="F939">
        <v>1.17</v>
      </c>
      <c r="G939" s="12" t="s">
        <v>36</v>
      </c>
      <c r="H939" s="11">
        <v>7.0000000000000007E-2</v>
      </c>
      <c r="I939" t="s">
        <v>734</v>
      </c>
      <c r="J939">
        <v>5.55</v>
      </c>
      <c r="K939" t="s">
        <v>37</v>
      </c>
      <c r="L939" s="14" t="s">
        <v>21</v>
      </c>
      <c r="M939" t="s">
        <v>111</v>
      </c>
      <c r="N939" t="s">
        <v>32</v>
      </c>
      <c r="O939" t="s">
        <v>81</v>
      </c>
      <c r="P939" t="s">
        <v>25</v>
      </c>
      <c r="Q939">
        <v>7.02</v>
      </c>
      <c r="R939">
        <v>0.4914</v>
      </c>
      <c r="S939" s="12">
        <v>1519.1904000000002</v>
      </c>
    </row>
    <row r="940" spans="1:19" hidden="1" x14ac:dyDescent="0.25">
      <c r="A940" s="13">
        <v>45663</v>
      </c>
      <c r="B940" t="s">
        <v>127</v>
      </c>
      <c r="C940">
        <v>99047</v>
      </c>
      <c r="D940" t="s">
        <v>17</v>
      </c>
      <c r="E940" s="5">
        <v>18</v>
      </c>
      <c r="F940">
        <v>37.479999999999997</v>
      </c>
      <c r="G940" s="12" t="s">
        <v>36</v>
      </c>
      <c r="H940" s="11">
        <v>0.16</v>
      </c>
      <c r="I940" t="s">
        <v>734</v>
      </c>
      <c r="J940">
        <v>22.54</v>
      </c>
      <c r="K940" t="s">
        <v>20</v>
      </c>
      <c r="L940" t="s">
        <v>31</v>
      </c>
      <c r="M940" t="s">
        <v>22</v>
      </c>
      <c r="N940" t="s">
        <v>53</v>
      </c>
      <c r="O940" t="s">
        <v>24</v>
      </c>
      <c r="P940" t="s">
        <v>25</v>
      </c>
      <c r="Q940">
        <v>974.4799999999999</v>
      </c>
      <c r="R940">
        <v>155.91679999999999</v>
      </c>
      <c r="S940" s="12">
        <v>1467.1080000000002</v>
      </c>
    </row>
    <row r="941" spans="1:19" hidden="1" x14ac:dyDescent="0.25">
      <c r="A941" s="13">
        <v>45695</v>
      </c>
      <c r="B941" t="s">
        <v>542</v>
      </c>
      <c r="C941">
        <v>58240</v>
      </c>
      <c r="D941" t="s">
        <v>27</v>
      </c>
      <c r="E941" s="5">
        <v>37</v>
      </c>
      <c r="F941">
        <v>95.52</v>
      </c>
      <c r="G941" s="12" t="s">
        <v>36</v>
      </c>
      <c r="H941" s="11">
        <v>0.49</v>
      </c>
      <c r="I941" t="s">
        <v>29</v>
      </c>
      <c r="J941">
        <v>28.23</v>
      </c>
      <c r="K941" t="s">
        <v>30</v>
      </c>
      <c r="L941" s="14" t="s">
        <v>21</v>
      </c>
      <c r="M941" t="s">
        <v>22</v>
      </c>
      <c r="N941" t="s">
        <v>23</v>
      </c>
      <c r="O941" t="s">
        <v>24</v>
      </c>
      <c r="P941" t="s">
        <v>25</v>
      </c>
      <c r="Q941">
        <v>2101.44</v>
      </c>
      <c r="R941">
        <v>1029.7056</v>
      </c>
      <c r="S941" s="12">
        <v>1394.8703999999998</v>
      </c>
    </row>
    <row r="942" spans="1:19" x14ac:dyDescent="0.25">
      <c r="A942" s="13">
        <v>45666</v>
      </c>
      <c r="B942" t="s">
        <v>159</v>
      </c>
      <c r="C942">
        <v>83134</v>
      </c>
      <c r="D942" t="s">
        <v>89</v>
      </c>
      <c r="E942" s="5">
        <v>37</v>
      </c>
      <c r="F942" s="23">
        <v>68.72</v>
      </c>
      <c r="G942" s="12" t="s">
        <v>36</v>
      </c>
      <c r="H942" s="37">
        <v>0.21</v>
      </c>
      <c r="I942" t="s">
        <v>19</v>
      </c>
      <c r="J942" s="23">
        <v>23.72</v>
      </c>
      <c r="K942" s="5" t="s">
        <v>44</v>
      </c>
      <c r="L942" s="14" t="s">
        <v>21</v>
      </c>
      <c r="M942" t="s">
        <v>22</v>
      </c>
      <c r="N942" t="s">
        <v>32</v>
      </c>
      <c r="O942" t="s">
        <v>39</v>
      </c>
      <c r="P942" s="14" t="s">
        <v>34</v>
      </c>
      <c r="Q942" s="23">
        <v>618.48</v>
      </c>
      <c r="R942" s="23">
        <v>129.88079999999999</v>
      </c>
      <c r="S942" s="24">
        <v>1373.9209999999998</v>
      </c>
    </row>
    <row r="943" spans="1:19" hidden="1" x14ac:dyDescent="0.25">
      <c r="A943" s="13">
        <v>45673</v>
      </c>
      <c r="B943" t="s">
        <v>222</v>
      </c>
      <c r="C943">
        <v>50769</v>
      </c>
      <c r="D943" t="s">
        <v>57</v>
      </c>
      <c r="E943" s="5">
        <v>48</v>
      </c>
      <c r="F943">
        <v>91.39</v>
      </c>
      <c r="G943" s="12" t="s">
        <v>36</v>
      </c>
      <c r="H943" s="11">
        <v>0.43</v>
      </c>
      <c r="I943" t="s">
        <v>734</v>
      </c>
      <c r="J943">
        <v>23.32</v>
      </c>
      <c r="K943" t="s">
        <v>37</v>
      </c>
      <c r="L943" t="s">
        <v>31</v>
      </c>
      <c r="M943" t="s">
        <v>735</v>
      </c>
      <c r="N943" t="s">
        <v>38</v>
      </c>
      <c r="O943" t="s">
        <v>39</v>
      </c>
      <c r="P943" t="s">
        <v>34</v>
      </c>
      <c r="Q943">
        <v>1827.8</v>
      </c>
      <c r="R943">
        <v>785.95399999999995</v>
      </c>
      <c r="S943" s="12">
        <v>1373.76</v>
      </c>
    </row>
    <row r="944" spans="1:19" hidden="1" x14ac:dyDescent="0.25">
      <c r="A944" s="13">
        <v>45712</v>
      </c>
      <c r="B944" t="s">
        <v>633</v>
      </c>
      <c r="C944">
        <v>50283</v>
      </c>
      <c r="D944" t="s">
        <v>42</v>
      </c>
      <c r="E944" s="5">
        <v>36</v>
      </c>
      <c r="F944">
        <v>37.81</v>
      </c>
      <c r="G944" s="12" t="s">
        <v>36</v>
      </c>
      <c r="H944" s="11">
        <v>0.36</v>
      </c>
      <c r="I944" t="s">
        <v>734</v>
      </c>
      <c r="J944">
        <v>11.78</v>
      </c>
      <c r="K944" t="s">
        <v>20</v>
      </c>
      <c r="L944" s="14" t="s">
        <v>21</v>
      </c>
      <c r="M944" t="s">
        <v>22</v>
      </c>
      <c r="N944" t="s">
        <v>38</v>
      </c>
      <c r="O944" t="s">
        <v>33</v>
      </c>
      <c r="P944" t="s">
        <v>25</v>
      </c>
      <c r="Q944">
        <v>453.72</v>
      </c>
      <c r="R944">
        <v>163.33920000000001</v>
      </c>
      <c r="S944" s="12">
        <v>1296.8136</v>
      </c>
    </row>
    <row r="945" spans="1:19" x14ac:dyDescent="0.25">
      <c r="A945" s="13">
        <v>45706</v>
      </c>
      <c r="B945" t="s">
        <v>656</v>
      </c>
      <c r="C945">
        <v>62574</v>
      </c>
      <c r="D945" t="s">
        <v>57</v>
      </c>
      <c r="E945" s="5">
        <v>25</v>
      </c>
      <c r="F945" s="23">
        <v>64</v>
      </c>
      <c r="G945" s="12" t="s">
        <v>36</v>
      </c>
      <c r="H945" s="37">
        <v>0.1</v>
      </c>
      <c r="I945" t="s">
        <v>29</v>
      </c>
      <c r="J945" s="23">
        <v>19.98</v>
      </c>
      <c r="K945" t="s">
        <v>30</v>
      </c>
      <c r="L945" s="14" t="s">
        <v>21</v>
      </c>
      <c r="M945" t="s">
        <v>22</v>
      </c>
      <c r="N945" t="s">
        <v>23</v>
      </c>
      <c r="O945" t="s">
        <v>59</v>
      </c>
      <c r="P945" s="14" t="s">
        <v>34</v>
      </c>
      <c r="Q945" s="23">
        <v>1984</v>
      </c>
      <c r="R945" s="23">
        <v>198.4</v>
      </c>
      <c r="S945" s="24">
        <v>1261.9349999999999</v>
      </c>
    </row>
    <row r="946" spans="1:19" x14ac:dyDescent="0.25">
      <c r="A946" s="13">
        <v>45676</v>
      </c>
      <c r="B946" t="s">
        <v>283</v>
      </c>
      <c r="C946">
        <v>79512</v>
      </c>
      <c r="D946" t="s">
        <v>70</v>
      </c>
      <c r="E946" s="5">
        <v>22</v>
      </c>
      <c r="F946" s="23">
        <v>24.02</v>
      </c>
      <c r="G946" s="12" t="s">
        <v>36</v>
      </c>
      <c r="H946" s="37">
        <v>0.26</v>
      </c>
      <c r="I946" t="s">
        <v>29</v>
      </c>
      <c r="J946" s="23">
        <v>18.12</v>
      </c>
      <c r="K946" t="s">
        <v>20</v>
      </c>
      <c r="L946" s="14" t="s">
        <v>21</v>
      </c>
      <c r="M946" t="s">
        <v>22</v>
      </c>
      <c r="N946" t="s">
        <v>32</v>
      </c>
      <c r="O946" t="s">
        <v>59</v>
      </c>
      <c r="P946" s="14" t="s">
        <v>34</v>
      </c>
      <c r="Q946" s="23">
        <v>744.62</v>
      </c>
      <c r="R946" s="23">
        <v>193.60120000000001</v>
      </c>
      <c r="S946" s="24">
        <v>1205.8200000000002</v>
      </c>
    </row>
    <row r="947" spans="1:19" x14ac:dyDescent="0.25">
      <c r="A947" s="13">
        <v>45699</v>
      </c>
      <c r="B947" t="s">
        <v>586</v>
      </c>
      <c r="C947">
        <v>78265</v>
      </c>
      <c r="D947" t="s">
        <v>75</v>
      </c>
      <c r="E947" s="5">
        <v>22</v>
      </c>
      <c r="F947" s="23">
        <v>97.03</v>
      </c>
      <c r="G947" s="12" t="s">
        <v>36</v>
      </c>
      <c r="H947" s="37">
        <v>0.15</v>
      </c>
      <c r="I947" t="s">
        <v>29</v>
      </c>
      <c r="J947" s="23">
        <v>13.4</v>
      </c>
      <c r="K947" t="s">
        <v>30</v>
      </c>
      <c r="L947" s="14" t="s">
        <v>21</v>
      </c>
      <c r="M947" t="s">
        <v>22</v>
      </c>
      <c r="N947" t="s">
        <v>32</v>
      </c>
      <c r="O947" t="s">
        <v>59</v>
      </c>
      <c r="P947" s="14" t="s">
        <v>34</v>
      </c>
      <c r="Q947" s="23">
        <v>776.24</v>
      </c>
      <c r="R947" s="23">
        <v>116.43599999999999</v>
      </c>
      <c r="S947" s="24">
        <v>1193.6210000000001</v>
      </c>
    </row>
    <row r="948" spans="1:19" hidden="1" x14ac:dyDescent="0.25">
      <c r="A948" s="13">
        <v>45685</v>
      </c>
      <c r="B948" t="s">
        <v>417</v>
      </c>
      <c r="C948">
        <v>24006</v>
      </c>
      <c r="D948" t="s">
        <v>42</v>
      </c>
      <c r="E948" s="5">
        <v>19</v>
      </c>
      <c r="F948">
        <v>66.83</v>
      </c>
      <c r="G948" s="12" t="s">
        <v>36</v>
      </c>
      <c r="H948" s="11">
        <v>0</v>
      </c>
      <c r="I948" t="s">
        <v>29</v>
      </c>
      <c r="J948">
        <v>9.5299999999999994</v>
      </c>
      <c r="K948" s="5" t="s">
        <v>44</v>
      </c>
      <c r="L948" t="s">
        <v>31</v>
      </c>
      <c r="M948" t="s">
        <v>22</v>
      </c>
      <c r="N948" t="s">
        <v>38</v>
      </c>
      <c r="O948" t="s">
        <v>81</v>
      </c>
      <c r="P948" t="s">
        <v>25</v>
      </c>
      <c r="Q948">
        <v>2940.52</v>
      </c>
      <c r="R948">
        <v>0</v>
      </c>
      <c r="S948" s="12">
        <v>1155.105</v>
      </c>
    </row>
    <row r="949" spans="1:19" hidden="1" x14ac:dyDescent="0.25">
      <c r="A949" s="13">
        <v>45677</v>
      </c>
      <c r="B949" t="s">
        <v>159</v>
      </c>
      <c r="C949">
        <v>35295</v>
      </c>
      <c r="D949" t="s">
        <v>68</v>
      </c>
      <c r="E949" s="5">
        <v>28</v>
      </c>
      <c r="F949">
        <v>46.35</v>
      </c>
      <c r="G949" s="12" t="s">
        <v>36</v>
      </c>
      <c r="H949" s="11">
        <v>0.19</v>
      </c>
      <c r="I949" t="s">
        <v>734</v>
      </c>
      <c r="J949">
        <v>9.24</v>
      </c>
      <c r="K949" s="5" t="s">
        <v>44</v>
      </c>
      <c r="L949" t="s">
        <v>31</v>
      </c>
      <c r="M949" t="s">
        <v>22</v>
      </c>
      <c r="N949" t="s">
        <v>23</v>
      </c>
      <c r="O949" t="s">
        <v>39</v>
      </c>
      <c r="P949" t="s">
        <v>40</v>
      </c>
      <c r="Q949">
        <v>231.75</v>
      </c>
      <c r="R949">
        <v>44.032499999999999</v>
      </c>
      <c r="S949" s="12">
        <v>1153.3339999999998</v>
      </c>
    </row>
    <row r="950" spans="1:19" hidden="1" x14ac:dyDescent="0.25">
      <c r="A950" s="13">
        <v>45677</v>
      </c>
      <c r="B950" t="s">
        <v>304</v>
      </c>
      <c r="C950">
        <v>74880</v>
      </c>
      <c r="D950" t="s">
        <v>27</v>
      </c>
      <c r="E950" s="5">
        <v>33</v>
      </c>
      <c r="F950">
        <v>63.37</v>
      </c>
      <c r="G950" s="12" t="s">
        <v>36</v>
      </c>
      <c r="H950" s="11">
        <v>0.35</v>
      </c>
      <c r="I950" t="s">
        <v>734</v>
      </c>
      <c r="J950">
        <v>25.09</v>
      </c>
      <c r="K950" t="s">
        <v>20</v>
      </c>
      <c r="L950" t="s">
        <v>31</v>
      </c>
      <c r="M950" t="s">
        <v>22</v>
      </c>
      <c r="N950" t="s">
        <v>38</v>
      </c>
      <c r="O950" t="s">
        <v>39</v>
      </c>
      <c r="P950" t="s">
        <v>34</v>
      </c>
      <c r="Q950">
        <v>1774.36</v>
      </c>
      <c r="R950">
        <v>621.02599999999995</v>
      </c>
      <c r="S950" s="12">
        <v>1125.3824999999999</v>
      </c>
    </row>
    <row r="951" spans="1:19" hidden="1" x14ac:dyDescent="0.25">
      <c r="A951" s="13">
        <v>45677</v>
      </c>
      <c r="B951" t="s">
        <v>289</v>
      </c>
      <c r="C951">
        <v>52199</v>
      </c>
      <c r="D951" t="s">
        <v>17</v>
      </c>
      <c r="E951" s="5">
        <v>46</v>
      </c>
      <c r="F951">
        <v>76.599999999999994</v>
      </c>
      <c r="G951" s="12" t="s">
        <v>36</v>
      </c>
      <c r="H951" s="11">
        <v>0.13</v>
      </c>
      <c r="I951" t="s">
        <v>29</v>
      </c>
      <c r="J951">
        <v>13.67</v>
      </c>
      <c r="K951" s="5" t="s">
        <v>44</v>
      </c>
      <c r="L951" s="14" t="s">
        <v>21</v>
      </c>
      <c r="M951" t="s">
        <v>22</v>
      </c>
      <c r="N951" t="s">
        <v>53</v>
      </c>
      <c r="O951" t="s">
        <v>24</v>
      </c>
      <c r="P951" t="s">
        <v>40</v>
      </c>
      <c r="Q951">
        <v>229.79999999999998</v>
      </c>
      <c r="R951">
        <v>29.873999999999999</v>
      </c>
      <c r="S951" s="12">
        <v>1101.5711999999999</v>
      </c>
    </row>
    <row r="952" spans="1:19" hidden="1" x14ac:dyDescent="0.25">
      <c r="A952" s="13">
        <v>45711</v>
      </c>
      <c r="B952" t="s">
        <v>666</v>
      </c>
      <c r="C952">
        <v>34067</v>
      </c>
      <c r="D952" t="s">
        <v>66</v>
      </c>
      <c r="E952" s="5">
        <v>42</v>
      </c>
      <c r="F952">
        <v>92.61</v>
      </c>
      <c r="G952" s="12" t="s">
        <v>36</v>
      </c>
      <c r="H952" s="11">
        <v>0.03</v>
      </c>
      <c r="I952" t="s">
        <v>29</v>
      </c>
      <c r="J952">
        <v>7.46</v>
      </c>
      <c r="K952" t="s">
        <v>50</v>
      </c>
      <c r="L952" s="14" t="s">
        <v>21</v>
      </c>
      <c r="M952" t="s">
        <v>22</v>
      </c>
      <c r="N952" t="s">
        <v>32</v>
      </c>
      <c r="O952" t="s">
        <v>81</v>
      </c>
      <c r="P952" t="s">
        <v>40</v>
      </c>
      <c r="Q952">
        <v>2315.25</v>
      </c>
      <c r="R952">
        <v>69.457499999999996</v>
      </c>
      <c r="S952" s="12">
        <v>1087.7328</v>
      </c>
    </row>
    <row r="953" spans="1:19" hidden="1" x14ac:dyDescent="0.25">
      <c r="A953" s="13">
        <v>45661</v>
      </c>
      <c r="B953" t="s">
        <v>113</v>
      </c>
      <c r="C953">
        <v>48954</v>
      </c>
      <c r="D953" t="s">
        <v>70</v>
      </c>
      <c r="E953" s="5">
        <v>28</v>
      </c>
      <c r="F953">
        <v>80.58</v>
      </c>
      <c r="G953" s="12" t="s">
        <v>36</v>
      </c>
      <c r="H953" s="11">
        <v>0.37</v>
      </c>
      <c r="I953" t="s">
        <v>29</v>
      </c>
      <c r="J953">
        <v>5.49</v>
      </c>
      <c r="K953" s="5" t="s">
        <v>44</v>
      </c>
      <c r="L953" t="s">
        <v>31</v>
      </c>
      <c r="M953" t="s">
        <v>22</v>
      </c>
      <c r="N953" t="s">
        <v>23</v>
      </c>
      <c r="O953" t="s">
        <v>81</v>
      </c>
      <c r="P953" t="s">
        <v>40</v>
      </c>
      <c r="Q953">
        <v>805.8</v>
      </c>
      <c r="R953">
        <v>298.14599999999996</v>
      </c>
      <c r="S953" s="12">
        <v>1075.6480000000001</v>
      </c>
    </row>
    <row r="954" spans="1:19" x14ac:dyDescent="0.25">
      <c r="A954" s="13">
        <v>45678</v>
      </c>
      <c r="B954" t="s">
        <v>307</v>
      </c>
      <c r="C954">
        <v>77293</v>
      </c>
      <c r="D954" t="s">
        <v>49</v>
      </c>
      <c r="E954" s="5">
        <v>27</v>
      </c>
      <c r="F954" s="23">
        <v>53</v>
      </c>
      <c r="G954" s="12" t="s">
        <v>36</v>
      </c>
      <c r="H954" s="37">
        <v>0.15</v>
      </c>
      <c r="I954" t="s">
        <v>19</v>
      </c>
      <c r="J954" s="23">
        <v>11.34</v>
      </c>
      <c r="K954" t="s">
        <v>50</v>
      </c>
      <c r="L954" s="14" t="s">
        <v>21</v>
      </c>
      <c r="M954" t="s">
        <v>22</v>
      </c>
      <c r="N954" t="s">
        <v>32</v>
      </c>
      <c r="O954" t="s">
        <v>81</v>
      </c>
      <c r="P954" s="14" t="s">
        <v>34</v>
      </c>
      <c r="Q954" s="23">
        <v>1378</v>
      </c>
      <c r="R954" s="23">
        <v>206.7</v>
      </c>
      <c r="S954" s="24">
        <v>1037.8071</v>
      </c>
    </row>
    <row r="955" spans="1:19" hidden="1" x14ac:dyDescent="0.25">
      <c r="A955" s="13">
        <v>45696</v>
      </c>
      <c r="B955" t="s">
        <v>548</v>
      </c>
      <c r="C955">
        <v>11948</v>
      </c>
      <c r="D955" t="s">
        <v>66</v>
      </c>
      <c r="E955" s="5">
        <v>25</v>
      </c>
      <c r="F955">
        <v>81.52</v>
      </c>
      <c r="G955" s="12" t="s">
        <v>36</v>
      </c>
      <c r="H955" s="11">
        <v>0.1</v>
      </c>
      <c r="I955" t="s">
        <v>29</v>
      </c>
      <c r="J955">
        <v>10.8</v>
      </c>
      <c r="K955" t="s">
        <v>37</v>
      </c>
      <c r="L955" t="s">
        <v>31</v>
      </c>
      <c r="M955" t="s">
        <v>22</v>
      </c>
      <c r="N955" t="s">
        <v>23</v>
      </c>
      <c r="O955" t="s">
        <v>24</v>
      </c>
      <c r="P955" t="s">
        <v>40</v>
      </c>
      <c r="Q955">
        <v>570.64</v>
      </c>
      <c r="R955">
        <v>57.064</v>
      </c>
      <c r="S955" s="12">
        <v>1033.8975</v>
      </c>
    </row>
    <row r="956" spans="1:19" hidden="1" x14ac:dyDescent="0.25">
      <c r="A956" s="13">
        <v>45686</v>
      </c>
      <c r="B956" t="s">
        <v>119</v>
      </c>
      <c r="C956">
        <v>64424</v>
      </c>
      <c r="D956" t="s">
        <v>49</v>
      </c>
      <c r="E956" s="5">
        <v>49</v>
      </c>
      <c r="F956">
        <v>96.98</v>
      </c>
      <c r="G956" s="12" t="s">
        <v>36</v>
      </c>
      <c r="H956" s="11">
        <v>0.3</v>
      </c>
      <c r="I956" t="s">
        <v>19</v>
      </c>
      <c r="J956">
        <v>16.59</v>
      </c>
      <c r="K956" t="s">
        <v>37</v>
      </c>
      <c r="L956" s="14" t="s">
        <v>21</v>
      </c>
      <c r="M956" t="s">
        <v>22</v>
      </c>
      <c r="N956" t="s">
        <v>23</v>
      </c>
      <c r="O956" t="s">
        <v>39</v>
      </c>
      <c r="P956" t="s">
        <v>25</v>
      </c>
      <c r="Q956">
        <v>775.84</v>
      </c>
      <c r="R956">
        <v>232.75200000000001</v>
      </c>
      <c r="S956" s="12">
        <v>979.63739999999996</v>
      </c>
    </row>
    <row r="957" spans="1:19" hidden="1" x14ac:dyDescent="0.25">
      <c r="A957" s="13">
        <v>45694</v>
      </c>
      <c r="B957" t="s">
        <v>526</v>
      </c>
      <c r="C957">
        <v>85899</v>
      </c>
      <c r="D957" t="s">
        <v>57</v>
      </c>
      <c r="E957" s="5">
        <v>15</v>
      </c>
      <c r="F957">
        <v>61.03</v>
      </c>
      <c r="G957" s="12" t="s">
        <v>36</v>
      </c>
      <c r="H957" s="11">
        <v>0.09</v>
      </c>
      <c r="I957" t="s">
        <v>734</v>
      </c>
      <c r="J957">
        <v>27.14</v>
      </c>
      <c r="K957" t="s">
        <v>37</v>
      </c>
      <c r="L957" t="s">
        <v>31</v>
      </c>
      <c r="M957" t="s">
        <v>22</v>
      </c>
      <c r="N957" t="s">
        <v>23</v>
      </c>
      <c r="O957" t="s">
        <v>59</v>
      </c>
      <c r="P957" t="s">
        <v>25</v>
      </c>
      <c r="Q957">
        <v>1464.72</v>
      </c>
      <c r="R957">
        <v>131.82480000000001</v>
      </c>
      <c r="S957" s="12">
        <v>964.29750000000001</v>
      </c>
    </row>
    <row r="958" spans="1:19" hidden="1" x14ac:dyDescent="0.25">
      <c r="A958" s="13">
        <v>45675</v>
      </c>
      <c r="B958" t="s">
        <v>262</v>
      </c>
      <c r="C958">
        <v>72545</v>
      </c>
      <c r="D958" t="s">
        <v>49</v>
      </c>
      <c r="E958" s="5">
        <v>17</v>
      </c>
      <c r="F958">
        <v>49.11</v>
      </c>
      <c r="G958" s="12" t="s">
        <v>36</v>
      </c>
      <c r="H958" s="11">
        <v>0.02</v>
      </c>
      <c r="I958" t="s">
        <v>29</v>
      </c>
      <c r="J958">
        <v>6.8</v>
      </c>
      <c r="K958" t="s">
        <v>30</v>
      </c>
      <c r="L958" s="14" t="s">
        <v>21</v>
      </c>
      <c r="M958" t="s">
        <v>22</v>
      </c>
      <c r="N958" t="s">
        <v>53</v>
      </c>
      <c r="O958" t="s">
        <v>81</v>
      </c>
      <c r="P958" t="s">
        <v>40</v>
      </c>
      <c r="Q958">
        <v>2013.51</v>
      </c>
      <c r="R958">
        <v>40.270200000000003</v>
      </c>
      <c r="S958" s="12">
        <v>915.94299999999998</v>
      </c>
    </row>
    <row r="959" spans="1:19" hidden="1" x14ac:dyDescent="0.25">
      <c r="A959" s="13">
        <v>45700</v>
      </c>
      <c r="B959" t="s">
        <v>600</v>
      </c>
      <c r="C959">
        <v>58786</v>
      </c>
      <c r="D959" t="s">
        <v>27</v>
      </c>
      <c r="E959" s="5">
        <v>13</v>
      </c>
      <c r="F959">
        <v>66.760000000000005</v>
      </c>
      <c r="G959" s="12" t="s">
        <v>36</v>
      </c>
      <c r="H959" s="11">
        <v>0.23</v>
      </c>
      <c r="I959" t="s">
        <v>19</v>
      </c>
      <c r="J959">
        <v>19.420000000000002</v>
      </c>
      <c r="K959" t="s">
        <v>50</v>
      </c>
      <c r="L959" t="s">
        <v>31</v>
      </c>
      <c r="M959" t="s">
        <v>22</v>
      </c>
      <c r="N959" t="s">
        <v>23</v>
      </c>
      <c r="O959" t="s">
        <v>33</v>
      </c>
      <c r="P959" t="s">
        <v>34</v>
      </c>
      <c r="Q959">
        <v>1869.2800000000002</v>
      </c>
      <c r="R959">
        <v>429.93440000000004</v>
      </c>
      <c r="S959" s="12">
        <v>899.74689999999998</v>
      </c>
    </row>
    <row r="960" spans="1:19" hidden="1" x14ac:dyDescent="0.25">
      <c r="A960" s="13">
        <v>45705</v>
      </c>
      <c r="B960" t="s">
        <v>545</v>
      </c>
      <c r="C960">
        <v>51186</v>
      </c>
      <c r="D960" t="s">
        <v>75</v>
      </c>
      <c r="E960" s="5">
        <v>31</v>
      </c>
      <c r="F960">
        <v>89.87</v>
      </c>
      <c r="G960" s="12" t="s">
        <v>36</v>
      </c>
      <c r="H960" s="11">
        <v>0.21</v>
      </c>
      <c r="I960" t="s">
        <v>19</v>
      </c>
      <c r="J960">
        <v>12.11</v>
      </c>
      <c r="K960" t="s">
        <v>50</v>
      </c>
      <c r="L960" s="14" t="s">
        <v>21</v>
      </c>
      <c r="M960" t="s">
        <v>22</v>
      </c>
      <c r="N960" t="s">
        <v>53</v>
      </c>
      <c r="O960" t="s">
        <v>39</v>
      </c>
      <c r="P960" t="s">
        <v>25</v>
      </c>
      <c r="Q960">
        <v>808.83</v>
      </c>
      <c r="R960">
        <v>169.85429999999999</v>
      </c>
      <c r="S960" s="12">
        <v>880.12100000000009</v>
      </c>
    </row>
    <row r="961" spans="1:19" hidden="1" x14ac:dyDescent="0.25">
      <c r="A961" s="13">
        <v>45708</v>
      </c>
      <c r="B961" t="s">
        <v>678</v>
      </c>
      <c r="C961">
        <v>78644</v>
      </c>
      <c r="D961" t="s">
        <v>17</v>
      </c>
      <c r="E961" s="5">
        <v>32</v>
      </c>
      <c r="F961">
        <v>39.04</v>
      </c>
      <c r="G961" s="12" t="s">
        <v>36</v>
      </c>
      <c r="H961" s="11">
        <v>0.12</v>
      </c>
      <c r="I961" t="s">
        <v>734</v>
      </c>
      <c r="J961">
        <v>8.01</v>
      </c>
      <c r="K961" s="5" t="s">
        <v>44</v>
      </c>
      <c r="L961" t="s">
        <v>31</v>
      </c>
      <c r="M961" t="s">
        <v>22</v>
      </c>
      <c r="N961" t="s">
        <v>38</v>
      </c>
      <c r="O961" t="s">
        <v>24</v>
      </c>
      <c r="P961" t="s">
        <v>40</v>
      </c>
      <c r="Q961">
        <v>1288.32</v>
      </c>
      <c r="R961">
        <v>154.5984</v>
      </c>
      <c r="S961" s="12">
        <v>868.8768</v>
      </c>
    </row>
    <row r="962" spans="1:19" hidden="1" x14ac:dyDescent="0.25">
      <c r="A962" s="13">
        <v>45708</v>
      </c>
      <c r="B962" t="s">
        <v>159</v>
      </c>
      <c r="C962">
        <v>59040</v>
      </c>
      <c r="D962" t="s">
        <v>68</v>
      </c>
      <c r="E962" s="5">
        <v>29</v>
      </c>
      <c r="F962">
        <v>31.25</v>
      </c>
      <c r="G962" s="12" t="s">
        <v>36</v>
      </c>
      <c r="H962" s="11">
        <v>0.43</v>
      </c>
      <c r="I962" t="s">
        <v>734</v>
      </c>
      <c r="J962">
        <v>19.53</v>
      </c>
      <c r="K962" t="s">
        <v>50</v>
      </c>
      <c r="L962" t="s">
        <v>31</v>
      </c>
      <c r="M962" t="s">
        <v>22</v>
      </c>
      <c r="N962" t="s">
        <v>23</v>
      </c>
      <c r="O962" t="s">
        <v>81</v>
      </c>
      <c r="P962" t="s">
        <v>25</v>
      </c>
      <c r="Q962">
        <v>1187.5</v>
      </c>
      <c r="R962">
        <v>510.625</v>
      </c>
      <c r="S962" s="12">
        <v>836.50789999999995</v>
      </c>
    </row>
    <row r="963" spans="1:19" hidden="1" x14ac:dyDescent="0.25">
      <c r="A963" s="13">
        <v>45709</v>
      </c>
      <c r="B963" t="s">
        <v>681</v>
      </c>
      <c r="C963">
        <v>77655</v>
      </c>
      <c r="D963" t="s">
        <v>57</v>
      </c>
      <c r="E963" s="5">
        <v>22</v>
      </c>
      <c r="F963">
        <v>49.12</v>
      </c>
      <c r="G963" s="12" t="s">
        <v>36</v>
      </c>
      <c r="H963" s="11">
        <v>0.11</v>
      </c>
      <c r="I963" t="s">
        <v>734</v>
      </c>
      <c r="J963">
        <v>21.8</v>
      </c>
      <c r="K963" t="s">
        <v>37</v>
      </c>
      <c r="L963" t="s">
        <v>31</v>
      </c>
      <c r="M963" t="s">
        <v>22</v>
      </c>
      <c r="N963" t="s">
        <v>23</v>
      </c>
      <c r="O963" t="s">
        <v>24</v>
      </c>
      <c r="P963" t="s">
        <v>34</v>
      </c>
      <c r="Q963">
        <v>540.31999999999994</v>
      </c>
      <c r="R963">
        <v>59.435199999999995</v>
      </c>
      <c r="S963" s="12">
        <v>833.58</v>
      </c>
    </row>
    <row r="964" spans="1:19" hidden="1" x14ac:dyDescent="0.25">
      <c r="A964" s="13">
        <v>45675</v>
      </c>
      <c r="B964" t="s">
        <v>265</v>
      </c>
      <c r="C964">
        <v>95137</v>
      </c>
      <c r="D964" t="s">
        <v>70</v>
      </c>
      <c r="E964" s="5">
        <v>12</v>
      </c>
      <c r="F964">
        <v>62.19</v>
      </c>
      <c r="G964" s="12" t="s">
        <v>36</v>
      </c>
      <c r="H964" s="11">
        <v>0.47</v>
      </c>
      <c r="I964" t="s">
        <v>29</v>
      </c>
      <c r="J964">
        <v>9.41</v>
      </c>
      <c r="K964" t="s">
        <v>50</v>
      </c>
      <c r="L964" s="14" t="s">
        <v>21</v>
      </c>
      <c r="M964" t="s">
        <v>22</v>
      </c>
      <c r="N964" t="s">
        <v>23</v>
      </c>
      <c r="O964" t="s">
        <v>81</v>
      </c>
      <c r="P964" t="s">
        <v>25</v>
      </c>
      <c r="Q964">
        <v>2985.12</v>
      </c>
      <c r="R964">
        <v>1403.0063999999998</v>
      </c>
      <c r="S964" s="12">
        <v>806.6604000000001</v>
      </c>
    </row>
    <row r="965" spans="1:19" x14ac:dyDescent="0.25">
      <c r="A965" s="13">
        <v>45703</v>
      </c>
      <c r="B965" t="s">
        <v>215</v>
      </c>
      <c r="C965">
        <v>47078</v>
      </c>
      <c r="D965" t="s">
        <v>68</v>
      </c>
      <c r="E965" s="5">
        <v>22</v>
      </c>
      <c r="F965" s="23">
        <v>57.27</v>
      </c>
      <c r="G965" s="12" t="s">
        <v>36</v>
      </c>
      <c r="H965" s="37">
        <v>0.38</v>
      </c>
      <c r="I965" t="s">
        <v>29</v>
      </c>
      <c r="J965" s="23">
        <v>23.4</v>
      </c>
      <c r="K965" t="s">
        <v>37</v>
      </c>
      <c r="L965" s="14" t="s">
        <v>21</v>
      </c>
      <c r="M965" t="s">
        <v>22</v>
      </c>
      <c r="N965" t="s">
        <v>32</v>
      </c>
      <c r="O965" t="s">
        <v>24</v>
      </c>
      <c r="P965" s="14" t="s">
        <v>34</v>
      </c>
      <c r="Q965" s="23">
        <v>2691.69</v>
      </c>
      <c r="R965" s="23">
        <v>1022.8422</v>
      </c>
      <c r="S965" s="24">
        <v>779.31920000000002</v>
      </c>
    </row>
    <row r="966" spans="1:19" hidden="1" x14ac:dyDescent="0.25">
      <c r="A966" s="13">
        <v>45678</v>
      </c>
      <c r="B966" t="s">
        <v>296</v>
      </c>
      <c r="C966">
        <v>40974</v>
      </c>
      <c r="D966" t="s">
        <v>89</v>
      </c>
      <c r="E966" s="5">
        <v>14</v>
      </c>
      <c r="F966">
        <v>49.19</v>
      </c>
      <c r="G966" s="12" t="s">
        <v>36</v>
      </c>
      <c r="H966" s="11">
        <v>0.27</v>
      </c>
      <c r="I966" t="s">
        <v>734</v>
      </c>
      <c r="J966">
        <v>16.63</v>
      </c>
      <c r="K966" t="s">
        <v>30</v>
      </c>
      <c r="L966" s="14" t="s">
        <v>21</v>
      </c>
      <c r="M966" t="s">
        <v>22</v>
      </c>
      <c r="N966" t="s">
        <v>32</v>
      </c>
      <c r="O966" t="s">
        <v>24</v>
      </c>
      <c r="P966" t="s">
        <v>40</v>
      </c>
      <c r="Q966">
        <v>1524.8899999999999</v>
      </c>
      <c r="R966">
        <v>411.72030000000001</v>
      </c>
      <c r="S966" s="12">
        <v>768.26260000000013</v>
      </c>
    </row>
    <row r="967" spans="1:19" hidden="1" x14ac:dyDescent="0.25">
      <c r="A967" s="13">
        <v>45697</v>
      </c>
      <c r="B967" t="s">
        <v>561</v>
      </c>
      <c r="C967">
        <v>32877</v>
      </c>
      <c r="D967" t="s">
        <v>68</v>
      </c>
      <c r="E967" s="5">
        <v>30</v>
      </c>
      <c r="F967">
        <v>66.63</v>
      </c>
      <c r="G967" s="12" t="s">
        <v>36</v>
      </c>
      <c r="H967" s="11">
        <v>0.32</v>
      </c>
      <c r="I967" t="s">
        <v>29</v>
      </c>
      <c r="J967">
        <v>17.66</v>
      </c>
      <c r="K967" t="s">
        <v>30</v>
      </c>
      <c r="L967" s="14" t="s">
        <v>21</v>
      </c>
      <c r="M967" t="s">
        <v>22</v>
      </c>
      <c r="N967" t="s">
        <v>38</v>
      </c>
      <c r="O967" t="s">
        <v>33</v>
      </c>
      <c r="P967" t="s">
        <v>25</v>
      </c>
      <c r="Q967">
        <v>199.89</v>
      </c>
      <c r="R967">
        <v>63.964799999999997</v>
      </c>
      <c r="S967" s="12">
        <v>738.10800000000006</v>
      </c>
    </row>
    <row r="968" spans="1:19" hidden="1" x14ac:dyDescent="0.25">
      <c r="A968" s="13">
        <v>45702</v>
      </c>
      <c r="B968" t="s">
        <v>391</v>
      </c>
      <c r="C968">
        <v>83545</v>
      </c>
      <c r="D968" t="s">
        <v>27</v>
      </c>
      <c r="E968" s="5">
        <v>14</v>
      </c>
      <c r="F968">
        <v>84.49</v>
      </c>
      <c r="G968" s="12" t="s">
        <v>36</v>
      </c>
      <c r="H968" s="11">
        <v>0.44</v>
      </c>
      <c r="I968" t="s">
        <v>19</v>
      </c>
      <c r="J968">
        <v>8.86</v>
      </c>
      <c r="K968" t="s">
        <v>50</v>
      </c>
      <c r="L968" s="14" t="s">
        <v>21</v>
      </c>
      <c r="M968" t="s">
        <v>22</v>
      </c>
      <c r="N968" t="s">
        <v>23</v>
      </c>
      <c r="O968" t="s">
        <v>39</v>
      </c>
      <c r="P968" t="s">
        <v>40</v>
      </c>
      <c r="Q968">
        <v>2450.21</v>
      </c>
      <c r="R968">
        <v>1078.0924</v>
      </c>
      <c r="S968" s="12">
        <v>721.03639999999996</v>
      </c>
    </row>
    <row r="969" spans="1:19" hidden="1" x14ac:dyDescent="0.25">
      <c r="A969" s="13">
        <v>45673</v>
      </c>
      <c r="B969" t="s">
        <v>221</v>
      </c>
      <c r="C969">
        <v>95819</v>
      </c>
      <c r="D969" t="s">
        <v>70</v>
      </c>
      <c r="E969" s="5">
        <v>24</v>
      </c>
      <c r="F969">
        <v>49.97</v>
      </c>
      <c r="G969" s="12" t="s">
        <v>36</v>
      </c>
      <c r="H969" s="11">
        <v>0.05</v>
      </c>
      <c r="I969" t="s">
        <v>734</v>
      </c>
      <c r="J969">
        <v>28.51</v>
      </c>
      <c r="K969" t="s">
        <v>30</v>
      </c>
      <c r="L969" t="s">
        <v>31</v>
      </c>
      <c r="M969" t="s">
        <v>22</v>
      </c>
      <c r="N969" t="s">
        <v>53</v>
      </c>
      <c r="O969" t="s">
        <v>33</v>
      </c>
      <c r="P969" t="s">
        <v>34</v>
      </c>
      <c r="Q969">
        <v>2148.71</v>
      </c>
      <c r="R969">
        <v>107.4355</v>
      </c>
      <c r="S969" s="12">
        <v>713.25360000000001</v>
      </c>
    </row>
    <row r="970" spans="1:19" hidden="1" x14ac:dyDescent="0.25">
      <c r="A970" s="13">
        <v>45708</v>
      </c>
      <c r="B970" t="s">
        <v>485</v>
      </c>
      <c r="C970">
        <v>10401</v>
      </c>
      <c r="D970" t="s">
        <v>57</v>
      </c>
      <c r="E970" s="5">
        <v>38</v>
      </c>
      <c r="F970">
        <v>52.11</v>
      </c>
      <c r="G970" s="12" t="s">
        <v>36</v>
      </c>
      <c r="H970" s="11">
        <v>0.43</v>
      </c>
      <c r="I970" t="s">
        <v>19</v>
      </c>
      <c r="J970">
        <v>24.15</v>
      </c>
      <c r="K970" t="s">
        <v>50</v>
      </c>
      <c r="L970" s="14" t="s">
        <v>21</v>
      </c>
      <c r="M970" t="s">
        <v>22</v>
      </c>
      <c r="N970" t="s">
        <v>23</v>
      </c>
      <c r="O970" t="s">
        <v>24</v>
      </c>
      <c r="P970" t="s">
        <v>25</v>
      </c>
      <c r="Q970">
        <v>260.55</v>
      </c>
      <c r="R970">
        <v>112.0365</v>
      </c>
      <c r="S970" s="12">
        <v>676.875</v>
      </c>
    </row>
    <row r="971" spans="1:19" hidden="1" x14ac:dyDescent="0.25">
      <c r="A971" s="13">
        <v>45711</v>
      </c>
      <c r="B971" t="s">
        <v>548</v>
      </c>
      <c r="C971">
        <v>93645</v>
      </c>
      <c r="D971" t="s">
        <v>17</v>
      </c>
      <c r="E971" s="5">
        <v>26</v>
      </c>
      <c r="F971">
        <v>36.57</v>
      </c>
      <c r="G971" s="12" t="s">
        <v>36</v>
      </c>
      <c r="H971" s="11">
        <v>0.16</v>
      </c>
      <c r="I971" t="s">
        <v>19</v>
      </c>
      <c r="J971">
        <v>24.07</v>
      </c>
      <c r="K971" t="s">
        <v>37</v>
      </c>
      <c r="L971" s="14" t="s">
        <v>21</v>
      </c>
      <c r="M971" t="s">
        <v>22</v>
      </c>
      <c r="N971" t="s">
        <v>32</v>
      </c>
      <c r="O971" t="s">
        <v>81</v>
      </c>
      <c r="P971" t="s">
        <v>40</v>
      </c>
      <c r="Q971">
        <v>1718.79</v>
      </c>
      <c r="R971">
        <v>275.00639999999999</v>
      </c>
      <c r="S971" s="12">
        <v>600.79500000000007</v>
      </c>
    </row>
    <row r="972" spans="1:19" hidden="1" x14ac:dyDescent="0.25">
      <c r="A972" s="13">
        <v>45686</v>
      </c>
      <c r="B972" t="s">
        <v>430</v>
      </c>
      <c r="C972">
        <v>94787</v>
      </c>
      <c r="D972" t="s">
        <v>68</v>
      </c>
      <c r="E972" s="5">
        <v>48</v>
      </c>
      <c r="F972">
        <v>45.21</v>
      </c>
      <c r="G972" s="12" t="s">
        <v>36</v>
      </c>
      <c r="H972" s="11">
        <v>0</v>
      </c>
      <c r="I972" t="s">
        <v>19</v>
      </c>
      <c r="J972">
        <v>22.86</v>
      </c>
      <c r="K972" s="5" t="s">
        <v>44</v>
      </c>
      <c r="L972" s="14" t="s">
        <v>21</v>
      </c>
      <c r="M972" t="s">
        <v>22</v>
      </c>
      <c r="N972" t="s">
        <v>32</v>
      </c>
      <c r="O972" t="s">
        <v>24</v>
      </c>
      <c r="P972" t="s">
        <v>40</v>
      </c>
      <c r="Q972">
        <v>135.63</v>
      </c>
      <c r="R972">
        <v>0</v>
      </c>
      <c r="S972" s="12">
        <v>593.00639999999999</v>
      </c>
    </row>
    <row r="973" spans="1:19" hidden="1" x14ac:dyDescent="0.25">
      <c r="A973" s="13">
        <v>45697</v>
      </c>
      <c r="B973" t="s">
        <v>560</v>
      </c>
      <c r="C973">
        <v>93894</v>
      </c>
      <c r="D973" t="s">
        <v>42</v>
      </c>
      <c r="E973" s="5">
        <v>20</v>
      </c>
      <c r="F973">
        <v>18.559999999999999</v>
      </c>
      <c r="G973" s="12" t="s">
        <v>36</v>
      </c>
      <c r="H973" s="11">
        <v>0.22</v>
      </c>
      <c r="I973" t="s">
        <v>734</v>
      </c>
      <c r="J973">
        <v>25.4</v>
      </c>
      <c r="K973" t="s">
        <v>50</v>
      </c>
      <c r="L973" s="14" t="s">
        <v>21</v>
      </c>
      <c r="M973" t="s">
        <v>22</v>
      </c>
      <c r="N973" t="s">
        <v>32</v>
      </c>
      <c r="O973" t="s">
        <v>24</v>
      </c>
      <c r="P973" t="s">
        <v>25</v>
      </c>
      <c r="Q973">
        <v>890.87999999999988</v>
      </c>
      <c r="R973">
        <v>195.99359999999999</v>
      </c>
      <c r="S973" s="12">
        <v>568.25599999999997</v>
      </c>
    </row>
    <row r="974" spans="1:19" hidden="1" x14ac:dyDescent="0.25">
      <c r="A974" s="13">
        <v>45680</v>
      </c>
      <c r="B974" t="s">
        <v>266</v>
      </c>
      <c r="C974">
        <v>75815</v>
      </c>
      <c r="D974" t="s">
        <v>17</v>
      </c>
      <c r="E974" s="5">
        <v>17</v>
      </c>
      <c r="F974">
        <v>9.49</v>
      </c>
      <c r="G974" s="12" t="s">
        <v>36</v>
      </c>
      <c r="H974" s="11">
        <v>0.05</v>
      </c>
      <c r="I974" t="s">
        <v>19</v>
      </c>
      <c r="J974">
        <v>21.83</v>
      </c>
      <c r="K974" t="s">
        <v>37</v>
      </c>
      <c r="L974" s="14" t="s">
        <v>21</v>
      </c>
      <c r="M974" t="s">
        <v>22</v>
      </c>
      <c r="N974" t="s">
        <v>23</v>
      </c>
      <c r="O974" t="s">
        <v>24</v>
      </c>
      <c r="P974" t="s">
        <v>25</v>
      </c>
      <c r="Q974">
        <v>256.23</v>
      </c>
      <c r="R974">
        <v>12.811500000000002</v>
      </c>
      <c r="S974" s="12">
        <v>536.26160000000004</v>
      </c>
    </row>
    <row r="975" spans="1:19" hidden="1" x14ac:dyDescent="0.25">
      <c r="A975" s="13">
        <v>45699</v>
      </c>
      <c r="B975" t="s">
        <v>582</v>
      </c>
      <c r="C975">
        <v>43162</v>
      </c>
      <c r="D975" t="s">
        <v>57</v>
      </c>
      <c r="E975" s="5">
        <v>23</v>
      </c>
      <c r="F975">
        <v>11.52</v>
      </c>
      <c r="G975" s="12" t="s">
        <v>36</v>
      </c>
      <c r="H975" s="11">
        <v>0.11</v>
      </c>
      <c r="I975" t="s">
        <v>19</v>
      </c>
      <c r="J975">
        <v>20.68</v>
      </c>
      <c r="K975" t="s">
        <v>50</v>
      </c>
      <c r="L975" t="s">
        <v>31</v>
      </c>
      <c r="M975" t="s">
        <v>22</v>
      </c>
      <c r="N975" t="s">
        <v>38</v>
      </c>
      <c r="O975" t="s">
        <v>59</v>
      </c>
      <c r="P975" t="s">
        <v>25</v>
      </c>
      <c r="Q975">
        <v>322.56</v>
      </c>
      <c r="R975">
        <v>35.4816</v>
      </c>
      <c r="S975" s="12">
        <v>532.74440000000004</v>
      </c>
    </row>
    <row r="976" spans="1:19" hidden="1" x14ac:dyDescent="0.25">
      <c r="A976" s="13">
        <v>45704</v>
      </c>
      <c r="B976" t="s">
        <v>640</v>
      </c>
      <c r="C976">
        <v>80915</v>
      </c>
      <c r="D976" t="s">
        <v>70</v>
      </c>
      <c r="E976" s="5">
        <v>33</v>
      </c>
      <c r="F976">
        <v>6.98</v>
      </c>
      <c r="G976" s="12" t="s">
        <v>36</v>
      </c>
      <c r="H976" s="11">
        <v>0.46</v>
      </c>
      <c r="I976" t="s">
        <v>734</v>
      </c>
      <c r="J976">
        <v>23.39</v>
      </c>
      <c r="K976" s="5" t="s">
        <v>44</v>
      </c>
      <c r="L976" t="s">
        <v>31</v>
      </c>
      <c r="M976" t="s">
        <v>22</v>
      </c>
      <c r="N976" t="s">
        <v>53</v>
      </c>
      <c r="O976" t="s">
        <v>24</v>
      </c>
      <c r="P976" t="s">
        <v>40</v>
      </c>
      <c r="Q976">
        <v>272.22000000000003</v>
      </c>
      <c r="R976">
        <v>125.22120000000002</v>
      </c>
      <c r="S976" s="12">
        <v>500.23050000000001</v>
      </c>
    </row>
    <row r="977" spans="1:19" x14ac:dyDescent="0.25">
      <c r="A977" s="13">
        <v>45709</v>
      </c>
      <c r="B977" t="s">
        <v>545</v>
      </c>
      <c r="C977">
        <v>70528</v>
      </c>
      <c r="D977" t="s">
        <v>57</v>
      </c>
      <c r="E977" s="5">
        <v>47</v>
      </c>
      <c r="F977" s="23">
        <v>98.02</v>
      </c>
      <c r="G977" s="12" t="s">
        <v>36</v>
      </c>
      <c r="H977" s="37">
        <v>0.36</v>
      </c>
      <c r="I977" t="s">
        <v>29</v>
      </c>
      <c r="J977" s="23">
        <v>15.99</v>
      </c>
      <c r="K977" t="s">
        <v>30</v>
      </c>
      <c r="L977" s="14" t="s">
        <v>21</v>
      </c>
      <c r="M977" t="s">
        <v>22</v>
      </c>
      <c r="N977" t="s">
        <v>23</v>
      </c>
      <c r="O977" t="s">
        <v>24</v>
      </c>
      <c r="P977" s="14" t="s">
        <v>34</v>
      </c>
      <c r="Q977" s="23">
        <v>980.19999999999993</v>
      </c>
      <c r="R977" s="23">
        <v>352.87199999999996</v>
      </c>
      <c r="S977" s="24">
        <v>494.74079999999998</v>
      </c>
    </row>
    <row r="978" spans="1:19" hidden="1" x14ac:dyDescent="0.25">
      <c r="A978" s="13">
        <v>45698</v>
      </c>
      <c r="B978" t="s">
        <v>574</v>
      </c>
      <c r="C978">
        <v>55946</v>
      </c>
      <c r="D978" t="s">
        <v>57</v>
      </c>
      <c r="E978" s="5">
        <v>17</v>
      </c>
      <c r="F978">
        <v>57.6</v>
      </c>
      <c r="G978" s="12" t="s">
        <v>36</v>
      </c>
      <c r="H978" s="11">
        <v>0.01</v>
      </c>
      <c r="I978" t="s">
        <v>29</v>
      </c>
      <c r="J978">
        <v>18.649999999999999</v>
      </c>
      <c r="K978" t="s">
        <v>20</v>
      </c>
      <c r="L978" t="s">
        <v>31</v>
      </c>
      <c r="M978" t="s">
        <v>22</v>
      </c>
      <c r="N978" t="s">
        <v>53</v>
      </c>
      <c r="O978" t="s">
        <v>81</v>
      </c>
      <c r="P978" t="s">
        <v>25</v>
      </c>
      <c r="Q978">
        <v>2764.8</v>
      </c>
      <c r="R978">
        <v>27.648000000000003</v>
      </c>
      <c r="S978" s="12">
        <v>439.26300000000003</v>
      </c>
    </row>
    <row r="979" spans="1:19" hidden="1" x14ac:dyDescent="0.25">
      <c r="A979" s="13">
        <v>45691</v>
      </c>
      <c r="B979" t="s">
        <v>488</v>
      </c>
      <c r="C979">
        <v>27312</v>
      </c>
      <c r="D979" t="s">
        <v>42</v>
      </c>
      <c r="E979" s="5">
        <v>29</v>
      </c>
      <c r="F979">
        <v>78.25</v>
      </c>
      <c r="G979" s="12" t="s">
        <v>36</v>
      </c>
      <c r="H979" s="11">
        <v>0.28999999999999998</v>
      </c>
      <c r="I979" t="s">
        <v>29</v>
      </c>
      <c r="J979">
        <v>13.52</v>
      </c>
      <c r="K979" t="s">
        <v>50</v>
      </c>
      <c r="L979" s="14" t="s">
        <v>21</v>
      </c>
      <c r="M979" t="s">
        <v>22</v>
      </c>
      <c r="N979" t="s">
        <v>32</v>
      </c>
      <c r="O979" t="s">
        <v>33</v>
      </c>
      <c r="P979" t="s">
        <v>40</v>
      </c>
      <c r="Q979">
        <v>704.25</v>
      </c>
      <c r="R979">
        <v>204.23249999999999</v>
      </c>
      <c r="S979" s="12">
        <v>397.39859999999999</v>
      </c>
    </row>
    <row r="980" spans="1:19" hidden="1" x14ac:dyDescent="0.25">
      <c r="A980" s="13">
        <v>45703</v>
      </c>
      <c r="B980" t="s">
        <v>627</v>
      </c>
      <c r="C980">
        <v>76414</v>
      </c>
      <c r="D980" t="s">
        <v>42</v>
      </c>
      <c r="E980" s="5">
        <v>17</v>
      </c>
      <c r="F980">
        <v>68.81</v>
      </c>
      <c r="G980" s="12" t="s">
        <v>36</v>
      </c>
      <c r="H980" s="11">
        <v>0.06</v>
      </c>
      <c r="I980" t="s">
        <v>734</v>
      </c>
      <c r="J980">
        <v>18.940000000000001</v>
      </c>
      <c r="K980" s="5" t="s">
        <v>44</v>
      </c>
      <c r="L980" t="s">
        <v>31</v>
      </c>
      <c r="M980" t="s">
        <v>22</v>
      </c>
      <c r="N980" t="s">
        <v>53</v>
      </c>
      <c r="O980" t="s">
        <v>39</v>
      </c>
      <c r="P980" t="s">
        <v>25</v>
      </c>
      <c r="Q980">
        <v>1307.3900000000001</v>
      </c>
      <c r="R980">
        <v>78.443399999999997</v>
      </c>
      <c r="S980" s="12">
        <v>373.22480000000002</v>
      </c>
    </row>
    <row r="981" spans="1:19" hidden="1" x14ac:dyDescent="0.25">
      <c r="A981" s="13">
        <v>45703</v>
      </c>
      <c r="B981" t="s">
        <v>631</v>
      </c>
      <c r="C981">
        <v>79690</v>
      </c>
      <c r="D981" t="s">
        <v>89</v>
      </c>
      <c r="E981" s="5">
        <v>7</v>
      </c>
      <c r="F981">
        <v>48.2</v>
      </c>
      <c r="G981" s="12" t="s">
        <v>36</v>
      </c>
      <c r="H981" s="11">
        <v>0.14000000000000001</v>
      </c>
      <c r="I981" t="s">
        <v>734</v>
      </c>
      <c r="J981">
        <v>8.15</v>
      </c>
      <c r="K981" t="s">
        <v>20</v>
      </c>
      <c r="L981" t="s">
        <v>31</v>
      </c>
      <c r="M981" t="s">
        <v>22</v>
      </c>
      <c r="N981" t="s">
        <v>53</v>
      </c>
      <c r="O981" t="s">
        <v>33</v>
      </c>
      <c r="P981" t="s">
        <v>34</v>
      </c>
      <c r="Q981">
        <v>2265.4</v>
      </c>
      <c r="R981">
        <v>317.15600000000006</v>
      </c>
      <c r="S981" s="12">
        <v>347.66479999999996</v>
      </c>
    </row>
    <row r="982" spans="1:19" hidden="1" x14ac:dyDescent="0.25">
      <c r="A982" s="13">
        <v>45700</v>
      </c>
      <c r="B982" t="s">
        <v>80</v>
      </c>
      <c r="C982">
        <v>84574</v>
      </c>
      <c r="D982" t="s">
        <v>46</v>
      </c>
      <c r="E982" s="5">
        <v>12</v>
      </c>
      <c r="F982">
        <v>27.6</v>
      </c>
      <c r="G982" s="12" t="s">
        <v>36</v>
      </c>
      <c r="H982" s="11">
        <v>0.23</v>
      </c>
      <c r="I982" t="s">
        <v>734</v>
      </c>
      <c r="J982">
        <v>14.95</v>
      </c>
      <c r="K982" t="s">
        <v>50</v>
      </c>
      <c r="L982" t="s">
        <v>31</v>
      </c>
      <c r="M982" t="s">
        <v>22</v>
      </c>
      <c r="N982" t="s">
        <v>23</v>
      </c>
      <c r="O982" t="s">
        <v>33</v>
      </c>
      <c r="P982" t="s">
        <v>34</v>
      </c>
      <c r="Q982">
        <v>1186.8</v>
      </c>
      <c r="R982">
        <v>272.964</v>
      </c>
      <c r="S982" s="12">
        <v>347.52</v>
      </c>
    </row>
    <row r="983" spans="1:19" hidden="1" x14ac:dyDescent="0.25">
      <c r="A983" s="13">
        <v>45684</v>
      </c>
      <c r="B983" t="s">
        <v>407</v>
      </c>
      <c r="C983">
        <v>52663</v>
      </c>
      <c r="D983" t="s">
        <v>42</v>
      </c>
      <c r="E983" s="5">
        <v>14</v>
      </c>
      <c r="F983">
        <v>66.16</v>
      </c>
      <c r="G983" s="12" t="s">
        <v>36</v>
      </c>
      <c r="H983" s="11">
        <v>0.35</v>
      </c>
      <c r="I983" t="s">
        <v>19</v>
      </c>
      <c r="J983">
        <v>14.47</v>
      </c>
      <c r="K983" t="s">
        <v>30</v>
      </c>
      <c r="L983" t="s">
        <v>31</v>
      </c>
      <c r="M983" t="s">
        <v>22</v>
      </c>
      <c r="N983" t="s">
        <v>53</v>
      </c>
      <c r="O983" t="s">
        <v>24</v>
      </c>
      <c r="P983" t="s">
        <v>25</v>
      </c>
      <c r="Q983">
        <v>1521.6799999999998</v>
      </c>
      <c r="R983">
        <v>532.58799999999997</v>
      </c>
      <c r="S983" s="12">
        <v>324.35200000000009</v>
      </c>
    </row>
    <row r="984" spans="1:19" hidden="1" x14ac:dyDescent="0.25">
      <c r="A984" s="13">
        <v>45689</v>
      </c>
      <c r="B984" t="s">
        <v>342</v>
      </c>
      <c r="C984">
        <v>71256</v>
      </c>
      <c r="D984" t="s">
        <v>75</v>
      </c>
      <c r="E984" s="5">
        <v>32</v>
      </c>
      <c r="F984">
        <v>88.22</v>
      </c>
      <c r="G984" s="12" t="s">
        <v>36</v>
      </c>
      <c r="H984" s="11">
        <v>0.38</v>
      </c>
      <c r="I984" t="s">
        <v>29</v>
      </c>
      <c r="J984">
        <v>13.93</v>
      </c>
      <c r="K984" s="5" t="s">
        <v>44</v>
      </c>
      <c r="L984" t="s">
        <v>31</v>
      </c>
      <c r="M984" t="s">
        <v>22</v>
      </c>
      <c r="N984" t="s">
        <v>38</v>
      </c>
      <c r="O984" t="s">
        <v>81</v>
      </c>
      <c r="P984" t="s">
        <v>34</v>
      </c>
      <c r="Q984">
        <v>2999.48</v>
      </c>
      <c r="R984">
        <v>1139.8024</v>
      </c>
      <c r="S984" s="12">
        <v>321.9008</v>
      </c>
    </row>
    <row r="985" spans="1:19" hidden="1" x14ac:dyDescent="0.25">
      <c r="A985" s="13">
        <v>45710</v>
      </c>
      <c r="B985" t="s">
        <v>695</v>
      </c>
      <c r="C985">
        <v>34468</v>
      </c>
      <c r="D985" t="s">
        <v>68</v>
      </c>
      <c r="E985" s="5">
        <v>23</v>
      </c>
      <c r="F985">
        <v>28.41</v>
      </c>
      <c r="G985" s="12" t="s">
        <v>36</v>
      </c>
      <c r="H985" s="11">
        <v>0.21</v>
      </c>
      <c r="I985" t="s">
        <v>19</v>
      </c>
      <c r="J985">
        <v>22.16</v>
      </c>
      <c r="K985" s="5" t="s">
        <v>44</v>
      </c>
      <c r="L985" s="14" t="s">
        <v>21</v>
      </c>
      <c r="M985" t="s">
        <v>22</v>
      </c>
      <c r="N985" t="s">
        <v>32</v>
      </c>
      <c r="O985" t="s">
        <v>39</v>
      </c>
      <c r="P985" t="s">
        <v>25</v>
      </c>
      <c r="Q985">
        <v>852.3</v>
      </c>
      <c r="R985">
        <v>178.98299999999998</v>
      </c>
      <c r="S985" s="12">
        <v>285.01830000000001</v>
      </c>
    </row>
    <row r="986" spans="1:19" hidden="1" x14ac:dyDescent="0.25">
      <c r="A986" s="13">
        <v>45706</v>
      </c>
      <c r="B986" t="s">
        <v>521</v>
      </c>
      <c r="C986">
        <v>43994</v>
      </c>
      <c r="D986" t="s">
        <v>70</v>
      </c>
      <c r="E986" s="5">
        <v>30</v>
      </c>
      <c r="F986">
        <v>85.12</v>
      </c>
      <c r="G986" s="12" t="s">
        <v>36</v>
      </c>
      <c r="H986" s="11">
        <v>0.34</v>
      </c>
      <c r="I986" t="s">
        <v>734</v>
      </c>
      <c r="J986">
        <v>28.21</v>
      </c>
      <c r="K986" t="s">
        <v>50</v>
      </c>
      <c r="L986" t="s">
        <v>31</v>
      </c>
      <c r="M986" t="s">
        <v>111</v>
      </c>
      <c r="N986" t="s">
        <v>53</v>
      </c>
      <c r="O986" t="s">
        <v>33</v>
      </c>
      <c r="P986" t="s">
        <v>25</v>
      </c>
      <c r="Q986">
        <v>2042.88</v>
      </c>
      <c r="R986">
        <v>694.57920000000013</v>
      </c>
      <c r="S986" s="12">
        <v>233.01600000000002</v>
      </c>
    </row>
    <row r="987" spans="1:19" hidden="1" x14ac:dyDescent="0.25">
      <c r="A987" s="13">
        <v>45659</v>
      </c>
      <c r="B987" t="s">
        <v>48</v>
      </c>
      <c r="C987">
        <v>48304</v>
      </c>
      <c r="D987" t="s">
        <v>49</v>
      </c>
      <c r="E987" s="5">
        <v>5</v>
      </c>
      <c r="F987">
        <v>36.71</v>
      </c>
      <c r="G987" s="12" t="s">
        <v>36</v>
      </c>
      <c r="H987" s="11">
        <v>0.37</v>
      </c>
      <c r="I987" t="s">
        <v>29</v>
      </c>
      <c r="J987">
        <v>29.11</v>
      </c>
      <c r="K987" t="s">
        <v>50</v>
      </c>
      <c r="L987" t="s">
        <v>31</v>
      </c>
      <c r="M987" t="s">
        <v>22</v>
      </c>
      <c r="N987" t="s">
        <v>23</v>
      </c>
      <c r="O987" t="s">
        <v>39</v>
      </c>
      <c r="P987" t="s">
        <v>40</v>
      </c>
      <c r="Q987">
        <v>1725.3700000000001</v>
      </c>
      <c r="R987">
        <v>638.38690000000008</v>
      </c>
      <c r="S987" s="12">
        <v>201.4</v>
      </c>
    </row>
    <row r="988" spans="1:19" hidden="1" x14ac:dyDescent="0.25">
      <c r="A988" s="13">
        <v>45660</v>
      </c>
      <c r="B988" t="s">
        <v>69</v>
      </c>
      <c r="C988">
        <v>98264</v>
      </c>
      <c r="D988" t="s">
        <v>70</v>
      </c>
      <c r="E988" s="5">
        <v>26</v>
      </c>
      <c r="F988">
        <v>32.94</v>
      </c>
      <c r="G988" s="12" t="s">
        <v>36</v>
      </c>
      <c r="H988" s="11">
        <v>0.19</v>
      </c>
      <c r="I988" t="s">
        <v>734</v>
      </c>
      <c r="J988">
        <v>8.5399999999999991</v>
      </c>
      <c r="K988" t="s">
        <v>20</v>
      </c>
      <c r="L988" t="s">
        <v>31</v>
      </c>
      <c r="M988" t="s">
        <v>22</v>
      </c>
      <c r="N988" t="s">
        <v>53</v>
      </c>
      <c r="O988" t="s">
        <v>39</v>
      </c>
      <c r="P988" t="s">
        <v>34</v>
      </c>
      <c r="Q988">
        <v>625.8599999999999</v>
      </c>
      <c r="R988">
        <v>118.91339999999998</v>
      </c>
      <c r="S988" s="12">
        <v>187.21039999999999</v>
      </c>
    </row>
    <row r="989" spans="1:19" hidden="1" x14ac:dyDescent="0.25">
      <c r="A989" s="13">
        <v>45691</v>
      </c>
      <c r="B989" t="s">
        <v>500</v>
      </c>
      <c r="C989">
        <v>94647</v>
      </c>
      <c r="D989" t="s">
        <v>75</v>
      </c>
      <c r="E989" s="5">
        <v>22</v>
      </c>
      <c r="F989">
        <v>71.47</v>
      </c>
      <c r="G989" s="12" t="s">
        <v>36</v>
      </c>
      <c r="H989" s="11">
        <v>0.17</v>
      </c>
      <c r="I989" t="s">
        <v>29</v>
      </c>
      <c r="J989">
        <v>27.75</v>
      </c>
      <c r="K989" t="s">
        <v>20</v>
      </c>
      <c r="L989" s="14" t="s">
        <v>21</v>
      </c>
      <c r="M989" t="s">
        <v>22</v>
      </c>
      <c r="N989" t="s">
        <v>23</v>
      </c>
      <c r="O989" t="s">
        <v>24</v>
      </c>
      <c r="P989" t="s">
        <v>25</v>
      </c>
      <c r="Q989">
        <v>2858.8</v>
      </c>
      <c r="R989">
        <v>485.99600000000004</v>
      </c>
      <c r="S989" s="12">
        <v>176.36519999999999</v>
      </c>
    </row>
    <row r="990" spans="1:19" x14ac:dyDescent="0.25">
      <c r="A990" s="13">
        <v>45710</v>
      </c>
      <c r="B990" t="s">
        <v>140</v>
      </c>
      <c r="C990">
        <v>35321</v>
      </c>
      <c r="D990" t="s">
        <v>46</v>
      </c>
      <c r="E990" s="5">
        <v>2</v>
      </c>
      <c r="F990" s="23">
        <v>91.56</v>
      </c>
      <c r="G990" s="12" t="s">
        <v>36</v>
      </c>
      <c r="H990" s="37">
        <v>0.37</v>
      </c>
      <c r="I990" t="s">
        <v>734</v>
      </c>
      <c r="J990" s="23">
        <v>19.05</v>
      </c>
      <c r="K990" s="5" t="s">
        <v>44</v>
      </c>
      <c r="L990" s="14" t="s">
        <v>21</v>
      </c>
      <c r="M990" t="s">
        <v>22</v>
      </c>
      <c r="N990" t="s">
        <v>32</v>
      </c>
      <c r="O990" t="s">
        <v>33</v>
      </c>
      <c r="P990" s="14" t="s">
        <v>34</v>
      </c>
      <c r="Q990" s="23">
        <v>1922.76</v>
      </c>
      <c r="R990" s="23">
        <v>711.4212</v>
      </c>
      <c r="S990" s="24">
        <v>153.01320000000001</v>
      </c>
    </row>
    <row r="991" spans="1:19" hidden="1" x14ac:dyDescent="0.25">
      <c r="A991" s="13">
        <v>45709</v>
      </c>
      <c r="B991" t="s">
        <v>682</v>
      </c>
      <c r="C991">
        <v>65326</v>
      </c>
      <c r="D991" t="s">
        <v>17</v>
      </c>
      <c r="E991" s="5">
        <v>9</v>
      </c>
      <c r="F991">
        <v>82.21</v>
      </c>
      <c r="G991" s="12" t="s">
        <v>36</v>
      </c>
      <c r="H991" s="11">
        <v>0.49</v>
      </c>
      <c r="I991" t="s">
        <v>29</v>
      </c>
      <c r="J991">
        <v>6.14</v>
      </c>
      <c r="K991" t="s">
        <v>37</v>
      </c>
      <c r="L991" s="14" t="s">
        <v>21</v>
      </c>
      <c r="M991" t="s">
        <v>111</v>
      </c>
      <c r="N991" t="s">
        <v>23</v>
      </c>
      <c r="O991" t="s">
        <v>39</v>
      </c>
      <c r="P991" t="s">
        <v>25</v>
      </c>
      <c r="Q991">
        <v>3123.9799999999996</v>
      </c>
      <c r="R991">
        <v>1530.7501999999997</v>
      </c>
      <c r="S991" s="12">
        <v>143.0325</v>
      </c>
    </row>
    <row r="992" spans="1:19" x14ac:dyDescent="0.25">
      <c r="A992" s="13">
        <v>45712</v>
      </c>
      <c r="B992" t="s">
        <v>712</v>
      </c>
      <c r="C992">
        <v>65501</v>
      </c>
      <c r="D992" t="s">
        <v>42</v>
      </c>
      <c r="E992" s="5">
        <v>45</v>
      </c>
      <c r="F992" s="23">
        <v>61.94</v>
      </c>
      <c r="G992" s="12" t="s">
        <v>36</v>
      </c>
      <c r="H992" s="37">
        <v>7.0000000000000007E-2</v>
      </c>
      <c r="I992" t="s">
        <v>19</v>
      </c>
      <c r="J992" s="23">
        <v>26.63</v>
      </c>
      <c r="K992" s="5" t="s">
        <v>44</v>
      </c>
      <c r="L992" s="14" t="s">
        <v>21</v>
      </c>
      <c r="M992" t="s">
        <v>22</v>
      </c>
      <c r="N992" t="s">
        <v>53</v>
      </c>
      <c r="O992" t="s">
        <v>24</v>
      </c>
      <c r="P992" s="14" t="s">
        <v>34</v>
      </c>
      <c r="Q992" s="23">
        <v>991.04</v>
      </c>
      <c r="R992" s="23">
        <v>69.372799999999998</v>
      </c>
      <c r="S992" s="24">
        <v>130.572</v>
      </c>
    </row>
    <row r="993" spans="1:19" hidden="1" x14ac:dyDescent="0.25">
      <c r="A993" s="13">
        <v>45675</v>
      </c>
      <c r="B993" t="s">
        <v>257</v>
      </c>
      <c r="C993">
        <v>30395</v>
      </c>
      <c r="D993" t="s">
        <v>75</v>
      </c>
      <c r="E993" s="5">
        <v>31</v>
      </c>
      <c r="F993">
        <v>44.46</v>
      </c>
      <c r="G993" s="12" t="s">
        <v>36</v>
      </c>
      <c r="H993" s="11">
        <v>0.35</v>
      </c>
      <c r="I993" t="s">
        <v>19</v>
      </c>
      <c r="J993">
        <v>19.28</v>
      </c>
      <c r="K993" t="s">
        <v>50</v>
      </c>
      <c r="L993" t="s">
        <v>31</v>
      </c>
      <c r="M993" t="s">
        <v>111</v>
      </c>
      <c r="N993" t="s">
        <v>38</v>
      </c>
      <c r="O993" t="s">
        <v>24</v>
      </c>
      <c r="P993" t="s">
        <v>34</v>
      </c>
      <c r="Q993">
        <v>1556.1000000000001</v>
      </c>
      <c r="R993">
        <v>544.63499999999999</v>
      </c>
      <c r="S993" s="12">
        <v>130.0264</v>
      </c>
    </row>
    <row r="994" spans="1:19" hidden="1" x14ac:dyDescent="0.25">
      <c r="A994" s="13">
        <v>45702</v>
      </c>
      <c r="B994" t="s">
        <v>485</v>
      </c>
      <c r="C994">
        <v>44835</v>
      </c>
      <c r="D994" t="s">
        <v>42</v>
      </c>
      <c r="E994" s="5">
        <v>14</v>
      </c>
      <c r="F994">
        <v>77.94</v>
      </c>
      <c r="G994" s="12" t="s">
        <v>36</v>
      </c>
      <c r="H994" s="11">
        <v>0.24</v>
      </c>
      <c r="I994" t="s">
        <v>734</v>
      </c>
      <c r="J994">
        <v>19.43</v>
      </c>
      <c r="K994" s="5" t="s">
        <v>44</v>
      </c>
      <c r="L994" t="s">
        <v>31</v>
      </c>
      <c r="M994" t="s">
        <v>22</v>
      </c>
      <c r="N994" t="s">
        <v>23</v>
      </c>
      <c r="O994" t="s">
        <v>81</v>
      </c>
      <c r="P994" t="s">
        <v>25</v>
      </c>
      <c r="Q994">
        <v>2649.96</v>
      </c>
      <c r="R994">
        <v>635.99040000000002</v>
      </c>
      <c r="S994" s="12">
        <v>114.1392</v>
      </c>
    </row>
    <row r="995" spans="1:19" hidden="1" x14ac:dyDescent="0.25">
      <c r="A995" s="13">
        <v>45675</v>
      </c>
      <c r="B995" t="s">
        <v>263</v>
      </c>
      <c r="C995">
        <v>27629</v>
      </c>
      <c r="D995" t="s">
        <v>70</v>
      </c>
      <c r="E995" s="5">
        <v>2</v>
      </c>
      <c r="F995">
        <v>54.42</v>
      </c>
      <c r="G995" s="12" t="s">
        <v>36</v>
      </c>
      <c r="H995" s="11">
        <v>0.11</v>
      </c>
      <c r="I995" t="s">
        <v>29</v>
      </c>
      <c r="J995">
        <v>19.09</v>
      </c>
      <c r="K995" t="s">
        <v>30</v>
      </c>
      <c r="L995" t="s">
        <v>31</v>
      </c>
      <c r="M995" t="s">
        <v>22</v>
      </c>
      <c r="N995" t="s">
        <v>53</v>
      </c>
      <c r="O995" t="s">
        <v>39</v>
      </c>
      <c r="P995" t="s">
        <v>25</v>
      </c>
      <c r="Q995">
        <v>1414.92</v>
      </c>
      <c r="R995">
        <v>155.6412</v>
      </c>
      <c r="S995" s="12">
        <v>100.5882</v>
      </c>
    </row>
    <row r="996" spans="1:19" hidden="1" x14ac:dyDescent="0.25">
      <c r="A996" s="13">
        <v>45671</v>
      </c>
      <c r="B996" t="s">
        <v>187</v>
      </c>
      <c r="C996">
        <v>27166</v>
      </c>
      <c r="D996" t="s">
        <v>27</v>
      </c>
      <c r="E996" s="5">
        <v>22</v>
      </c>
      <c r="F996">
        <v>2.2200000000000002</v>
      </c>
      <c r="G996" s="12" t="s">
        <v>36</v>
      </c>
      <c r="H996" s="11">
        <v>0.01</v>
      </c>
      <c r="I996" t="s">
        <v>19</v>
      </c>
      <c r="J996">
        <v>8.2100000000000009</v>
      </c>
      <c r="K996" t="s">
        <v>30</v>
      </c>
      <c r="L996" t="s">
        <v>31</v>
      </c>
      <c r="M996" t="s">
        <v>22</v>
      </c>
      <c r="N996" t="s">
        <v>32</v>
      </c>
      <c r="O996" t="s">
        <v>24</v>
      </c>
      <c r="P996" t="s">
        <v>34</v>
      </c>
      <c r="Q996">
        <v>71.040000000000006</v>
      </c>
      <c r="R996">
        <v>0.71040000000000003</v>
      </c>
      <c r="S996" s="12">
        <v>79.00200000000001</v>
      </c>
    </row>
    <row r="997" spans="1:19" hidden="1" x14ac:dyDescent="0.25">
      <c r="A997" s="13">
        <v>45692</v>
      </c>
      <c r="B997" t="s">
        <v>319</v>
      </c>
      <c r="C997">
        <v>98499</v>
      </c>
      <c r="D997" t="s">
        <v>42</v>
      </c>
      <c r="E997" s="5">
        <v>1</v>
      </c>
      <c r="F997">
        <v>8.77</v>
      </c>
      <c r="G997" s="12" t="s">
        <v>36</v>
      </c>
      <c r="H997" s="11">
        <v>7.0000000000000007E-2</v>
      </c>
      <c r="I997" t="s">
        <v>734</v>
      </c>
      <c r="J997">
        <v>7.89</v>
      </c>
      <c r="K997" t="s">
        <v>30</v>
      </c>
      <c r="L997" s="14" t="s">
        <v>21</v>
      </c>
      <c r="M997" t="s">
        <v>22</v>
      </c>
      <c r="N997" t="s">
        <v>38</v>
      </c>
      <c r="O997" t="s">
        <v>24</v>
      </c>
      <c r="P997" t="s">
        <v>40</v>
      </c>
      <c r="Q997">
        <v>377.10999999999996</v>
      </c>
      <c r="R997">
        <v>26.3977</v>
      </c>
      <c r="S997" s="12">
        <v>71.328400000000002</v>
      </c>
    </row>
    <row r="998" spans="1:19" hidden="1" x14ac:dyDescent="0.25">
      <c r="A998" s="13">
        <v>45693</v>
      </c>
      <c r="B998" t="s">
        <v>402</v>
      </c>
      <c r="C998">
        <v>99450</v>
      </c>
      <c r="D998" t="s">
        <v>89</v>
      </c>
      <c r="E998" s="5">
        <v>6</v>
      </c>
      <c r="F998">
        <v>65.069999999999993</v>
      </c>
      <c r="G998" s="12" t="s">
        <v>36</v>
      </c>
      <c r="H998" s="11">
        <v>0.3</v>
      </c>
      <c r="I998" t="s">
        <v>29</v>
      </c>
      <c r="J998">
        <v>28.44</v>
      </c>
      <c r="K998" t="s">
        <v>37</v>
      </c>
      <c r="L998" t="s">
        <v>31</v>
      </c>
      <c r="M998" t="s">
        <v>111</v>
      </c>
      <c r="N998" t="s">
        <v>53</v>
      </c>
      <c r="O998" t="s">
        <v>59</v>
      </c>
      <c r="P998" t="s">
        <v>40</v>
      </c>
      <c r="Q998">
        <v>780.83999999999992</v>
      </c>
      <c r="R998">
        <v>234.25199999999995</v>
      </c>
      <c r="S998" s="12">
        <v>63.338400000000007</v>
      </c>
    </row>
    <row r="999" spans="1:19" hidden="1" x14ac:dyDescent="0.25">
      <c r="A999" s="13">
        <v>45668</v>
      </c>
      <c r="B999" t="s">
        <v>51</v>
      </c>
      <c r="C999">
        <v>49156</v>
      </c>
      <c r="D999" t="s">
        <v>49</v>
      </c>
      <c r="E999" s="5">
        <v>2</v>
      </c>
      <c r="F999">
        <v>34.700000000000003</v>
      </c>
      <c r="G999" s="12" t="s">
        <v>36</v>
      </c>
      <c r="H999" s="11">
        <v>0.33</v>
      </c>
      <c r="I999" t="s">
        <v>29</v>
      </c>
      <c r="J999">
        <v>27.53</v>
      </c>
      <c r="K999" t="s">
        <v>37</v>
      </c>
      <c r="L999" s="14" t="s">
        <v>21</v>
      </c>
      <c r="M999" t="s">
        <v>22</v>
      </c>
      <c r="N999" t="s">
        <v>23</v>
      </c>
      <c r="O999" t="s">
        <v>81</v>
      </c>
      <c r="P999" t="s">
        <v>40</v>
      </c>
      <c r="Q999">
        <v>1457.4</v>
      </c>
      <c r="R999">
        <v>480.94200000000006</v>
      </c>
      <c r="S999" s="12">
        <v>42.826000000000001</v>
      </c>
    </row>
    <row r="1000" spans="1:19" hidden="1" x14ac:dyDescent="0.25">
      <c r="A1000" s="13">
        <v>45676</v>
      </c>
      <c r="B1000" t="s">
        <v>273</v>
      </c>
      <c r="C1000">
        <v>58989</v>
      </c>
      <c r="D1000" t="s">
        <v>57</v>
      </c>
      <c r="E1000" s="5">
        <v>3</v>
      </c>
      <c r="F1000">
        <v>96.69</v>
      </c>
      <c r="G1000" s="12" t="s">
        <v>36</v>
      </c>
      <c r="H1000" s="11">
        <v>0.1</v>
      </c>
      <c r="I1000" t="s">
        <v>734</v>
      </c>
      <c r="J1000">
        <v>5.32</v>
      </c>
      <c r="K1000" t="s">
        <v>37</v>
      </c>
      <c r="L1000" s="14" t="s">
        <v>21</v>
      </c>
      <c r="M1000" t="s">
        <v>22</v>
      </c>
      <c r="N1000" t="s">
        <v>53</v>
      </c>
      <c r="O1000" t="s">
        <v>39</v>
      </c>
      <c r="P1000" t="s">
        <v>40</v>
      </c>
      <c r="Q1000">
        <v>2030.49</v>
      </c>
      <c r="R1000">
        <v>203.04900000000001</v>
      </c>
      <c r="S1000" s="12">
        <v>36.661799999999999</v>
      </c>
    </row>
  </sheetData>
  <autoFilter ref="A1:S1000">
    <filterColumn colId="11">
      <filters>
        <filter val="Online"/>
      </filters>
    </filterColumn>
    <filterColumn colId="15">
      <filters>
        <filter val="High"/>
      </filters>
    </filterColumn>
  </autoFilter>
  <sortState ref="A2:S1000">
    <sortCondition ref="G2:G1000"/>
    <sortCondition descending="1" ref="S2:S1000"/>
    <sortCondition ref="A2:A100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opLeftCell="K1" workbookViewId="0">
      <selection activeCell="O15" sqref="O15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14.85546875" bestFit="1" customWidth="1"/>
    <col min="4" max="4" width="15.28515625" bestFit="1" customWidth="1"/>
    <col min="5" max="5" width="11.28515625" bestFit="1" customWidth="1"/>
    <col min="6" max="6" width="11.85546875" style="23" bestFit="1" customWidth="1"/>
    <col min="7" max="7" width="15.42578125" bestFit="1" customWidth="1"/>
    <col min="8" max="8" width="11.28515625" style="37" bestFit="1" customWidth="1"/>
    <col min="9" max="9" width="21.28515625" bestFit="1" customWidth="1"/>
    <col min="10" max="10" width="16.140625" style="23" bestFit="1" customWidth="1"/>
    <col min="11" max="11" width="20" bestFit="1" customWidth="1"/>
    <col min="12" max="12" width="16.42578125" bestFit="1" customWidth="1"/>
    <col min="13" max="13" width="25.5703125" bestFit="1" customWidth="1"/>
    <col min="14" max="14" width="22.28515625" bestFit="1" customWidth="1"/>
    <col min="15" max="15" width="22.85546875" customWidth="1"/>
    <col min="16" max="16" width="26" bestFit="1" customWidth="1"/>
    <col min="17" max="17" width="14.28515625" style="23" bestFit="1" customWidth="1"/>
    <col min="18" max="18" width="20.7109375" style="23" bestFit="1" customWidth="1"/>
    <col min="19" max="19" width="12" style="23" bestFit="1" customWidth="1"/>
  </cols>
  <sheetData>
    <row r="1" spans="1:19" ht="19.5" thickBot="1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25" t="s">
        <v>5</v>
      </c>
      <c r="G1" s="18" t="s">
        <v>6</v>
      </c>
      <c r="H1" s="33" t="s">
        <v>7</v>
      </c>
      <c r="I1" s="18" t="s">
        <v>732</v>
      </c>
      <c r="J1" s="25" t="s">
        <v>9</v>
      </c>
      <c r="K1" s="18" t="s">
        <v>730</v>
      </c>
      <c r="L1" s="18" t="s">
        <v>11</v>
      </c>
      <c r="M1" s="18" t="s">
        <v>718</v>
      </c>
      <c r="N1" s="18" t="s">
        <v>13</v>
      </c>
      <c r="O1" s="18" t="s">
        <v>731</v>
      </c>
      <c r="P1" s="18" t="s">
        <v>719</v>
      </c>
      <c r="Q1" s="25" t="s">
        <v>720</v>
      </c>
      <c r="R1" s="25" t="s">
        <v>721</v>
      </c>
      <c r="S1" s="29" t="s">
        <v>736</v>
      </c>
    </row>
    <row r="2" spans="1:19" x14ac:dyDescent="0.25">
      <c r="A2" s="19">
        <v>45658</v>
      </c>
      <c r="B2" s="16" t="s">
        <v>16</v>
      </c>
      <c r="C2" s="16">
        <v>91428</v>
      </c>
      <c r="D2" s="16" t="s">
        <v>17</v>
      </c>
      <c r="E2" s="16">
        <v>33</v>
      </c>
      <c r="F2" s="26">
        <v>85.88</v>
      </c>
      <c r="G2" s="16" t="s">
        <v>18</v>
      </c>
      <c r="H2" s="34">
        <v>0.05</v>
      </c>
      <c r="I2" s="16" t="s">
        <v>19</v>
      </c>
      <c r="J2" s="26">
        <v>11</v>
      </c>
      <c r="K2" s="16" t="s">
        <v>20</v>
      </c>
      <c r="L2" s="16" t="s">
        <v>21</v>
      </c>
      <c r="M2" s="16" t="s">
        <v>22</v>
      </c>
      <c r="N2" s="16" t="s">
        <v>23</v>
      </c>
      <c r="O2" s="16" t="s">
        <v>24</v>
      </c>
      <c r="P2" s="16" t="s">
        <v>25</v>
      </c>
      <c r="Q2" s="26">
        <v>2834.04</v>
      </c>
      <c r="R2" s="26">
        <v>141.702</v>
      </c>
      <c r="S2" s="30">
        <v>2692.3379999999997</v>
      </c>
    </row>
    <row r="3" spans="1:19" x14ac:dyDescent="0.25">
      <c r="A3" s="20">
        <v>45658</v>
      </c>
      <c r="B3" s="15" t="s">
        <v>26</v>
      </c>
      <c r="C3" s="15">
        <v>41508</v>
      </c>
      <c r="D3" s="15" t="s">
        <v>27</v>
      </c>
      <c r="E3" s="15">
        <v>47</v>
      </c>
      <c r="F3" s="27">
        <v>75.47</v>
      </c>
      <c r="G3" s="15" t="s">
        <v>28</v>
      </c>
      <c r="H3" s="35">
        <v>0.28000000000000003</v>
      </c>
      <c r="I3" s="15" t="s">
        <v>29</v>
      </c>
      <c r="J3" s="27">
        <v>14.92</v>
      </c>
      <c r="K3" s="15" t="s">
        <v>30</v>
      </c>
      <c r="L3" s="15" t="s">
        <v>31</v>
      </c>
      <c r="M3" s="15" t="s">
        <v>22</v>
      </c>
      <c r="N3" s="15" t="s">
        <v>32</v>
      </c>
      <c r="O3" s="15" t="s">
        <v>33</v>
      </c>
      <c r="P3" s="15" t="s">
        <v>34</v>
      </c>
      <c r="Q3" s="27">
        <v>3547.09</v>
      </c>
      <c r="R3" s="27">
        <v>993.18520000000012</v>
      </c>
      <c r="S3" s="31">
        <v>2553.9048000000003</v>
      </c>
    </row>
    <row r="4" spans="1:19" x14ac:dyDescent="0.25">
      <c r="A4" s="20">
        <v>45658</v>
      </c>
      <c r="B4" s="15" t="s">
        <v>35</v>
      </c>
      <c r="C4" s="15">
        <v>68247</v>
      </c>
      <c r="D4" s="15" t="s">
        <v>17</v>
      </c>
      <c r="E4" s="15">
        <v>18</v>
      </c>
      <c r="F4" s="27">
        <v>67.849999999999994</v>
      </c>
      <c r="G4" s="15" t="s">
        <v>36</v>
      </c>
      <c r="H4" s="35">
        <v>0.36</v>
      </c>
      <c r="I4" s="15" t="s">
        <v>29</v>
      </c>
      <c r="J4" s="27">
        <v>16.41</v>
      </c>
      <c r="K4" s="15" t="s">
        <v>37</v>
      </c>
      <c r="L4" s="15" t="s">
        <v>21</v>
      </c>
      <c r="M4" s="15" t="s">
        <v>22</v>
      </c>
      <c r="N4" s="15" t="s">
        <v>38</v>
      </c>
      <c r="O4" s="15" t="s">
        <v>39</v>
      </c>
      <c r="P4" s="15" t="s">
        <v>25</v>
      </c>
      <c r="Q4" s="27">
        <v>1221.3</v>
      </c>
      <c r="R4" s="27">
        <v>439.66799999999995</v>
      </c>
      <c r="S4" s="31">
        <v>781.63200000000006</v>
      </c>
    </row>
    <row r="5" spans="1:19" x14ac:dyDescent="0.25">
      <c r="A5" s="20">
        <v>45658</v>
      </c>
      <c r="B5" s="15" t="s">
        <v>41</v>
      </c>
      <c r="C5" s="15">
        <v>92584</v>
      </c>
      <c r="D5" s="15" t="s">
        <v>42</v>
      </c>
      <c r="E5" s="15">
        <v>45</v>
      </c>
      <c r="F5" s="27">
        <v>98.3</v>
      </c>
      <c r="G5" s="15" t="s">
        <v>43</v>
      </c>
      <c r="H5" s="35">
        <v>0.06</v>
      </c>
      <c r="I5" s="15" t="s">
        <v>29</v>
      </c>
      <c r="J5" s="27">
        <v>25.36</v>
      </c>
      <c r="K5" s="15" t="s">
        <v>44</v>
      </c>
      <c r="L5" s="15" t="s">
        <v>31</v>
      </c>
      <c r="M5" s="15" t="s">
        <v>22</v>
      </c>
      <c r="N5" s="15" t="s">
        <v>32</v>
      </c>
      <c r="O5" s="15" t="s">
        <v>24</v>
      </c>
      <c r="P5" s="15" t="s">
        <v>34</v>
      </c>
      <c r="Q5" s="27">
        <v>4423.5</v>
      </c>
      <c r="R5" s="27">
        <v>265.40999999999997</v>
      </c>
      <c r="S5" s="31">
        <v>4158.09</v>
      </c>
    </row>
    <row r="6" spans="1:19" x14ac:dyDescent="0.25">
      <c r="A6" s="20">
        <v>45659</v>
      </c>
      <c r="B6" s="15" t="s">
        <v>45</v>
      </c>
      <c r="C6" s="15">
        <v>84531</v>
      </c>
      <c r="D6" s="15" t="s">
        <v>46</v>
      </c>
      <c r="E6" s="15">
        <v>23</v>
      </c>
      <c r="F6" s="27">
        <v>14.19</v>
      </c>
      <c r="G6" s="15" t="s">
        <v>47</v>
      </c>
      <c r="H6" s="35">
        <v>0.35</v>
      </c>
      <c r="I6" s="15" t="s">
        <v>29</v>
      </c>
      <c r="J6" s="27">
        <v>27.15</v>
      </c>
      <c r="K6" s="15" t="s">
        <v>44</v>
      </c>
      <c r="L6" s="15" t="s">
        <v>31</v>
      </c>
      <c r="M6" s="15" t="s">
        <v>22</v>
      </c>
      <c r="N6" s="15" t="s">
        <v>32</v>
      </c>
      <c r="O6" s="15" t="s">
        <v>24</v>
      </c>
      <c r="P6" s="15" t="s">
        <v>40</v>
      </c>
      <c r="Q6" s="27">
        <v>326.37</v>
      </c>
      <c r="R6" s="27">
        <v>114.22949999999999</v>
      </c>
      <c r="S6" s="31">
        <v>212.14050000000003</v>
      </c>
    </row>
    <row r="7" spans="1:19" x14ac:dyDescent="0.25">
      <c r="A7" s="20">
        <v>45659</v>
      </c>
      <c r="B7" s="15" t="s">
        <v>48</v>
      </c>
      <c r="C7" s="15">
        <v>48304</v>
      </c>
      <c r="D7" s="15" t="s">
        <v>49</v>
      </c>
      <c r="E7" s="15">
        <v>47</v>
      </c>
      <c r="F7" s="27">
        <v>36.71</v>
      </c>
      <c r="G7" s="15" t="s">
        <v>36</v>
      </c>
      <c r="H7" s="35">
        <v>0.37</v>
      </c>
      <c r="I7" s="15" t="s">
        <v>29</v>
      </c>
      <c r="J7" s="27">
        <v>29.11</v>
      </c>
      <c r="K7" s="15" t="s">
        <v>50</v>
      </c>
      <c r="L7" s="15" t="s">
        <v>31</v>
      </c>
      <c r="M7" s="15" t="s">
        <v>22</v>
      </c>
      <c r="N7" s="15" t="s">
        <v>23</v>
      </c>
      <c r="O7" s="15" t="s">
        <v>39</v>
      </c>
      <c r="P7" s="15" t="s">
        <v>40</v>
      </c>
      <c r="Q7" s="27">
        <v>1725.3700000000001</v>
      </c>
      <c r="R7" s="27">
        <v>638.38690000000008</v>
      </c>
      <c r="S7" s="31">
        <v>1086.9830999999999</v>
      </c>
    </row>
    <row r="8" spans="1:19" x14ac:dyDescent="0.25">
      <c r="A8" s="20">
        <v>45659</v>
      </c>
      <c r="B8" s="15" t="s">
        <v>51</v>
      </c>
      <c r="C8" s="15">
        <v>67068</v>
      </c>
      <c r="D8" s="15" t="s">
        <v>42</v>
      </c>
      <c r="E8" s="15">
        <v>33</v>
      </c>
      <c r="F8" s="27">
        <v>70.69</v>
      </c>
      <c r="G8" s="15" t="s">
        <v>52</v>
      </c>
      <c r="H8" s="35">
        <v>0.41</v>
      </c>
      <c r="I8" s="15" t="s">
        <v>29</v>
      </c>
      <c r="J8" s="27">
        <v>29.36</v>
      </c>
      <c r="K8" s="15" t="s">
        <v>20</v>
      </c>
      <c r="L8" s="15" t="s">
        <v>21</v>
      </c>
      <c r="M8" s="15" t="s">
        <v>22</v>
      </c>
      <c r="N8" s="15" t="s">
        <v>53</v>
      </c>
      <c r="O8" s="15" t="s">
        <v>33</v>
      </c>
      <c r="P8" s="15" t="s">
        <v>25</v>
      </c>
      <c r="Q8" s="27">
        <v>2332.77</v>
      </c>
      <c r="R8" s="27">
        <v>956.43569999999988</v>
      </c>
      <c r="S8" s="31">
        <v>1376.3343</v>
      </c>
    </row>
    <row r="9" spans="1:19" x14ac:dyDescent="0.25">
      <c r="A9" s="20">
        <v>45659</v>
      </c>
      <c r="B9" s="15" t="s">
        <v>54</v>
      </c>
      <c r="C9" s="15">
        <v>57761</v>
      </c>
      <c r="D9" s="15" t="s">
        <v>42</v>
      </c>
      <c r="E9" s="15">
        <v>23</v>
      </c>
      <c r="F9" s="27">
        <v>28.54</v>
      </c>
      <c r="G9" s="15" t="s">
        <v>55</v>
      </c>
      <c r="H9" s="35">
        <v>0.02</v>
      </c>
      <c r="I9" s="15" t="s">
        <v>19</v>
      </c>
      <c r="J9" s="27">
        <v>19.82</v>
      </c>
      <c r="K9" s="15" t="s">
        <v>37</v>
      </c>
      <c r="L9" s="15" t="s">
        <v>21</v>
      </c>
      <c r="M9" s="15" t="s">
        <v>22</v>
      </c>
      <c r="N9" s="15" t="s">
        <v>38</v>
      </c>
      <c r="O9" s="15" t="s">
        <v>24</v>
      </c>
      <c r="P9" s="15" t="s">
        <v>34</v>
      </c>
      <c r="Q9" s="27">
        <v>656.42</v>
      </c>
      <c r="R9" s="27">
        <v>13.128399999999999</v>
      </c>
      <c r="S9" s="31">
        <v>643.29160000000002</v>
      </c>
    </row>
    <row r="10" spans="1:19" x14ac:dyDescent="0.25">
      <c r="A10" s="20">
        <v>45659</v>
      </c>
      <c r="B10" s="15" t="s">
        <v>56</v>
      </c>
      <c r="C10" s="15">
        <v>31295</v>
      </c>
      <c r="D10" s="15" t="s">
        <v>57</v>
      </c>
      <c r="E10" s="15">
        <v>21</v>
      </c>
      <c r="F10" s="27">
        <v>28.96</v>
      </c>
      <c r="G10" s="15" t="s">
        <v>58</v>
      </c>
      <c r="H10" s="35">
        <v>0.18</v>
      </c>
      <c r="I10" s="15" t="s">
        <v>19</v>
      </c>
      <c r="J10" s="27">
        <v>13.81</v>
      </c>
      <c r="K10" s="15" t="s">
        <v>37</v>
      </c>
      <c r="L10" s="15" t="s">
        <v>21</v>
      </c>
      <c r="M10" s="15" t="s">
        <v>22</v>
      </c>
      <c r="N10" s="15" t="s">
        <v>32</v>
      </c>
      <c r="O10" s="15" t="s">
        <v>59</v>
      </c>
      <c r="P10" s="15" t="s">
        <v>40</v>
      </c>
      <c r="Q10" s="27">
        <v>608.16</v>
      </c>
      <c r="R10" s="27">
        <v>109.46879999999999</v>
      </c>
      <c r="S10" s="31">
        <v>498.69119999999998</v>
      </c>
    </row>
    <row r="11" spans="1:19" x14ac:dyDescent="0.25">
      <c r="A11" s="20">
        <v>45659</v>
      </c>
      <c r="B11" s="15" t="s">
        <v>60</v>
      </c>
      <c r="C11" s="15">
        <v>69770</v>
      </c>
      <c r="D11" s="15" t="s">
        <v>57</v>
      </c>
      <c r="E11" s="15">
        <v>10</v>
      </c>
      <c r="F11" s="27">
        <v>24.81</v>
      </c>
      <c r="G11" s="15" t="s">
        <v>52</v>
      </c>
      <c r="H11" s="35">
        <v>0.38</v>
      </c>
      <c r="I11" s="15" t="s">
        <v>734</v>
      </c>
      <c r="J11" s="27">
        <v>11.17</v>
      </c>
      <c r="K11" s="15" t="s">
        <v>50</v>
      </c>
      <c r="L11" s="15" t="s">
        <v>31</v>
      </c>
      <c r="M11" s="15" t="s">
        <v>22</v>
      </c>
      <c r="N11" s="15" t="s">
        <v>38</v>
      </c>
      <c r="O11" s="15" t="s">
        <v>33</v>
      </c>
      <c r="P11" s="15" t="s">
        <v>34</v>
      </c>
      <c r="Q11" s="27">
        <v>248.1</v>
      </c>
      <c r="R11" s="27">
        <v>94.278000000000006</v>
      </c>
      <c r="S11" s="31">
        <v>153.822</v>
      </c>
    </row>
    <row r="12" spans="1:19" x14ac:dyDescent="0.25">
      <c r="A12" s="20">
        <v>45659</v>
      </c>
      <c r="B12" s="15" t="s">
        <v>62</v>
      </c>
      <c r="C12" s="15">
        <v>12422</v>
      </c>
      <c r="D12" s="15" t="s">
        <v>17</v>
      </c>
      <c r="E12" s="15">
        <v>22</v>
      </c>
      <c r="F12" s="27">
        <v>68.180000000000007</v>
      </c>
      <c r="G12" s="15" t="s">
        <v>47</v>
      </c>
      <c r="H12" s="35">
        <v>0.33</v>
      </c>
      <c r="I12" s="15" t="s">
        <v>734</v>
      </c>
      <c r="J12" s="27">
        <v>29.3</v>
      </c>
      <c r="K12" s="15" t="s">
        <v>20</v>
      </c>
      <c r="L12" s="15" t="s">
        <v>21</v>
      </c>
      <c r="M12" s="15" t="s">
        <v>22</v>
      </c>
      <c r="N12" s="15" t="s">
        <v>32</v>
      </c>
      <c r="O12" s="15" t="s">
        <v>33</v>
      </c>
      <c r="P12" s="15" t="s">
        <v>25</v>
      </c>
      <c r="Q12" s="27">
        <v>1499.96</v>
      </c>
      <c r="R12" s="27">
        <v>494.98680000000002</v>
      </c>
      <c r="S12" s="31">
        <v>1004.9732</v>
      </c>
    </row>
    <row r="13" spans="1:19" x14ac:dyDescent="0.25">
      <c r="A13" s="20">
        <v>45659</v>
      </c>
      <c r="B13" s="15" t="s">
        <v>63</v>
      </c>
      <c r="C13" s="15">
        <v>11001</v>
      </c>
      <c r="D13" s="15" t="s">
        <v>49</v>
      </c>
      <c r="E13" s="15">
        <v>11</v>
      </c>
      <c r="F13" s="27">
        <v>3.34</v>
      </c>
      <c r="G13" s="15" t="s">
        <v>18</v>
      </c>
      <c r="H13" s="35">
        <v>0.2</v>
      </c>
      <c r="I13" s="15" t="s">
        <v>734</v>
      </c>
      <c r="J13" s="27">
        <v>6.62</v>
      </c>
      <c r="K13" s="15" t="s">
        <v>44</v>
      </c>
      <c r="L13" s="15" t="s">
        <v>21</v>
      </c>
      <c r="M13" s="15" t="s">
        <v>22</v>
      </c>
      <c r="N13" s="15" t="s">
        <v>32</v>
      </c>
      <c r="O13" s="15" t="s">
        <v>59</v>
      </c>
      <c r="P13" s="15" t="s">
        <v>25</v>
      </c>
      <c r="Q13" s="27">
        <v>36.739999999999995</v>
      </c>
      <c r="R13" s="27">
        <v>7.347999999999999</v>
      </c>
      <c r="S13" s="31">
        <v>29.391999999999996</v>
      </c>
    </row>
    <row r="14" spans="1:19" x14ac:dyDescent="0.25">
      <c r="A14" s="20">
        <v>45659</v>
      </c>
      <c r="B14" s="15" t="s">
        <v>64</v>
      </c>
      <c r="C14" s="15">
        <v>57754</v>
      </c>
      <c r="D14" s="15" t="s">
        <v>42</v>
      </c>
      <c r="E14" s="15">
        <v>5</v>
      </c>
      <c r="F14" s="27">
        <v>53</v>
      </c>
      <c r="G14" s="15" t="s">
        <v>52</v>
      </c>
      <c r="H14" s="35">
        <v>0.24</v>
      </c>
      <c r="I14" s="15" t="s">
        <v>19</v>
      </c>
      <c r="J14" s="27">
        <v>8.1300000000000008</v>
      </c>
      <c r="K14" s="15" t="s">
        <v>20</v>
      </c>
      <c r="L14" s="15" t="s">
        <v>21</v>
      </c>
      <c r="M14" s="15" t="s">
        <v>22</v>
      </c>
      <c r="N14" s="15" t="s">
        <v>23</v>
      </c>
      <c r="O14" s="15" t="s">
        <v>24</v>
      </c>
      <c r="P14" s="15" t="s">
        <v>34</v>
      </c>
      <c r="Q14" s="27">
        <v>265</v>
      </c>
      <c r="R14" s="27">
        <v>63.599999999999994</v>
      </c>
      <c r="S14" s="31">
        <v>201.4</v>
      </c>
    </row>
    <row r="15" spans="1:19" x14ac:dyDescent="0.25">
      <c r="A15" s="20">
        <v>45660</v>
      </c>
      <c r="B15" s="15" t="s">
        <v>65</v>
      </c>
      <c r="C15" s="15">
        <v>27463</v>
      </c>
      <c r="D15" s="15" t="s">
        <v>66</v>
      </c>
      <c r="E15" s="15">
        <v>14</v>
      </c>
      <c r="F15" s="27">
        <v>95.17</v>
      </c>
      <c r="G15" s="15" t="s">
        <v>28</v>
      </c>
      <c r="H15" s="35">
        <v>0.39</v>
      </c>
      <c r="I15" s="15" t="s">
        <v>734</v>
      </c>
      <c r="J15" s="27">
        <v>7.75</v>
      </c>
      <c r="K15" s="15" t="s">
        <v>30</v>
      </c>
      <c r="L15" s="15" t="s">
        <v>21</v>
      </c>
      <c r="M15" s="15" t="s">
        <v>22</v>
      </c>
      <c r="N15" s="15" t="s">
        <v>53</v>
      </c>
      <c r="O15" s="15" t="s">
        <v>24</v>
      </c>
      <c r="P15" s="15" t="s">
        <v>25</v>
      </c>
      <c r="Q15" s="27">
        <v>1332.38</v>
      </c>
      <c r="R15" s="27">
        <v>519.62820000000011</v>
      </c>
      <c r="S15" s="31">
        <v>812.7518</v>
      </c>
    </row>
    <row r="16" spans="1:19" x14ac:dyDescent="0.25">
      <c r="A16" s="20">
        <v>45660</v>
      </c>
      <c r="B16" s="15" t="s">
        <v>67</v>
      </c>
      <c r="C16" s="15">
        <v>47833</v>
      </c>
      <c r="D16" s="15" t="s">
        <v>68</v>
      </c>
      <c r="E16" s="15">
        <v>4</v>
      </c>
      <c r="F16" s="27">
        <v>5.66</v>
      </c>
      <c r="G16" s="15" t="s">
        <v>47</v>
      </c>
      <c r="H16" s="35">
        <v>0</v>
      </c>
      <c r="I16" s="15" t="s">
        <v>19</v>
      </c>
      <c r="J16" s="27">
        <v>22.14</v>
      </c>
      <c r="K16" s="15" t="s">
        <v>20</v>
      </c>
      <c r="L16" s="15" t="s">
        <v>21</v>
      </c>
      <c r="M16" s="15" t="s">
        <v>22</v>
      </c>
      <c r="N16" s="15" t="s">
        <v>53</v>
      </c>
      <c r="O16" s="15" t="s">
        <v>24</v>
      </c>
      <c r="P16" s="15" t="s">
        <v>34</v>
      </c>
      <c r="Q16" s="27">
        <v>22.64</v>
      </c>
      <c r="R16" s="27">
        <v>0</v>
      </c>
      <c r="S16" s="31">
        <v>22.64</v>
      </c>
    </row>
    <row r="17" spans="1:19" x14ac:dyDescent="0.25">
      <c r="A17" s="20">
        <v>45660</v>
      </c>
      <c r="B17" s="15" t="s">
        <v>69</v>
      </c>
      <c r="C17" s="15">
        <v>98264</v>
      </c>
      <c r="D17" s="15" t="s">
        <v>70</v>
      </c>
      <c r="E17" s="15">
        <v>19</v>
      </c>
      <c r="F17" s="27">
        <v>32.94</v>
      </c>
      <c r="G17" s="15" t="s">
        <v>36</v>
      </c>
      <c r="H17" s="35">
        <v>0.19</v>
      </c>
      <c r="I17" s="15" t="s">
        <v>734</v>
      </c>
      <c r="J17" s="27">
        <v>8.5399999999999991</v>
      </c>
      <c r="K17" s="15" t="s">
        <v>20</v>
      </c>
      <c r="L17" s="15" t="s">
        <v>31</v>
      </c>
      <c r="M17" s="15" t="s">
        <v>22</v>
      </c>
      <c r="N17" s="15" t="s">
        <v>53</v>
      </c>
      <c r="O17" s="15" t="s">
        <v>39</v>
      </c>
      <c r="P17" s="15" t="s">
        <v>34</v>
      </c>
      <c r="Q17" s="27">
        <v>625.8599999999999</v>
      </c>
      <c r="R17" s="27">
        <v>118.91339999999998</v>
      </c>
      <c r="S17" s="31">
        <v>506.94659999999993</v>
      </c>
    </row>
    <row r="18" spans="1:19" x14ac:dyDescent="0.25">
      <c r="A18" s="20">
        <v>45660</v>
      </c>
      <c r="B18" s="15" t="s">
        <v>71</v>
      </c>
      <c r="C18" s="15">
        <v>79379</v>
      </c>
      <c r="D18" s="15" t="s">
        <v>66</v>
      </c>
      <c r="E18" s="15">
        <v>44</v>
      </c>
      <c r="F18" s="27">
        <v>55.26</v>
      </c>
      <c r="G18" s="15" t="s">
        <v>72</v>
      </c>
      <c r="H18" s="35">
        <v>0.44</v>
      </c>
      <c r="I18" s="15" t="s">
        <v>734</v>
      </c>
      <c r="J18" s="27">
        <v>19.690000000000001</v>
      </c>
      <c r="K18" s="15" t="s">
        <v>50</v>
      </c>
      <c r="L18" s="15" t="s">
        <v>31</v>
      </c>
      <c r="M18" s="15" t="s">
        <v>22</v>
      </c>
      <c r="N18" s="15" t="s">
        <v>32</v>
      </c>
      <c r="O18" s="15" t="s">
        <v>24</v>
      </c>
      <c r="P18" s="15" t="s">
        <v>34</v>
      </c>
      <c r="Q18" s="27">
        <v>2431.44</v>
      </c>
      <c r="R18" s="27">
        <v>1069.8335999999999</v>
      </c>
      <c r="S18" s="31">
        <v>1361.6064000000001</v>
      </c>
    </row>
    <row r="19" spans="1:19" x14ac:dyDescent="0.25">
      <c r="A19" s="20">
        <v>45660</v>
      </c>
      <c r="B19" s="15" t="s">
        <v>73</v>
      </c>
      <c r="C19" s="15">
        <v>25664</v>
      </c>
      <c r="D19" s="15" t="s">
        <v>27</v>
      </c>
      <c r="E19" s="15">
        <v>25</v>
      </c>
      <c r="F19" s="27">
        <v>75.5</v>
      </c>
      <c r="G19" s="15" t="s">
        <v>58</v>
      </c>
      <c r="H19" s="35">
        <v>0.42</v>
      </c>
      <c r="I19" s="15" t="s">
        <v>734</v>
      </c>
      <c r="J19" s="27">
        <v>15.13</v>
      </c>
      <c r="K19" s="15" t="s">
        <v>44</v>
      </c>
      <c r="L19" s="15" t="s">
        <v>31</v>
      </c>
      <c r="M19" s="15" t="s">
        <v>22</v>
      </c>
      <c r="N19" s="15" t="s">
        <v>38</v>
      </c>
      <c r="O19" s="15" t="s">
        <v>33</v>
      </c>
      <c r="P19" s="15" t="s">
        <v>34</v>
      </c>
      <c r="Q19" s="27">
        <v>1887.5</v>
      </c>
      <c r="R19" s="27">
        <v>792.75</v>
      </c>
      <c r="S19" s="31">
        <v>1094.75</v>
      </c>
    </row>
    <row r="20" spans="1:19" x14ac:dyDescent="0.25">
      <c r="A20" s="20">
        <v>45660</v>
      </c>
      <c r="B20" s="15" t="s">
        <v>74</v>
      </c>
      <c r="C20" s="15">
        <v>54248</v>
      </c>
      <c r="D20" s="15" t="s">
        <v>75</v>
      </c>
      <c r="E20" s="15">
        <v>30</v>
      </c>
      <c r="F20" s="27">
        <v>67.510000000000005</v>
      </c>
      <c r="G20" s="15" t="s">
        <v>76</v>
      </c>
      <c r="H20" s="35">
        <v>0.06</v>
      </c>
      <c r="I20" s="15" t="s">
        <v>29</v>
      </c>
      <c r="J20" s="27">
        <v>9.43</v>
      </c>
      <c r="K20" s="15" t="s">
        <v>30</v>
      </c>
      <c r="L20" s="15" t="s">
        <v>21</v>
      </c>
      <c r="M20" s="15" t="s">
        <v>22</v>
      </c>
      <c r="N20" s="15" t="s">
        <v>38</v>
      </c>
      <c r="O20" s="15" t="s">
        <v>59</v>
      </c>
      <c r="P20" s="15" t="s">
        <v>25</v>
      </c>
      <c r="Q20" s="27">
        <v>2025.3000000000002</v>
      </c>
      <c r="R20" s="27">
        <v>121.518</v>
      </c>
      <c r="S20" s="31">
        <v>1903.7820000000002</v>
      </c>
    </row>
    <row r="21" spans="1:19" x14ac:dyDescent="0.25">
      <c r="A21" s="20">
        <v>45660</v>
      </c>
      <c r="B21" s="15" t="s">
        <v>77</v>
      </c>
      <c r="C21" s="15">
        <v>88442</v>
      </c>
      <c r="D21" s="15" t="s">
        <v>42</v>
      </c>
      <c r="E21" s="15">
        <v>39</v>
      </c>
      <c r="F21" s="27">
        <v>88.31</v>
      </c>
      <c r="G21" s="15" t="s">
        <v>72</v>
      </c>
      <c r="H21" s="35">
        <v>0.11</v>
      </c>
      <c r="I21" s="15" t="s">
        <v>29</v>
      </c>
      <c r="J21" s="27">
        <v>29.61</v>
      </c>
      <c r="K21" s="15" t="s">
        <v>30</v>
      </c>
      <c r="L21" s="15" t="s">
        <v>21</v>
      </c>
      <c r="M21" s="15" t="s">
        <v>22</v>
      </c>
      <c r="N21" s="15" t="s">
        <v>53</v>
      </c>
      <c r="O21" s="15" t="s">
        <v>39</v>
      </c>
      <c r="P21" s="15" t="s">
        <v>34</v>
      </c>
      <c r="Q21" s="27">
        <v>3444.09</v>
      </c>
      <c r="R21" s="27">
        <v>378.84989999999999</v>
      </c>
      <c r="S21" s="31">
        <v>3065.2401</v>
      </c>
    </row>
    <row r="22" spans="1:19" x14ac:dyDescent="0.25">
      <c r="A22" s="20">
        <v>45660</v>
      </c>
      <c r="B22" s="15" t="s">
        <v>78</v>
      </c>
      <c r="C22" s="15">
        <v>48575</v>
      </c>
      <c r="D22" s="15" t="s">
        <v>68</v>
      </c>
      <c r="E22" s="15">
        <v>24</v>
      </c>
      <c r="F22" s="27">
        <v>53</v>
      </c>
      <c r="G22" s="15" t="s">
        <v>52</v>
      </c>
      <c r="H22" s="35">
        <v>0.26</v>
      </c>
      <c r="I22" s="15" t="s">
        <v>734</v>
      </c>
      <c r="J22" s="27">
        <v>24.88</v>
      </c>
      <c r="K22" s="15" t="s">
        <v>20</v>
      </c>
      <c r="L22" s="15" t="s">
        <v>31</v>
      </c>
      <c r="M22" s="15" t="s">
        <v>22</v>
      </c>
      <c r="N22" s="15" t="s">
        <v>23</v>
      </c>
      <c r="O22" s="15" t="s">
        <v>39</v>
      </c>
      <c r="P22" s="15" t="s">
        <v>40</v>
      </c>
      <c r="Q22" s="27">
        <v>1272</v>
      </c>
      <c r="R22" s="27">
        <v>330.72</v>
      </c>
      <c r="S22" s="31">
        <v>941.28</v>
      </c>
    </row>
    <row r="23" spans="1:19" x14ac:dyDescent="0.25">
      <c r="A23" s="20">
        <v>45660</v>
      </c>
      <c r="B23" s="15" t="s">
        <v>79</v>
      </c>
      <c r="C23" s="15">
        <v>95235</v>
      </c>
      <c r="D23" s="15" t="s">
        <v>49</v>
      </c>
      <c r="E23" s="15">
        <v>10</v>
      </c>
      <c r="F23" s="27">
        <v>23</v>
      </c>
      <c r="G23" s="15" t="s">
        <v>18</v>
      </c>
      <c r="H23" s="35">
        <v>0.36</v>
      </c>
      <c r="I23" s="15" t="s">
        <v>29</v>
      </c>
      <c r="J23" s="27">
        <v>15.01</v>
      </c>
      <c r="K23" s="15" t="s">
        <v>20</v>
      </c>
      <c r="L23" s="15" t="s">
        <v>31</v>
      </c>
      <c r="M23" s="15" t="s">
        <v>22</v>
      </c>
      <c r="N23" s="15" t="s">
        <v>32</v>
      </c>
      <c r="O23" s="15" t="s">
        <v>24</v>
      </c>
      <c r="P23" s="15" t="s">
        <v>34</v>
      </c>
      <c r="Q23" s="27">
        <v>230</v>
      </c>
      <c r="R23" s="27">
        <v>82.8</v>
      </c>
      <c r="S23" s="31">
        <v>147.19999999999999</v>
      </c>
    </row>
    <row r="24" spans="1:19" x14ac:dyDescent="0.25">
      <c r="A24" s="20">
        <v>45660</v>
      </c>
      <c r="B24" s="15" t="s">
        <v>80</v>
      </c>
      <c r="C24" s="15">
        <v>93319</v>
      </c>
      <c r="D24" s="15" t="s">
        <v>75</v>
      </c>
      <c r="E24" s="15">
        <v>22</v>
      </c>
      <c r="F24" s="27">
        <v>25.51</v>
      </c>
      <c r="G24" s="15" t="s">
        <v>28</v>
      </c>
      <c r="H24" s="35">
        <v>0.41</v>
      </c>
      <c r="I24" s="15" t="s">
        <v>19</v>
      </c>
      <c r="J24" s="27">
        <v>14.61</v>
      </c>
      <c r="K24" s="15" t="s">
        <v>44</v>
      </c>
      <c r="L24" s="15" t="s">
        <v>31</v>
      </c>
      <c r="M24" s="15" t="s">
        <v>22</v>
      </c>
      <c r="N24" s="15" t="s">
        <v>53</v>
      </c>
      <c r="O24" s="15" t="s">
        <v>81</v>
      </c>
      <c r="P24" s="15" t="s">
        <v>25</v>
      </c>
      <c r="Q24" s="27">
        <v>561.22</v>
      </c>
      <c r="R24" s="27">
        <v>230.1002</v>
      </c>
      <c r="S24" s="31">
        <v>331.11980000000005</v>
      </c>
    </row>
    <row r="25" spans="1:19" x14ac:dyDescent="0.25">
      <c r="A25" s="20">
        <v>45660</v>
      </c>
      <c r="B25" s="15" t="s">
        <v>82</v>
      </c>
      <c r="C25" s="15">
        <v>22140</v>
      </c>
      <c r="D25" s="15" t="s">
        <v>66</v>
      </c>
      <c r="E25" s="15">
        <v>25</v>
      </c>
      <c r="F25" s="27">
        <v>69.17</v>
      </c>
      <c r="G25" s="15" t="s">
        <v>18</v>
      </c>
      <c r="H25" s="35">
        <v>0.28000000000000003</v>
      </c>
      <c r="I25" s="15" t="s">
        <v>734</v>
      </c>
      <c r="J25" s="27">
        <v>27.77</v>
      </c>
      <c r="K25" s="15" t="s">
        <v>44</v>
      </c>
      <c r="L25" s="15" t="s">
        <v>21</v>
      </c>
      <c r="M25" s="15" t="s">
        <v>22</v>
      </c>
      <c r="N25" s="15" t="s">
        <v>38</v>
      </c>
      <c r="O25" s="15" t="s">
        <v>33</v>
      </c>
      <c r="P25" s="15" t="s">
        <v>40</v>
      </c>
      <c r="Q25" s="27">
        <v>1729.25</v>
      </c>
      <c r="R25" s="27">
        <v>484.19000000000005</v>
      </c>
      <c r="S25" s="31">
        <v>1245.06</v>
      </c>
    </row>
    <row r="26" spans="1:19" x14ac:dyDescent="0.25">
      <c r="A26" s="20">
        <v>45660</v>
      </c>
      <c r="B26" s="15" t="s">
        <v>83</v>
      </c>
      <c r="C26" s="15">
        <v>64716</v>
      </c>
      <c r="D26" s="15" t="s">
        <v>42</v>
      </c>
      <c r="E26" s="15">
        <v>24</v>
      </c>
      <c r="F26" s="27">
        <v>17.09</v>
      </c>
      <c r="G26" s="15" t="s">
        <v>84</v>
      </c>
      <c r="H26" s="35">
        <v>0.33</v>
      </c>
      <c r="I26" s="15" t="s">
        <v>734</v>
      </c>
      <c r="J26" s="27">
        <v>10.14</v>
      </c>
      <c r="K26" s="15" t="s">
        <v>44</v>
      </c>
      <c r="L26" s="15" t="s">
        <v>21</v>
      </c>
      <c r="M26" s="15" t="s">
        <v>22</v>
      </c>
      <c r="N26" s="15" t="s">
        <v>32</v>
      </c>
      <c r="O26" s="15" t="s">
        <v>33</v>
      </c>
      <c r="P26" s="15" t="s">
        <v>40</v>
      </c>
      <c r="Q26" s="27">
        <v>410.15999999999997</v>
      </c>
      <c r="R26" s="27">
        <v>135.3528</v>
      </c>
      <c r="S26" s="31">
        <v>274.80719999999997</v>
      </c>
    </row>
    <row r="27" spans="1:19" x14ac:dyDescent="0.25">
      <c r="A27" s="20">
        <v>45660</v>
      </c>
      <c r="B27" s="15" t="s">
        <v>85</v>
      </c>
      <c r="C27" s="15">
        <v>44880</v>
      </c>
      <c r="D27" s="15" t="s">
        <v>70</v>
      </c>
      <c r="E27" s="15">
        <v>33</v>
      </c>
      <c r="F27" s="27">
        <v>35.74</v>
      </c>
      <c r="G27" s="15" t="s">
        <v>72</v>
      </c>
      <c r="H27" s="35">
        <v>0.14000000000000001</v>
      </c>
      <c r="I27" s="15" t="s">
        <v>734</v>
      </c>
      <c r="J27" s="27">
        <v>8.39</v>
      </c>
      <c r="K27" s="15" t="s">
        <v>30</v>
      </c>
      <c r="L27" s="15" t="s">
        <v>21</v>
      </c>
      <c r="M27" s="15" t="s">
        <v>22</v>
      </c>
      <c r="N27" s="15" t="s">
        <v>53</v>
      </c>
      <c r="O27" s="15" t="s">
        <v>59</v>
      </c>
      <c r="P27" s="15" t="s">
        <v>34</v>
      </c>
      <c r="Q27" s="27">
        <v>1179.42</v>
      </c>
      <c r="R27" s="27">
        <v>165.11880000000002</v>
      </c>
      <c r="S27" s="31">
        <v>1014.3012000000001</v>
      </c>
    </row>
    <row r="28" spans="1:19" x14ac:dyDescent="0.25">
      <c r="A28" s="20">
        <v>45660</v>
      </c>
      <c r="B28" s="15" t="s">
        <v>86</v>
      </c>
      <c r="C28" s="15">
        <v>70644</v>
      </c>
      <c r="D28" s="15" t="s">
        <v>42</v>
      </c>
      <c r="E28" s="15">
        <v>32</v>
      </c>
      <c r="F28" s="27">
        <v>58.11</v>
      </c>
      <c r="G28" s="15" t="s">
        <v>28</v>
      </c>
      <c r="H28" s="35">
        <v>0.1</v>
      </c>
      <c r="I28" s="15" t="s">
        <v>734</v>
      </c>
      <c r="J28" s="27">
        <v>14.91</v>
      </c>
      <c r="K28" s="15" t="s">
        <v>20</v>
      </c>
      <c r="L28" s="15" t="s">
        <v>31</v>
      </c>
      <c r="M28" s="15" t="s">
        <v>22</v>
      </c>
      <c r="N28" s="15" t="s">
        <v>32</v>
      </c>
      <c r="O28" s="15" t="s">
        <v>81</v>
      </c>
      <c r="P28" s="15" t="s">
        <v>40</v>
      </c>
      <c r="Q28" s="27">
        <v>1859.52</v>
      </c>
      <c r="R28" s="27">
        <v>185.952</v>
      </c>
      <c r="S28" s="31">
        <v>1673.568</v>
      </c>
    </row>
    <row r="29" spans="1:19" x14ac:dyDescent="0.25">
      <c r="A29" s="20">
        <v>45660</v>
      </c>
      <c r="B29" s="15" t="s">
        <v>87</v>
      </c>
      <c r="C29" s="15">
        <v>96877</v>
      </c>
      <c r="D29" s="15" t="s">
        <v>46</v>
      </c>
      <c r="E29" s="15">
        <v>37</v>
      </c>
      <c r="F29" s="27">
        <v>20.309999999999999</v>
      </c>
      <c r="G29" s="15" t="s">
        <v>28</v>
      </c>
      <c r="H29" s="35">
        <v>7.0000000000000007E-2</v>
      </c>
      <c r="I29" s="15" t="s">
        <v>29</v>
      </c>
      <c r="J29" s="27">
        <v>29.01</v>
      </c>
      <c r="K29" s="15" t="s">
        <v>37</v>
      </c>
      <c r="L29" s="15" t="s">
        <v>31</v>
      </c>
      <c r="M29" s="15" t="s">
        <v>22</v>
      </c>
      <c r="N29" s="15" t="s">
        <v>32</v>
      </c>
      <c r="O29" s="15" t="s">
        <v>39</v>
      </c>
      <c r="P29" s="15" t="s">
        <v>40</v>
      </c>
      <c r="Q29" s="27">
        <v>751.46999999999991</v>
      </c>
      <c r="R29" s="27">
        <v>52.602899999999998</v>
      </c>
      <c r="S29" s="31">
        <v>698.86709999999994</v>
      </c>
    </row>
    <row r="30" spans="1:19" x14ac:dyDescent="0.25">
      <c r="A30" s="20">
        <v>45660</v>
      </c>
      <c r="B30" s="15" t="s">
        <v>88</v>
      </c>
      <c r="C30" s="15">
        <v>98824</v>
      </c>
      <c r="D30" s="15" t="s">
        <v>89</v>
      </c>
      <c r="E30" s="15">
        <v>45</v>
      </c>
      <c r="F30" s="27">
        <v>89.64</v>
      </c>
      <c r="G30" s="15" t="s">
        <v>52</v>
      </c>
      <c r="H30" s="35">
        <v>0.26</v>
      </c>
      <c r="I30" s="15" t="s">
        <v>734</v>
      </c>
      <c r="J30" s="27">
        <v>20.82</v>
      </c>
      <c r="K30" s="15" t="s">
        <v>37</v>
      </c>
      <c r="L30" s="15" t="s">
        <v>31</v>
      </c>
      <c r="M30" s="15" t="s">
        <v>22</v>
      </c>
      <c r="N30" s="15" t="s">
        <v>32</v>
      </c>
      <c r="O30" s="15" t="s">
        <v>81</v>
      </c>
      <c r="P30" s="15" t="s">
        <v>25</v>
      </c>
      <c r="Q30" s="27">
        <v>4033.8</v>
      </c>
      <c r="R30" s="27">
        <v>1048.788</v>
      </c>
      <c r="S30" s="31">
        <v>2985.0120000000002</v>
      </c>
    </row>
    <row r="31" spans="1:19" x14ac:dyDescent="0.25">
      <c r="A31" s="20">
        <v>45660</v>
      </c>
      <c r="B31" s="15" t="s">
        <v>90</v>
      </c>
      <c r="C31" s="15">
        <v>73837</v>
      </c>
      <c r="D31" s="15" t="s">
        <v>46</v>
      </c>
      <c r="E31" s="15">
        <v>14</v>
      </c>
      <c r="F31" s="27">
        <v>53</v>
      </c>
      <c r="G31" s="15" t="s">
        <v>76</v>
      </c>
      <c r="H31" s="35">
        <v>0.38</v>
      </c>
      <c r="I31" s="15" t="s">
        <v>734</v>
      </c>
      <c r="J31" s="27">
        <v>26.49</v>
      </c>
      <c r="K31" s="15" t="s">
        <v>30</v>
      </c>
      <c r="L31" s="15" t="s">
        <v>21</v>
      </c>
      <c r="M31" s="15" t="s">
        <v>22</v>
      </c>
      <c r="N31" s="15" t="s">
        <v>38</v>
      </c>
      <c r="O31" s="15" t="s">
        <v>81</v>
      </c>
      <c r="P31" s="15" t="s">
        <v>40</v>
      </c>
      <c r="Q31" s="27">
        <v>742</v>
      </c>
      <c r="R31" s="27">
        <v>281.95999999999998</v>
      </c>
      <c r="S31" s="31">
        <v>460.04</v>
      </c>
    </row>
    <row r="32" spans="1:19" x14ac:dyDescent="0.25">
      <c r="A32" s="20">
        <v>45660</v>
      </c>
      <c r="B32" s="15" t="s">
        <v>91</v>
      </c>
      <c r="C32" s="15">
        <v>59939</v>
      </c>
      <c r="D32" s="15" t="s">
        <v>89</v>
      </c>
      <c r="E32" s="15">
        <v>39</v>
      </c>
      <c r="F32" s="27">
        <v>65.16</v>
      </c>
      <c r="G32" s="15" t="s">
        <v>47</v>
      </c>
      <c r="H32" s="35">
        <v>0.32</v>
      </c>
      <c r="I32" s="15" t="s">
        <v>734</v>
      </c>
      <c r="J32" s="27">
        <v>22.18</v>
      </c>
      <c r="K32" s="15" t="s">
        <v>30</v>
      </c>
      <c r="L32" s="15" t="s">
        <v>31</v>
      </c>
      <c r="M32" s="15" t="s">
        <v>22</v>
      </c>
      <c r="N32" s="15" t="s">
        <v>23</v>
      </c>
      <c r="O32" s="15" t="s">
        <v>33</v>
      </c>
      <c r="P32" s="15" t="s">
        <v>34</v>
      </c>
      <c r="Q32" s="27">
        <v>2541.2399999999998</v>
      </c>
      <c r="R32" s="27">
        <v>813.19679999999994</v>
      </c>
      <c r="S32" s="31">
        <v>1728.0431999999998</v>
      </c>
    </row>
    <row r="33" spans="1:19" x14ac:dyDescent="0.25">
      <c r="A33" s="20">
        <v>45660</v>
      </c>
      <c r="B33" s="15" t="s">
        <v>92</v>
      </c>
      <c r="C33" s="15">
        <v>34512</v>
      </c>
      <c r="D33" s="15" t="s">
        <v>57</v>
      </c>
      <c r="E33" s="15">
        <v>4</v>
      </c>
      <c r="F33" s="27">
        <v>14.89</v>
      </c>
      <c r="G33" s="15" t="s">
        <v>18</v>
      </c>
      <c r="H33" s="35">
        <v>0.37</v>
      </c>
      <c r="I33" s="15" t="s">
        <v>29</v>
      </c>
      <c r="J33" s="27">
        <v>24.2</v>
      </c>
      <c r="K33" s="15" t="s">
        <v>37</v>
      </c>
      <c r="L33" s="15" t="s">
        <v>31</v>
      </c>
      <c r="M33" s="15" t="s">
        <v>22</v>
      </c>
      <c r="N33" s="15" t="s">
        <v>32</v>
      </c>
      <c r="O33" s="15" t="s">
        <v>24</v>
      </c>
      <c r="P33" s="15" t="s">
        <v>25</v>
      </c>
      <c r="Q33" s="27">
        <v>59.56</v>
      </c>
      <c r="R33" s="27">
        <v>22.037200000000002</v>
      </c>
      <c r="S33" s="31">
        <v>37.522800000000004</v>
      </c>
    </row>
    <row r="34" spans="1:19" x14ac:dyDescent="0.25">
      <c r="A34" s="20">
        <v>45660</v>
      </c>
      <c r="B34" s="15" t="s">
        <v>93</v>
      </c>
      <c r="C34" s="15">
        <v>68953</v>
      </c>
      <c r="D34" s="15" t="s">
        <v>27</v>
      </c>
      <c r="E34" s="15">
        <v>5</v>
      </c>
      <c r="F34" s="27">
        <v>31.1</v>
      </c>
      <c r="G34" s="15" t="s">
        <v>72</v>
      </c>
      <c r="H34" s="35">
        <v>7.0000000000000007E-2</v>
      </c>
      <c r="I34" s="15" t="s">
        <v>29</v>
      </c>
      <c r="J34" s="27">
        <v>21.93</v>
      </c>
      <c r="K34" s="15" t="s">
        <v>50</v>
      </c>
      <c r="L34" s="15" t="s">
        <v>31</v>
      </c>
      <c r="M34" s="15" t="s">
        <v>22</v>
      </c>
      <c r="N34" s="15" t="s">
        <v>38</v>
      </c>
      <c r="O34" s="15" t="s">
        <v>33</v>
      </c>
      <c r="P34" s="15" t="s">
        <v>40</v>
      </c>
      <c r="Q34" s="27">
        <v>155.5</v>
      </c>
      <c r="R34" s="27">
        <v>10.885000000000002</v>
      </c>
      <c r="S34" s="31">
        <v>144.61500000000001</v>
      </c>
    </row>
    <row r="35" spans="1:19" x14ac:dyDescent="0.25">
      <c r="A35" s="20">
        <v>45660</v>
      </c>
      <c r="B35" s="15" t="s">
        <v>94</v>
      </c>
      <c r="C35" s="15">
        <v>53599</v>
      </c>
      <c r="D35" s="15" t="s">
        <v>17</v>
      </c>
      <c r="E35" s="15">
        <v>26</v>
      </c>
      <c r="F35" s="27">
        <v>7.66</v>
      </c>
      <c r="G35" s="15" t="s">
        <v>18</v>
      </c>
      <c r="H35" s="35">
        <v>0.06</v>
      </c>
      <c r="I35" s="15" t="s">
        <v>734</v>
      </c>
      <c r="J35" s="27">
        <v>25.01</v>
      </c>
      <c r="K35" s="15" t="s">
        <v>30</v>
      </c>
      <c r="L35" s="15" t="s">
        <v>31</v>
      </c>
      <c r="M35" s="15" t="s">
        <v>22</v>
      </c>
      <c r="N35" s="15" t="s">
        <v>23</v>
      </c>
      <c r="O35" s="15" t="s">
        <v>24</v>
      </c>
      <c r="P35" s="15" t="s">
        <v>25</v>
      </c>
      <c r="Q35" s="27">
        <v>199.16</v>
      </c>
      <c r="R35" s="27">
        <v>11.9496</v>
      </c>
      <c r="S35" s="31">
        <v>187.21039999999999</v>
      </c>
    </row>
    <row r="36" spans="1:19" x14ac:dyDescent="0.25">
      <c r="A36" s="20">
        <v>45661</v>
      </c>
      <c r="B36" s="15" t="s">
        <v>95</v>
      </c>
      <c r="C36" s="15">
        <v>61362</v>
      </c>
      <c r="D36" s="15" t="s">
        <v>68</v>
      </c>
      <c r="E36" s="15">
        <v>19</v>
      </c>
      <c r="F36" s="27">
        <v>88.78</v>
      </c>
      <c r="G36" s="15" t="s">
        <v>43</v>
      </c>
      <c r="H36" s="35">
        <v>0.18</v>
      </c>
      <c r="I36" s="15" t="s">
        <v>19</v>
      </c>
      <c r="J36" s="27">
        <v>5.23</v>
      </c>
      <c r="K36" s="15" t="s">
        <v>20</v>
      </c>
      <c r="L36" s="15" t="s">
        <v>21</v>
      </c>
      <c r="M36" s="15" t="s">
        <v>22</v>
      </c>
      <c r="N36" s="15" t="s">
        <v>32</v>
      </c>
      <c r="O36" s="15" t="s">
        <v>59</v>
      </c>
      <c r="P36" s="15" t="s">
        <v>34</v>
      </c>
      <c r="Q36" s="27">
        <v>1686.82</v>
      </c>
      <c r="R36" s="27">
        <v>303.62759999999997</v>
      </c>
      <c r="S36" s="31">
        <v>1383.1923999999999</v>
      </c>
    </row>
    <row r="37" spans="1:19" x14ac:dyDescent="0.25">
      <c r="A37" s="20">
        <v>45661</v>
      </c>
      <c r="B37" s="15" t="s">
        <v>96</v>
      </c>
      <c r="C37" s="15">
        <v>80747</v>
      </c>
      <c r="D37" s="15" t="s">
        <v>49</v>
      </c>
      <c r="E37" s="15">
        <v>40</v>
      </c>
      <c r="F37" s="27">
        <v>33.42</v>
      </c>
      <c r="G37" s="15" t="s">
        <v>55</v>
      </c>
      <c r="H37" s="35">
        <v>0.5</v>
      </c>
      <c r="I37" s="15" t="s">
        <v>19</v>
      </c>
      <c r="J37" s="27">
        <v>12.85</v>
      </c>
      <c r="K37" s="15" t="s">
        <v>30</v>
      </c>
      <c r="L37" s="15" t="s">
        <v>31</v>
      </c>
      <c r="M37" s="15" t="s">
        <v>22</v>
      </c>
      <c r="N37" s="15" t="s">
        <v>38</v>
      </c>
      <c r="O37" s="15" t="s">
        <v>81</v>
      </c>
      <c r="P37" s="15" t="s">
        <v>34</v>
      </c>
      <c r="Q37" s="27">
        <v>1336.8000000000002</v>
      </c>
      <c r="R37" s="27">
        <v>668.40000000000009</v>
      </c>
      <c r="S37" s="31">
        <v>668.40000000000009</v>
      </c>
    </row>
    <row r="38" spans="1:19" x14ac:dyDescent="0.25">
      <c r="A38" s="20">
        <v>45661</v>
      </c>
      <c r="B38" s="15" t="s">
        <v>97</v>
      </c>
      <c r="C38" s="15">
        <v>29963</v>
      </c>
      <c r="D38" s="15" t="s">
        <v>57</v>
      </c>
      <c r="E38" s="15">
        <v>43</v>
      </c>
      <c r="F38" s="27">
        <v>80.63</v>
      </c>
      <c r="G38" s="15" t="s">
        <v>76</v>
      </c>
      <c r="H38" s="35">
        <v>0.15</v>
      </c>
      <c r="I38" s="15" t="s">
        <v>19</v>
      </c>
      <c r="J38" s="27">
        <v>27.56</v>
      </c>
      <c r="K38" s="15" t="s">
        <v>30</v>
      </c>
      <c r="L38" s="15" t="s">
        <v>21</v>
      </c>
      <c r="M38" s="15" t="s">
        <v>735</v>
      </c>
      <c r="N38" s="15" t="s">
        <v>23</v>
      </c>
      <c r="O38" s="15" t="s">
        <v>33</v>
      </c>
      <c r="P38" s="15" t="s">
        <v>40</v>
      </c>
      <c r="Q38" s="27">
        <v>3467.0899999999997</v>
      </c>
      <c r="R38" s="27">
        <v>520.06349999999998</v>
      </c>
      <c r="S38" s="31">
        <v>2947.0264999999999</v>
      </c>
    </row>
    <row r="39" spans="1:19" x14ac:dyDescent="0.25">
      <c r="A39" s="20">
        <v>45661</v>
      </c>
      <c r="B39" s="15" t="s">
        <v>98</v>
      </c>
      <c r="C39" s="15">
        <v>64425</v>
      </c>
      <c r="D39" s="15" t="s">
        <v>66</v>
      </c>
      <c r="E39" s="15">
        <v>15</v>
      </c>
      <c r="F39" s="27">
        <v>29.56</v>
      </c>
      <c r="G39" s="15" t="s">
        <v>99</v>
      </c>
      <c r="H39" s="35">
        <v>0.28999999999999998</v>
      </c>
      <c r="I39" s="15" t="s">
        <v>29</v>
      </c>
      <c r="J39" s="27">
        <v>20.04</v>
      </c>
      <c r="K39" s="15" t="s">
        <v>37</v>
      </c>
      <c r="L39" s="15" t="s">
        <v>31</v>
      </c>
      <c r="M39" s="15" t="s">
        <v>22</v>
      </c>
      <c r="N39" s="15" t="s">
        <v>38</v>
      </c>
      <c r="O39" s="15" t="s">
        <v>33</v>
      </c>
      <c r="P39" s="15" t="s">
        <v>25</v>
      </c>
      <c r="Q39" s="27">
        <v>443.4</v>
      </c>
      <c r="R39" s="27">
        <v>128.58599999999998</v>
      </c>
      <c r="S39" s="31">
        <v>314.81399999999996</v>
      </c>
    </row>
    <row r="40" spans="1:19" x14ac:dyDescent="0.25">
      <c r="A40" s="20">
        <v>45661</v>
      </c>
      <c r="B40" s="15" t="s">
        <v>63</v>
      </c>
      <c r="C40" s="15">
        <v>39467</v>
      </c>
      <c r="D40" s="15" t="s">
        <v>75</v>
      </c>
      <c r="E40" s="15">
        <v>8</v>
      </c>
      <c r="F40" s="27">
        <v>96.18</v>
      </c>
      <c r="G40" s="15" t="s">
        <v>84</v>
      </c>
      <c r="H40" s="35">
        <v>0.39</v>
      </c>
      <c r="I40" s="15" t="s">
        <v>29</v>
      </c>
      <c r="J40" s="27">
        <v>12.68</v>
      </c>
      <c r="K40" s="15" t="s">
        <v>44</v>
      </c>
      <c r="L40" s="15" t="s">
        <v>31</v>
      </c>
      <c r="M40" s="15" t="s">
        <v>22</v>
      </c>
      <c r="N40" s="15" t="s">
        <v>23</v>
      </c>
      <c r="O40" s="15" t="s">
        <v>39</v>
      </c>
      <c r="P40" s="15" t="s">
        <v>25</v>
      </c>
      <c r="Q40" s="27">
        <v>769.44</v>
      </c>
      <c r="R40" s="27">
        <v>300.08160000000004</v>
      </c>
      <c r="S40" s="31">
        <v>469.35840000000002</v>
      </c>
    </row>
    <row r="41" spans="1:19" x14ac:dyDescent="0.25">
      <c r="A41" s="20">
        <v>45661</v>
      </c>
      <c r="B41" s="15" t="s">
        <v>100</v>
      </c>
      <c r="C41" s="15">
        <v>34686</v>
      </c>
      <c r="D41" s="15" t="s">
        <v>42</v>
      </c>
      <c r="E41" s="15">
        <v>21</v>
      </c>
      <c r="F41" s="27">
        <v>26.41</v>
      </c>
      <c r="G41" s="15" t="s">
        <v>58</v>
      </c>
      <c r="H41" s="35">
        <v>0.31</v>
      </c>
      <c r="I41" s="15" t="s">
        <v>29</v>
      </c>
      <c r="J41" s="27">
        <v>27.71</v>
      </c>
      <c r="K41" s="15" t="s">
        <v>20</v>
      </c>
      <c r="L41" s="15" t="s">
        <v>31</v>
      </c>
      <c r="M41" s="15" t="s">
        <v>22</v>
      </c>
      <c r="N41" s="15" t="s">
        <v>23</v>
      </c>
      <c r="O41" s="15" t="s">
        <v>39</v>
      </c>
      <c r="P41" s="15" t="s">
        <v>40</v>
      </c>
      <c r="Q41" s="27">
        <v>554.61</v>
      </c>
      <c r="R41" s="27">
        <v>171.92910000000001</v>
      </c>
      <c r="S41" s="31">
        <v>382.68090000000001</v>
      </c>
    </row>
    <row r="42" spans="1:19" x14ac:dyDescent="0.25">
      <c r="A42" s="20">
        <v>45661</v>
      </c>
      <c r="B42" s="15" t="s">
        <v>101</v>
      </c>
      <c r="C42" s="15">
        <v>77001</v>
      </c>
      <c r="D42" s="15" t="s">
        <v>46</v>
      </c>
      <c r="E42" s="15">
        <v>17</v>
      </c>
      <c r="F42" s="27">
        <v>53</v>
      </c>
      <c r="G42" s="15" t="s">
        <v>43</v>
      </c>
      <c r="H42" s="35">
        <v>0.17</v>
      </c>
      <c r="I42" s="15" t="s">
        <v>734</v>
      </c>
      <c r="J42" s="27">
        <v>8.09</v>
      </c>
      <c r="K42" s="15" t="s">
        <v>20</v>
      </c>
      <c r="L42" s="15" t="s">
        <v>31</v>
      </c>
      <c r="M42" s="15" t="s">
        <v>22</v>
      </c>
      <c r="N42" s="15" t="s">
        <v>23</v>
      </c>
      <c r="O42" s="15" t="s">
        <v>81</v>
      </c>
      <c r="P42" s="15" t="s">
        <v>25</v>
      </c>
      <c r="Q42" s="27">
        <v>901</v>
      </c>
      <c r="R42" s="27">
        <v>153.17000000000002</v>
      </c>
      <c r="S42" s="31">
        <v>747.82999999999993</v>
      </c>
    </row>
    <row r="43" spans="1:19" x14ac:dyDescent="0.25">
      <c r="A43" s="20">
        <v>45661</v>
      </c>
      <c r="B43" s="15" t="s">
        <v>102</v>
      </c>
      <c r="C43" s="15">
        <v>57351</v>
      </c>
      <c r="D43" s="15" t="s">
        <v>75</v>
      </c>
      <c r="E43" s="15">
        <v>5</v>
      </c>
      <c r="F43" s="27">
        <v>32.6</v>
      </c>
      <c r="G43" s="15" t="s">
        <v>76</v>
      </c>
      <c r="H43" s="35">
        <v>0.11</v>
      </c>
      <c r="I43" s="15" t="s">
        <v>19</v>
      </c>
      <c r="J43" s="27">
        <v>21.94</v>
      </c>
      <c r="K43" s="15" t="s">
        <v>50</v>
      </c>
      <c r="L43" s="15" t="s">
        <v>31</v>
      </c>
      <c r="M43" s="15" t="s">
        <v>22</v>
      </c>
      <c r="N43" s="15" t="s">
        <v>23</v>
      </c>
      <c r="O43" s="15" t="s">
        <v>39</v>
      </c>
      <c r="P43" s="15" t="s">
        <v>25</v>
      </c>
      <c r="Q43" s="27">
        <v>163</v>
      </c>
      <c r="R43" s="27">
        <v>17.93</v>
      </c>
      <c r="S43" s="31">
        <v>145.07</v>
      </c>
    </row>
    <row r="44" spans="1:19" x14ac:dyDescent="0.25">
      <c r="A44" s="20">
        <v>45661</v>
      </c>
      <c r="B44" s="15" t="s">
        <v>103</v>
      </c>
      <c r="C44" s="15">
        <v>50141</v>
      </c>
      <c r="D44" s="15" t="s">
        <v>42</v>
      </c>
      <c r="E44" s="15">
        <v>28</v>
      </c>
      <c r="F44" s="27">
        <v>25.98</v>
      </c>
      <c r="G44" s="15" t="s">
        <v>84</v>
      </c>
      <c r="H44" s="35">
        <v>0.24</v>
      </c>
      <c r="I44" s="15" t="s">
        <v>19</v>
      </c>
      <c r="J44" s="27">
        <v>28.13</v>
      </c>
      <c r="K44" s="15" t="s">
        <v>44</v>
      </c>
      <c r="L44" s="15" t="s">
        <v>31</v>
      </c>
      <c r="M44" s="15" t="s">
        <v>22</v>
      </c>
      <c r="N44" s="15" t="s">
        <v>32</v>
      </c>
      <c r="O44" s="15" t="s">
        <v>24</v>
      </c>
      <c r="P44" s="15" t="s">
        <v>40</v>
      </c>
      <c r="Q44" s="27">
        <v>727.44</v>
      </c>
      <c r="R44" s="27">
        <v>174.5856</v>
      </c>
      <c r="S44" s="31">
        <v>552.85440000000006</v>
      </c>
    </row>
    <row r="45" spans="1:19" x14ac:dyDescent="0.25">
      <c r="A45" s="20">
        <v>45661</v>
      </c>
      <c r="B45" s="15" t="s">
        <v>104</v>
      </c>
      <c r="C45" s="15">
        <v>18733</v>
      </c>
      <c r="D45" s="15" t="s">
        <v>66</v>
      </c>
      <c r="E45" s="15">
        <v>31</v>
      </c>
      <c r="F45" s="27">
        <v>9.4</v>
      </c>
      <c r="G45" s="15" t="s">
        <v>84</v>
      </c>
      <c r="H45" s="35">
        <v>0.28000000000000003</v>
      </c>
      <c r="I45" s="15" t="s">
        <v>29</v>
      </c>
      <c r="J45" s="27">
        <v>23.21</v>
      </c>
      <c r="K45" s="15" t="s">
        <v>20</v>
      </c>
      <c r="L45" s="15" t="s">
        <v>31</v>
      </c>
      <c r="M45" s="15" t="s">
        <v>22</v>
      </c>
      <c r="N45" s="15" t="s">
        <v>23</v>
      </c>
      <c r="O45" s="15" t="s">
        <v>24</v>
      </c>
      <c r="P45" s="15" t="s">
        <v>25</v>
      </c>
      <c r="Q45" s="27">
        <v>291.40000000000003</v>
      </c>
      <c r="R45" s="27">
        <v>81.592000000000013</v>
      </c>
      <c r="S45" s="31">
        <v>209.80800000000002</v>
      </c>
    </row>
    <row r="46" spans="1:19" x14ac:dyDescent="0.25">
      <c r="A46" s="20">
        <v>45661</v>
      </c>
      <c r="B46" s="15" t="s">
        <v>105</v>
      </c>
      <c r="C46" s="15">
        <v>71488</v>
      </c>
      <c r="D46" s="15" t="s">
        <v>17</v>
      </c>
      <c r="E46" s="15">
        <v>10</v>
      </c>
      <c r="F46" s="27">
        <v>10.83</v>
      </c>
      <c r="G46" s="15" t="s">
        <v>43</v>
      </c>
      <c r="H46" s="35">
        <v>0.11</v>
      </c>
      <c r="I46" s="15" t="s">
        <v>19</v>
      </c>
      <c r="J46" s="27">
        <v>7.02</v>
      </c>
      <c r="K46" s="15" t="s">
        <v>37</v>
      </c>
      <c r="L46" s="15" t="s">
        <v>31</v>
      </c>
      <c r="M46" s="15" t="s">
        <v>735</v>
      </c>
      <c r="N46" s="15" t="s">
        <v>38</v>
      </c>
      <c r="O46" s="15" t="s">
        <v>59</v>
      </c>
      <c r="P46" s="15" t="s">
        <v>34</v>
      </c>
      <c r="Q46" s="27">
        <v>108.3</v>
      </c>
      <c r="R46" s="27">
        <v>11.913</v>
      </c>
      <c r="S46" s="31">
        <v>96.387</v>
      </c>
    </row>
    <row r="47" spans="1:19" x14ac:dyDescent="0.25">
      <c r="A47" s="20">
        <v>45661</v>
      </c>
      <c r="B47" s="15" t="s">
        <v>106</v>
      </c>
      <c r="C47" s="15">
        <v>79262</v>
      </c>
      <c r="D47" s="15" t="s">
        <v>89</v>
      </c>
      <c r="E47" s="15">
        <v>49</v>
      </c>
      <c r="F47" s="27">
        <v>37.18</v>
      </c>
      <c r="G47" s="15" t="s">
        <v>52</v>
      </c>
      <c r="H47" s="35">
        <v>0.11</v>
      </c>
      <c r="I47" s="15" t="s">
        <v>734</v>
      </c>
      <c r="J47" s="27">
        <v>12.06</v>
      </c>
      <c r="K47" s="15" t="s">
        <v>37</v>
      </c>
      <c r="L47" s="15" t="s">
        <v>21</v>
      </c>
      <c r="M47" s="15" t="s">
        <v>22</v>
      </c>
      <c r="N47" s="15" t="s">
        <v>23</v>
      </c>
      <c r="O47" s="15" t="s">
        <v>24</v>
      </c>
      <c r="P47" s="15" t="s">
        <v>40</v>
      </c>
      <c r="Q47" s="27">
        <v>1821.82</v>
      </c>
      <c r="R47" s="27">
        <v>200.40019999999998</v>
      </c>
      <c r="S47" s="31">
        <v>1621.4197999999999</v>
      </c>
    </row>
    <row r="48" spans="1:19" x14ac:dyDescent="0.25">
      <c r="A48" s="20">
        <v>45661</v>
      </c>
      <c r="B48" s="15" t="s">
        <v>107</v>
      </c>
      <c r="C48" s="15">
        <v>37588</v>
      </c>
      <c r="D48" s="15" t="s">
        <v>42</v>
      </c>
      <c r="E48" s="15">
        <v>10</v>
      </c>
      <c r="F48" s="27">
        <v>43.24</v>
      </c>
      <c r="G48" s="15" t="s">
        <v>99</v>
      </c>
      <c r="H48" s="35">
        <v>0.49</v>
      </c>
      <c r="I48" s="15" t="s">
        <v>734</v>
      </c>
      <c r="J48" s="27">
        <v>6.86</v>
      </c>
      <c r="K48" s="15" t="s">
        <v>30</v>
      </c>
      <c r="L48" s="15" t="s">
        <v>21</v>
      </c>
      <c r="M48" s="15" t="s">
        <v>22</v>
      </c>
      <c r="N48" s="15" t="s">
        <v>53</v>
      </c>
      <c r="O48" s="15" t="s">
        <v>39</v>
      </c>
      <c r="P48" s="15" t="s">
        <v>34</v>
      </c>
      <c r="Q48" s="27">
        <v>432.40000000000003</v>
      </c>
      <c r="R48" s="27">
        <v>211.876</v>
      </c>
      <c r="S48" s="31">
        <v>220.52400000000003</v>
      </c>
    </row>
    <row r="49" spans="1:19" x14ac:dyDescent="0.25">
      <c r="A49" s="20">
        <v>45661</v>
      </c>
      <c r="B49" s="15" t="s">
        <v>108</v>
      </c>
      <c r="C49" s="15">
        <v>43844</v>
      </c>
      <c r="D49" s="15" t="s">
        <v>42</v>
      </c>
      <c r="E49" s="15">
        <v>2</v>
      </c>
      <c r="F49" s="27">
        <v>56.8</v>
      </c>
      <c r="G49" s="15" t="s">
        <v>52</v>
      </c>
      <c r="H49" s="35">
        <v>0.33</v>
      </c>
      <c r="I49" s="15" t="s">
        <v>19</v>
      </c>
      <c r="J49" s="27">
        <v>12.94</v>
      </c>
      <c r="K49" s="15" t="s">
        <v>30</v>
      </c>
      <c r="L49" s="15" t="s">
        <v>21</v>
      </c>
      <c r="M49" s="15" t="s">
        <v>22</v>
      </c>
      <c r="N49" s="15" t="s">
        <v>32</v>
      </c>
      <c r="O49" s="15" t="s">
        <v>33</v>
      </c>
      <c r="P49" s="15" t="s">
        <v>25</v>
      </c>
      <c r="Q49" s="27">
        <v>113.6</v>
      </c>
      <c r="R49" s="27">
        <v>37.488</v>
      </c>
      <c r="S49" s="31">
        <v>76.111999999999995</v>
      </c>
    </row>
    <row r="50" spans="1:19" x14ac:dyDescent="0.25">
      <c r="A50" s="20">
        <v>45661</v>
      </c>
      <c r="B50" s="15" t="s">
        <v>109</v>
      </c>
      <c r="C50" s="15">
        <v>29459</v>
      </c>
      <c r="D50" s="15" t="s">
        <v>27</v>
      </c>
      <c r="E50" s="15">
        <v>31</v>
      </c>
      <c r="F50" s="27">
        <v>38.39</v>
      </c>
      <c r="G50" s="15" t="s">
        <v>58</v>
      </c>
      <c r="H50" s="35">
        <v>0.09</v>
      </c>
      <c r="I50" s="15" t="s">
        <v>29</v>
      </c>
      <c r="J50" s="27">
        <v>14.71</v>
      </c>
      <c r="K50" s="15" t="s">
        <v>44</v>
      </c>
      <c r="L50" s="15" t="s">
        <v>21</v>
      </c>
      <c r="M50" s="15" t="s">
        <v>22</v>
      </c>
      <c r="N50" s="15" t="s">
        <v>53</v>
      </c>
      <c r="O50" s="15" t="s">
        <v>81</v>
      </c>
      <c r="P50" s="15" t="s">
        <v>40</v>
      </c>
      <c r="Q50" s="27">
        <v>1190.0899999999999</v>
      </c>
      <c r="R50" s="27">
        <v>107.10809999999999</v>
      </c>
      <c r="S50" s="31">
        <v>1082.9819</v>
      </c>
    </row>
    <row r="51" spans="1:19" x14ac:dyDescent="0.25">
      <c r="A51" s="20">
        <v>45661</v>
      </c>
      <c r="B51" s="15" t="s">
        <v>110</v>
      </c>
      <c r="C51" s="15">
        <v>80061</v>
      </c>
      <c r="D51" s="15" t="s">
        <v>17</v>
      </c>
      <c r="E51" s="15">
        <v>40</v>
      </c>
      <c r="F51" s="27">
        <v>30.76</v>
      </c>
      <c r="G51" s="15" t="s">
        <v>47</v>
      </c>
      <c r="H51" s="35">
        <v>0.37</v>
      </c>
      <c r="I51" s="15" t="s">
        <v>734</v>
      </c>
      <c r="J51" s="27">
        <v>25.96</v>
      </c>
      <c r="K51" s="15" t="s">
        <v>30</v>
      </c>
      <c r="L51" s="15" t="s">
        <v>31</v>
      </c>
      <c r="M51" s="15" t="s">
        <v>111</v>
      </c>
      <c r="N51" s="15" t="s">
        <v>23</v>
      </c>
      <c r="O51" s="15" t="s">
        <v>24</v>
      </c>
      <c r="P51" s="15" t="s">
        <v>34</v>
      </c>
      <c r="Q51" s="27">
        <v>1230.4000000000001</v>
      </c>
      <c r="R51" s="27">
        <v>455.24800000000005</v>
      </c>
      <c r="S51" s="31">
        <v>775.15200000000004</v>
      </c>
    </row>
    <row r="52" spans="1:19" x14ac:dyDescent="0.25">
      <c r="A52" s="20">
        <v>45661</v>
      </c>
      <c r="B52" s="15" t="s">
        <v>112</v>
      </c>
      <c r="C52" s="15">
        <v>28703</v>
      </c>
      <c r="D52" s="15" t="s">
        <v>70</v>
      </c>
      <c r="E52" s="15">
        <v>4</v>
      </c>
      <c r="F52" s="27">
        <v>83.85</v>
      </c>
      <c r="G52" s="15" t="s">
        <v>84</v>
      </c>
      <c r="H52" s="35">
        <v>0.28999999999999998</v>
      </c>
      <c r="I52" s="15" t="s">
        <v>29</v>
      </c>
      <c r="J52" s="27">
        <v>25.53</v>
      </c>
      <c r="K52" s="15" t="s">
        <v>44</v>
      </c>
      <c r="L52" s="15" t="s">
        <v>21</v>
      </c>
      <c r="M52" s="15" t="s">
        <v>22</v>
      </c>
      <c r="N52" s="15" t="s">
        <v>23</v>
      </c>
      <c r="O52" s="15" t="s">
        <v>81</v>
      </c>
      <c r="P52" s="15" t="s">
        <v>25</v>
      </c>
      <c r="Q52" s="27">
        <v>335.4</v>
      </c>
      <c r="R52" s="27">
        <v>97.265999999999991</v>
      </c>
      <c r="S52" s="31">
        <v>238.13399999999999</v>
      </c>
    </row>
    <row r="53" spans="1:19" x14ac:dyDescent="0.25">
      <c r="A53" s="20">
        <v>45661</v>
      </c>
      <c r="B53" s="15" t="s">
        <v>113</v>
      </c>
      <c r="C53" s="15">
        <v>48954</v>
      </c>
      <c r="D53" s="15" t="s">
        <v>70</v>
      </c>
      <c r="E53" s="15">
        <v>10</v>
      </c>
      <c r="F53" s="27">
        <v>80.58</v>
      </c>
      <c r="G53" s="15" t="s">
        <v>36</v>
      </c>
      <c r="H53" s="35">
        <v>0.37</v>
      </c>
      <c r="I53" s="15" t="s">
        <v>29</v>
      </c>
      <c r="J53" s="27">
        <v>5.49</v>
      </c>
      <c r="K53" s="15" t="s">
        <v>44</v>
      </c>
      <c r="L53" s="15" t="s">
        <v>31</v>
      </c>
      <c r="M53" s="15" t="s">
        <v>22</v>
      </c>
      <c r="N53" s="15" t="s">
        <v>23</v>
      </c>
      <c r="O53" s="15" t="s">
        <v>81</v>
      </c>
      <c r="P53" s="15" t="s">
        <v>40</v>
      </c>
      <c r="Q53" s="27">
        <v>805.8</v>
      </c>
      <c r="R53" s="27">
        <v>298.14599999999996</v>
      </c>
      <c r="S53" s="31">
        <v>507.654</v>
      </c>
    </row>
    <row r="54" spans="1:19" x14ac:dyDescent="0.25">
      <c r="A54" s="20">
        <v>45661</v>
      </c>
      <c r="B54" s="15" t="s">
        <v>114</v>
      </c>
      <c r="C54" s="15">
        <v>23270</v>
      </c>
      <c r="D54" s="15" t="s">
        <v>49</v>
      </c>
      <c r="E54" s="15">
        <v>12</v>
      </c>
      <c r="F54" s="27">
        <v>96.44</v>
      </c>
      <c r="G54" s="15" t="s">
        <v>76</v>
      </c>
      <c r="H54" s="35">
        <v>0.04</v>
      </c>
      <c r="I54" s="15" t="s">
        <v>734</v>
      </c>
      <c r="J54" s="27">
        <v>26.77</v>
      </c>
      <c r="K54" s="15" t="s">
        <v>20</v>
      </c>
      <c r="L54" s="15" t="s">
        <v>21</v>
      </c>
      <c r="M54" s="15" t="s">
        <v>22</v>
      </c>
      <c r="N54" s="15" t="s">
        <v>38</v>
      </c>
      <c r="O54" s="15" t="s">
        <v>24</v>
      </c>
      <c r="P54" s="15" t="s">
        <v>34</v>
      </c>
      <c r="Q54" s="27">
        <v>1157.28</v>
      </c>
      <c r="R54" s="27">
        <v>46.291199999999996</v>
      </c>
      <c r="S54" s="31">
        <v>1110.9888000000001</v>
      </c>
    </row>
    <row r="55" spans="1:19" x14ac:dyDescent="0.25">
      <c r="A55" s="20">
        <v>45661</v>
      </c>
      <c r="B55" s="15" t="s">
        <v>115</v>
      </c>
      <c r="C55" s="15">
        <v>72813</v>
      </c>
      <c r="D55" s="15" t="s">
        <v>70</v>
      </c>
      <c r="E55" s="15">
        <v>23</v>
      </c>
      <c r="F55" s="27">
        <v>35.85</v>
      </c>
      <c r="G55" s="15" t="s">
        <v>72</v>
      </c>
      <c r="H55" s="35">
        <v>0.26</v>
      </c>
      <c r="I55" s="15" t="s">
        <v>19</v>
      </c>
      <c r="J55" s="27">
        <v>16.579999999999998</v>
      </c>
      <c r="K55" s="15" t="s">
        <v>20</v>
      </c>
      <c r="L55" s="15" t="s">
        <v>21</v>
      </c>
      <c r="M55" s="15" t="s">
        <v>22</v>
      </c>
      <c r="N55" s="15" t="s">
        <v>38</v>
      </c>
      <c r="O55" s="15" t="s">
        <v>33</v>
      </c>
      <c r="P55" s="15" t="s">
        <v>25</v>
      </c>
      <c r="Q55" s="27">
        <v>824.55000000000007</v>
      </c>
      <c r="R55" s="27">
        <v>214.38300000000004</v>
      </c>
      <c r="S55" s="31">
        <v>610.16700000000003</v>
      </c>
    </row>
    <row r="56" spans="1:19" x14ac:dyDescent="0.25">
      <c r="A56" s="20">
        <v>45661</v>
      </c>
      <c r="B56" s="15" t="s">
        <v>116</v>
      </c>
      <c r="C56" s="15">
        <v>23776</v>
      </c>
      <c r="D56" s="15" t="s">
        <v>27</v>
      </c>
      <c r="E56" s="15">
        <v>26</v>
      </c>
      <c r="F56" s="27">
        <v>53</v>
      </c>
      <c r="G56" s="15" t="s">
        <v>55</v>
      </c>
      <c r="H56" s="35">
        <v>0.33</v>
      </c>
      <c r="I56" s="15" t="s">
        <v>734</v>
      </c>
      <c r="J56" s="27">
        <v>24.95</v>
      </c>
      <c r="K56" s="15" t="s">
        <v>44</v>
      </c>
      <c r="L56" s="15" t="s">
        <v>31</v>
      </c>
      <c r="M56" s="15" t="s">
        <v>22</v>
      </c>
      <c r="N56" s="15" t="s">
        <v>23</v>
      </c>
      <c r="O56" s="15" t="s">
        <v>39</v>
      </c>
      <c r="P56" s="15" t="s">
        <v>25</v>
      </c>
      <c r="Q56" s="27">
        <v>1378</v>
      </c>
      <c r="R56" s="27">
        <v>454.74</v>
      </c>
      <c r="S56" s="31">
        <v>923.26</v>
      </c>
    </row>
    <row r="57" spans="1:19" x14ac:dyDescent="0.25">
      <c r="A57" s="20">
        <v>45661</v>
      </c>
      <c r="B57" s="15" t="s">
        <v>117</v>
      </c>
      <c r="C57" s="15">
        <v>54591</v>
      </c>
      <c r="D57" s="15" t="s">
        <v>57</v>
      </c>
      <c r="E57" s="15">
        <v>28</v>
      </c>
      <c r="F57" s="27">
        <v>54.88</v>
      </c>
      <c r="G57" s="15" t="s">
        <v>18</v>
      </c>
      <c r="H57" s="35">
        <v>0.3</v>
      </c>
      <c r="I57" s="15" t="s">
        <v>19</v>
      </c>
      <c r="J57" s="27">
        <v>22.48</v>
      </c>
      <c r="K57" s="15" t="s">
        <v>20</v>
      </c>
      <c r="L57" s="15" t="s">
        <v>31</v>
      </c>
      <c r="M57" s="15" t="s">
        <v>22</v>
      </c>
      <c r="N57" s="15" t="s">
        <v>38</v>
      </c>
      <c r="O57" s="15" t="s">
        <v>59</v>
      </c>
      <c r="P57" s="15" t="s">
        <v>25</v>
      </c>
      <c r="Q57" s="27">
        <v>1536.64</v>
      </c>
      <c r="R57" s="27">
        <v>460.99200000000002</v>
      </c>
      <c r="S57" s="31">
        <v>1075.6480000000001</v>
      </c>
    </row>
    <row r="58" spans="1:19" x14ac:dyDescent="0.25">
      <c r="A58" s="20">
        <v>45662</v>
      </c>
      <c r="B58" s="15" t="s">
        <v>118</v>
      </c>
      <c r="C58" s="15">
        <v>25591</v>
      </c>
      <c r="D58" s="15" t="s">
        <v>46</v>
      </c>
      <c r="E58" s="15">
        <v>20</v>
      </c>
      <c r="F58" s="27">
        <v>68.569999999999993</v>
      </c>
      <c r="G58" s="15" t="s">
        <v>84</v>
      </c>
      <c r="H58" s="35">
        <v>0.26</v>
      </c>
      <c r="I58" s="15" t="s">
        <v>29</v>
      </c>
      <c r="J58" s="27">
        <v>16.53</v>
      </c>
      <c r="K58" s="15" t="s">
        <v>37</v>
      </c>
      <c r="L58" s="15" t="s">
        <v>21</v>
      </c>
      <c r="M58" s="15" t="s">
        <v>22</v>
      </c>
      <c r="N58" s="15" t="s">
        <v>23</v>
      </c>
      <c r="O58" s="15" t="s">
        <v>39</v>
      </c>
      <c r="P58" s="15" t="s">
        <v>34</v>
      </c>
      <c r="Q58" s="27">
        <v>1371.3999999999999</v>
      </c>
      <c r="R58" s="27">
        <v>356.56399999999996</v>
      </c>
      <c r="S58" s="31">
        <v>1014.8359999999999</v>
      </c>
    </row>
    <row r="59" spans="1:19" x14ac:dyDescent="0.25">
      <c r="A59" s="20">
        <v>45662</v>
      </c>
      <c r="B59" s="15" t="s">
        <v>119</v>
      </c>
      <c r="C59" s="15">
        <v>13836</v>
      </c>
      <c r="D59" s="15" t="s">
        <v>17</v>
      </c>
      <c r="E59" s="15">
        <v>5</v>
      </c>
      <c r="F59" s="27">
        <v>95.89</v>
      </c>
      <c r="G59" s="15" t="s">
        <v>43</v>
      </c>
      <c r="H59" s="35">
        <v>0.14000000000000001</v>
      </c>
      <c r="I59" s="15" t="s">
        <v>29</v>
      </c>
      <c r="J59" s="27">
        <v>23.54</v>
      </c>
      <c r="K59" s="15" t="s">
        <v>44</v>
      </c>
      <c r="L59" s="15" t="s">
        <v>31</v>
      </c>
      <c r="M59" s="15" t="s">
        <v>22</v>
      </c>
      <c r="N59" s="15" t="s">
        <v>23</v>
      </c>
      <c r="O59" s="15" t="s">
        <v>24</v>
      </c>
      <c r="P59" s="15" t="s">
        <v>34</v>
      </c>
      <c r="Q59" s="27">
        <v>479.45</v>
      </c>
      <c r="R59" s="27">
        <v>67.123000000000005</v>
      </c>
      <c r="S59" s="31">
        <v>412.327</v>
      </c>
    </row>
    <row r="60" spans="1:19" x14ac:dyDescent="0.25">
      <c r="A60" s="20">
        <v>45662</v>
      </c>
      <c r="B60" s="15" t="s">
        <v>120</v>
      </c>
      <c r="C60" s="15">
        <v>33206</v>
      </c>
      <c r="D60" s="15" t="s">
        <v>17</v>
      </c>
      <c r="E60" s="15">
        <v>10</v>
      </c>
      <c r="F60" s="27">
        <v>47.35</v>
      </c>
      <c r="G60" s="15" t="s">
        <v>36</v>
      </c>
      <c r="H60" s="35">
        <v>0.17</v>
      </c>
      <c r="I60" s="15" t="s">
        <v>29</v>
      </c>
      <c r="J60" s="27">
        <v>18.95</v>
      </c>
      <c r="K60" s="15" t="s">
        <v>50</v>
      </c>
      <c r="L60" s="15" t="s">
        <v>21</v>
      </c>
      <c r="M60" s="15" t="s">
        <v>22</v>
      </c>
      <c r="N60" s="15" t="s">
        <v>32</v>
      </c>
      <c r="O60" s="15" t="s">
        <v>33</v>
      </c>
      <c r="P60" s="15" t="s">
        <v>25</v>
      </c>
      <c r="Q60" s="27">
        <v>473.5</v>
      </c>
      <c r="R60" s="27">
        <v>80.495000000000005</v>
      </c>
      <c r="S60" s="31">
        <v>393.005</v>
      </c>
    </row>
    <row r="61" spans="1:19" x14ac:dyDescent="0.25">
      <c r="A61" s="20">
        <v>45662</v>
      </c>
      <c r="B61" s="15" t="s">
        <v>121</v>
      </c>
      <c r="C61" s="15">
        <v>90636</v>
      </c>
      <c r="D61" s="15" t="s">
        <v>89</v>
      </c>
      <c r="E61" s="15">
        <v>9</v>
      </c>
      <c r="F61" s="27">
        <v>8.2899999999999991</v>
      </c>
      <c r="G61" s="15" t="s">
        <v>76</v>
      </c>
      <c r="H61" s="35">
        <v>0.08</v>
      </c>
      <c r="I61" s="15" t="s">
        <v>734</v>
      </c>
      <c r="J61" s="27">
        <v>12.66</v>
      </c>
      <c r="K61" s="15" t="s">
        <v>30</v>
      </c>
      <c r="L61" s="15" t="s">
        <v>31</v>
      </c>
      <c r="M61" s="15" t="s">
        <v>22</v>
      </c>
      <c r="N61" s="15" t="s">
        <v>38</v>
      </c>
      <c r="O61" s="15" t="s">
        <v>81</v>
      </c>
      <c r="P61" s="15" t="s">
        <v>25</v>
      </c>
      <c r="Q61" s="27">
        <v>74.609999999999985</v>
      </c>
      <c r="R61" s="27">
        <v>5.968799999999999</v>
      </c>
      <c r="S61" s="31">
        <v>68.641199999999984</v>
      </c>
    </row>
    <row r="62" spans="1:19" x14ac:dyDescent="0.25">
      <c r="A62" s="20">
        <v>45662</v>
      </c>
      <c r="B62" s="15" t="s">
        <v>122</v>
      </c>
      <c r="C62" s="15">
        <v>72201</v>
      </c>
      <c r="D62" s="15" t="s">
        <v>66</v>
      </c>
      <c r="E62" s="15">
        <v>1</v>
      </c>
      <c r="F62" s="27">
        <v>71.87</v>
      </c>
      <c r="G62" s="15" t="s">
        <v>43</v>
      </c>
      <c r="H62" s="35">
        <v>0.08</v>
      </c>
      <c r="I62" s="15" t="s">
        <v>734</v>
      </c>
      <c r="J62" s="27">
        <v>12.73</v>
      </c>
      <c r="K62" s="15" t="s">
        <v>20</v>
      </c>
      <c r="L62" s="15" t="s">
        <v>31</v>
      </c>
      <c r="M62" s="15" t="s">
        <v>111</v>
      </c>
      <c r="N62" s="15" t="s">
        <v>38</v>
      </c>
      <c r="O62" s="15" t="s">
        <v>81</v>
      </c>
      <c r="P62" s="15" t="s">
        <v>25</v>
      </c>
      <c r="Q62" s="27">
        <v>71.87</v>
      </c>
      <c r="R62" s="27">
        <v>5.7496</v>
      </c>
      <c r="S62" s="31">
        <v>66.120400000000004</v>
      </c>
    </row>
    <row r="63" spans="1:19" x14ac:dyDescent="0.25">
      <c r="A63" s="20">
        <v>45662</v>
      </c>
      <c r="B63" s="15" t="s">
        <v>123</v>
      </c>
      <c r="C63" s="15">
        <v>46223</v>
      </c>
      <c r="D63" s="15" t="s">
        <v>27</v>
      </c>
      <c r="E63" s="15">
        <v>33</v>
      </c>
      <c r="F63" s="27">
        <v>70.89</v>
      </c>
      <c r="G63" s="15" t="s">
        <v>58</v>
      </c>
      <c r="H63" s="35">
        <v>0.09</v>
      </c>
      <c r="I63" s="15" t="s">
        <v>19</v>
      </c>
      <c r="J63" s="27">
        <v>18.09</v>
      </c>
      <c r="K63" s="15" t="s">
        <v>37</v>
      </c>
      <c r="L63" s="15" t="s">
        <v>21</v>
      </c>
      <c r="M63" s="15" t="s">
        <v>22</v>
      </c>
      <c r="N63" s="15" t="s">
        <v>38</v>
      </c>
      <c r="O63" s="15" t="s">
        <v>59</v>
      </c>
      <c r="P63" s="15" t="s">
        <v>25</v>
      </c>
      <c r="Q63" s="27">
        <v>2339.37</v>
      </c>
      <c r="R63" s="27">
        <v>210.54329999999999</v>
      </c>
      <c r="S63" s="31">
        <v>2128.8267000000001</v>
      </c>
    </row>
    <row r="64" spans="1:19" x14ac:dyDescent="0.25">
      <c r="A64" s="20">
        <v>45662</v>
      </c>
      <c r="B64" s="15" t="s">
        <v>124</v>
      </c>
      <c r="C64" s="15">
        <v>19484</v>
      </c>
      <c r="D64" s="15" t="s">
        <v>57</v>
      </c>
      <c r="E64" s="15">
        <v>16</v>
      </c>
      <c r="F64" s="27">
        <v>78.33</v>
      </c>
      <c r="G64" s="15" t="s">
        <v>58</v>
      </c>
      <c r="H64" s="35">
        <v>0.2</v>
      </c>
      <c r="I64" s="15" t="s">
        <v>734</v>
      </c>
      <c r="J64" s="27">
        <v>10.8</v>
      </c>
      <c r="K64" s="15" t="s">
        <v>37</v>
      </c>
      <c r="L64" s="15" t="s">
        <v>21</v>
      </c>
      <c r="M64" s="15" t="s">
        <v>22</v>
      </c>
      <c r="N64" s="15" t="s">
        <v>53</v>
      </c>
      <c r="O64" s="15" t="s">
        <v>59</v>
      </c>
      <c r="P64" s="15" t="s">
        <v>25</v>
      </c>
      <c r="Q64" s="27">
        <v>1253.28</v>
      </c>
      <c r="R64" s="27">
        <v>250.65600000000001</v>
      </c>
      <c r="S64" s="31">
        <v>1002.624</v>
      </c>
    </row>
    <row r="65" spans="1:19" x14ac:dyDescent="0.25">
      <c r="A65" s="20">
        <v>45662</v>
      </c>
      <c r="B65" s="15" t="s">
        <v>74</v>
      </c>
      <c r="C65" s="15">
        <v>80718</v>
      </c>
      <c r="D65" s="15" t="s">
        <v>68</v>
      </c>
      <c r="E65" s="15">
        <v>2</v>
      </c>
      <c r="F65" s="27">
        <v>38.07</v>
      </c>
      <c r="G65" s="15" t="s">
        <v>55</v>
      </c>
      <c r="H65" s="35">
        <v>0.34</v>
      </c>
      <c r="I65" s="15" t="s">
        <v>29</v>
      </c>
      <c r="J65" s="27">
        <v>10.15</v>
      </c>
      <c r="K65" s="15" t="s">
        <v>44</v>
      </c>
      <c r="L65" s="15" t="s">
        <v>31</v>
      </c>
      <c r="M65" s="15" t="s">
        <v>22</v>
      </c>
      <c r="N65" s="15" t="s">
        <v>23</v>
      </c>
      <c r="O65" s="15" t="s">
        <v>24</v>
      </c>
      <c r="P65" s="15" t="s">
        <v>25</v>
      </c>
      <c r="Q65" s="27">
        <v>76.14</v>
      </c>
      <c r="R65" s="27">
        <v>25.887600000000003</v>
      </c>
      <c r="S65" s="31">
        <v>50.252399999999994</v>
      </c>
    </row>
    <row r="66" spans="1:19" x14ac:dyDescent="0.25">
      <c r="A66" s="20">
        <v>45662</v>
      </c>
      <c r="B66" s="15" t="s">
        <v>125</v>
      </c>
      <c r="C66" s="15">
        <v>15751</v>
      </c>
      <c r="D66" s="15" t="s">
        <v>89</v>
      </c>
      <c r="E66" s="15">
        <v>39</v>
      </c>
      <c r="F66" s="27">
        <v>71.94</v>
      </c>
      <c r="G66" s="15" t="s">
        <v>58</v>
      </c>
      <c r="H66" s="35">
        <v>0.02</v>
      </c>
      <c r="I66" s="15" t="s">
        <v>29</v>
      </c>
      <c r="J66" s="27">
        <v>23</v>
      </c>
      <c r="K66" s="15" t="s">
        <v>44</v>
      </c>
      <c r="L66" s="15" t="s">
        <v>31</v>
      </c>
      <c r="M66" s="15" t="s">
        <v>22</v>
      </c>
      <c r="N66" s="15" t="s">
        <v>53</v>
      </c>
      <c r="O66" s="15" t="s">
        <v>81</v>
      </c>
      <c r="P66" s="15" t="s">
        <v>34</v>
      </c>
      <c r="Q66" s="27">
        <v>2805.66</v>
      </c>
      <c r="R66" s="27">
        <v>56.113199999999999</v>
      </c>
      <c r="S66" s="31">
        <v>2749.5468000000001</v>
      </c>
    </row>
    <row r="67" spans="1:19" x14ac:dyDescent="0.25">
      <c r="A67" s="20">
        <v>45662</v>
      </c>
      <c r="B67" s="15" t="s">
        <v>126</v>
      </c>
      <c r="C67" s="15">
        <v>14246</v>
      </c>
      <c r="D67" s="15" t="s">
        <v>70</v>
      </c>
      <c r="E67" s="15">
        <v>47</v>
      </c>
      <c r="F67" s="27">
        <v>82.94</v>
      </c>
      <c r="G67" s="15" t="s">
        <v>18</v>
      </c>
      <c r="H67" s="35">
        <v>0.39</v>
      </c>
      <c r="I67" s="15" t="s">
        <v>734</v>
      </c>
      <c r="J67" s="27">
        <v>7.53</v>
      </c>
      <c r="K67" s="15" t="s">
        <v>30</v>
      </c>
      <c r="L67" s="15" t="s">
        <v>21</v>
      </c>
      <c r="M67" s="15" t="s">
        <v>22</v>
      </c>
      <c r="N67" s="15" t="s">
        <v>23</v>
      </c>
      <c r="O67" s="15" t="s">
        <v>81</v>
      </c>
      <c r="P67" s="15" t="s">
        <v>34</v>
      </c>
      <c r="Q67" s="27">
        <v>3898.18</v>
      </c>
      <c r="R67" s="27">
        <v>1520.2901999999999</v>
      </c>
      <c r="S67" s="31">
        <v>2377.8897999999999</v>
      </c>
    </row>
    <row r="68" spans="1:19" x14ac:dyDescent="0.25">
      <c r="A68" s="20">
        <v>45663</v>
      </c>
      <c r="B68" s="15" t="s">
        <v>127</v>
      </c>
      <c r="C68" s="15">
        <v>99047</v>
      </c>
      <c r="D68" s="15" t="s">
        <v>17</v>
      </c>
      <c r="E68" s="15">
        <v>26</v>
      </c>
      <c r="F68" s="27">
        <v>37.479999999999997</v>
      </c>
      <c r="G68" s="15" t="s">
        <v>36</v>
      </c>
      <c r="H68" s="35">
        <v>0.16</v>
      </c>
      <c r="I68" s="15" t="s">
        <v>734</v>
      </c>
      <c r="J68" s="27">
        <v>22.54</v>
      </c>
      <c r="K68" s="15" t="s">
        <v>20</v>
      </c>
      <c r="L68" s="15" t="s">
        <v>31</v>
      </c>
      <c r="M68" s="15" t="s">
        <v>22</v>
      </c>
      <c r="N68" s="15" t="s">
        <v>53</v>
      </c>
      <c r="O68" s="15" t="s">
        <v>24</v>
      </c>
      <c r="P68" s="15" t="s">
        <v>25</v>
      </c>
      <c r="Q68" s="27">
        <v>974.4799999999999</v>
      </c>
      <c r="R68" s="27">
        <v>155.91679999999999</v>
      </c>
      <c r="S68" s="31">
        <v>818.56319999999994</v>
      </c>
    </row>
    <row r="69" spans="1:19" x14ac:dyDescent="0.25">
      <c r="A69" s="20">
        <v>45663</v>
      </c>
      <c r="B69" s="15" t="s">
        <v>128</v>
      </c>
      <c r="C69" s="15">
        <v>81766</v>
      </c>
      <c r="D69" s="15" t="s">
        <v>27</v>
      </c>
      <c r="E69" s="15">
        <v>18</v>
      </c>
      <c r="F69" s="27">
        <v>88.56</v>
      </c>
      <c r="G69" s="15" t="s">
        <v>47</v>
      </c>
      <c r="H69" s="35">
        <v>0.08</v>
      </c>
      <c r="I69" s="15" t="s">
        <v>29</v>
      </c>
      <c r="J69" s="27">
        <v>6.1</v>
      </c>
      <c r="K69" s="15" t="s">
        <v>50</v>
      </c>
      <c r="L69" s="15" t="s">
        <v>21</v>
      </c>
      <c r="M69" s="15" t="s">
        <v>22</v>
      </c>
      <c r="N69" s="15" t="s">
        <v>23</v>
      </c>
      <c r="O69" s="15" t="s">
        <v>59</v>
      </c>
      <c r="P69" s="15" t="s">
        <v>40</v>
      </c>
      <c r="Q69" s="27">
        <v>1594.08</v>
      </c>
      <c r="R69" s="27">
        <v>127.5264</v>
      </c>
      <c r="S69" s="31">
        <v>1466.5536</v>
      </c>
    </row>
    <row r="70" spans="1:19" x14ac:dyDescent="0.25">
      <c r="A70" s="20">
        <v>45663</v>
      </c>
      <c r="B70" s="15" t="s">
        <v>129</v>
      </c>
      <c r="C70" s="15">
        <v>66550</v>
      </c>
      <c r="D70" s="15" t="s">
        <v>89</v>
      </c>
      <c r="E70" s="15">
        <v>31</v>
      </c>
      <c r="F70" s="27">
        <v>74.2</v>
      </c>
      <c r="G70" s="15" t="s">
        <v>84</v>
      </c>
      <c r="H70" s="35">
        <v>0.14000000000000001</v>
      </c>
      <c r="I70" s="15" t="s">
        <v>29</v>
      </c>
      <c r="J70" s="27">
        <v>7.89</v>
      </c>
      <c r="K70" s="15" t="s">
        <v>44</v>
      </c>
      <c r="L70" s="15" t="s">
        <v>21</v>
      </c>
      <c r="M70" s="15" t="s">
        <v>735</v>
      </c>
      <c r="N70" s="15" t="s">
        <v>53</v>
      </c>
      <c r="O70" s="15" t="s">
        <v>33</v>
      </c>
      <c r="P70" s="15" t="s">
        <v>34</v>
      </c>
      <c r="Q70" s="27">
        <v>2300.2000000000003</v>
      </c>
      <c r="R70" s="27">
        <v>322.02800000000008</v>
      </c>
      <c r="S70" s="31">
        <v>1978.1720000000003</v>
      </c>
    </row>
    <row r="71" spans="1:19" x14ac:dyDescent="0.25">
      <c r="A71" s="20">
        <v>45663</v>
      </c>
      <c r="B71" s="15" t="s">
        <v>130</v>
      </c>
      <c r="C71" s="15">
        <v>88028</v>
      </c>
      <c r="D71" s="15" t="s">
        <v>66</v>
      </c>
      <c r="E71" s="15">
        <v>32</v>
      </c>
      <c r="F71" s="27">
        <v>39.68</v>
      </c>
      <c r="G71" s="15" t="s">
        <v>84</v>
      </c>
      <c r="H71" s="35">
        <v>0.38</v>
      </c>
      <c r="I71" s="15" t="s">
        <v>734</v>
      </c>
      <c r="J71" s="27">
        <v>27.11</v>
      </c>
      <c r="K71" s="15" t="s">
        <v>30</v>
      </c>
      <c r="L71" s="15" t="s">
        <v>21</v>
      </c>
      <c r="M71" s="15" t="s">
        <v>22</v>
      </c>
      <c r="N71" s="15" t="s">
        <v>38</v>
      </c>
      <c r="O71" s="15" t="s">
        <v>33</v>
      </c>
      <c r="P71" s="15" t="s">
        <v>34</v>
      </c>
      <c r="Q71" s="27">
        <v>1269.76</v>
      </c>
      <c r="R71" s="27">
        <v>482.50880000000001</v>
      </c>
      <c r="S71" s="31">
        <v>787.25119999999993</v>
      </c>
    </row>
    <row r="72" spans="1:19" x14ac:dyDescent="0.25">
      <c r="A72" s="20">
        <v>45663</v>
      </c>
      <c r="B72" s="15" t="s">
        <v>131</v>
      </c>
      <c r="C72" s="15">
        <v>65380</v>
      </c>
      <c r="D72" s="15" t="s">
        <v>46</v>
      </c>
      <c r="E72" s="15">
        <v>23</v>
      </c>
      <c r="F72" s="27">
        <v>53.65</v>
      </c>
      <c r="G72" s="15" t="s">
        <v>84</v>
      </c>
      <c r="H72" s="35">
        <v>0.49</v>
      </c>
      <c r="I72" s="15" t="s">
        <v>19</v>
      </c>
      <c r="J72" s="27">
        <v>27.75</v>
      </c>
      <c r="K72" s="15" t="s">
        <v>20</v>
      </c>
      <c r="L72" s="15" t="s">
        <v>31</v>
      </c>
      <c r="M72" s="15" t="s">
        <v>22</v>
      </c>
      <c r="N72" s="15" t="s">
        <v>32</v>
      </c>
      <c r="O72" s="15" t="s">
        <v>59</v>
      </c>
      <c r="P72" s="15" t="s">
        <v>40</v>
      </c>
      <c r="Q72" s="27">
        <v>1233.95</v>
      </c>
      <c r="R72" s="27">
        <v>604.63549999999998</v>
      </c>
      <c r="S72" s="31">
        <v>629.31450000000007</v>
      </c>
    </row>
    <row r="73" spans="1:19" x14ac:dyDescent="0.25">
      <c r="A73" s="20">
        <v>45663</v>
      </c>
      <c r="B73" s="15" t="s">
        <v>132</v>
      </c>
      <c r="C73" s="15">
        <v>93932</v>
      </c>
      <c r="D73" s="15" t="s">
        <v>70</v>
      </c>
      <c r="E73" s="15">
        <v>15</v>
      </c>
      <c r="F73" s="27">
        <v>53</v>
      </c>
      <c r="G73" s="15" t="s">
        <v>18</v>
      </c>
      <c r="H73" s="35">
        <v>0.36</v>
      </c>
      <c r="I73" s="15" t="s">
        <v>734</v>
      </c>
      <c r="J73" s="27">
        <v>8.69</v>
      </c>
      <c r="K73" s="15" t="s">
        <v>50</v>
      </c>
      <c r="L73" s="15" t="s">
        <v>31</v>
      </c>
      <c r="M73" s="15" t="s">
        <v>22</v>
      </c>
      <c r="N73" s="15" t="s">
        <v>38</v>
      </c>
      <c r="O73" s="15" t="s">
        <v>81</v>
      </c>
      <c r="P73" s="15" t="s">
        <v>25</v>
      </c>
      <c r="Q73" s="27">
        <v>795</v>
      </c>
      <c r="R73" s="27">
        <v>286.2</v>
      </c>
      <c r="S73" s="31">
        <v>508.8</v>
      </c>
    </row>
    <row r="74" spans="1:19" x14ac:dyDescent="0.25">
      <c r="A74" s="20">
        <v>45663</v>
      </c>
      <c r="B74" s="15" t="s">
        <v>97</v>
      </c>
      <c r="C74" s="15">
        <v>99241</v>
      </c>
      <c r="D74" s="15" t="s">
        <v>27</v>
      </c>
      <c r="E74" s="15">
        <v>24</v>
      </c>
      <c r="F74" s="27">
        <v>1.34</v>
      </c>
      <c r="G74" s="15" t="s">
        <v>43</v>
      </c>
      <c r="H74" s="35">
        <v>0.13</v>
      </c>
      <c r="I74" s="15" t="s">
        <v>19</v>
      </c>
      <c r="J74" s="27">
        <v>29.88</v>
      </c>
      <c r="K74" s="15" t="s">
        <v>20</v>
      </c>
      <c r="L74" s="15" t="s">
        <v>21</v>
      </c>
      <c r="M74" s="15" t="s">
        <v>22</v>
      </c>
      <c r="N74" s="15" t="s">
        <v>32</v>
      </c>
      <c r="O74" s="15" t="s">
        <v>24</v>
      </c>
      <c r="P74" s="15" t="s">
        <v>34</v>
      </c>
      <c r="Q74" s="27">
        <v>32.160000000000004</v>
      </c>
      <c r="R74" s="27">
        <v>4.1808000000000005</v>
      </c>
      <c r="S74" s="31">
        <v>27.979200000000002</v>
      </c>
    </row>
    <row r="75" spans="1:19" x14ac:dyDescent="0.25">
      <c r="A75" s="20">
        <v>45663</v>
      </c>
      <c r="B75" s="15" t="s">
        <v>133</v>
      </c>
      <c r="C75" s="15">
        <v>70895</v>
      </c>
      <c r="D75" s="15" t="s">
        <v>27</v>
      </c>
      <c r="E75" s="15">
        <v>21</v>
      </c>
      <c r="F75" s="27">
        <v>90.37</v>
      </c>
      <c r="G75" s="15" t="s">
        <v>84</v>
      </c>
      <c r="H75" s="35">
        <v>0.08</v>
      </c>
      <c r="I75" s="15" t="s">
        <v>734</v>
      </c>
      <c r="J75" s="27">
        <v>18.82</v>
      </c>
      <c r="K75" s="15" t="s">
        <v>50</v>
      </c>
      <c r="L75" s="15" t="s">
        <v>31</v>
      </c>
      <c r="M75" s="15" t="s">
        <v>22</v>
      </c>
      <c r="N75" s="15" t="s">
        <v>38</v>
      </c>
      <c r="O75" s="15" t="s">
        <v>59</v>
      </c>
      <c r="P75" s="15" t="s">
        <v>40</v>
      </c>
      <c r="Q75" s="27">
        <v>1897.77</v>
      </c>
      <c r="R75" s="27">
        <v>151.82159999999999</v>
      </c>
      <c r="S75" s="31">
        <v>1745.9484</v>
      </c>
    </row>
    <row r="76" spans="1:19" x14ac:dyDescent="0.25">
      <c r="A76" s="20">
        <v>45663</v>
      </c>
      <c r="B76" s="15" t="s">
        <v>134</v>
      </c>
      <c r="C76" s="15">
        <v>28924</v>
      </c>
      <c r="D76" s="15" t="s">
        <v>27</v>
      </c>
      <c r="E76" s="15">
        <v>1</v>
      </c>
      <c r="F76" s="27">
        <v>27.12</v>
      </c>
      <c r="G76" s="15" t="s">
        <v>55</v>
      </c>
      <c r="H76" s="35">
        <v>0.01</v>
      </c>
      <c r="I76" s="15" t="s">
        <v>29</v>
      </c>
      <c r="J76" s="27">
        <v>13.58</v>
      </c>
      <c r="K76" s="15" t="s">
        <v>37</v>
      </c>
      <c r="L76" s="15" t="s">
        <v>31</v>
      </c>
      <c r="M76" s="15" t="s">
        <v>22</v>
      </c>
      <c r="N76" s="15" t="s">
        <v>53</v>
      </c>
      <c r="O76" s="15" t="s">
        <v>39</v>
      </c>
      <c r="P76" s="15" t="s">
        <v>25</v>
      </c>
      <c r="Q76" s="27">
        <v>27.12</v>
      </c>
      <c r="R76" s="27">
        <v>0.2712</v>
      </c>
      <c r="S76" s="31">
        <v>26.848800000000001</v>
      </c>
    </row>
    <row r="77" spans="1:19" x14ac:dyDescent="0.25">
      <c r="A77" s="20">
        <v>45663</v>
      </c>
      <c r="B77" s="15" t="s">
        <v>135</v>
      </c>
      <c r="C77" s="15">
        <v>62316</v>
      </c>
      <c r="D77" s="15" t="s">
        <v>75</v>
      </c>
      <c r="E77" s="15">
        <v>21</v>
      </c>
      <c r="F77" s="27">
        <v>77.22</v>
      </c>
      <c r="G77" s="15" t="s">
        <v>43</v>
      </c>
      <c r="H77" s="35">
        <v>0.03</v>
      </c>
      <c r="I77" s="15" t="s">
        <v>29</v>
      </c>
      <c r="J77" s="27">
        <v>13.56</v>
      </c>
      <c r="K77" s="15" t="s">
        <v>37</v>
      </c>
      <c r="L77" s="15" t="s">
        <v>31</v>
      </c>
      <c r="M77" s="15" t="s">
        <v>22</v>
      </c>
      <c r="N77" s="15" t="s">
        <v>32</v>
      </c>
      <c r="O77" s="15" t="s">
        <v>33</v>
      </c>
      <c r="P77" s="15" t="s">
        <v>40</v>
      </c>
      <c r="Q77" s="27">
        <v>1621.62</v>
      </c>
      <c r="R77" s="27">
        <v>48.648599999999995</v>
      </c>
      <c r="S77" s="31">
        <v>1572.9713999999999</v>
      </c>
    </row>
    <row r="78" spans="1:19" x14ac:dyDescent="0.25">
      <c r="A78" s="20">
        <v>45663</v>
      </c>
      <c r="B78" s="15" t="s">
        <v>136</v>
      </c>
      <c r="C78" s="15">
        <v>72044</v>
      </c>
      <c r="D78" s="15" t="s">
        <v>17</v>
      </c>
      <c r="E78" s="15">
        <v>14</v>
      </c>
      <c r="F78" s="27">
        <v>15.36</v>
      </c>
      <c r="G78" s="15" t="s">
        <v>55</v>
      </c>
      <c r="H78" s="35">
        <v>0.26</v>
      </c>
      <c r="I78" s="15" t="s">
        <v>19</v>
      </c>
      <c r="J78" s="27">
        <v>7.86</v>
      </c>
      <c r="K78" s="15" t="s">
        <v>44</v>
      </c>
      <c r="L78" s="15" t="s">
        <v>31</v>
      </c>
      <c r="M78" s="15" t="s">
        <v>22</v>
      </c>
      <c r="N78" s="15" t="s">
        <v>53</v>
      </c>
      <c r="O78" s="15" t="s">
        <v>24</v>
      </c>
      <c r="P78" s="15" t="s">
        <v>25</v>
      </c>
      <c r="Q78" s="27">
        <v>215.04</v>
      </c>
      <c r="R78" s="27">
        <v>55.910400000000003</v>
      </c>
      <c r="S78" s="31">
        <v>159.12959999999998</v>
      </c>
    </row>
    <row r="79" spans="1:19" x14ac:dyDescent="0.25">
      <c r="A79" s="20">
        <v>45663</v>
      </c>
      <c r="B79" s="15" t="s">
        <v>137</v>
      </c>
      <c r="C79" s="15">
        <v>83705</v>
      </c>
      <c r="D79" s="15" t="s">
        <v>89</v>
      </c>
      <c r="E79" s="15">
        <v>18</v>
      </c>
      <c r="F79" s="27">
        <v>81.540000000000006</v>
      </c>
      <c r="G79" s="15" t="s">
        <v>52</v>
      </c>
      <c r="H79" s="35">
        <v>0.42</v>
      </c>
      <c r="I79" s="15" t="s">
        <v>29</v>
      </c>
      <c r="J79" s="27">
        <v>19.64</v>
      </c>
      <c r="K79" s="15" t="s">
        <v>30</v>
      </c>
      <c r="L79" s="15" t="s">
        <v>21</v>
      </c>
      <c r="M79" s="15" t="s">
        <v>22</v>
      </c>
      <c r="N79" s="15" t="s">
        <v>32</v>
      </c>
      <c r="O79" s="15" t="s">
        <v>24</v>
      </c>
      <c r="P79" s="15" t="s">
        <v>40</v>
      </c>
      <c r="Q79" s="27">
        <v>1467.72</v>
      </c>
      <c r="R79" s="27">
        <v>616.44240000000002</v>
      </c>
      <c r="S79" s="31">
        <v>851.27760000000001</v>
      </c>
    </row>
    <row r="80" spans="1:19" x14ac:dyDescent="0.25">
      <c r="A80" s="20">
        <v>45663</v>
      </c>
      <c r="B80" s="15" t="s">
        <v>138</v>
      </c>
      <c r="C80" s="15">
        <v>65949</v>
      </c>
      <c r="D80" s="15" t="s">
        <v>66</v>
      </c>
      <c r="E80" s="15">
        <v>29</v>
      </c>
      <c r="F80" s="27">
        <v>63.02</v>
      </c>
      <c r="G80" s="15" t="s">
        <v>84</v>
      </c>
      <c r="H80" s="35">
        <v>0.08</v>
      </c>
      <c r="I80" s="15" t="s">
        <v>19</v>
      </c>
      <c r="J80" s="27">
        <v>16.03</v>
      </c>
      <c r="K80" s="15" t="s">
        <v>37</v>
      </c>
      <c r="L80" s="15" t="s">
        <v>31</v>
      </c>
      <c r="M80" s="15" t="s">
        <v>22</v>
      </c>
      <c r="N80" s="15" t="s">
        <v>32</v>
      </c>
      <c r="O80" s="15" t="s">
        <v>33</v>
      </c>
      <c r="P80" s="15" t="s">
        <v>25</v>
      </c>
      <c r="Q80" s="27">
        <v>1827.5800000000002</v>
      </c>
      <c r="R80" s="27">
        <v>146.2064</v>
      </c>
      <c r="S80" s="31">
        <v>1681.3736000000001</v>
      </c>
    </row>
    <row r="81" spans="1:19" x14ac:dyDescent="0.25">
      <c r="A81" s="20">
        <v>45663</v>
      </c>
      <c r="B81" s="15" t="s">
        <v>114</v>
      </c>
      <c r="C81" s="15">
        <v>67424</v>
      </c>
      <c r="D81" s="15" t="s">
        <v>66</v>
      </c>
      <c r="E81" s="15">
        <v>35</v>
      </c>
      <c r="F81" s="27">
        <v>9.94</v>
      </c>
      <c r="G81" s="15" t="s">
        <v>55</v>
      </c>
      <c r="H81" s="35">
        <v>0.09</v>
      </c>
      <c r="I81" s="15" t="s">
        <v>29</v>
      </c>
      <c r="J81" s="27">
        <v>26.08</v>
      </c>
      <c r="K81" s="15" t="s">
        <v>30</v>
      </c>
      <c r="L81" s="15" t="s">
        <v>21</v>
      </c>
      <c r="M81" s="15" t="s">
        <v>22</v>
      </c>
      <c r="N81" s="15" t="s">
        <v>53</v>
      </c>
      <c r="O81" s="15" t="s">
        <v>81</v>
      </c>
      <c r="P81" s="15" t="s">
        <v>40</v>
      </c>
      <c r="Q81" s="27">
        <v>347.9</v>
      </c>
      <c r="R81" s="27">
        <v>31.310999999999996</v>
      </c>
      <c r="S81" s="31">
        <v>316.589</v>
      </c>
    </row>
    <row r="82" spans="1:19" x14ac:dyDescent="0.25">
      <c r="A82" s="20">
        <v>45663</v>
      </c>
      <c r="B82" s="15" t="s">
        <v>139</v>
      </c>
      <c r="C82" s="15">
        <v>23010</v>
      </c>
      <c r="D82" s="15" t="s">
        <v>42</v>
      </c>
      <c r="E82" s="15">
        <v>25</v>
      </c>
      <c r="F82" s="27">
        <v>22.54</v>
      </c>
      <c r="G82" s="15" t="s">
        <v>99</v>
      </c>
      <c r="H82" s="35">
        <v>0.5</v>
      </c>
      <c r="I82" s="15" t="s">
        <v>734</v>
      </c>
      <c r="J82" s="27">
        <v>23.82</v>
      </c>
      <c r="K82" s="15" t="s">
        <v>37</v>
      </c>
      <c r="L82" s="15" t="s">
        <v>31</v>
      </c>
      <c r="M82" s="15" t="s">
        <v>22</v>
      </c>
      <c r="N82" s="15" t="s">
        <v>38</v>
      </c>
      <c r="O82" s="15" t="s">
        <v>81</v>
      </c>
      <c r="P82" s="15" t="s">
        <v>25</v>
      </c>
      <c r="Q82" s="27">
        <v>563.5</v>
      </c>
      <c r="R82" s="27">
        <v>281.75</v>
      </c>
      <c r="S82" s="31">
        <v>281.75</v>
      </c>
    </row>
    <row r="83" spans="1:19" x14ac:dyDescent="0.25">
      <c r="A83" s="20">
        <v>45663</v>
      </c>
      <c r="B83" s="15" t="s">
        <v>107</v>
      </c>
      <c r="C83" s="15">
        <v>89857</v>
      </c>
      <c r="D83" s="15" t="s">
        <v>89</v>
      </c>
      <c r="E83" s="15">
        <v>1</v>
      </c>
      <c r="F83" s="27">
        <v>73.650000000000006</v>
      </c>
      <c r="G83" s="15" t="s">
        <v>47</v>
      </c>
      <c r="H83" s="35">
        <v>0.02</v>
      </c>
      <c r="I83" s="15" t="s">
        <v>29</v>
      </c>
      <c r="J83" s="27">
        <v>5.0999999999999996</v>
      </c>
      <c r="K83" s="15" t="s">
        <v>20</v>
      </c>
      <c r="L83" s="15" t="s">
        <v>31</v>
      </c>
      <c r="M83" s="15" t="s">
        <v>22</v>
      </c>
      <c r="N83" s="15" t="s">
        <v>53</v>
      </c>
      <c r="O83" s="15" t="s">
        <v>59</v>
      </c>
      <c r="P83" s="15" t="s">
        <v>34</v>
      </c>
      <c r="Q83" s="27">
        <v>73.650000000000006</v>
      </c>
      <c r="R83" s="27">
        <v>1.4730000000000001</v>
      </c>
      <c r="S83" s="31">
        <v>72.177000000000007</v>
      </c>
    </row>
    <row r="84" spans="1:19" x14ac:dyDescent="0.25">
      <c r="A84" s="20">
        <v>45663</v>
      </c>
      <c r="B84" s="15" t="s">
        <v>140</v>
      </c>
      <c r="C84" s="15">
        <v>58016</v>
      </c>
      <c r="D84" s="15" t="s">
        <v>17</v>
      </c>
      <c r="E84" s="15">
        <v>26</v>
      </c>
      <c r="F84" s="27">
        <v>93.04</v>
      </c>
      <c r="G84" s="15" t="s">
        <v>72</v>
      </c>
      <c r="H84" s="35">
        <v>0.2</v>
      </c>
      <c r="I84" s="15" t="s">
        <v>734</v>
      </c>
      <c r="J84" s="27">
        <v>18.920000000000002</v>
      </c>
      <c r="K84" s="15" t="s">
        <v>44</v>
      </c>
      <c r="L84" s="15" t="s">
        <v>21</v>
      </c>
      <c r="M84" s="15" t="s">
        <v>22</v>
      </c>
      <c r="N84" s="15" t="s">
        <v>38</v>
      </c>
      <c r="O84" s="15" t="s">
        <v>39</v>
      </c>
      <c r="P84" s="15" t="s">
        <v>25</v>
      </c>
      <c r="Q84" s="27">
        <v>2419.04</v>
      </c>
      <c r="R84" s="27">
        <v>483.80799999999999</v>
      </c>
      <c r="S84" s="31">
        <v>1935.232</v>
      </c>
    </row>
    <row r="85" spans="1:19" x14ac:dyDescent="0.25">
      <c r="A85" s="20">
        <v>45663</v>
      </c>
      <c r="B85" s="15" t="s">
        <v>114</v>
      </c>
      <c r="C85" s="15">
        <v>45448</v>
      </c>
      <c r="D85" s="15" t="s">
        <v>70</v>
      </c>
      <c r="E85" s="15">
        <v>30</v>
      </c>
      <c r="F85" s="27">
        <v>9.68</v>
      </c>
      <c r="G85" s="15" t="s">
        <v>55</v>
      </c>
      <c r="H85" s="35">
        <v>0.41</v>
      </c>
      <c r="I85" s="15" t="s">
        <v>734</v>
      </c>
      <c r="J85" s="27">
        <v>15.4</v>
      </c>
      <c r="K85" s="15" t="s">
        <v>50</v>
      </c>
      <c r="L85" s="15" t="s">
        <v>21</v>
      </c>
      <c r="M85" s="15" t="s">
        <v>22</v>
      </c>
      <c r="N85" s="15" t="s">
        <v>32</v>
      </c>
      <c r="O85" s="15" t="s">
        <v>24</v>
      </c>
      <c r="P85" s="15" t="s">
        <v>25</v>
      </c>
      <c r="Q85" s="27">
        <v>290.39999999999998</v>
      </c>
      <c r="R85" s="27">
        <v>119.06399999999998</v>
      </c>
      <c r="S85" s="31">
        <v>171.33600000000001</v>
      </c>
    </row>
    <row r="86" spans="1:19" x14ac:dyDescent="0.25">
      <c r="A86" s="20">
        <v>45663</v>
      </c>
      <c r="B86" s="15" t="s">
        <v>141</v>
      </c>
      <c r="C86" s="15">
        <v>34587</v>
      </c>
      <c r="D86" s="15" t="s">
        <v>46</v>
      </c>
      <c r="E86" s="15">
        <v>7</v>
      </c>
      <c r="F86" s="27">
        <v>81.52</v>
      </c>
      <c r="G86" s="15" t="s">
        <v>84</v>
      </c>
      <c r="H86" s="35">
        <v>0.04</v>
      </c>
      <c r="I86" s="15" t="s">
        <v>29</v>
      </c>
      <c r="J86" s="27">
        <v>23.06</v>
      </c>
      <c r="K86" s="15" t="s">
        <v>44</v>
      </c>
      <c r="L86" s="15" t="s">
        <v>31</v>
      </c>
      <c r="M86" s="15" t="s">
        <v>22</v>
      </c>
      <c r="N86" s="15" t="s">
        <v>23</v>
      </c>
      <c r="O86" s="15" t="s">
        <v>24</v>
      </c>
      <c r="P86" s="15" t="s">
        <v>34</v>
      </c>
      <c r="Q86" s="27">
        <v>570.64</v>
      </c>
      <c r="R86" s="27">
        <v>22.825600000000001</v>
      </c>
      <c r="S86" s="31">
        <v>547.81439999999998</v>
      </c>
    </row>
    <row r="87" spans="1:19" x14ac:dyDescent="0.25">
      <c r="A87" s="20">
        <v>45663</v>
      </c>
      <c r="B87" s="15" t="s">
        <v>142</v>
      </c>
      <c r="C87" s="15">
        <v>19986</v>
      </c>
      <c r="D87" s="15" t="s">
        <v>46</v>
      </c>
      <c r="E87" s="15">
        <v>13</v>
      </c>
      <c r="F87" s="27">
        <v>85.65</v>
      </c>
      <c r="G87" s="15" t="s">
        <v>72</v>
      </c>
      <c r="H87" s="35">
        <v>0.24</v>
      </c>
      <c r="I87" s="15" t="s">
        <v>734</v>
      </c>
      <c r="J87" s="27">
        <v>20.34</v>
      </c>
      <c r="K87" s="15" t="s">
        <v>30</v>
      </c>
      <c r="L87" s="15" t="s">
        <v>31</v>
      </c>
      <c r="M87" s="15" t="s">
        <v>22</v>
      </c>
      <c r="N87" s="15" t="s">
        <v>23</v>
      </c>
      <c r="O87" s="15" t="s">
        <v>33</v>
      </c>
      <c r="P87" s="15" t="s">
        <v>40</v>
      </c>
      <c r="Q87" s="27">
        <v>1113.45</v>
      </c>
      <c r="R87" s="27">
        <v>267.22800000000001</v>
      </c>
      <c r="S87" s="31">
        <v>846.22199999999998</v>
      </c>
    </row>
    <row r="88" spans="1:19" x14ac:dyDescent="0.25">
      <c r="A88" s="20">
        <v>45663</v>
      </c>
      <c r="B88" s="15" t="s">
        <v>143</v>
      </c>
      <c r="C88" s="15">
        <v>94171</v>
      </c>
      <c r="D88" s="15" t="s">
        <v>75</v>
      </c>
      <c r="E88" s="15">
        <v>40</v>
      </c>
      <c r="F88" s="27">
        <v>53</v>
      </c>
      <c r="G88" s="15" t="s">
        <v>72</v>
      </c>
      <c r="H88" s="35">
        <v>0.37</v>
      </c>
      <c r="I88" s="15" t="s">
        <v>19</v>
      </c>
      <c r="J88" s="27">
        <v>26.65</v>
      </c>
      <c r="K88" s="15" t="s">
        <v>30</v>
      </c>
      <c r="L88" s="15" t="s">
        <v>31</v>
      </c>
      <c r="M88" s="15" t="s">
        <v>735</v>
      </c>
      <c r="N88" s="15" t="s">
        <v>53</v>
      </c>
      <c r="O88" s="15" t="s">
        <v>81</v>
      </c>
      <c r="P88" s="15" t="s">
        <v>25</v>
      </c>
      <c r="Q88" s="27">
        <v>2120</v>
      </c>
      <c r="R88" s="27">
        <v>784.4</v>
      </c>
      <c r="S88" s="31">
        <v>1335.6</v>
      </c>
    </row>
    <row r="89" spans="1:19" x14ac:dyDescent="0.25">
      <c r="A89" s="20">
        <v>45663</v>
      </c>
      <c r="B89" s="15" t="s">
        <v>144</v>
      </c>
      <c r="C89" s="15">
        <v>82934</v>
      </c>
      <c r="D89" s="15" t="s">
        <v>66</v>
      </c>
      <c r="E89" s="15">
        <v>18</v>
      </c>
      <c r="F89" s="27">
        <v>98.2</v>
      </c>
      <c r="G89" s="15" t="s">
        <v>47</v>
      </c>
      <c r="H89" s="35">
        <v>0.17</v>
      </c>
      <c r="I89" s="15" t="s">
        <v>734</v>
      </c>
      <c r="J89" s="27">
        <v>29.12</v>
      </c>
      <c r="K89" s="15" t="s">
        <v>20</v>
      </c>
      <c r="L89" s="15" t="s">
        <v>31</v>
      </c>
      <c r="M89" s="15" t="s">
        <v>22</v>
      </c>
      <c r="N89" s="15" t="s">
        <v>32</v>
      </c>
      <c r="O89" s="15" t="s">
        <v>39</v>
      </c>
      <c r="P89" s="15" t="s">
        <v>40</v>
      </c>
      <c r="Q89" s="27">
        <v>1767.6000000000001</v>
      </c>
      <c r="R89" s="27">
        <v>300.49200000000002</v>
      </c>
      <c r="S89" s="31">
        <v>1467.1080000000002</v>
      </c>
    </row>
    <row r="90" spans="1:19" x14ac:dyDescent="0.25">
      <c r="A90" s="20">
        <v>45664</v>
      </c>
      <c r="B90" s="15" t="s">
        <v>145</v>
      </c>
      <c r="C90" s="15">
        <v>27289</v>
      </c>
      <c r="D90" s="15" t="s">
        <v>46</v>
      </c>
      <c r="E90" s="15">
        <v>47</v>
      </c>
      <c r="F90" s="27">
        <v>79.33</v>
      </c>
      <c r="G90" s="15" t="s">
        <v>84</v>
      </c>
      <c r="H90" s="35">
        <v>0.23</v>
      </c>
      <c r="I90" s="15" t="s">
        <v>19</v>
      </c>
      <c r="J90" s="27">
        <v>12.5</v>
      </c>
      <c r="K90" s="15" t="s">
        <v>50</v>
      </c>
      <c r="L90" s="15" t="s">
        <v>21</v>
      </c>
      <c r="M90" s="15" t="s">
        <v>22</v>
      </c>
      <c r="N90" s="15" t="s">
        <v>38</v>
      </c>
      <c r="O90" s="15" t="s">
        <v>24</v>
      </c>
      <c r="P90" s="15" t="s">
        <v>40</v>
      </c>
      <c r="Q90" s="27">
        <v>3728.5099999999998</v>
      </c>
      <c r="R90" s="27">
        <v>857.55729999999994</v>
      </c>
      <c r="S90" s="31">
        <v>2870.9526999999998</v>
      </c>
    </row>
    <row r="91" spans="1:19" x14ac:dyDescent="0.25">
      <c r="A91" s="20">
        <v>45664</v>
      </c>
      <c r="B91" s="15" t="s">
        <v>146</v>
      </c>
      <c r="C91" s="15">
        <v>57608</v>
      </c>
      <c r="D91" s="15" t="s">
        <v>89</v>
      </c>
      <c r="E91" s="15">
        <v>43</v>
      </c>
      <c r="F91" s="27">
        <v>88.49</v>
      </c>
      <c r="G91" s="15" t="s">
        <v>58</v>
      </c>
      <c r="H91" s="35">
        <v>0.33</v>
      </c>
      <c r="I91" s="15" t="s">
        <v>29</v>
      </c>
      <c r="J91" s="27">
        <v>27.94</v>
      </c>
      <c r="K91" s="15" t="s">
        <v>20</v>
      </c>
      <c r="L91" s="15" t="s">
        <v>31</v>
      </c>
      <c r="M91" s="15" t="s">
        <v>22</v>
      </c>
      <c r="N91" s="15" t="s">
        <v>23</v>
      </c>
      <c r="O91" s="15" t="s">
        <v>39</v>
      </c>
      <c r="P91" s="15" t="s">
        <v>34</v>
      </c>
      <c r="Q91" s="27">
        <v>3805.0699999999997</v>
      </c>
      <c r="R91" s="27">
        <v>1255.6731</v>
      </c>
      <c r="S91" s="31">
        <v>2549.3968999999997</v>
      </c>
    </row>
    <row r="92" spans="1:19" x14ac:dyDescent="0.25">
      <c r="A92" s="20">
        <v>45664</v>
      </c>
      <c r="B92" s="15" t="s">
        <v>147</v>
      </c>
      <c r="C92" s="15">
        <v>64209</v>
      </c>
      <c r="D92" s="15" t="s">
        <v>70</v>
      </c>
      <c r="E92" s="15">
        <v>43</v>
      </c>
      <c r="F92" s="27">
        <v>48.72</v>
      </c>
      <c r="G92" s="15" t="s">
        <v>36</v>
      </c>
      <c r="H92" s="35">
        <v>0.05</v>
      </c>
      <c r="I92" s="15" t="s">
        <v>734</v>
      </c>
      <c r="J92" s="27">
        <v>12.54</v>
      </c>
      <c r="K92" s="15" t="s">
        <v>37</v>
      </c>
      <c r="L92" s="15" t="s">
        <v>21</v>
      </c>
      <c r="M92" s="15" t="s">
        <v>22</v>
      </c>
      <c r="N92" s="15" t="s">
        <v>23</v>
      </c>
      <c r="O92" s="15" t="s">
        <v>59</v>
      </c>
      <c r="P92" s="15" t="s">
        <v>34</v>
      </c>
      <c r="Q92" s="27">
        <v>2094.96</v>
      </c>
      <c r="R92" s="27">
        <v>104.748</v>
      </c>
      <c r="S92" s="31">
        <v>1990.212</v>
      </c>
    </row>
    <row r="93" spans="1:19" x14ac:dyDescent="0.25">
      <c r="A93" s="20">
        <v>45664</v>
      </c>
      <c r="B93" s="15" t="s">
        <v>148</v>
      </c>
      <c r="C93" s="15">
        <v>36008</v>
      </c>
      <c r="D93" s="15" t="s">
        <v>46</v>
      </c>
      <c r="E93" s="15">
        <v>43</v>
      </c>
      <c r="F93" s="27">
        <v>61.11</v>
      </c>
      <c r="G93" s="15" t="s">
        <v>28</v>
      </c>
      <c r="H93" s="35">
        <v>0.25</v>
      </c>
      <c r="I93" s="15" t="s">
        <v>19</v>
      </c>
      <c r="J93" s="27">
        <v>13.76</v>
      </c>
      <c r="K93" s="15" t="s">
        <v>37</v>
      </c>
      <c r="L93" s="15" t="s">
        <v>31</v>
      </c>
      <c r="M93" s="15" t="s">
        <v>22</v>
      </c>
      <c r="N93" s="15" t="s">
        <v>53</v>
      </c>
      <c r="O93" s="15" t="s">
        <v>81</v>
      </c>
      <c r="P93" s="15" t="s">
        <v>34</v>
      </c>
      <c r="Q93" s="27">
        <v>2627.73</v>
      </c>
      <c r="R93" s="27">
        <v>656.9325</v>
      </c>
      <c r="S93" s="31">
        <v>1970.7975000000001</v>
      </c>
    </row>
    <row r="94" spans="1:19" x14ac:dyDescent="0.25">
      <c r="A94" s="20">
        <v>45664</v>
      </c>
      <c r="B94" s="15" t="s">
        <v>149</v>
      </c>
      <c r="C94" s="15">
        <v>73531</v>
      </c>
      <c r="D94" s="15" t="s">
        <v>66</v>
      </c>
      <c r="E94" s="15">
        <v>10</v>
      </c>
      <c r="F94" s="27">
        <v>16.079999999999998</v>
      </c>
      <c r="G94" s="15" t="s">
        <v>76</v>
      </c>
      <c r="H94" s="35">
        <v>0.37</v>
      </c>
      <c r="I94" s="15" t="s">
        <v>19</v>
      </c>
      <c r="J94" s="27">
        <v>27.78</v>
      </c>
      <c r="K94" s="15" t="s">
        <v>44</v>
      </c>
      <c r="L94" s="15" t="s">
        <v>21</v>
      </c>
      <c r="M94" s="15" t="s">
        <v>22</v>
      </c>
      <c r="N94" s="15" t="s">
        <v>23</v>
      </c>
      <c r="O94" s="15" t="s">
        <v>59</v>
      </c>
      <c r="P94" s="15" t="s">
        <v>25</v>
      </c>
      <c r="Q94" s="27">
        <v>160.79999999999998</v>
      </c>
      <c r="R94" s="27">
        <v>59.495999999999995</v>
      </c>
      <c r="S94" s="31">
        <v>101.30399999999999</v>
      </c>
    </row>
    <row r="95" spans="1:19" x14ac:dyDescent="0.25">
      <c r="A95" s="20">
        <v>45664</v>
      </c>
      <c r="B95" s="15" t="s">
        <v>150</v>
      </c>
      <c r="C95" s="15">
        <v>95902</v>
      </c>
      <c r="D95" s="15" t="s">
        <v>57</v>
      </c>
      <c r="E95" s="15">
        <v>39</v>
      </c>
      <c r="F95" s="27">
        <v>28.42</v>
      </c>
      <c r="G95" s="15" t="s">
        <v>99</v>
      </c>
      <c r="H95" s="35">
        <v>0.28999999999999998</v>
      </c>
      <c r="I95" s="15" t="s">
        <v>29</v>
      </c>
      <c r="J95" s="27">
        <v>13.04</v>
      </c>
      <c r="K95" s="15" t="s">
        <v>20</v>
      </c>
      <c r="L95" s="15" t="s">
        <v>31</v>
      </c>
      <c r="M95" s="15" t="s">
        <v>22</v>
      </c>
      <c r="N95" s="15" t="s">
        <v>23</v>
      </c>
      <c r="O95" s="15" t="s">
        <v>81</v>
      </c>
      <c r="P95" s="15" t="s">
        <v>34</v>
      </c>
      <c r="Q95" s="27">
        <v>1108.3800000000001</v>
      </c>
      <c r="R95" s="27">
        <v>321.43020000000001</v>
      </c>
      <c r="S95" s="31">
        <v>786.9498000000001</v>
      </c>
    </row>
    <row r="96" spans="1:19" x14ac:dyDescent="0.25">
      <c r="A96" s="20">
        <v>45664</v>
      </c>
      <c r="B96" s="15" t="s">
        <v>151</v>
      </c>
      <c r="C96" s="15">
        <v>87182</v>
      </c>
      <c r="D96" s="15" t="s">
        <v>66</v>
      </c>
      <c r="E96" s="15">
        <v>35</v>
      </c>
      <c r="F96" s="27">
        <v>66.760000000000005</v>
      </c>
      <c r="G96" s="15" t="s">
        <v>84</v>
      </c>
      <c r="H96" s="35">
        <v>0.04</v>
      </c>
      <c r="I96" s="15" t="s">
        <v>19</v>
      </c>
      <c r="J96" s="27">
        <v>7.49</v>
      </c>
      <c r="K96" s="15" t="s">
        <v>30</v>
      </c>
      <c r="L96" s="15" t="s">
        <v>31</v>
      </c>
      <c r="M96" s="15" t="s">
        <v>22</v>
      </c>
      <c r="N96" s="15" t="s">
        <v>53</v>
      </c>
      <c r="O96" s="15" t="s">
        <v>81</v>
      </c>
      <c r="P96" s="15" t="s">
        <v>25</v>
      </c>
      <c r="Q96" s="27">
        <v>2336.6000000000004</v>
      </c>
      <c r="R96" s="27">
        <v>93.464000000000013</v>
      </c>
      <c r="S96" s="31">
        <v>2243.1360000000004</v>
      </c>
    </row>
    <row r="97" spans="1:19" x14ac:dyDescent="0.25">
      <c r="A97" s="20">
        <v>45665</v>
      </c>
      <c r="B97" s="15" t="s">
        <v>152</v>
      </c>
      <c r="C97" s="15">
        <v>33999</v>
      </c>
      <c r="D97" s="15" t="s">
        <v>89</v>
      </c>
      <c r="E97" s="15">
        <v>14</v>
      </c>
      <c r="F97" s="27">
        <v>7.33</v>
      </c>
      <c r="G97" s="15" t="s">
        <v>28</v>
      </c>
      <c r="H97" s="35">
        <v>0.09</v>
      </c>
      <c r="I97" s="15" t="s">
        <v>734</v>
      </c>
      <c r="J97" s="27">
        <v>23.87</v>
      </c>
      <c r="K97" s="15" t="s">
        <v>30</v>
      </c>
      <c r="L97" s="15" t="s">
        <v>31</v>
      </c>
      <c r="M97" s="15" t="s">
        <v>111</v>
      </c>
      <c r="N97" s="15" t="s">
        <v>53</v>
      </c>
      <c r="O97" s="15" t="s">
        <v>81</v>
      </c>
      <c r="P97" s="15" t="s">
        <v>25</v>
      </c>
      <c r="Q97" s="27">
        <v>102.62</v>
      </c>
      <c r="R97" s="27">
        <v>9.2357999999999993</v>
      </c>
      <c r="S97" s="31">
        <v>93.384200000000007</v>
      </c>
    </row>
    <row r="98" spans="1:19" x14ac:dyDescent="0.25">
      <c r="A98" s="20">
        <v>45665</v>
      </c>
      <c r="B98" s="15" t="s">
        <v>153</v>
      </c>
      <c r="C98" s="15">
        <v>19551</v>
      </c>
      <c r="D98" s="15" t="s">
        <v>70</v>
      </c>
      <c r="E98" s="15">
        <v>19</v>
      </c>
      <c r="F98" s="27">
        <v>95.06</v>
      </c>
      <c r="G98" s="15" t="s">
        <v>76</v>
      </c>
      <c r="H98" s="35">
        <v>0.08</v>
      </c>
      <c r="I98" s="15" t="s">
        <v>734</v>
      </c>
      <c r="J98" s="27">
        <v>25.16</v>
      </c>
      <c r="K98" s="15" t="s">
        <v>37</v>
      </c>
      <c r="L98" s="15" t="s">
        <v>21</v>
      </c>
      <c r="M98" s="15" t="s">
        <v>22</v>
      </c>
      <c r="N98" s="15" t="s">
        <v>38</v>
      </c>
      <c r="O98" s="15" t="s">
        <v>59</v>
      </c>
      <c r="P98" s="15" t="s">
        <v>40</v>
      </c>
      <c r="Q98" s="27">
        <v>1806.14</v>
      </c>
      <c r="R98" s="27">
        <v>144.49120000000002</v>
      </c>
      <c r="S98" s="31">
        <v>1661.6488000000002</v>
      </c>
    </row>
    <row r="99" spans="1:19" x14ac:dyDescent="0.25">
      <c r="A99" s="20">
        <v>45665</v>
      </c>
      <c r="B99" s="15" t="s">
        <v>154</v>
      </c>
      <c r="C99" s="15">
        <v>94953</v>
      </c>
      <c r="D99" s="15" t="s">
        <v>66</v>
      </c>
      <c r="E99" s="15">
        <v>35</v>
      </c>
      <c r="F99" s="27">
        <v>68.569999999999993</v>
      </c>
      <c r="G99" s="15" t="s">
        <v>99</v>
      </c>
      <c r="H99" s="35">
        <v>0.37</v>
      </c>
      <c r="I99" s="15" t="s">
        <v>29</v>
      </c>
      <c r="J99" s="27">
        <v>5.64</v>
      </c>
      <c r="K99" s="15" t="s">
        <v>50</v>
      </c>
      <c r="L99" s="15" t="s">
        <v>31</v>
      </c>
      <c r="M99" s="15" t="s">
        <v>22</v>
      </c>
      <c r="N99" s="15" t="s">
        <v>32</v>
      </c>
      <c r="O99" s="15" t="s">
        <v>24</v>
      </c>
      <c r="P99" s="15" t="s">
        <v>25</v>
      </c>
      <c r="Q99" s="27">
        <v>2399.9499999999998</v>
      </c>
      <c r="R99" s="27">
        <v>887.98149999999987</v>
      </c>
      <c r="S99" s="31">
        <v>1511.9684999999999</v>
      </c>
    </row>
    <row r="100" spans="1:19" x14ac:dyDescent="0.25">
      <c r="A100" s="20">
        <v>45665</v>
      </c>
      <c r="B100" s="15" t="s">
        <v>112</v>
      </c>
      <c r="C100" s="15">
        <v>72448</v>
      </c>
      <c r="D100" s="15" t="s">
        <v>70</v>
      </c>
      <c r="E100" s="15">
        <v>34</v>
      </c>
      <c r="F100" s="27">
        <v>17.75</v>
      </c>
      <c r="G100" s="15" t="s">
        <v>55</v>
      </c>
      <c r="H100" s="35">
        <v>0.08</v>
      </c>
      <c r="I100" s="15" t="s">
        <v>734</v>
      </c>
      <c r="J100" s="27">
        <v>23.51</v>
      </c>
      <c r="K100" s="15" t="s">
        <v>30</v>
      </c>
      <c r="L100" s="15" t="s">
        <v>21</v>
      </c>
      <c r="M100" s="15" t="s">
        <v>22</v>
      </c>
      <c r="N100" s="15" t="s">
        <v>53</v>
      </c>
      <c r="O100" s="15" t="s">
        <v>39</v>
      </c>
      <c r="P100" s="15" t="s">
        <v>25</v>
      </c>
      <c r="Q100" s="27">
        <v>603.5</v>
      </c>
      <c r="R100" s="27">
        <v>48.28</v>
      </c>
      <c r="S100" s="31">
        <v>555.22</v>
      </c>
    </row>
    <row r="101" spans="1:19" x14ac:dyDescent="0.25">
      <c r="A101" s="20">
        <v>45665</v>
      </c>
      <c r="B101" s="15" t="s">
        <v>155</v>
      </c>
      <c r="C101" s="15">
        <v>26202</v>
      </c>
      <c r="D101" s="15" t="s">
        <v>57</v>
      </c>
      <c r="E101" s="15">
        <v>8</v>
      </c>
      <c r="F101" s="27">
        <v>42.98</v>
      </c>
      <c r="G101" s="15" t="s">
        <v>58</v>
      </c>
      <c r="H101" s="35">
        <v>0.12</v>
      </c>
      <c r="I101" s="15" t="s">
        <v>734</v>
      </c>
      <c r="J101" s="27">
        <v>26.37</v>
      </c>
      <c r="K101" s="15" t="s">
        <v>20</v>
      </c>
      <c r="L101" s="15" t="s">
        <v>21</v>
      </c>
      <c r="M101" s="15" t="s">
        <v>22</v>
      </c>
      <c r="N101" s="15" t="s">
        <v>23</v>
      </c>
      <c r="O101" s="15" t="s">
        <v>59</v>
      </c>
      <c r="P101" s="15" t="s">
        <v>25</v>
      </c>
      <c r="Q101" s="27">
        <v>343.84</v>
      </c>
      <c r="R101" s="27">
        <v>41.260799999999996</v>
      </c>
      <c r="S101" s="31">
        <v>302.57919999999996</v>
      </c>
    </row>
    <row r="102" spans="1:19" x14ac:dyDescent="0.25">
      <c r="A102" s="20">
        <v>45665</v>
      </c>
      <c r="B102" s="15" t="s">
        <v>100</v>
      </c>
      <c r="C102" s="15">
        <v>54223</v>
      </c>
      <c r="D102" s="15" t="s">
        <v>57</v>
      </c>
      <c r="E102" s="15">
        <v>13</v>
      </c>
      <c r="F102" s="27">
        <v>61.05</v>
      </c>
      <c r="G102" s="15" t="s">
        <v>28</v>
      </c>
      <c r="H102" s="35">
        <v>0.01</v>
      </c>
      <c r="I102" s="15" t="s">
        <v>19</v>
      </c>
      <c r="J102" s="27">
        <v>10.74</v>
      </c>
      <c r="K102" s="15" t="s">
        <v>30</v>
      </c>
      <c r="L102" s="15" t="s">
        <v>21</v>
      </c>
      <c r="M102" s="15" t="s">
        <v>22</v>
      </c>
      <c r="N102" s="15" t="s">
        <v>38</v>
      </c>
      <c r="O102" s="15" t="s">
        <v>81</v>
      </c>
      <c r="P102" s="15" t="s">
        <v>25</v>
      </c>
      <c r="Q102" s="27">
        <v>793.65</v>
      </c>
      <c r="R102" s="27">
        <v>7.9364999999999997</v>
      </c>
      <c r="S102" s="31">
        <v>785.71349999999995</v>
      </c>
    </row>
    <row r="103" spans="1:19" x14ac:dyDescent="0.25">
      <c r="A103" s="20">
        <v>45665</v>
      </c>
      <c r="B103" s="15" t="s">
        <v>156</v>
      </c>
      <c r="C103" s="15">
        <v>13899</v>
      </c>
      <c r="D103" s="15" t="s">
        <v>75</v>
      </c>
      <c r="E103" s="15">
        <v>36</v>
      </c>
      <c r="F103" s="27">
        <v>53</v>
      </c>
      <c r="G103" s="15" t="s">
        <v>72</v>
      </c>
      <c r="H103" s="35">
        <v>0.3</v>
      </c>
      <c r="I103" s="15" t="s">
        <v>29</v>
      </c>
      <c r="J103" s="27">
        <v>15.28</v>
      </c>
      <c r="K103" s="15" t="s">
        <v>20</v>
      </c>
      <c r="L103" s="15" t="s">
        <v>31</v>
      </c>
      <c r="M103" s="15" t="s">
        <v>22</v>
      </c>
      <c r="N103" s="15" t="s">
        <v>32</v>
      </c>
      <c r="O103" s="15" t="s">
        <v>81</v>
      </c>
      <c r="P103" s="15" t="s">
        <v>40</v>
      </c>
      <c r="Q103" s="27">
        <v>1908</v>
      </c>
      <c r="R103" s="27">
        <v>572.4</v>
      </c>
      <c r="S103" s="31">
        <v>1335.6</v>
      </c>
    </row>
    <row r="104" spans="1:19" x14ac:dyDescent="0.25">
      <c r="A104" s="20">
        <v>45666</v>
      </c>
      <c r="B104" s="15" t="s">
        <v>157</v>
      </c>
      <c r="C104" s="15">
        <v>25548</v>
      </c>
      <c r="D104" s="15" t="s">
        <v>70</v>
      </c>
      <c r="E104" s="15">
        <v>41</v>
      </c>
      <c r="F104" s="27">
        <v>20.64</v>
      </c>
      <c r="G104" s="15" t="s">
        <v>76</v>
      </c>
      <c r="H104" s="35">
        <v>0.13</v>
      </c>
      <c r="I104" s="15" t="s">
        <v>734</v>
      </c>
      <c r="J104" s="27">
        <v>18.07</v>
      </c>
      <c r="K104" s="15" t="s">
        <v>50</v>
      </c>
      <c r="L104" s="15" t="s">
        <v>31</v>
      </c>
      <c r="M104" s="15" t="s">
        <v>22</v>
      </c>
      <c r="N104" s="15" t="s">
        <v>32</v>
      </c>
      <c r="O104" s="15" t="s">
        <v>39</v>
      </c>
      <c r="P104" s="15" t="s">
        <v>25</v>
      </c>
      <c r="Q104" s="27">
        <v>846.24</v>
      </c>
      <c r="R104" s="27">
        <v>110.0112</v>
      </c>
      <c r="S104" s="31">
        <v>736.22879999999998</v>
      </c>
    </row>
    <row r="105" spans="1:19" x14ac:dyDescent="0.25">
      <c r="A105" s="20">
        <v>45666</v>
      </c>
      <c r="B105" s="15" t="s">
        <v>158</v>
      </c>
      <c r="C105" s="15">
        <v>92754</v>
      </c>
      <c r="D105" s="15" t="s">
        <v>42</v>
      </c>
      <c r="E105" s="15">
        <v>26</v>
      </c>
      <c r="F105" s="27">
        <v>84.46</v>
      </c>
      <c r="G105" s="15" t="s">
        <v>18</v>
      </c>
      <c r="H105" s="35">
        <v>0.35</v>
      </c>
      <c r="I105" s="15" t="s">
        <v>734</v>
      </c>
      <c r="J105" s="27">
        <v>24.12</v>
      </c>
      <c r="K105" s="15" t="s">
        <v>20</v>
      </c>
      <c r="L105" s="15" t="s">
        <v>21</v>
      </c>
      <c r="M105" s="15" t="s">
        <v>22</v>
      </c>
      <c r="N105" s="15" t="s">
        <v>38</v>
      </c>
      <c r="O105" s="15" t="s">
        <v>59</v>
      </c>
      <c r="P105" s="15" t="s">
        <v>25</v>
      </c>
      <c r="Q105" s="27">
        <v>2195.96</v>
      </c>
      <c r="R105" s="27">
        <v>768.58600000000001</v>
      </c>
      <c r="S105" s="31">
        <v>1427.374</v>
      </c>
    </row>
    <row r="106" spans="1:19" x14ac:dyDescent="0.25">
      <c r="A106" s="20">
        <v>45666</v>
      </c>
      <c r="B106" s="15" t="s">
        <v>159</v>
      </c>
      <c r="C106" s="15">
        <v>83134</v>
      </c>
      <c r="D106" s="15" t="s">
        <v>89</v>
      </c>
      <c r="E106" s="15">
        <v>9</v>
      </c>
      <c r="F106" s="27">
        <v>68.72</v>
      </c>
      <c r="G106" s="15" t="s">
        <v>36</v>
      </c>
      <c r="H106" s="35">
        <v>0.21</v>
      </c>
      <c r="I106" s="15" t="s">
        <v>19</v>
      </c>
      <c r="J106" s="27">
        <v>23.72</v>
      </c>
      <c r="K106" s="15" t="s">
        <v>44</v>
      </c>
      <c r="L106" s="15" t="s">
        <v>21</v>
      </c>
      <c r="M106" s="15" t="s">
        <v>22</v>
      </c>
      <c r="N106" s="15" t="s">
        <v>32</v>
      </c>
      <c r="O106" s="15" t="s">
        <v>39</v>
      </c>
      <c r="P106" s="15" t="s">
        <v>34</v>
      </c>
      <c r="Q106" s="27">
        <v>618.48</v>
      </c>
      <c r="R106" s="27">
        <v>129.88079999999999</v>
      </c>
      <c r="S106" s="31">
        <v>488.5992</v>
      </c>
    </row>
    <row r="107" spans="1:19" x14ac:dyDescent="0.25">
      <c r="A107" s="20">
        <v>45666</v>
      </c>
      <c r="B107" s="15" t="s">
        <v>160</v>
      </c>
      <c r="C107" s="15">
        <v>55038</v>
      </c>
      <c r="D107" s="15" t="s">
        <v>89</v>
      </c>
      <c r="E107" s="15">
        <v>23</v>
      </c>
      <c r="F107" s="27">
        <v>72.98</v>
      </c>
      <c r="G107" s="15" t="s">
        <v>99</v>
      </c>
      <c r="H107" s="35">
        <v>0.49</v>
      </c>
      <c r="I107" s="15" t="s">
        <v>29</v>
      </c>
      <c r="J107" s="27">
        <v>15.19</v>
      </c>
      <c r="K107" s="15" t="s">
        <v>44</v>
      </c>
      <c r="L107" s="15" t="s">
        <v>31</v>
      </c>
      <c r="M107" s="15" t="s">
        <v>22</v>
      </c>
      <c r="N107" s="15" t="s">
        <v>23</v>
      </c>
      <c r="O107" s="15" t="s">
        <v>24</v>
      </c>
      <c r="P107" s="15" t="s">
        <v>25</v>
      </c>
      <c r="Q107" s="27">
        <v>1678.5400000000002</v>
      </c>
      <c r="R107" s="27">
        <v>822.48460000000011</v>
      </c>
      <c r="S107" s="31">
        <v>856.05540000000008</v>
      </c>
    </row>
    <row r="108" spans="1:19" x14ac:dyDescent="0.25">
      <c r="A108" s="20">
        <v>45666</v>
      </c>
      <c r="B108" s="15" t="s">
        <v>161</v>
      </c>
      <c r="C108" s="15">
        <v>69554</v>
      </c>
      <c r="D108" s="15" t="s">
        <v>89</v>
      </c>
      <c r="E108" s="15">
        <v>26</v>
      </c>
      <c r="F108" s="27">
        <v>50.17</v>
      </c>
      <c r="G108" s="15" t="s">
        <v>72</v>
      </c>
      <c r="H108" s="35">
        <v>0.1</v>
      </c>
      <c r="I108" s="15" t="s">
        <v>19</v>
      </c>
      <c r="J108" s="27">
        <v>27.5</v>
      </c>
      <c r="K108" s="15" t="s">
        <v>20</v>
      </c>
      <c r="L108" s="15" t="s">
        <v>31</v>
      </c>
      <c r="M108" s="15" t="s">
        <v>22</v>
      </c>
      <c r="N108" s="15" t="s">
        <v>53</v>
      </c>
      <c r="O108" s="15" t="s">
        <v>33</v>
      </c>
      <c r="P108" s="15" t="s">
        <v>34</v>
      </c>
      <c r="Q108" s="27">
        <v>1304.42</v>
      </c>
      <c r="R108" s="27">
        <v>130.44200000000001</v>
      </c>
      <c r="S108" s="31">
        <v>1173.9780000000001</v>
      </c>
    </row>
    <row r="109" spans="1:19" x14ac:dyDescent="0.25">
      <c r="A109" s="20">
        <v>45666</v>
      </c>
      <c r="B109" s="15" t="s">
        <v>162</v>
      </c>
      <c r="C109" s="15">
        <v>15417</v>
      </c>
      <c r="D109" s="15" t="s">
        <v>46</v>
      </c>
      <c r="E109" s="15">
        <v>1</v>
      </c>
      <c r="F109" s="27">
        <v>22.97</v>
      </c>
      <c r="G109" s="15" t="s">
        <v>76</v>
      </c>
      <c r="H109" s="35">
        <v>0.34</v>
      </c>
      <c r="I109" s="15" t="s">
        <v>734</v>
      </c>
      <c r="J109" s="27">
        <v>21.19</v>
      </c>
      <c r="K109" s="15" t="s">
        <v>50</v>
      </c>
      <c r="L109" s="15" t="s">
        <v>31</v>
      </c>
      <c r="M109" s="15" t="s">
        <v>22</v>
      </c>
      <c r="N109" s="15" t="s">
        <v>38</v>
      </c>
      <c r="O109" s="15" t="s">
        <v>33</v>
      </c>
      <c r="P109" s="15" t="s">
        <v>25</v>
      </c>
      <c r="Q109" s="27">
        <v>22.97</v>
      </c>
      <c r="R109" s="27">
        <v>7.8098000000000001</v>
      </c>
      <c r="S109" s="31">
        <v>15.1602</v>
      </c>
    </row>
    <row r="110" spans="1:19" x14ac:dyDescent="0.25">
      <c r="A110" s="20">
        <v>45666</v>
      </c>
      <c r="B110" s="15" t="s">
        <v>163</v>
      </c>
      <c r="C110" s="15">
        <v>95209</v>
      </c>
      <c r="D110" s="15" t="s">
        <v>70</v>
      </c>
      <c r="E110" s="15">
        <v>19</v>
      </c>
      <c r="F110" s="27">
        <v>62.79</v>
      </c>
      <c r="G110" s="15" t="s">
        <v>58</v>
      </c>
      <c r="H110" s="35">
        <v>0.2</v>
      </c>
      <c r="I110" s="15" t="s">
        <v>19</v>
      </c>
      <c r="J110" s="27">
        <v>17</v>
      </c>
      <c r="K110" s="15" t="s">
        <v>50</v>
      </c>
      <c r="L110" s="15" t="s">
        <v>31</v>
      </c>
      <c r="M110" s="15" t="s">
        <v>22</v>
      </c>
      <c r="N110" s="15" t="s">
        <v>53</v>
      </c>
      <c r="O110" s="15" t="s">
        <v>33</v>
      </c>
      <c r="P110" s="15" t="s">
        <v>40</v>
      </c>
      <c r="Q110" s="27">
        <v>1193.01</v>
      </c>
      <c r="R110" s="27">
        <v>238.602</v>
      </c>
      <c r="S110" s="31">
        <v>954.40800000000002</v>
      </c>
    </row>
    <row r="111" spans="1:19" x14ac:dyDescent="0.25">
      <c r="A111" s="20">
        <v>45666</v>
      </c>
      <c r="B111" s="15" t="s">
        <v>164</v>
      </c>
      <c r="C111" s="15">
        <v>78378</v>
      </c>
      <c r="D111" s="15" t="s">
        <v>42</v>
      </c>
      <c r="E111" s="15">
        <v>1</v>
      </c>
      <c r="F111" s="27">
        <v>3.09</v>
      </c>
      <c r="G111" s="15" t="s">
        <v>84</v>
      </c>
      <c r="H111" s="35">
        <v>0.06</v>
      </c>
      <c r="I111" s="15" t="s">
        <v>29</v>
      </c>
      <c r="J111" s="27">
        <v>11.34</v>
      </c>
      <c r="K111" s="15" t="s">
        <v>44</v>
      </c>
      <c r="L111" s="15" t="s">
        <v>21</v>
      </c>
      <c r="M111" s="15" t="s">
        <v>22</v>
      </c>
      <c r="N111" s="15" t="s">
        <v>23</v>
      </c>
      <c r="O111" s="15" t="s">
        <v>59</v>
      </c>
      <c r="P111" s="15" t="s">
        <v>25</v>
      </c>
      <c r="Q111" s="27">
        <v>3.09</v>
      </c>
      <c r="R111" s="27">
        <v>0.18539999999999998</v>
      </c>
      <c r="S111" s="31">
        <v>2.9045999999999998</v>
      </c>
    </row>
    <row r="112" spans="1:19" x14ac:dyDescent="0.25">
      <c r="A112" s="20">
        <v>45666</v>
      </c>
      <c r="B112" s="15" t="s">
        <v>165</v>
      </c>
      <c r="C112" s="15">
        <v>98374</v>
      </c>
      <c r="D112" s="15" t="s">
        <v>49</v>
      </c>
      <c r="E112" s="15">
        <v>37</v>
      </c>
      <c r="F112" s="27">
        <v>52.3</v>
      </c>
      <c r="G112" s="15" t="s">
        <v>76</v>
      </c>
      <c r="H112" s="35">
        <v>0.28999999999999998</v>
      </c>
      <c r="I112" s="15" t="s">
        <v>19</v>
      </c>
      <c r="J112" s="27">
        <v>11.39</v>
      </c>
      <c r="K112" s="15" t="s">
        <v>20</v>
      </c>
      <c r="L112" s="15" t="s">
        <v>21</v>
      </c>
      <c r="M112" s="15" t="s">
        <v>22</v>
      </c>
      <c r="N112" s="15" t="s">
        <v>32</v>
      </c>
      <c r="O112" s="15" t="s">
        <v>59</v>
      </c>
      <c r="P112" s="15" t="s">
        <v>34</v>
      </c>
      <c r="Q112" s="27">
        <v>1935.1</v>
      </c>
      <c r="R112" s="27">
        <v>561.17899999999997</v>
      </c>
      <c r="S112" s="31">
        <v>1373.9209999999998</v>
      </c>
    </row>
    <row r="113" spans="1:19" x14ac:dyDescent="0.25">
      <c r="A113" s="20">
        <v>45667</v>
      </c>
      <c r="B113" s="15" t="s">
        <v>166</v>
      </c>
      <c r="C113" s="15">
        <v>84203</v>
      </c>
      <c r="D113" s="15" t="s">
        <v>42</v>
      </c>
      <c r="E113" s="15">
        <v>26</v>
      </c>
      <c r="F113" s="27">
        <v>91.26</v>
      </c>
      <c r="G113" s="15" t="s">
        <v>72</v>
      </c>
      <c r="H113" s="35">
        <v>0.14000000000000001</v>
      </c>
      <c r="I113" s="15" t="s">
        <v>29</v>
      </c>
      <c r="J113" s="27">
        <v>29.19</v>
      </c>
      <c r="K113" s="15" t="s">
        <v>37</v>
      </c>
      <c r="L113" s="15" t="s">
        <v>31</v>
      </c>
      <c r="M113" s="15" t="s">
        <v>22</v>
      </c>
      <c r="N113" s="15" t="s">
        <v>32</v>
      </c>
      <c r="O113" s="15" t="s">
        <v>81</v>
      </c>
      <c r="P113" s="15" t="s">
        <v>40</v>
      </c>
      <c r="Q113" s="27">
        <v>2372.7600000000002</v>
      </c>
      <c r="R113" s="27">
        <v>332.18640000000005</v>
      </c>
      <c r="S113" s="31">
        <v>2040.5736000000002</v>
      </c>
    </row>
    <row r="114" spans="1:19" x14ac:dyDescent="0.25">
      <c r="A114" s="20">
        <v>45667</v>
      </c>
      <c r="B114" s="15" t="s">
        <v>51</v>
      </c>
      <c r="C114" s="15">
        <v>40346</v>
      </c>
      <c r="D114" s="15" t="s">
        <v>49</v>
      </c>
      <c r="E114" s="15">
        <v>35</v>
      </c>
      <c r="F114" s="27">
        <v>87.47</v>
      </c>
      <c r="G114" s="15" t="s">
        <v>58</v>
      </c>
      <c r="H114" s="35">
        <v>0.22</v>
      </c>
      <c r="I114" s="15" t="s">
        <v>734</v>
      </c>
      <c r="J114" s="27">
        <v>7.79</v>
      </c>
      <c r="K114" s="15" t="s">
        <v>44</v>
      </c>
      <c r="L114" s="15" t="s">
        <v>31</v>
      </c>
      <c r="M114" s="15" t="s">
        <v>22</v>
      </c>
      <c r="N114" s="15" t="s">
        <v>32</v>
      </c>
      <c r="O114" s="15" t="s">
        <v>24</v>
      </c>
      <c r="P114" s="15" t="s">
        <v>34</v>
      </c>
      <c r="Q114" s="27">
        <v>3061.45</v>
      </c>
      <c r="R114" s="27">
        <v>673.51900000000001</v>
      </c>
      <c r="S114" s="31">
        <v>2387.9309999999996</v>
      </c>
    </row>
    <row r="115" spans="1:19" x14ac:dyDescent="0.25">
      <c r="A115" s="20">
        <v>45667</v>
      </c>
      <c r="B115" s="15" t="s">
        <v>167</v>
      </c>
      <c r="C115" s="15">
        <v>68776</v>
      </c>
      <c r="D115" s="15" t="s">
        <v>17</v>
      </c>
      <c r="E115" s="15">
        <v>12</v>
      </c>
      <c r="F115" s="27">
        <v>53</v>
      </c>
      <c r="G115" s="15" t="s">
        <v>52</v>
      </c>
      <c r="H115" s="35">
        <v>0.37</v>
      </c>
      <c r="I115" s="15" t="s">
        <v>19</v>
      </c>
      <c r="J115" s="27">
        <v>23.07</v>
      </c>
      <c r="K115" s="15" t="s">
        <v>50</v>
      </c>
      <c r="L115" s="15" t="s">
        <v>21</v>
      </c>
      <c r="M115" s="15" t="s">
        <v>22</v>
      </c>
      <c r="N115" s="15" t="s">
        <v>38</v>
      </c>
      <c r="O115" s="15" t="s">
        <v>24</v>
      </c>
      <c r="P115" s="15" t="s">
        <v>34</v>
      </c>
      <c r="Q115" s="27">
        <v>636</v>
      </c>
      <c r="R115" s="27">
        <v>235.32</v>
      </c>
      <c r="S115" s="31">
        <v>400.68</v>
      </c>
    </row>
    <row r="116" spans="1:19" x14ac:dyDescent="0.25">
      <c r="A116" s="20">
        <v>45667</v>
      </c>
      <c r="B116" s="15" t="s">
        <v>168</v>
      </c>
      <c r="C116" s="15">
        <v>57937</v>
      </c>
      <c r="D116" s="15" t="s">
        <v>42</v>
      </c>
      <c r="E116" s="15">
        <v>2</v>
      </c>
      <c r="F116" s="27">
        <v>22.94</v>
      </c>
      <c r="G116" s="15" t="s">
        <v>18</v>
      </c>
      <c r="H116" s="35">
        <v>0.23</v>
      </c>
      <c r="I116" s="15" t="s">
        <v>734</v>
      </c>
      <c r="J116" s="27">
        <v>28.82</v>
      </c>
      <c r="K116" s="15" t="s">
        <v>50</v>
      </c>
      <c r="L116" s="15" t="s">
        <v>31</v>
      </c>
      <c r="M116" s="15" t="s">
        <v>22</v>
      </c>
      <c r="N116" s="15" t="s">
        <v>53</v>
      </c>
      <c r="O116" s="15" t="s">
        <v>24</v>
      </c>
      <c r="P116" s="15" t="s">
        <v>34</v>
      </c>
      <c r="Q116" s="27">
        <v>45.88</v>
      </c>
      <c r="R116" s="27">
        <v>10.5524</v>
      </c>
      <c r="S116" s="31">
        <v>35.327600000000004</v>
      </c>
    </row>
    <row r="117" spans="1:19" x14ac:dyDescent="0.25">
      <c r="A117" s="20">
        <v>45667</v>
      </c>
      <c r="B117" s="15" t="s">
        <v>169</v>
      </c>
      <c r="C117" s="15">
        <v>93067</v>
      </c>
      <c r="D117" s="15" t="s">
        <v>70</v>
      </c>
      <c r="E117" s="15">
        <v>38</v>
      </c>
      <c r="F117" s="27">
        <v>38.08</v>
      </c>
      <c r="G117" s="15" t="s">
        <v>99</v>
      </c>
      <c r="H117" s="35">
        <v>0.23</v>
      </c>
      <c r="I117" s="15" t="s">
        <v>29</v>
      </c>
      <c r="J117" s="27">
        <v>26.32</v>
      </c>
      <c r="K117" s="15" t="s">
        <v>37</v>
      </c>
      <c r="L117" s="15" t="s">
        <v>21</v>
      </c>
      <c r="M117" s="15" t="s">
        <v>22</v>
      </c>
      <c r="N117" s="15" t="s">
        <v>53</v>
      </c>
      <c r="O117" s="15" t="s">
        <v>59</v>
      </c>
      <c r="P117" s="15" t="s">
        <v>40</v>
      </c>
      <c r="Q117" s="27">
        <v>1447.04</v>
      </c>
      <c r="R117" s="27">
        <v>332.81920000000002</v>
      </c>
      <c r="S117" s="31">
        <v>1114.2208000000001</v>
      </c>
    </row>
    <row r="118" spans="1:19" x14ac:dyDescent="0.25">
      <c r="A118" s="20">
        <v>45667</v>
      </c>
      <c r="B118" s="15" t="s">
        <v>170</v>
      </c>
      <c r="C118" s="15">
        <v>99360</v>
      </c>
      <c r="D118" s="15" t="s">
        <v>75</v>
      </c>
      <c r="E118" s="15">
        <v>4</v>
      </c>
      <c r="F118" s="27">
        <v>5.75</v>
      </c>
      <c r="G118" s="15" t="s">
        <v>84</v>
      </c>
      <c r="H118" s="35">
        <v>0.4</v>
      </c>
      <c r="I118" s="15" t="s">
        <v>29</v>
      </c>
      <c r="J118" s="27">
        <v>23.42</v>
      </c>
      <c r="K118" s="15" t="s">
        <v>30</v>
      </c>
      <c r="L118" s="15" t="s">
        <v>31</v>
      </c>
      <c r="M118" s="15" t="s">
        <v>22</v>
      </c>
      <c r="N118" s="15" t="s">
        <v>38</v>
      </c>
      <c r="O118" s="15" t="s">
        <v>24</v>
      </c>
      <c r="P118" s="15" t="s">
        <v>25</v>
      </c>
      <c r="Q118" s="27">
        <v>23</v>
      </c>
      <c r="R118" s="27">
        <v>9.2000000000000011</v>
      </c>
      <c r="S118" s="31">
        <v>13.799999999999999</v>
      </c>
    </row>
    <row r="119" spans="1:19" x14ac:dyDescent="0.25">
      <c r="A119" s="20">
        <v>45667</v>
      </c>
      <c r="B119" s="15" t="s">
        <v>171</v>
      </c>
      <c r="C119" s="15">
        <v>32142</v>
      </c>
      <c r="D119" s="15" t="s">
        <v>49</v>
      </c>
      <c r="E119" s="15">
        <v>44</v>
      </c>
      <c r="F119" s="27">
        <v>45.18</v>
      </c>
      <c r="G119" s="15" t="s">
        <v>99</v>
      </c>
      <c r="H119" s="35">
        <v>0.1</v>
      </c>
      <c r="I119" s="15" t="s">
        <v>19</v>
      </c>
      <c r="J119" s="27">
        <v>25.98</v>
      </c>
      <c r="K119" s="15" t="s">
        <v>50</v>
      </c>
      <c r="L119" s="15" t="s">
        <v>21</v>
      </c>
      <c r="M119" s="15" t="s">
        <v>22</v>
      </c>
      <c r="N119" s="15" t="s">
        <v>23</v>
      </c>
      <c r="O119" s="15" t="s">
        <v>81</v>
      </c>
      <c r="P119" s="15" t="s">
        <v>25</v>
      </c>
      <c r="Q119" s="27">
        <v>1987.92</v>
      </c>
      <c r="R119" s="27">
        <v>198.79200000000003</v>
      </c>
      <c r="S119" s="31">
        <v>1789.1280000000002</v>
      </c>
    </row>
    <row r="120" spans="1:19" x14ac:dyDescent="0.25">
      <c r="A120" s="20">
        <v>45667</v>
      </c>
      <c r="B120" s="15" t="s">
        <v>121</v>
      </c>
      <c r="C120" s="15">
        <v>99365</v>
      </c>
      <c r="D120" s="15" t="s">
        <v>27</v>
      </c>
      <c r="E120" s="15">
        <v>47</v>
      </c>
      <c r="F120" s="27">
        <v>45.76</v>
      </c>
      <c r="G120" s="15" t="s">
        <v>43</v>
      </c>
      <c r="H120" s="35">
        <v>0.47</v>
      </c>
      <c r="I120" s="15" t="s">
        <v>19</v>
      </c>
      <c r="J120" s="27">
        <v>9.2200000000000006</v>
      </c>
      <c r="K120" s="15" t="s">
        <v>37</v>
      </c>
      <c r="L120" s="15" t="s">
        <v>21</v>
      </c>
      <c r="M120" s="15" t="s">
        <v>22</v>
      </c>
      <c r="N120" s="15" t="s">
        <v>53</v>
      </c>
      <c r="O120" s="15" t="s">
        <v>81</v>
      </c>
      <c r="P120" s="15" t="s">
        <v>34</v>
      </c>
      <c r="Q120" s="27">
        <v>2150.7199999999998</v>
      </c>
      <c r="R120" s="27">
        <v>1010.8383999999999</v>
      </c>
      <c r="S120" s="31">
        <v>1139.8815999999999</v>
      </c>
    </row>
    <row r="121" spans="1:19" x14ac:dyDescent="0.25">
      <c r="A121" s="20">
        <v>45667</v>
      </c>
      <c r="B121" s="15" t="s">
        <v>172</v>
      </c>
      <c r="C121" s="15">
        <v>54769</v>
      </c>
      <c r="D121" s="15" t="s">
        <v>66</v>
      </c>
      <c r="E121" s="15">
        <v>21</v>
      </c>
      <c r="F121" s="27">
        <v>65.760000000000005</v>
      </c>
      <c r="G121" s="15" t="s">
        <v>18</v>
      </c>
      <c r="H121" s="35">
        <v>0.11</v>
      </c>
      <c r="I121" s="15" t="s">
        <v>734</v>
      </c>
      <c r="J121" s="27">
        <v>28.53</v>
      </c>
      <c r="K121" s="15" t="s">
        <v>20</v>
      </c>
      <c r="L121" s="15" t="s">
        <v>31</v>
      </c>
      <c r="M121" s="15" t="s">
        <v>22</v>
      </c>
      <c r="N121" s="15" t="s">
        <v>23</v>
      </c>
      <c r="O121" s="15" t="s">
        <v>24</v>
      </c>
      <c r="P121" s="15" t="s">
        <v>25</v>
      </c>
      <c r="Q121" s="27">
        <v>1380.96</v>
      </c>
      <c r="R121" s="27">
        <v>151.90559999999999</v>
      </c>
      <c r="S121" s="31">
        <v>1229.0544</v>
      </c>
    </row>
    <row r="122" spans="1:19" x14ac:dyDescent="0.25">
      <c r="A122" s="20">
        <v>45668</v>
      </c>
      <c r="B122" s="15" t="s">
        <v>173</v>
      </c>
      <c r="C122" s="15">
        <v>86089</v>
      </c>
      <c r="D122" s="15" t="s">
        <v>17</v>
      </c>
      <c r="E122" s="15">
        <v>7</v>
      </c>
      <c r="F122" s="27">
        <v>53</v>
      </c>
      <c r="G122" s="15" t="s">
        <v>84</v>
      </c>
      <c r="H122" s="35">
        <v>0.14000000000000001</v>
      </c>
      <c r="I122" s="15" t="s">
        <v>19</v>
      </c>
      <c r="J122" s="27">
        <v>17.43</v>
      </c>
      <c r="K122" s="15" t="s">
        <v>20</v>
      </c>
      <c r="L122" s="15" t="s">
        <v>31</v>
      </c>
      <c r="M122" s="15" t="s">
        <v>735</v>
      </c>
      <c r="N122" s="15" t="s">
        <v>38</v>
      </c>
      <c r="O122" s="15" t="s">
        <v>39</v>
      </c>
      <c r="P122" s="15" t="s">
        <v>25</v>
      </c>
      <c r="Q122" s="27">
        <v>371</v>
      </c>
      <c r="R122" s="27">
        <v>51.940000000000005</v>
      </c>
      <c r="S122" s="31">
        <v>319.06</v>
      </c>
    </row>
    <row r="123" spans="1:19" x14ac:dyDescent="0.25">
      <c r="A123" s="20">
        <v>45668</v>
      </c>
      <c r="B123" s="15" t="s">
        <v>51</v>
      </c>
      <c r="C123" s="15">
        <v>49156</v>
      </c>
      <c r="D123" s="15" t="s">
        <v>49</v>
      </c>
      <c r="E123" s="15">
        <v>42</v>
      </c>
      <c r="F123" s="27">
        <v>34.700000000000003</v>
      </c>
      <c r="G123" s="15" t="s">
        <v>36</v>
      </c>
      <c r="H123" s="35">
        <v>0.33</v>
      </c>
      <c r="I123" s="15" t="s">
        <v>29</v>
      </c>
      <c r="J123" s="27">
        <v>27.53</v>
      </c>
      <c r="K123" s="15" t="s">
        <v>37</v>
      </c>
      <c r="L123" s="15" t="s">
        <v>21</v>
      </c>
      <c r="M123" s="15" t="s">
        <v>22</v>
      </c>
      <c r="N123" s="15" t="s">
        <v>23</v>
      </c>
      <c r="O123" s="15" t="s">
        <v>81</v>
      </c>
      <c r="P123" s="15" t="s">
        <v>40</v>
      </c>
      <c r="Q123" s="27">
        <v>1457.4</v>
      </c>
      <c r="R123" s="27">
        <v>480.94200000000006</v>
      </c>
      <c r="S123" s="31">
        <v>976.45800000000008</v>
      </c>
    </row>
    <row r="124" spans="1:19" x14ac:dyDescent="0.25">
      <c r="A124" s="20">
        <v>45668</v>
      </c>
      <c r="B124" s="15" t="s">
        <v>174</v>
      </c>
      <c r="C124" s="15">
        <v>98568</v>
      </c>
      <c r="D124" s="15" t="s">
        <v>70</v>
      </c>
      <c r="E124" s="15">
        <v>15</v>
      </c>
      <c r="F124" s="27">
        <v>79.27</v>
      </c>
      <c r="G124" s="15" t="s">
        <v>99</v>
      </c>
      <c r="H124" s="35">
        <v>0.44</v>
      </c>
      <c r="I124" s="15" t="s">
        <v>734</v>
      </c>
      <c r="J124" s="27">
        <v>22.39</v>
      </c>
      <c r="K124" s="15" t="s">
        <v>37</v>
      </c>
      <c r="L124" s="15" t="s">
        <v>21</v>
      </c>
      <c r="M124" s="15" t="s">
        <v>22</v>
      </c>
      <c r="N124" s="15" t="s">
        <v>38</v>
      </c>
      <c r="O124" s="15" t="s">
        <v>24</v>
      </c>
      <c r="P124" s="15" t="s">
        <v>25</v>
      </c>
      <c r="Q124" s="27">
        <v>1189.05</v>
      </c>
      <c r="R124" s="27">
        <v>523.18200000000002</v>
      </c>
      <c r="S124" s="31">
        <v>665.86799999999994</v>
      </c>
    </row>
    <row r="125" spans="1:19" x14ac:dyDescent="0.25">
      <c r="A125" s="20">
        <v>45668</v>
      </c>
      <c r="B125" s="15" t="s">
        <v>142</v>
      </c>
      <c r="C125" s="15">
        <v>15216</v>
      </c>
      <c r="D125" s="15" t="s">
        <v>42</v>
      </c>
      <c r="E125" s="15">
        <v>26</v>
      </c>
      <c r="F125" s="27">
        <v>71.91</v>
      </c>
      <c r="G125" s="15" t="s">
        <v>43</v>
      </c>
      <c r="H125" s="35">
        <v>0.24</v>
      </c>
      <c r="I125" s="15" t="s">
        <v>19</v>
      </c>
      <c r="J125" s="27">
        <v>16.260000000000002</v>
      </c>
      <c r="K125" s="15" t="s">
        <v>20</v>
      </c>
      <c r="L125" s="15" t="s">
        <v>21</v>
      </c>
      <c r="M125" s="15" t="s">
        <v>22</v>
      </c>
      <c r="N125" s="15" t="s">
        <v>32</v>
      </c>
      <c r="O125" s="15" t="s">
        <v>81</v>
      </c>
      <c r="P125" s="15" t="s">
        <v>34</v>
      </c>
      <c r="Q125" s="27">
        <v>1869.6599999999999</v>
      </c>
      <c r="R125" s="27">
        <v>448.71839999999997</v>
      </c>
      <c r="S125" s="31">
        <v>1420.9415999999999</v>
      </c>
    </row>
    <row r="126" spans="1:19" x14ac:dyDescent="0.25">
      <c r="A126" s="20">
        <v>45668</v>
      </c>
      <c r="B126" s="15" t="s">
        <v>175</v>
      </c>
      <c r="C126" s="15">
        <v>69068</v>
      </c>
      <c r="D126" s="15" t="s">
        <v>17</v>
      </c>
      <c r="E126" s="15">
        <v>21</v>
      </c>
      <c r="F126" s="27">
        <v>75.41</v>
      </c>
      <c r="G126" s="15" t="s">
        <v>43</v>
      </c>
      <c r="H126" s="35">
        <v>0.09</v>
      </c>
      <c r="I126" s="15" t="s">
        <v>19</v>
      </c>
      <c r="J126" s="27">
        <v>27.24</v>
      </c>
      <c r="K126" s="15" t="s">
        <v>50</v>
      </c>
      <c r="L126" s="15" t="s">
        <v>31</v>
      </c>
      <c r="M126" s="15" t="s">
        <v>735</v>
      </c>
      <c r="N126" s="15" t="s">
        <v>38</v>
      </c>
      <c r="O126" s="15" t="s">
        <v>24</v>
      </c>
      <c r="P126" s="15" t="s">
        <v>34</v>
      </c>
      <c r="Q126" s="27">
        <v>1583.61</v>
      </c>
      <c r="R126" s="27">
        <v>142.52489999999997</v>
      </c>
      <c r="S126" s="31">
        <v>1441.0851</v>
      </c>
    </row>
    <row r="127" spans="1:19" x14ac:dyDescent="0.25">
      <c r="A127" s="20">
        <v>45668</v>
      </c>
      <c r="B127" s="15" t="s">
        <v>176</v>
      </c>
      <c r="C127" s="15">
        <v>20919</v>
      </c>
      <c r="D127" s="15" t="s">
        <v>27</v>
      </c>
      <c r="E127" s="15">
        <v>32</v>
      </c>
      <c r="F127" s="27">
        <v>87.88</v>
      </c>
      <c r="G127" s="15" t="s">
        <v>36</v>
      </c>
      <c r="H127" s="35">
        <v>0.01</v>
      </c>
      <c r="I127" s="15" t="s">
        <v>19</v>
      </c>
      <c r="J127" s="27">
        <v>13.74</v>
      </c>
      <c r="K127" s="15" t="s">
        <v>50</v>
      </c>
      <c r="L127" s="15" t="s">
        <v>21</v>
      </c>
      <c r="M127" s="15" t="s">
        <v>22</v>
      </c>
      <c r="N127" s="15" t="s">
        <v>32</v>
      </c>
      <c r="O127" s="15" t="s">
        <v>81</v>
      </c>
      <c r="P127" s="15" t="s">
        <v>34</v>
      </c>
      <c r="Q127" s="27">
        <v>2812.16</v>
      </c>
      <c r="R127" s="27">
        <v>28.121600000000001</v>
      </c>
      <c r="S127" s="31">
        <v>2784.0383999999999</v>
      </c>
    </row>
    <row r="128" spans="1:19" x14ac:dyDescent="0.25">
      <c r="A128" s="20">
        <v>45668</v>
      </c>
      <c r="B128" s="15" t="s">
        <v>177</v>
      </c>
      <c r="C128" s="15">
        <v>29341</v>
      </c>
      <c r="D128" s="15" t="s">
        <v>75</v>
      </c>
      <c r="E128" s="15">
        <v>25</v>
      </c>
      <c r="F128" s="27">
        <v>71.66</v>
      </c>
      <c r="G128" s="15" t="s">
        <v>76</v>
      </c>
      <c r="H128" s="35">
        <v>0.01</v>
      </c>
      <c r="I128" s="15" t="s">
        <v>19</v>
      </c>
      <c r="J128" s="27">
        <v>21.49</v>
      </c>
      <c r="K128" s="15" t="s">
        <v>30</v>
      </c>
      <c r="L128" s="15" t="s">
        <v>31</v>
      </c>
      <c r="M128" s="15" t="s">
        <v>22</v>
      </c>
      <c r="N128" s="15" t="s">
        <v>38</v>
      </c>
      <c r="O128" s="15" t="s">
        <v>59</v>
      </c>
      <c r="P128" s="15" t="s">
        <v>40</v>
      </c>
      <c r="Q128" s="27">
        <v>1791.5</v>
      </c>
      <c r="R128" s="27">
        <v>17.914999999999999</v>
      </c>
      <c r="S128" s="31">
        <v>1773.585</v>
      </c>
    </row>
    <row r="129" spans="1:19" x14ac:dyDescent="0.25">
      <c r="A129" s="20">
        <v>45668</v>
      </c>
      <c r="B129" s="15" t="s">
        <v>178</v>
      </c>
      <c r="C129" s="15">
        <v>36709</v>
      </c>
      <c r="D129" s="15" t="s">
        <v>66</v>
      </c>
      <c r="E129" s="15">
        <v>2</v>
      </c>
      <c r="F129" s="27">
        <v>22.54</v>
      </c>
      <c r="G129" s="15" t="s">
        <v>55</v>
      </c>
      <c r="H129" s="35">
        <v>0.05</v>
      </c>
      <c r="I129" s="15" t="s">
        <v>734</v>
      </c>
      <c r="J129" s="27">
        <v>9.56</v>
      </c>
      <c r="K129" s="15" t="s">
        <v>37</v>
      </c>
      <c r="L129" s="15" t="s">
        <v>21</v>
      </c>
      <c r="M129" s="15" t="s">
        <v>22</v>
      </c>
      <c r="N129" s="15" t="s">
        <v>23</v>
      </c>
      <c r="O129" s="15" t="s">
        <v>24</v>
      </c>
      <c r="P129" s="15" t="s">
        <v>40</v>
      </c>
      <c r="Q129" s="27">
        <v>45.08</v>
      </c>
      <c r="R129" s="27">
        <v>2.254</v>
      </c>
      <c r="S129" s="31">
        <v>42.826000000000001</v>
      </c>
    </row>
    <row r="130" spans="1:19" x14ac:dyDescent="0.25">
      <c r="A130" s="20">
        <v>45669</v>
      </c>
      <c r="B130" s="15" t="s">
        <v>179</v>
      </c>
      <c r="C130" s="15">
        <v>67290</v>
      </c>
      <c r="D130" s="15" t="s">
        <v>27</v>
      </c>
      <c r="E130" s="15">
        <v>9</v>
      </c>
      <c r="F130" s="27">
        <v>42.51</v>
      </c>
      <c r="G130" s="15" t="s">
        <v>43</v>
      </c>
      <c r="H130" s="35">
        <v>0.41</v>
      </c>
      <c r="I130" s="15" t="s">
        <v>734</v>
      </c>
      <c r="J130" s="27">
        <v>22.09</v>
      </c>
      <c r="K130" s="15" t="s">
        <v>44</v>
      </c>
      <c r="L130" s="15" t="s">
        <v>21</v>
      </c>
      <c r="M130" s="15" t="s">
        <v>22</v>
      </c>
      <c r="N130" s="15" t="s">
        <v>23</v>
      </c>
      <c r="O130" s="15" t="s">
        <v>81</v>
      </c>
      <c r="P130" s="15" t="s">
        <v>25</v>
      </c>
      <c r="Q130" s="27">
        <v>382.59</v>
      </c>
      <c r="R130" s="27">
        <v>156.86189999999999</v>
      </c>
      <c r="S130" s="31">
        <v>225.72809999999998</v>
      </c>
    </row>
    <row r="131" spans="1:19" x14ac:dyDescent="0.25">
      <c r="A131" s="20">
        <v>45669</v>
      </c>
      <c r="B131" s="15" t="s">
        <v>180</v>
      </c>
      <c r="C131" s="15">
        <v>28811</v>
      </c>
      <c r="D131" s="15" t="s">
        <v>27</v>
      </c>
      <c r="E131" s="15">
        <v>34</v>
      </c>
      <c r="F131" s="27">
        <v>53</v>
      </c>
      <c r="G131" s="15" t="s">
        <v>52</v>
      </c>
      <c r="H131" s="35">
        <v>0.17</v>
      </c>
      <c r="I131" s="15" t="s">
        <v>29</v>
      </c>
      <c r="J131" s="27">
        <v>6.48</v>
      </c>
      <c r="K131" s="15" t="s">
        <v>37</v>
      </c>
      <c r="L131" s="15" t="s">
        <v>21</v>
      </c>
      <c r="M131" s="15" t="s">
        <v>22</v>
      </c>
      <c r="N131" s="15" t="s">
        <v>32</v>
      </c>
      <c r="O131" s="15" t="s">
        <v>59</v>
      </c>
      <c r="P131" s="15" t="s">
        <v>34</v>
      </c>
      <c r="Q131" s="27">
        <v>1802</v>
      </c>
      <c r="R131" s="27">
        <v>306.34000000000003</v>
      </c>
      <c r="S131" s="31">
        <v>1495.6599999999999</v>
      </c>
    </row>
    <row r="132" spans="1:19" x14ac:dyDescent="0.25">
      <c r="A132" s="20">
        <v>45669</v>
      </c>
      <c r="B132" s="15" t="s">
        <v>181</v>
      </c>
      <c r="C132" s="15">
        <v>93451</v>
      </c>
      <c r="D132" s="15" t="s">
        <v>89</v>
      </c>
      <c r="E132" s="15">
        <v>16</v>
      </c>
      <c r="F132" s="27">
        <v>96.77</v>
      </c>
      <c r="G132" s="15" t="s">
        <v>76</v>
      </c>
      <c r="H132" s="35">
        <v>0.38</v>
      </c>
      <c r="I132" s="15" t="s">
        <v>19</v>
      </c>
      <c r="J132" s="27">
        <v>10.58</v>
      </c>
      <c r="K132" s="15" t="s">
        <v>37</v>
      </c>
      <c r="L132" s="15" t="s">
        <v>21</v>
      </c>
      <c r="M132" s="15" t="s">
        <v>22</v>
      </c>
      <c r="N132" s="15" t="s">
        <v>53</v>
      </c>
      <c r="O132" s="15" t="s">
        <v>24</v>
      </c>
      <c r="P132" s="15" t="s">
        <v>34</v>
      </c>
      <c r="Q132" s="27">
        <v>1548.32</v>
      </c>
      <c r="R132" s="27">
        <v>588.36159999999995</v>
      </c>
      <c r="S132" s="31">
        <v>959.95839999999998</v>
      </c>
    </row>
    <row r="133" spans="1:19" x14ac:dyDescent="0.25">
      <c r="A133" s="20">
        <v>45669</v>
      </c>
      <c r="B133" s="15" t="s">
        <v>182</v>
      </c>
      <c r="C133" s="15">
        <v>63559</v>
      </c>
      <c r="D133" s="15" t="s">
        <v>89</v>
      </c>
      <c r="E133" s="15">
        <v>32</v>
      </c>
      <c r="F133" s="27">
        <v>65.23</v>
      </c>
      <c r="G133" s="15" t="s">
        <v>18</v>
      </c>
      <c r="H133" s="35">
        <v>0.23</v>
      </c>
      <c r="I133" s="15" t="s">
        <v>734</v>
      </c>
      <c r="J133" s="27">
        <v>13.05</v>
      </c>
      <c r="K133" s="15" t="s">
        <v>50</v>
      </c>
      <c r="L133" s="15" t="s">
        <v>31</v>
      </c>
      <c r="M133" s="15" t="s">
        <v>22</v>
      </c>
      <c r="N133" s="15" t="s">
        <v>53</v>
      </c>
      <c r="O133" s="15" t="s">
        <v>33</v>
      </c>
      <c r="P133" s="15" t="s">
        <v>34</v>
      </c>
      <c r="Q133" s="27">
        <v>2087.36</v>
      </c>
      <c r="R133" s="27">
        <v>480.09280000000007</v>
      </c>
      <c r="S133" s="31">
        <v>1607.2672</v>
      </c>
    </row>
    <row r="134" spans="1:19" x14ac:dyDescent="0.25">
      <c r="A134" s="20">
        <v>45669</v>
      </c>
      <c r="B134" s="15" t="s">
        <v>183</v>
      </c>
      <c r="C134" s="15">
        <v>91445</v>
      </c>
      <c r="D134" s="15" t="s">
        <v>70</v>
      </c>
      <c r="E134" s="15">
        <v>47</v>
      </c>
      <c r="F134" s="27">
        <v>82.16</v>
      </c>
      <c r="G134" s="15" t="s">
        <v>58</v>
      </c>
      <c r="H134" s="35">
        <v>0.13</v>
      </c>
      <c r="I134" s="15" t="s">
        <v>734</v>
      </c>
      <c r="J134" s="27">
        <v>20.68</v>
      </c>
      <c r="K134" s="15" t="s">
        <v>50</v>
      </c>
      <c r="L134" s="15" t="s">
        <v>21</v>
      </c>
      <c r="M134" s="15" t="s">
        <v>111</v>
      </c>
      <c r="N134" s="15" t="s">
        <v>38</v>
      </c>
      <c r="O134" s="15" t="s">
        <v>33</v>
      </c>
      <c r="P134" s="15" t="s">
        <v>34</v>
      </c>
      <c r="Q134" s="27">
        <v>3861.52</v>
      </c>
      <c r="R134" s="27">
        <v>501.99760000000003</v>
      </c>
      <c r="S134" s="31">
        <v>3359.5223999999998</v>
      </c>
    </row>
    <row r="135" spans="1:19" x14ac:dyDescent="0.25">
      <c r="A135" s="20">
        <v>45671</v>
      </c>
      <c r="B135" s="15" t="s">
        <v>184</v>
      </c>
      <c r="C135" s="15">
        <v>21660</v>
      </c>
      <c r="D135" s="15" t="s">
        <v>42</v>
      </c>
      <c r="E135" s="15">
        <v>19</v>
      </c>
      <c r="F135" s="27">
        <v>59.26</v>
      </c>
      <c r="G135" s="15" t="s">
        <v>55</v>
      </c>
      <c r="H135" s="35">
        <v>0.28999999999999998</v>
      </c>
      <c r="I135" s="15" t="s">
        <v>19</v>
      </c>
      <c r="J135" s="27">
        <v>5.42</v>
      </c>
      <c r="K135" s="15" t="s">
        <v>44</v>
      </c>
      <c r="L135" s="15" t="s">
        <v>31</v>
      </c>
      <c r="M135" s="15" t="s">
        <v>22</v>
      </c>
      <c r="N135" s="15" t="s">
        <v>32</v>
      </c>
      <c r="O135" s="15" t="s">
        <v>24</v>
      </c>
      <c r="P135" s="15" t="s">
        <v>25</v>
      </c>
      <c r="Q135" s="27">
        <v>1125.94</v>
      </c>
      <c r="R135" s="27">
        <v>326.52260000000001</v>
      </c>
      <c r="S135" s="31">
        <v>799.41740000000004</v>
      </c>
    </row>
    <row r="136" spans="1:19" x14ac:dyDescent="0.25">
      <c r="A136" s="20">
        <v>45671</v>
      </c>
      <c r="B136" s="15" t="s">
        <v>185</v>
      </c>
      <c r="C136" s="15">
        <v>85397</v>
      </c>
      <c r="D136" s="15" t="s">
        <v>42</v>
      </c>
      <c r="E136" s="15">
        <v>47</v>
      </c>
      <c r="F136" s="27">
        <v>80.900000000000006</v>
      </c>
      <c r="G136" s="15" t="s">
        <v>76</v>
      </c>
      <c r="H136" s="35">
        <v>0.4</v>
      </c>
      <c r="I136" s="15" t="s">
        <v>19</v>
      </c>
      <c r="J136" s="27">
        <v>15.75</v>
      </c>
      <c r="K136" s="15" t="s">
        <v>37</v>
      </c>
      <c r="L136" s="15" t="s">
        <v>31</v>
      </c>
      <c r="M136" s="15" t="s">
        <v>22</v>
      </c>
      <c r="N136" s="15" t="s">
        <v>53</v>
      </c>
      <c r="O136" s="15" t="s">
        <v>81</v>
      </c>
      <c r="P136" s="15" t="s">
        <v>34</v>
      </c>
      <c r="Q136" s="27">
        <v>3802.3</v>
      </c>
      <c r="R136" s="27">
        <v>1520.92</v>
      </c>
      <c r="S136" s="31">
        <v>2281.38</v>
      </c>
    </row>
    <row r="137" spans="1:19" x14ac:dyDescent="0.25">
      <c r="A137" s="20">
        <v>45671</v>
      </c>
      <c r="B137" s="15" t="s">
        <v>186</v>
      </c>
      <c r="C137" s="15">
        <v>35013</v>
      </c>
      <c r="D137" s="15" t="s">
        <v>75</v>
      </c>
      <c r="E137" s="15">
        <v>2</v>
      </c>
      <c r="F137" s="27">
        <v>59.49</v>
      </c>
      <c r="G137" s="15" t="s">
        <v>99</v>
      </c>
      <c r="H137" s="35">
        <v>0.24</v>
      </c>
      <c r="I137" s="15" t="s">
        <v>19</v>
      </c>
      <c r="J137" s="27">
        <v>14.09</v>
      </c>
      <c r="K137" s="15" t="s">
        <v>37</v>
      </c>
      <c r="L137" s="15" t="s">
        <v>21</v>
      </c>
      <c r="M137" s="15" t="s">
        <v>22</v>
      </c>
      <c r="N137" s="15" t="s">
        <v>53</v>
      </c>
      <c r="O137" s="15" t="s">
        <v>24</v>
      </c>
      <c r="P137" s="15" t="s">
        <v>40</v>
      </c>
      <c r="Q137" s="27">
        <v>118.98</v>
      </c>
      <c r="R137" s="27">
        <v>28.555199999999999</v>
      </c>
      <c r="S137" s="31">
        <v>90.424800000000005</v>
      </c>
    </row>
    <row r="138" spans="1:19" x14ac:dyDescent="0.25">
      <c r="A138" s="20">
        <v>45671</v>
      </c>
      <c r="B138" s="15" t="s">
        <v>187</v>
      </c>
      <c r="C138" s="15">
        <v>27166</v>
      </c>
      <c r="D138" s="15" t="s">
        <v>27</v>
      </c>
      <c r="E138" s="15">
        <v>32</v>
      </c>
      <c r="F138" s="27">
        <v>2.2200000000000002</v>
      </c>
      <c r="G138" s="15" t="s">
        <v>36</v>
      </c>
      <c r="H138" s="35">
        <v>0.01</v>
      </c>
      <c r="I138" s="15" t="s">
        <v>19</v>
      </c>
      <c r="J138" s="27">
        <v>8.2100000000000009</v>
      </c>
      <c r="K138" s="15" t="s">
        <v>30</v>
      </c>
      <c r="L138" s="15" t="s">
        <v>31</v>
      </c>
      <c r="M138" s="15" t="s">
        <v>22</v>
      </c>
      <c r="N138" s="15" t="s">
        <v>32</v>
      </c>
      <c r="O138" s="15" t="s">
        <v>24</v>
      </c>
      <c r="P138" s="15" t="s">
        <v>34</v>
      </c>
      <c r="Q138" s="27">
        <v>71.040000000000006</v>
      </c>
      <c r="R138" s="27">
        <v>0.71040000000000003</v>
      </c>
      <c r="S138" s="31">
        <v>70.329599999999999</v>
      </c>
    </row>
    <row r="139" spans="1:19" x14ac:dyDescent="0.25">
      <c r="A139" s="20">
        <v>45671</v>
      </c>
      <c r="B139" s="15" t="s">
        <v>109</v>
      </c>
      <c r="C139" s="15">
        <v>97755</v>
      </c>
      <c r="D139" s="15" t="s">
        <v>68</v>
      </c>
      <c r="E139" s="15">
        <v>33</v>
      </c>
      <c r="F139" s="27">
        <v>39.369999999999997</v>
      </c>
      <c r="G139" s="15" t="s">
        <v>52</v>
      </c>
      <c r="H139" s="35">
        <v>0.1</v>
      </c>
      <c r="I139" s="15" t="s">
        <v>19</v>
      </c>
      <c r="J139" s="27">
        <v>19.98</v>
      </c>
      <c r="K139" s="15" t="s">
        <v>20</v>
      </c>
      <c r="L139" s="15" t="s">
        <v>31</v>
      </c>
      <c r="M139" s="15" t="s">
        <v>22</v>
      </c>
      <c r="N139" s="15" t="s">
        <v>38</v>
      </c>
      <c r="O139" s="15" t="s">
        <v>39</v>
      </c>
      <c r="P139" s="15" t="s">
        <v>25</v>
      </c>
      <c r="Q139" s="27">
        <v>1299.2099999999998</v>
      </c>
      <c r="R139" s="27">
        <v>129.92099999999999</v>
      </c>
      <c r="S139" s="31">
        <v>1169.2889999999998</v>
      </c>
    </row>
    <row r="140" spans="1:19" x14ac:dyDescent="0.25">
      <c r="A140" s="20">
        <v>45671</v>
      </c>
      <c r="B140" s="15" t="s">
        <v>188</v>
      </c>
      <c r="C140" s="15">
        <v>45089</v>
      </c>
      <c r="D140" s="15" t="s">
        <v>57</v>
      </c>
      <c r="E140" s="15">
        <v>28</v>
      </c>
      <c r="F140" s="27">
        <v>36.31</v>
      </c>
      <c r="G140" s="15" t="s">
        <v>47</v>
      </c>
      <c r="H140" s="35">
        <v>0.04</v>
      </c>
      <c r="I140" s="15" t="s">
        <v>29</v>
      </c>
      <c r="J140" s="27">
        <v>21.39</v>
      </c>
      <c r="K140" s="15" t="s">
        <v>20</v>
      </c>
      <c r="L140" s="15" t="s">
        <v>21</v>
      </c>
      <c r="M140" s="15" t="s">
        <v>22</v>
      </c>
      <c r="N140" s="15" t="s">
        <v>23</v>
      </c>
      <c r="O140" s="15" t="s">
        <v>24</v>
      </c>
      <c r="P140" s="15" t="s">
        <v>34</v>
      </c>
      <c r="Q140" s="27">
        <v>1016.6800000000001</v>
      </c>
      <c r="R140" s="27">
        <v>40.667200000000001</v>
      </c>
      <c r="S140" s="31">
        <v>976.01280000000008</v>
      </c>
    </row>
    <row r="141" spans="1:19" x14ac:dyDescent="0.25">
      <c r="A141" s="20">
        <v>45671</v>
      </c>
      <c r="B141" s="15" t="s">
        <v>86</v>
      </c>
      <c r="C141" s="15">
        <v>30463</v>
      </c>
      <c r="D141" s="15" t="s">
        <v>57</v>
      </c>
      <c r="E141" s="15">
        <v>37</v>
      </c>
      <c r="F141" s="27">
        <v>83.84</v>
      </c>
      <c r="G141" s="15" t="s">
        <v>55</v>
      </c>
      <c r="H141" s="35">
        <v>0.03</v>
      </c>
      <c r="I141" s="15" t="s">
        <v>19</v>
      </c>
      <c r="J141" s="27">
        <v>15.34</v>
      </c>
      <c r="K141" s="15" t="s">
        <v>37</v>
      </c>
      <c r="L141" s="15" t="s">
        <v>31</v>
      </c>
      <c r="M141" s="15" t="s">
        <v>22</v>
      </c>
      <c r="N141" s="15" t="s">
        <v>38</v>
      </c>
      <c r="O141" s="15" t="s">
        <v>24</v>
      </c>
      <c r="P141" s="15" t="s">
        <v>34</v>
      </c>
      <c r="Q141" s="27">
        <v>3102.08</v>
      </c>
      <c r="R141" s="27">
        <v>93.062399999999997</v>
      </c>
      <c r="S141" s="31">
        <v>3009.0176000000001</v>
      </c>
    </row>
    <row r="142" spans="1:19" x14ac:dyDescent="0.25">
      <c r="A142" s="20">
        <v>45671</v>
      </c>
      <c r="B142" s="15" t="s">
        <v>189</v>
      </c>
      <c r="C142" s="15">
        <v>48196</v>
      </c>
      <c r="D142" s="15" t="s">
        <v>57</v>
      </c>
      <c r="E142" s="15">
        <v>2</v>
      </c>
      <c r="F142" s="27">
        <v>11.9</v>
      </c>
      <c r="G142" s="15" t="s">
        <v>55</v>
      </c>
      <c r="H142" s="35">
        <v>0.21</v>
      </c>
      <c r="I142" s="15" t="s">
        <v>734</v>
      </c>
      <c r="J142" s="27">
        <v>10.7</v>
      </c>
      <c r="K142" s="15" t="s">
        <v>30</v>
      </c>
      <c r="L142" s="15" t="s">
        <v>31</v>
      </c>
      <c r="M142" s="15" t="s">
        <v>735</v>
      </c>
      <c r="N142" s="15" t="s">
        <v>53</v>
      </c>
      <c r="O142" s="15" t="s">
        <v>59</v>
      </c>
      <c r="P142" s="15" t="s">
        <v>34</v>
      </c>
      <c r="Q142" s="27">
        <v>23.8</v>
      </c>
      <c r="R142" s="27">
        <v>4.9980000000000002</v>
      </c>
      <c r="S142" s="31">
        <v>18.802</v>
      </c>
    </row>
    <row r="143" spans="1:19" x14ac:dyDescent="0.25">
      <c r="A143" s="20">
        <v>45671</v>
      </c>
      <c r="B143" s="15" t="s">
        <v>190</v>
      </c>
      <c r="C143" s="15">
        <v>49699</v>
      </c>
      <c r="D143" s="15" t="s">
        <v>27</v>
      </c>
      <c r="E143" s="15">
        <v>22</v>
      </c>
      <c r="F143" s="27">
        <v>6.65</v>
      </c>
      <c r="G143" s="15" t="s">
        <v>18</v>
      </c>
      <c r="H143" s="35">
        <v>0.46</v>
      </c>
      <c r="I143" s="15" t="s">
        <v>19</v>
      </c>
      <c r="J143" s="27">
        <v>7.14</v>
      </c>
      <c r="K143" s="15" t="s">
        <v>44</v>
      </c>
      <c r="L143" s="15" t="s">
        <v>31</v>
      </c>
      <c r="M143" s="15" t="s">
        <v>111</v>
      </c>
      <c r="N143" s="15" t="s">
        <v>23</v>
      </c>
      <c r="O143" s="15" t="s">
        <v>81</v>
      </c>
      <c r="P143" s="15" t="s">
        <v>25</v>
      </c>
      <c r="Q143" s="27">
        <v>146.30000000000001</v>
      </c>
      <c r="R143" s="27">
        <v>67.298000000000002</v>
      </c>
      <c r="S143" s="31">
        <v>79.00200000000001</v>
      </c>
    </row>
    <row r="144" spans="1:19" x14ac:dyDescent="0.25">
      <c r="A144" s="20">
        <v>45672</v>
      </c>
      <c r="B144" s="15" t="s">
        <v>65</v>
      </c>
      <c r="C144" s="15">
        <v>24430</v>
      </c>
      <c r="D144" s="15" t="s">
        <v>89</v>
      </c>
      <c r="E144" s="15">
        <v>14</v>
      </c>
      <c r="F144" s="27">
        <v>78.7</v>
      </c>
      <c r="G144" s="15" t="s">
        <v>55</v>
      </c>
      <c r="H144" s="35">
        <v>0.39</v>
      </c>
      <c r="I144" s="15" t="s">
        <v>734</v>
      </c>
      <c r="J144" s="27">
        <v>23.23</v>
      </c>
      <c r="K144" s="15" t="s">
        <v>20</v>
      </c>
      <c r="L144" s="15" t="s">
        <v>31</v>
      </c>
      <c r="M144" s="15" t="s">
        <v>22</v>
      </c>
      <c r="N144" s="15" t="s">
        <v>53</v>
      </c>
      <c r="O144" s="15" t="s">
        <v>24</v>
      </c>
      <c r="P144" s="15" t="s">
        <v>40</v>
      </c>
      <c r="Q144" s="27">
        <v>1101.8</v>
      </c>
      <c r="R144" s="27">
        <v>429.702</v>
      </c>
      <c r="S144" s="31">
        <v>672.09799999999996</v>
      </c>
    </row>
    <row r="145" spans="1:19" x14ac:dyDescent="0.25">
      <c r="A145" s="20">
        <v>45672</v>
      </c>
      <c r="B145" s="15" t="s">
        <v>191</v>
      </c>
      <c r="C145" s="15">
        <v>43191</v>
      </c>
      <c r="D145" s="15" t="s">
        <v>66</v>
      </c>
      <c r="E145" s="15">
        <v>47</v>
      </c>
      <c r="F145" s="27">
        <v>28.54</v>
      </c>
      <c r="G145" s="15" t="s">
        <v>99</v>
      </c>
      <c r="H145" s="35">
        <v>0.3</v>
      </c>
      <c r="I145" s="15" t="s">
        <v>734</v>
      </c>
      <c r="J145" s="27">
        <v>28.83</v>
      </c>
      <c r="K145" s="15" t="s">
        <v>30</v>
      </c>
      <c r="L145" s="15" t="s">
        <v>31</v>
      </c>
      <c r="M145" s="15" t="s">
        <v>22</v>
      </c>
      <c r="N145" s="15" t="s">
        <v>53</v>
      </c>
      <c r="O145" s="15" t="s">
        <v>39</v>
      </c>
      <c r="P145" s="15" t="s">
        <v>25</v>
      </c>
      <c r="Q145" s="27">
        <v>1341.3799999999999</v>
      </c>
      <c r="R145" s="27">
        <v>402.41399999999993</v>
      </c>
      <c r="S145" s="31">
        <v>938.96599999999989</v>
      </c>
    </row>
    <row r="146" spans="1:19" x14ac:dyDescent="0.25">
      <c r="A146" s="20">
        <v>45672</v>
      </c>
      <c r="B146" s="15" t="s">
        <v>101</v>
      </c>
      <c r="C146" s="15">
        <v>95810</v>
      </c>
      <c r="D146" s="15" t="s">
        <v>70</v>
      </c>
      <c r="E146" s="15">
        <v>18</v>
      </c>
      <c r="F146" s="27">
        <v>96.12</v>
      </c>
      <c r="G146" s="15" t="s">
        <v>84</v>
      </c>
      <c r="H146" s="35">
        <v>0.28999999999999998</v>
      </c>
      <c r="I146" s="15" t="s">
        <v>734</v>
      </c>
      <c r="J146" s="27">
        <v>5.05</v>
      </c>
      <c r="K146" s="15" t="s">
        <v>50</v>
      </c>
      <c r="L146" s="15" t="s">
        <v>31</v>
      </c>
      <c r="M146" s="15" t="s">
        <v>22</v>
      </c>
      <c r="N146" s="15" t="s">
        <v>32</v>
      </c>
      <c r="O146" s="15" t="s">
        <v>24</v>
      </c>
      <c r="P146" s="15" t="s">
        <v>34</v>
      </c>
      <c r="Q146" s="27">
        <v>1730.16</v>
      </c>
      <c r="R146" s="27">
        <v>501.74639999999999</v>
      </c>
      <c r="S146" s="31">
        <v>1228.4136000000001</v>
      </c>
    </row>
    <row r="147" spans="1:19" x14ac:dyDescent="0.25">
      <c r="A147" s="20">
        <v>45672</v>
      </c>
      <c r="B147" s="15" t="s">
        <v>192</v>
      </c>
      <c r="C147" s="15">
        <v>67823</v>
      </c>
      <c r="D147" s="15" t="s">
        <v>75</v>
      </c>
      <c r="E147" s="15">
        <v>34</v>
      </c>
      <c r="F147" s="27">
        <v>53</v>
      </c>
      <c r="G147" s="15" t="s">
        <v>47</v>
      </c>
      <c r="H147" s="35">
        <v>0.44</v>
      </c>
      <c r="I147" s="15" t="s">
        <v>19</v>
      </c>
      <c r="J147" s="27">
        <v>11.58</v>
      </c>
      <c r="K147" s="15" t="s">
        <v>37</v>
      </c>
      <c r="L147" s="15" t="s">
        <v>21</v>
      </c>
      <c r="M147" s="15" t="s">
        <v>22</v>
      </c>
      <c r="N147" s="15" t="s">
        <v>38</v>
      </c>
      <c r="O147" s="15" t="s">
        <v>81</v>
      </c>
      <c r="P147" s="15" t="s">
        <v>40</v>
      </c>
      <c r="Q147" s="27">
        <v>1802</v>
      </c>
      <c r="R147" s="27">
        <v>792.88</v>
      </c>
      <c r="S147" s="31">
        <v>1009.12</v>
      </c>
    </row>
    <row r="148" spans="1:19" x14ac:dyDescent="0.25">
      <c r="A148" s="20">
        <v>45672</v>
      </c>
      <c r="B148" s="15" t="s">
        <v>193</v>
      </c>
      <c r="C148" s="15">
        <v>96274</v>
      </c>
      <c r="D148" s="15" t="s">
        <v>57</v>
      </c>
      <c r="E148" s="15">
        <v>36</v>
      </c>
      <c r="F148" s="27">
        <v>35.229999999999997</v>
      </c>
      <c r="G148" s="15" t="s">
        <v>72</v>
      </c>
      <c r="H148" s="35">
        <v>0.23</v>
      </c>
      <c r="I148" s="15" t="s">
        <v>734</v>
      </c>
      <c r="J148" s="27">
        <v>12.59</v>
      </c>
      <c r="K148" s="15" t="s">
        <v>50</v>
      </c>
      <c r="L148" s="15" t="s">
        <v>31</v>
      </c>
      <c r="M148" s="15" t="s">
        <v>22</v>
      </c>
      <c r="N148" s="15" t="s">
        <v>23</v>
      </c>
      <c r="O148" s="15" t="s">
        <v>59</v>
      </c>
      <c r="P148" s="15" t="s">
        <v>25</v>
      </c>
      <c r="Q148" s="27">
        <v>1268.28</v>
      </c>
      <c r="R148" s="27">
        <v>291.70440000000002</v>
      </c>
      <c r="S148" s="31">
        <v>976.57559999999989</v>
      </c>
    </row>
    <row r="149" spans="1:19" x14ac:dyDescent="0.25">
      <c r="A149" s="20">
        <v>45672</v>
      </c>
      <c r="B149" s="15" t="s">
        <v>194</v>
      </c>
      <c r="C149" s="15">
        <v>92731</v>
      </c>
      <c r="D149" s="15" t="s">
        <v>75</v>
      </c>
      <c r="E149" s="15">
        <v>26</v>
      </c>
      <c r="F149" s="27">
        <v>94.9</v>
      </c>
      <c r="G149" s="15" t="s">
        <v>58</v>
      </c>
      <c r="H149" s="35">
        <v>0.39</v>
      </c>
      <c r="I149" s="15" t="s">
        <v>29</v>
      </c>
      <c r="J149" s="27">
        <v>8.51</v>
      </c>
      <c r="K149" s="15" t="s">
        <v>30</v>
      </c>
      <c r="L149" s="15" t="s">
        <v>31</v>
      </c>
      <c r="M149" s="15" t="s">
        <v>22</v>
      </c>
      <c r="N149" s="15" t="s">
        <v>23</v>
      </c>
      <c r="O149" s="15" t="s">
        <v>24</v>
      </c>
      <c r="P149" s="15" t="s">
        <v>34</v>
      </c>
      <c r="Q149" s="27">
        <v>2467.4</v>
      </c>
      <c r="R149" s="27">
        <v>962.28600000000006</v>
      </c>
      <c r="S149" s="31">
        <v>1505.114</v>
      </c>
    </row>
    <row r="150" spans="1:19" x14ac:dyDescent="0.25">
      <c r="A150" s="20">
        <v>45672</v>
      </c>
      <c r="B150" s="15" t="s">
        <v>195</v>
      </c>
      <c r="C150" s="15">
        <v>75366</v>
      </c>
      <c r="D150" s="15" t="s">
        <v>68</v>
      </c>
      <c r="E150" s="15">
        <v>41</v>
      </c>
      <c r="F150" s="27">
        <v>97.84</v>
      </c>
      <c r="G150" s="15" t="s">
        <v>84</v>
      </c>
      <c r="H150" s="35">
        <v>0.1</v>
      </c>
      <c r="I150" s="15" t="s">
        <v>734</v>
      </c>
      <c r="J150" s="27">
        <v>23</v>
      </c>
      <c r="K150" s="15" t="s">
        <v>50</v>
      </c>
      <c r="L150" s="15" t="s">
        <v>21</v>
      </c>
      <c r="M150" s="15" t="s">
        <v>22</v>
      </c>
      <c r="N150" s="15" t="s">
        <v>23</v>
      </c>
      <c r="O150" s="15" t="s">
        <v>81</v>
      </c>
      <c r="P150" s="15" t="s">
        <v>25</v>
      </c>
      <c r="Q150" s="27">
        <v>4011.44</v>
      </c>
      <c r="R150" s="27">
        <v>401.14400000000001</v>
      </c>
      <c r="S150" s="31">
        <v>3610.2960000000003</v>
      </c>
    </row>
    <row r="151" spans="1:19" x14ac:dyDescent="0.25">
      <c r="A151" s="20">
        <v>45672</v>
      </c>
      <c r="B151" s="15" t="s">
        <v>196</v>
      </c>
      <c r="C151" s="15">
        <v>68621</v>
      </c>
      <c r="D151" s="15" t="s">
        <v>66</v>
      </c>
      <c r="E151" s="15">
        <v>36</v>
      </c>
      <c r="F151" s="27">
        <v>97.22</v>
      </c>
      <c r="G151" s="15" t="s">
        <v>76</v>
      </c>
      <c r="H151" s="35">
        <v>0.05</v>
      </c>
      <c r="I151" s="15" t="s">
        <v>19</v>
      </c>
      <c r="J151" s="27">
        <v>23.11</v>
      </c>
      <c r="K151" s="15" t="s">
        <v>50</v>
      </c>
      <c r="L151" s="15" t="s">
        <v>21</v>
      </c>
      <c r="M151" s="15" t="s">
        <v>111</v>
      </c>
      <c r="N151" s="15" t="s">
        <v>23</v>
      </c>
      <c r="O151" s="15" t="s">
        <v>24</v>
      </c>
      <c r="P151" s="15" t="s">
        <v>34</v>
      </c>
      <c r="Q151" s="27">
        <v>3499.92</v>
      </c>
      <c r="R151" s="27">
        <v>174.99600000000001</v>
      </c>
      <c r="S151" s="31">
        <v>3324.924</v>
      </c>
    </row>
    <row r="152" spans="1:19" x14ac:dyDescent="0.25">
      <c r="A152" s="20">
        <v>45672</v>
      </c>
      <c r="B152" s="15" t="s">
        <v>185</v>
      </c>
      <c r="C152" s="15">
        <v>26317</v>
      </c>
      <c r="D152" s="15" t="s">
        <v>27</v>
      </c>
      <c r="E152" s="15">
        <v>16</v>
      </c>
      <c r="F152" s="27">
        <v>57.75</v>
      </c>
      <c r="G152" s="15" t="s">
        <v>18</v>
      </c>
      <c r="H152" s="35">
        <v>0.32</v>
      </c>
      <c r="I152" s="15" t="s">
        <v>734</v>
      </c>
      <c r="J152" s="27">
        <v>8.33</v>
      </c>
      <c r="K152" s="15" t="s">
        <v>44</v>
      </c>
      <c r="L152" s="15" t="s">
        <v>21</v>
      </c>
      <c r="M152" s="15" t="s">
        <v>22</v>
      </c>
      <c r="N152" s="15" t="s">
        <v>23</v>
      </c>
      <c r="O152" s="15" t="s">
        <v>59</v>
      </c>
      <c r="P152" s="15" t="s">
        <v>25</v>
      </c>
      <c r="Q152" s="27">
        <v>924</v>
      </c>
      <c r="R152" s="27">
        <v>295.68</v>
      </c>
      <c r="S152" s="31">
        <v>628.31999999999994</v>
      </c>
    </row>
    <row r="153" spans="1:19" x14ac:dyDescent="0.25">
      <c r="A153" s="20">
        <v>45672</v>
      </c>
      <c r="B153" s="15" t="s">
        <v>197</v>
      </c>
      <c r="C153" s="15">
        <v>99417</v>
      </c>
      <c r="D153" s="15" t="s">
        <v>57</v>
      </c>
      <c r="E153" s="15">
        <v>25</v>
      </c>
      <c r="F153" s="27">
        <v>37.71</v>
      </c>
      <c r="G153" s="15" t="s">
        <v>99</v>
      </c>
      <c r="H153" s="35">
        <v>0.11</v>
      </c>
      <c r="I153" s="15" t="s">
        <v>734</v>
      </c>
      <c r="J153" s="27">
        <v>10.119999999999999</v>
      </c>
      <c r="K153" s="15" t="s">
        <v>20</v>
      </c>
      <c r="L153" s="15" t="s">
        <v>31</v>
      </c>
      <c r="M153" s="15" t="s">
        <v>22</v>
      </c>
      <c r="N153" s="15" t="s">
        <v>53</v>
      </c>
      <c r="O153" s="15" t="s">
        <v>81</v>
      </c>
      <c r="P153" s="15" t="s">
        <v>34</v>
      </c>
      <c r="Q153" s="27">
        <v>942.75</v>
      </c>
      <c r="R153" s="27">
        <v>103.7025</v>
      </c>
      <c r="S153" s="31">
        <v>839.04750000000001</v>
      </c>
    </row>
    <row r="154" spans="1:19" x14ac:dyDescent="0.25">
      <c r="A154" s="20">
        <v>45672</v>
      </c>
      <c r="B154" s="15" t="s">
        <v>198</v>
      </c>
      <c r="C154" s="15">
        <v>75353</v>
      </c>
      <c r="D154" s="15" t="s">
        <v>75</v>
      </c>
      <c r="E154" s="15">
        <v>41</v>
      </c>
      <c r="F154" s="27">
        <v>98.23</v>
      </c>
      <c r="G154" s="15" t="s">
        <v>43</v>
      </c>
      <c r="H154" s="35">
        <v>0.47</v>
      </c>
      <c r="I154" s="15" t="s">
        <v>734</v>
      </c>
      <c r="J154" s="27">
        <v>9.01</v>
      </c>
      <c r="K154" s="15" t="s">
        <v>50</v>
      </c>
      <c r="L154" s="15" t="s">
        <v>21</v>
      </c>
      <c r="M154" s="15" t="s">
        <v>735</v>
      </c>
      <c r="N154" s="15" t="s">
        <v>23</v>
      </c>
      <c r="O154" s="15" t="s">
        <v>39</v>
      </c>
      <c r="P154" s="15" t="s">
        <v>34</v>
      </c>
      <c r="Q154" s="27">
        <v>4027.4300000000003</v>
      </c>
      <c r="R154" s="27">
        <v>1892.8921</v>
      </c>
      <c r="S154" s="31">
        <v>2134.5379000000003</v>
      </c>
    </row>
    <row r="155" spans="1:19" x14ac:dyDescent="0.25">
      <c r="A155" s="20">
        <v>45672</v>
      </c>
      <c r="B155" s="15" t="s">
        <v>199</v>
      </c>
      <c r="C155" s="15">
        <v>48900</v>
      </c>
      <c r="D155" s="15" t="s">
        <v>75</v>
      </c>
      <c r="E155" s="15">
        <v>32</v>
      </c>
      <c r="F155" s="27">
        <v>98.83</v>
      </c>
      <c r="G155" s="15" t="s">
        <v>18</v>
      </c>
      <c r="H155" s="35">
        <v>0.15</v>
      </c>
      <c r="I155" s="15" t="s">
        <v>19</v>
      </c>
      <c r="J155" s="27">
        <v>16.170000000000002</v>
      </c>
      <c r="K155" s="15" t="s">
        <v>44</v>
      </c>
      <c r="L155" s="15" t="s">
        <v>31</v>
      </c>
      <c r="M155" s="15" t="s">
        <v>22</v>
      </c>
      <c r="N155" s="15" t="s">
        <v>23</v>
      </c>
      <c r="O155" s="15" t="s">
        <v>39</v>
      </c>
      <c r="P155" s="15" t="s">
        <v>25</v>
      </c>
      <c r="Q155" s="27">
        <v>3162.56</v>
      </c>
      <c r="R155" s="27">
        <v>474.38399999999996</v>
      </c>
      <c r="S155" s="31">
        <v>2688.1759999999999</v>
      </c>
    </row>
    <row r="156" spans="1:19" x14ac:dyDescent="0.25">
      <c r="A156" s="20">
        <v>45672</v>
      </c>
      <c r="B156" s="15" t="s">
        <v>200</v>
      </c>
      <c r="C156" s="15">
        <v>90369</v>
      </c>
      <c r="D156" s="15" t="s">
        <v>49</v>
      </c>
      <c r="E156" s="15">
        <v>30</v>
      </c>
      <c r="F156" s="27">
        <v>93.51</v>
      </c>
      <c r="G156" s="15" t="s">
        <v>58</v>
      </c>
      <c r="H156" s="35">
        <v>0.15</v>
      </c>
      <c r="I156" s="15" t="s">
        <v>29</v>
      </c>
      <c r="J156" s="27">
        <v>12.16</v>
      </c>
      <c r="K156" s="15" t="s">
        <v>20</v>
      </c>
      <c r="L156" s="15" t="s">
        <v>31</v>
      </c>
      <c r="M156" s="15" t="s">
        <v>22</v>
      </c>
      <c r="N156" s="15" t="s">
        <v>23</v>
      </c>
      <c r="O156" s="15" t="s">
        <v>39</v>
      </c>
      <c r="P156" s="15" t="s">
        <v>40</v>
      </c>
      <c r="Q156" s="27">
        <v>2805.3</v>
      </c>
      <c r="R156" s="27">
        <v>420.79500000000002</v>
      </c>
      <c r="S156" s="31">
        <v>2384.5050000000001</v>
      </c>
    </row>
    <row r="157" spans="1:19" x14ac:dyDescent="0.25">
      <c r="A157" s="20">
        <v>45672</v>
      </c>
      <c r="B157" s="15" t="s">
        <v>119</v>
      </c>
      <c r="C157" s="15">
        <v>82177</v>
      </c>
      <c r="D157" s="15" t="s">
        <v>49</v>
      </c>
      <c r="E157" s="15">
        <v>42</v>
      </c>
      <c r="F157" s="27">
        <v>42.61</v>
      </c>
      <c r="G157" s="15" t="s">
        <v>58</v>
      </c>
      <c r="H157" s="35">
        <v>0.37</v>
      </c>
      <c r="I157" s="15" t="s">
        <v>29</v>
      </c>
      <c r="J157" s="27">
        <v>14.31</v>
      </c>
      <c r="K157" s="15" t="s">
        <v>44</v>
      </c>
      <c r="L157" s="15" t="s">
        <v>31</v>
      </c>
      <c r="M157" s="15" t="s">
        <v>22</v>
      </c>
      <c r="N157" s="15" t="s">
        <v>53</v>
      </c>
      <c r="O157" s="15" t="s">
        <v>81</v>
      </c>
      <c r="P157" s="15" t="s">
        <v>34</v>
      </c>
      <c r="Q157" s="27">
        <v>1789.62</v>
      </c>
      <c r="R157" s="27">
        <v>662.15940000000001</v>
      </c>
      <c r="S157" s="31">
        <v>1127.4605999999999</v>
      </c>
    </row>
    <row r="158" spans="1:19" x14ac:dyDescent="0.25">
      <c r="A158" s="20">
        <v>45672</v>
      </c>
      <c r="B158" s="15" t="s">
        <v>201</v>
      </c>
      <c r="C158" s="15">
        <v>88686</v>
      </c>
      <c r="D158" s="15" t="s">
        <v>46</v>
      </c>
      <c r="E158" s="15">
        <v>22</v>
      </c>
      <c r="F158" s="27">
        <v>79.34</v>
      </c>
      <c r="G158" s="15" t="s">
        <v>99</v>
      </c>
      <c r="H158" s="35">
        <v>0.26</v>
      </c>
      <c r="I158" s="15" t="s">
        <v>734</v>
      </c>
      <c r="J158" s="27">
        <v>20.66</v>
      </c>
      <c r="K158" s="15" t="s">
        <v>44</v>
      </c>
      <c r="L158" s="15" t="s">
        <v>21</v>
      </c>
      <c r="M158" s="15" t="s">
        <v>22</v>
      </c>
      <c r="N158" s="15" t="s">
        <v>38</v>
      </c>
      <c r="O158" s="15" t="s">
        <v>39</v>
      </c>
      <c r="P158" s="15" t="s">
        <v>25</v>
      </c>
      <c r="Q158" s="27">
        <v>1745.48</v>
      </c>
      <c r="R158" s="27">
        <v>453.82480000000004</v>
      </c>
      <c r="S158" s="31">
        <v>1291.6551999999999</v>
      </c>
    </row>
    <row r="159" spans="1:19" x14ac:dyDescent="0.25">
      <c r="A159" s="20">
        <v>45672</v>
      </c>
      <c r="B159" s="15" t="s">
        <v>202</v>
      </c>
      <c r="C159" s="15">
        <v>71918</v>
      </c>
      <c r="D159" s="15" t="s">
        <v>75</v>
      </c>
      <c r="E159" s="15">
        <v>28</v>
      </c>
      <c r="F159" s="27">
        <v>53</v>
      </c>
      <c r="G159" s="15" t="s">
        <v>58</v>
      </c>
      <c r="H159" s="35">
        <v>0.38</v>
      </c>
      <c r="I159" s="15" t="s">
        <v>734</v>
      </c>
      <c r="J159" s="27">
        <v>12.26</v>
      </c>
      <c r="K159" s="15" t="s">
        <v>44</v>
      </c>
      <c r="L159" s="15" t="s">
        <v>21</v>
      </c>
      <c r="M159" s="15" t="s">
        <v>22</v>
      </c>
      <c r="N159" s="15" t="s">
        <v>53</v>
      </c>
      <c r="O159" s="15" t="s">
        <v>59</v>
      </c>
      <c r="P159" s="15" t="s">
        <v>34</v>
      </c>
      <c r="Q159" s="27">
        <v>1484</v>
      </c>
      <c r="R159" s="27">
        <v>563.91999999999996</v>
      </c>
      <c r="S159" s="31">
        <v>920.08</v>
      </c>
    </row>
    <row r="160" spans="1:19" x14ac:dyDescent="0.25">
      <c r="A160" s="20">
        <v>45672</v>
      </c>
      <c r="B160" s="15" t="s">
        <v>203</v>
      </c>
      <c r="C160" s="15">
        <v>16717</v>
      </c>
      <c r="D160" s="15" t="s">
        <v>66</v>
      </c>
      <c r="E160" s="15">
        <v>37</v>
      </c>
      <c r="F160" s="27">
        <v>10.96</v>
      </c>
      <c r="G160" s="15" t="s">
        <v>58</v>
      </c>
      <c r="H160" s="35">
        <v>0.45</v>
      </c>
      <c r="I160" s="15" t="s">
        <v>19</v>
      </c>
      <c r="J160" s="27">
        <v>15.62</v>
      </c>
      <c r="K160" s="15" t="s">
        <v>50</v>
      </c>
      <c r="L160" s="15" t="s">
        <v>21</v>
      </c>
      <c r="M160" s="15" t="s">
        <v>22</v>
      </c>
      <c r="N160" s="15" t="s">
        <v>23</v>
      </c>
      <c r="O160" s="15" t="s">
        <v>24</v>
      </c>
      <c r="P160" s="15" t="s">
        <v>25</v>
      </c>
      <c r="Q160" s="27">
        <v>405.52000000000004</v>
      </c>
      <c r="R160" s="27">
        <v>182.48400000000001</v>
      </c>
      <c r="S160" s="31">
        <v>223.03600000000003</v>
      </c>
    </row>
    <row r="161" spans="1:19" x14ac:dyDescent="0.25">
      <c r="A161" s="20">
        <v>45672</v>
      </c>
      <c r="B161" s="15" t="s">
        <v>204</v>
      </c>
      <c r="C161" s="15">
        <v>88527</v>
      </c>
      <c r="D161" s="15" t="s">
        <v>17</v>
      </c>
      <c r="E161" s="15">
        <v>44</v>
      </c>
      <c r="F161" s="27">
        <v>17.32</v>
      </c>
      <c r="G161" s="15" t="s">
        <v>28</v>
      </c>
      <c r="H161" s="35">
        <v>0.1</v>
      </c>
      <c r="I161" s="15" t="s">
        <v>19</v>
      </c>
      <c r="J161" s="27">
        <v>25.64</v>
      </c>
      <c r="K161" s="15" t="s">
        <v>44</v>
      </c>
      <c r="L161" s="15" t="s">
        <v>31</v>
      </c>
      <c r="M161" s="15" t="s">
        <v>22</v>
      </c>
      <c r="N161" s="15" t="s">
        <v>23</v>
      </c>
      <c r="O161" s="15" t="s">
        <v>81</v>
      </c>
      <c r="P161" s="15" t="s">
        <v>40</v>
      </c>
      <c r="Q161" s="27">
        <v>762.08</v>
      </c>
      <c r="R161" s="27">
        <v>76.208000000000013</v>
      </c>
      <c r="S161" s="31">
        <v>685.87200000000007</v>
      </c>
    </row>
    <row r="162" spans="1:19" x14ac:dyDescent="0.25">
      <c r="A162" s="20">
        <v>45672</v>
      </c>
      <c r="B162" s="15" t="s">
        <v>205</v>
      </c>
      <c r="C162" s="15">
        <v>26888</v>
      </c>
      <c r="D162" s="15" t="s">
        <v>46</v>
      </c>
      <c r="E162" s="15">
        <v>39</v>
      </c>
      <c r="F162" s="27">
        <v>14.51</v>
      </c>
      <c r="G162" s="15" t="s">
        <v>72</v>
      </c>
      <c r="H162" s="35">
        <v>0.3</v>
      </c>
      <c r="I162" s="15" t="s">
        <v>734</v>
      </c>
      <c r="J162" s="27">
        <v>6.49</v>
      </c>
      <c r="K162" s="15" t="s">
        <v>37</v>
      </c>
      <c r="L162" s="15" t="s">
        <v>31</v>
      </c>
      <c r="M162" s="15" t="s">
        <v>22</v>
      </c>
      <c r="N162" s="15" t="s">
        <v>23</v>
      </c>
      <c r="O162" s="15" t="s">
        <v>59</v>
      </c>
      <c r="P162" s="15" t="s">
        <v>25</v>
      </c>
      <c r="Q162" s="27">
        <v>565.89</v>
      </c>
      <c r="R162" s="27">
        <v>169.767</v>
      </c>
      <c r="S162" s="31">
        <v>396.12299999999999</v>
      </c>
    </row>
    <row r="163" spans="1:19" x14ac:dyDescent="0.25">
      <c r="A163" s="20">
        <v>45672</v>
      </c>
      <c r="B163" s="15" t="s">
        <v>206</v>
      </c>
      <c r="C163" s="15">
        <v>95868</v>
      </c>
      <c r="D163" s="15" t="s">
        <v>89</v>
      </c>
      <c r="E163" s="15">
        <v>22</v>
      </c>
      <c r="F163" s="27">
        <v>34.31</v>
      </c>
      <c r="G163" s="15" t="s">
        <v>76</v>
      </c>
      <c r="H163" s="35">
        <v>0.15</v>
      </c>
      <c r="I163" s="15" t="s">
        <v>19</v>
      </c>
      <c r="J163" s="27">
        <v>23.76</v>
      </c>
      <c r="K163" s="15" t="s">
        <v>44</v>
      </c>
      <c r="L163" s="15" t="s">
        <v>31</v>
      </c>
      <c r="M163" s="15" t="s">
        <v>22</v>
      </c>
      <c r="N163" s="15" t="s">
        <v>53</v>
      </c>
      <c r="O163" s="15" t="s">
        <v>59</v>
      </c>
      <c r="P163" s="15" t="s">
        <v>25</v>
      </c>
      <c r="Q163" s="27">
        <v>754.82</v>
      </c>
      <c r="R163" s="27">
        <v>113.223</v>
      </c>
      <c r="S163" s="31">
        <v>641.59700000000009</v>
      </c>
    </row>
    <row r="164" spans="1:19" x14ac:dyDescent="0.25">
      <c r="A164" s="20">
        <v>45672</v>
      </c>
      <c r="B164" s="15" t="s">
        <v>167</v>
      </c>
      <c r="C164" s="15">
        <v>47982</v>
      </c>
      <c r="D164" s="15" t="s">
        <v>68</v>
      </c>
      <c r="E164" s="15">
        <v>8</v>
      </c>
      <c r="F164" s="27">
        <v>14.69</v>
      </c>
      <c r="G164" s="15" t="s">
        <v>52</v>
      </c>
      <c r="H164" s="35">
        <v>0.49</v>
      </c>
      <c r="I164" s="15" t="s">
        <v>29</v>
      </c>
      <c r="J164" s="27">
        <v>25.68</v>
      </c>
      <c r="K164" s="15" t="s">
        <v>44</v>
      </c>
      <c r="L164" s="15" t="s">
        <v>31</v>
      </c>
      <c r="M164" s="15" t="s">
        <v>22</v>
      </c>
      <c r="N164" s="15" t="s">
        <v>38</v>
      </c>
      <c r="O164" s="15" t="s">
        <v>81</v>
      </c>
      <c r="P164" s="15" t="s">
        <v>40</v>
      </c>
      <c r="Q164" s="27">
        <v>117.52</v>
      </c>
      <c r="R164" s="27">
        <v>57.584799999999994</v>
      </c>
      <c r="S164" s="31">
        <v>59.935200000000002</v>
      </c>
    </row>
    <row r="165" spans="1:19" x14ac:dyDescent="0.25">
      <c r="A165" s="20">
        <v>45672</v>
      </c>
      <c r="B165" s="15" t="s">
        <v>207</v>
      </c>
      <c r="C165" s="15">
        <v>52418</v>
      </c>
      <c r="D165" s="15" t="s">
        <v>66</v>
      </c>
      <c r="E165" s="15">
        <v>7</v>
      </c>
      <c r="F165" s="27">
        <v>92.89</v>
      </c>
      <c r="G165" s="15" t="s">
        <v>84</v>
      </c>
      <c r="H165" s="35">
        <v>0.32</v>
      </c>
      <c r="I165" s="15" t="s">
        <v>19</v>
      </c>
      <c r="J165" s="27">
        <v>14.5</v>
      </c>
      <c r="K165" s="15" t="s">
        <v>44</v>
      </c>
      <c r="L165" s="15" t="s">
        <v>31</v>
      </c>
      <c r="M165" s="15" t="s">
        <v>111</v>
      </c>
      <c r="N165" s="15" t="s">
        <v>53</v>
      </c>
      <c r="O165" s="15" t="s">
        <v>59</v>
      </c>
      <c r="P165" s="15" t="s">
        <v>25</v>
      </c>
      <c r="Q165" s="27">
        <v>650.23</v>
      </c>
      <c r="R165" s="27">
        <v>208.0736</v>
      </c>
      <c r="S165" s="31">
        <v>442.15640000000002</v>
      </c>
    </row>
    <row r="166" spans="1:19" x14ac:dyDescent="0.25">
      <c r="A166" s="20">
        <v>45673</v>
      </c>
      <c r="B166" s="15" t="s">
        <v>208</v>
      </c>
      <c r="C166" s="15">
        <v>45210</v>
      </c>
      <c r="D166" s="15" t="s">
        <v>17</v>
      </c>
      <c r="E166" s="15">
        <v>47</v>
      </c>
      <c r="F166" s="27">
        <v>49.95</v>
      </c>
      <c r="G166" s="15" t="s">
        <v>28</v>
      </c>
      <c r="H166" s="35">
        <v>0.06</v>
      </c>
      <c r="I166" s="15" t="s">
        <v>19</v>
      </c>
      <c r="J166" s="27">
        <v>27.99</v>
      </c>
      <c r="K166" s="15" t="s">
        <v>37</v>
      </c>
      <c r="L166" s="15" t="s">
        <v>31</v>
      </c>
      <c r="M166" s="15" t="s">
        <v>22</v>
      </c>
      <c r="N166" s="15" t="s">
        <v>32</v>
      </c>
      <c r="O166" s="15" t="s">
        <v>39</v>
      </c>
      <c r="P166" s="15" t="s">
        <v>34</v>
      </c>
      <c r="Q166" s="27">
        <v>2347.65</v>
      </c>
      <c r="R166" s="27">
        <v>140.85900000000001</v>
      </c>
      <c r="S166" s="31">
        <v>2206.7910000000002</v>
      </c>
    </row>
    <row r="167" spans="1:19" x14ac:dyDescent="0.25">
      <c r="A167" s="20">
        <v>45673</v>
      </c>
      <c r="B167" s="15" t="s">
        <v>209</v>
      </c>
      <c r="C167" s="15">
        <v>11175</v>
      </c>
      <c r="D167" s="15" t="s">
        <v>89</v>
      </c>
      <c r="E167" s="15">
        <v>10</v>
      </c>
      <c r="F167" s="27">
        <v>50.57</v>
      </c>
      <c r="G167" s="15" t="s">
        <v>43</v>
      </c>
      <c r="H167" s="35">
        <v>0.23</v>
      </c>
      <c r="I167" s="15" t="s">
        <v>19</v>
      </c>
      <c r="J167" s="27">
        <v>23.73</v>
      </c>
      <c r="K167" s="15" t="s">
        <v>50</v>
      </c>
      <c r="L167" s="15" t="s">
        <v>31</v>
      </c>
      <c r="M167" s="15" t="s">
        <v>22</v>
      </c>
      <c r="N167" s="15" t="s">
        <v>53</v>
      </c>
      <c r="O167" s="15" t="s">
        <v>24</v>
      </c>
      <c r="P167" s="15" t="s">
        <v>25</v>
      </c>
      <c r="Q167" s="27">
        <v>505.7</v>
      </c>
      <c r="R167" s="27">
        <v>116.31100000000001</v>
      </c>
      <c r="S167" s="31">
        <v>389.38900000000001</v>
      </c>
    </row>
    <row r="168" spans="1:19" x14ac:dyDescent="0.25">
      <c r="A168" s="20">
        <v>45673</v>
      </c>
      <c r="B168" s="15" t="s">
        <v>210</v>
      </c>
      <c r="C168" s="15">
        <v>13520</v>
      </c>
      <c r="D168" s="15" t="s">
        <v>57</v>
      </c>
      <c r="E168" s="15">
        <v>26</v>
      </c>
      <c r="F168" s="27">
        <v>72</v>
      </c>
      <c r="G168" s="15" t="s">
        <v>55</v>
      </c>
      <c r="H168" s="35">
        <v>0.28999999999999998</v>
      </c>
      <c r="I168" s="15" t="s">
        <v>29</v>
      </c>
      <c r="J168" s="27">
        <v>16.64</v>
      </c>
      <c r="K168" s="15" t="s">
        <v>37</v>
      </c>
      <c r="L168" s="15" t="s">
        <v>31</v>
      </c>
      <c r="M168" s="15" t="s">
        <v>22</v>
      </c>
      <c r="N168" s="15" t="s">
        <v>53</v>
      </c>
      <c r="O168" s="15" t="s">
        <v>81</v>
      </c>
      <c r="P168" s="15" t="s">
        <v>40</v>
      </c>
      <c r="Q168" s="27">
        <v>1872</v>
      </c>
      <c r="R168" s="27">
        <v>542.88</v>
      </c>
      <c r="S168" s="31">
        <v>1329.12</v>
      </c>
    </row>
    <row r="169" spans="1:19" x14ac:dyDescent="0.25">
      <c r="A169" s="20">
        <v>45673</v>
      </c>
      <c r="B169" s="15" t="s">
        <v>211</v>
      </c>
      <c r="C169" s="15">
        <v>15635</v>
      </c>
      <c r="D169" s="15" t="s">
        <v>42</v>
      </c>
      <c r="E169" s="15">
        <v>34</v>
      </c>
      <c r="F169" s="27">
        <v>92.63</v>
      </c>
      <c r="G169" s="15" t="s">
        <v>52</v>
      </c>
      <c r="H169" s="35">
        <v>0.39</v>
      </c>
      <c r="I169" s="15" t="s">
        <v>29</v>
      </c>
      <c r="J169" s="27">
        <v>16.899999999999999</v>
      </c>
      <c r="K169" s="15" t="s">
        <v>44</v>
      </c>
      <c r="L169" s="15" t="s">
        <v>21</v>
      </c>
      <c r="M169" s="15" t="s">
        <v>22</v>
      </c>
      <c r="N169" s="15" t="s">
        <v>53</v>
      </c>
      <c r="O169" s="15" t="s">
        <v>81</v>
      </c>
      <c r="P169" s="15" t="s">
        <v>25</v>
      </c>
      <c r="Q169" s="27">
        <v>3149.42</v>
      </c>
      <c r="R169" s="27">
        <v>1228.2738000000002</v>
      </c>
      <c r="S169" s="31">
        <v>1921.1461999999999</v>
      </c>
    </row>
    <row r="170" spans="1:19" x14ac:dyDescent="0.25">
      <c r="A170" s="20">
        <v>45673</v>
      </c>
      <c r="B170" s="15" t="s">
        <v>212</v>
      </c>
      <c r="C170" s="15">
        <v>52618</v>
      </c>
      <c r="D170" s="15" t="s">
        <v>46</v>
      </c>
      <c r="E170" s="15">
        <v>7</v>
      </c>
      <c r="F170" s="27">
        <v>31.91</v>
      </c>
      <c r="G170" s="15" t="s">
        <v>43</v>
      </c>
      <c r="H170" s="35">
        <v>0.41</v>
      </c>
      <c r="I170" s="15" t="s">
        <v>29</v>
      </c>
      <c r="J170" s="27">
        <v>16.329999999999998</v>
      </c>
      <c r="K170" s="15" t="s">
        <v>50</v>
      </c>
      <c r="L170" s="15" t="s">
        <v>21</v>
      </c>
      <c r="M170" s="15" t="s">
        <v>735</v>
      </c>
      <c r="N170" s="15" t="s">
        <v>53</v>
      </c>
      <c r="O170" s="15" t="s">
        <v>39</v>
      </c>
      <c r="P170" s="15" t="s">
        <v>34</v>
      </c>
      <c r="Q170" s="27">
        <v>223.37</v>
      </c>
      <c r="R170" s="27">
        <v>91.581699999999998</v>
      </c>
      <c r="S170" s="31">
        <v>131.78829999999999</v>
      </c>
    </row>
    <row r="171" spans="1:19" x14ac:dyDescent="0.25">
      <c r="A171" s="20">
        <v>45673</v>
      </c>
      <c r="B171" s="15" t="s">
        <v>213</v>
      </c>
      <c r="C171" s="15">
        <v>50849</v>
      </c>
      <c r="D171" s="15" t="s">
        <v>70</v>
      </c>
      <c r="E171" s="15">
        <v>24</v>
      </c>
      <c r="F171" s="27">
        <v>46.02</v>
      </c>
      <c r="G171" s="15" t="s">
        <v>52</v>
      </c>
      <c r="H171" s="35">
        <v>0.09</v>
      </c>
      <c r="I171" s="15" t="s">
        <v>734</v>
      </c>
      <c r="J171" s="27">
        <v>12.8</v>
      </c>
      <c r="K171" s="15" t="s">
        <v>20</v>
      </c>
      <c r="L171" s="15" t="s">
        <v>21</v>
      </c>
      <c r="M171" s="15" t="s">
        <v>22</v>
      </c>
      <c r="N171" s="15" t="s">
        <v>53</v>
      </c>
      <c r="O171" s="15" t="s">
        <v>59</v>
      </c>
      <c r="P171" s="15" t="s">
        <v>25</v>
      </c>
      <c r="Q171" s="27">
        <v>1104.48</v>
      </c>
      <c r="R171" s="27">
        <v>99.403199999999998</v>
      </c>
      <c r="S171" s="31">
        <v>1005.0768</v>
      </c>
    </row>
    <row r="172" spans="1:19" x14ac:dyDescent="0.25">
      <c r="A172" s="20">
        <v>45673</v>
      </c>
      <c r="B172" s="15" t="s">
        <v>214</v>
      </c>
      <c r="C172" s="15">
        <v>72056</v>
      </c>
      <c r="D172" s="15" t="s">
        <v>89</v>
      </c>
      <c r="E172" s="15">
        <v>12</v>
      </c>
      <c r="F172" s="27">
        <v>61.98</v>
      </c>
      <c r="G172" s="15" t="s">
        <v>72</v>
      </c>
      <c r="H172" s="35">
        <v>0.15</v>
      </c>
      <c r="I172" s="15" t="s">
        <v>29</v>
      </c>
      <c r="J172" s="27">
        <v>10.08</v>
      </c>
      <c r="K172" s="15" t="s">
        <v>30</v>
      </c>
      <c r="L172" s="15" t="s">
        <v>31</v>
      </c>
      <c r="M172" s="15" t="s">
        <v>22</v>
      </c>
      <c r="N172" s="15" t="s">
        <v>32</v>
      </c>
      <c r="O172" s="15" t="s">
        <v>39</v>
      </c>
      <c r="P172" s="15" t="s">
        <v>34</v>
      </c>
      <c r="Q172" s="27">
        <v>743.76</v>
      </c>
      <c r="R172" s="27">
        <v>111.56399999999999</v>
      </c>
      <c r="S172" s="31">
        <v>632.19600000000003</v>
      </c>
    </row>
    <row r="173" spans="1:19" x14ac:dyDescent="0.25">
      <c r="A173" s="20">
        <v>45673</v>
      </c>
      <c r="B173" s="15" t="s">
        <v>215</v>
      </c>
      <c r="C173" s="15">
        <v>75820</v>
      </c>
      <c r="D173" s="15" t="s">
        <v>42</v>
      </c>
      <c r="E173" s="15">
        <v>47</v>
      </c>
      <c r="F173" s="27">
        <v>53</v>
      </c>
      <c r="G173" s="15" t="s">
        <v>58</v>
      </c>
      <c r="H173" s="35">
        <v>0.45</v>
      </c>
      <c r="I173" s="15" t="s">
        <v>734</v>
      </c>
      <c r="J173" s="27">
        <v>20.82</v>
      </c>
      <c r="K173" s="15" t="s">
        <v>37</v>
      </c>
      <c r="L173" s="15" t="s">
        <v>21</v>
      </c>
      <c r="M173" s="15" t="s">
        <v>22</v>
      </c>
      <c r="N173" s="15" t="s">
        <v>53</v>
      </c>
      <c r="O173" s="15" t="s">
        <v>59</v>
      </c>
      <c r="P173" s="15" t="s">
        <v>25</v>
      </c>
      <c r="Q173" s="27">
        <v>2491</v>
      </c>
      <c r="R173" s="27">
        <v>1120.95</v>
      </c>
      <c r="S173" s="31">
        <v>1370.05</v>
      </c>
    </row>
    <row r="174" spans="1:19" x14ac:dyDescent="0.25">
      <c r="A174" s="20">
        <v>45673</v>
      </c>
      <c r="B174" s="15" t="s">
        <v>216</v>
      </c>
      <c r="C174" s="15">
        <v>43388</v>
      </c>
      <c r="D174" s="15" t="s">
        <v>89</v>
      </c>
      <c r="E174" s="15">
        <v>2</v>
      </c>
      <c r="F174" s="27">
        <v>78.72</v>
      </c>
      <c r="G174" s="15" t="s">
        <v>84</v>
      </c>
      <c r="H174" s="35">
        <v>0.18</v>
      </c>
      <c r="I174" s="15" t="s">
        <v>734</v>
      </c>
      <c r="J174" s="27">
        <v>14.27</v>
      </c>
      <c r="K174" s="15" t="s">
        <v>44</v>
      </c>
      <c r="L174" s="15" t="s">
        <v>21</v>
      </c>
      <c r="M174" s="15" t="s">
        <v>22</v>
      </c>
      <c r="N174" s="15" t="s">
        <v>23</v>
      </c>
      <c r="O174" s="15" t="s">
        <v>81</v>
      </c>
      <c r="P174" s="15" t="s">
        <v>34</v>
      </c>
      <c r="Q174" s="27">
        <v>157.44</v>
      </c>
      <c r="R174" s="27">
        <v>28.339199999999998</v>
      </c>
      <c r="S174" s="31">
        <v>129.10079999999999</v>
      </c>
    </row>
    <row r="175" spans="1:19" x14ac:dyDescent="0.25">
      <c r="A175" s="20">
        <v>45673</v>
      </c>
      <c r="B175" s="15" t="s">
        <v>217</v>
      </c>
      <c r="C175" s="15">
        <v>18325</v>
      </c>
      <c r="D175" s="15" t="s">
        <v>42</v>
      </c>
      <c r="E175" s="15">
        <v>8</v>
      </c>
      <c r="F175" s="27">
        <v>56.75</v>
      </c>
      <c r="G175" s="15" t="s">
        <v>52</v>
      </c>
      <c r="H175" s="35">
        <v>0.38</v>
      </c>
      <c r="I175" s="15" t="s">
        <v>19</v>
      </c>
      <c r="J175" s="27">
        <v>8.65</v>
      </c>
      <c r="K175" s="15" t="s">
        <v>37</v>
      </c>
      <c r="L175" s="15" t="s">
        <v>21</v>
      </c>
      <c r="M175" s="15" t="s">
        <v>22</v>
      </c>
      <c r="N175" s="15" t="s">
        <v>38</v>
      </c>
      <c r="O175" s="15" t="s">
        <v>24</v>
      </c>
      <c r="P175" s="15" t="s">
        <v>34</v>
      </c>
      <c r="Q175" s="27">
        <v>454</v>
      </c>
      <c r="R175" s="27">
        <v>172.52</v>
      </c>
      <c r="S175" s="31">
        <v>281.48</v>
      </c>
    </row>
    <row r="176" spans="1:19" x14ac:dyDescent="0.25">
      <c r="A176" s="20">
        <v>45673</v>
      </c>
      <c r="B176" s="15" t="s">
        <v>218</v>
      </c>
      <c r="C176" s="15">
        <v>67667</v>
      </c>
      <c r="D176" s="15" t="s">
        <v>27</v>
      </c>
      <c r="E176" s="15">
        <v>41</v>
      </c>
      <c r="F176" s="27">
        <v>77.45</v>
      </c>
      <c r="G176" s="15" t="s">
        <v>18</v>
      </c>
      <c r="H176" s="35">
        <v>0.15</v>
      </c>
      <c r="I176" s="15" t="s">
        <v>19</v>
      </c>
      <c r="J176" s="27">
        <v>18.420000000000002</v>
      </c>
      <c r="K176" s="15" t="s">
        <v>20</v>
      </c>
      <c r="L176" s="15" t="s">
        <v>31</v>
      </c>
      <c r="M176" s="15" t="s">
        <v>22</v>
      </c>
      <c r="N176" s="15" t="s">
        <v>53</v>
      </c>
      <c r="O176" s="15" t="s">
        <v>81</v>
      </c>
      <c r="P176" s="15" t="s">
        <v>34</v>
      </c>
      <c r="Q176" s="27">
        <v>3175.4500000000003</v>
      </c>
      <c r="R176" s="27">
        <v>476.3175</v>
      </c>
      <c r="S176" s="31">
        <v>2699.1325000000002</v>
      </c>
    </row>
    <row r="177" spans="1:19" x14ac:dyDescent="0.25">
      <c r="A177" s="20">
        <v>45673</v>
      </c>
      <c r="B177" s="15" t="s">
        <v>219</v>
      </c>
      <c r="C177" s="15">
        <v>62103</v>
      </c>
      <c r="D177" s="15" t="s">
        <v>57</v>
      </c>
      <c r="E177" s="15">
        <v>18</v>
      </c>
      <c r="F177" s="27">
        <v>36.99</v>
      </c>
      <c r="G177" s="15" t="s">
        <v>72</v>
      </c>
      <c r="H177" s="35">
        <v>0.33</v>
      </c>
      <c r="I177" s="15" t="s">
        <v>29</v>
      </c>
      <c r="J177" s="27">
        <v>28.34</v>
      </c>
      <c r="K177" s="15" t="s">
        <v>50</v>
      </c>
      <c r="L177" s="15" t="s">
        <v>31</v>
      </c>
      <c r="M177" s="15" t="s">
        <v>111</v>
      </c>
      <c r="N177" s="15" t="s">
        <v>53</v>
      </c>
      <c r="O177" s="15" t="s">
        <v>24</v>
      </c>
      <c r="P177" s="15" t="s">
        <v>25</v>
      </c>
      <c r="Q177" s="27">
        <v>665.82</v>
      </c>
      <c r="R177" s="27">
        <v>219.72060000000002</v>
      </c>
      <c r="S177" s="31">
        <v>446.09940000000006</v>
      </c>
    </row>
    <row r="178" spans="1:19" x14ac:dyDescent="0.25">
      <c r="A178" s="20">
        <v>45673</v>
      </c>
      <c r="B178" s="15" t="s">
        <v>220</v>
      </c>
      <c r="C178" s="15">
        <v>28209</v>
      </c>
      <c r="D178" s="15" t="s">
        <v>68</v>
      </c>
      <c r="E178" s="15">
        <v>31</v>
      </c>
      <c r="F178" s="27">
        <v>43.72</v>
      </c>
      <c r="G178" s="15" t="s">
        <v>99</v>
      </c>
      <c r="H178" s="35">
        <v>0.33</v>
      </c>
      <c r="I178" s="15" t="s">
        <v>19</v>
      </c>
      <c r="J178" s="27">
        <v>22.11</v>
      </c>
      <c r="K178" s="15" t="s">
        <v>44</v>
      </c>
      <c r="L178" s="15" t="s">
        <v>31</v>
      </c>
      <c r="M178" s="15" t="s">
        <v>22</v>
      </c>
      <c r="N178" s="15" t="s">
        <v>38</v>
      </c>
      <c r="O178" s="15" t="s">
        <v>39</v>
      </c>
      <c r="P178" s="15" t="s">
        <v>40</v>
      </c>
      <c r="Q178" s="27">
        <v>1355.32</v>
      </c>
      <c r="R178" s="27">
        <v>447.25560000000002</v>
      </c>
      <c r="S178" s="31">
        <v>908.06439999999998</v>
      </c>
    </row>
    <row r="179" spans="1:19" x14ac:dyDescent="0.25">
      <c r="A179" s="20">
        <v>45673</v>
      </c>
      <c r="B179" s="15" t="s">
        <v>221</v>
      </c>
      <c r="C179" s="15">
        <v>95819</v>
      </c>
      <c r="D179" s="15" t="s">
        <v>70</v>
      </c>
      <c r="E179" s="15">
        <v>43</v>
      </c>
      <c r="F179" s="27">
        <v>49.97</v>
      </c>
      <c r="G179" s="15" t="s">
        <v>36</v>
      </c>
      <c r="H179" s="35">
        <v>0.05</v>
      </c>
      <c r="I179" s="15" t="s">
        <v>734</v>
      </c>
      <c r="J179" s="27">
        <v>28.51</v>
      </c>
      <c r="K179" s="15" t="s">
        <v>30</v>
      </c>
      <c r="L179" s="15" t="s">
        <v>31</v>
      </c>
      <c r="M179" s="15" t="s">
        <v>22</v>
      </c>
      <c r="N179" s="15" t="s">
        <v>53</v>
      </c>
      <c r="O179" s="15" t="s">
        <v>33</v>
      </c>
      <c r="P179" s="15" t="s">
        <v>34</v>
      </c>
      <c r="Q179" s="27">
        <v>2148.71</v>
      </c>
      <c r="R179" s="27">
        <v>107.4355</v>
      </c>
      <c r="S179" s="31">
        <v>2041.2745</v>
      </c>
    </row>
    <row r="180" spans="1:19" x14ac:dyDescent="0.25">
      <c r="A180" s="20">
        <v>45673</v>
      </c>
      <c r="B180" s="15" t="s">
        <v>222</v>
      </c>
      <c r="C180" s="15">
        <v>50769</v>
      </c>
      <c r="D180" s="15" t="s">
        <v>57</v>
      </c>
      <c r="E180" s="15">
        <v>20</v>
      </c>
      <c r="F180" s="27">
        <v>91.39</v>
      </c>
      <c r="G180" s="15" t="s">
        <v>36</v>
      </c>
      <c r="H180" s="35">
        <v>0.43</v>
      </c>
      <c r="I180" s="15" t="s">
        <v>734</v>
      </c>
      <c r="J180" s="27">
        <v>23.32</v>
      </c>
      <c r="K180" s="15" t="s">
        <v>37</v>
      </c>
      <c r="L180" s="15" t="s">
        <v>31</v>
      </c>
      <c r="M180" s="15" t="s">
        <v>735</v>
      </c>
      <c r="N180" s="15" t="s">
        <v>38</v>
      </c>
      <c r="O180" s="15" t="s">
        <v>39</v>
      </c>
      <c r="P180" s="15" t="s">
        <v>34</v>
      </c>
      <c r="Q180" s="27">
        <v>1827.8</v>
      </c>
      <c r="R180" s="27">
        <v>785.95399999999995</v>
      </c>
      <c r="S180" s="31">
        <v>1041.846</v>
      </c>
    </row>
    <row r="181" spans="1:19" x14ac:dyDescent="0.25">
      <c r="A181" s="20">
        <v>45673</v>
      </c>
      <c r="B181" s="15" t="s">
        <v>223</v>
      </c>
      <c r="C181" s="15">
        <v>82134</v>
      </c>
      <c r="D181" s="15" t="s">
        <v>70</v>
      </c>
      <c r="E181" s="15">
        <v>20</v>
      </c>
      <c r="F181" s="27">
        <v>23.44</v>
      </c>
      <c r="G181" s="15" t="s">
        <v>58</v>
      </c>
      <c r="H181" s="35">
        <v>0.35</v>
      </c>
      <c r="I181" s="15" t="s">
        <v>29</v>
      </c>
      <c r="J181" s="27">
        <v>22.73</v>
      </c>
      <c r="K181" s="15" t="s">
        <v>20</v>
      </c>
      <c r="L181" s="15" t="s">
        <v>21</v>
      </c>
      <c r="M181" s="15" t="s">
        <v>22</v>
      </c>
      <c r="N181" s="15" t="s">
        <v>38</v>
      </c>
      <c r="O181" s="15" t="s">
        <v>39</v>
      </c>
      <c r="P181" s="15" t="s">
        <v>25</v>
      </c>
      <c r="Q181" s="27">
        <v>468.8</v>
      </c>
      <c r="R181" s="27">
        <v>164.07999999999998</v>
      </c>
      <c r="S181" s="31">
        <v>304.72000000000003</v>
      </c>
    </row>
    <row r="182" spans="1:19" x14ac:dyDescent="0.25">
      <c r="A182" s="20">
        <v>45673</v>
      </c>
      <c r="B182" s="15" t="s">
        <v>224</v>
      </c>
      <c r="C182" s="15">
        <v>16291</v>
      </c>
      <c r="D182" s="15" t="s">
        <v>27</v>
      </c>
      <c r="E182" s="15">
        <v>12</v>
      </c>
      <c r="F182" s="27">
        <v>66.099999999999994</v>
      </c>
      <c r="G182" s="15" t="s">
        <v>58</v>
      </c>
      <c r="H182" s="35">
        <v>0.02</v>
      </c>
      <c r="I182" s="15" t="s">
        <v>19</v>
      </c>
      <c r="J182" s="27">
        <v>23.11</v>
      </c>
      <c r="K182" s="15" t="s">
        <v>50</v>
      </c>
      <c r="L182" s="15" t="s">
        <v>31</v>
      </c>
      <c r="M182" s="15" t="s">
        <v>22</v>
      </c>
      <c r="N182" s="15" t="s">
        <v>32</v>
      </c>
      <c r="O182" s="15" t="s">
        <v>81</v>
      </c>
      <c r="P182" s="15" t="s">
        <v>25</v>
      </c>
      <c r="Q182" s="27">
        <v>793.19999999999993</v>
      </c>
      <c r="R182" s="27">
        <v>15.863999999999999</v>
      </c>
      <c r="S182" s="31">
        <v>777.3359999999999</v>
      </c>
    </row>
    <row r="183" spans="1:19" x14ac:dyDescent="0.25">
      <c r="A183" s="20">
        <v>45673</v>
      </c>
      <c r="B183" s="15" t="s">
        <v>159</v>
      </c>
      <c r="C183" s="15">
        <v>26526</v>
      </c>
      <c r="D183" s="15" t="s">
        <v>57</v>
      </c>
      <c r="E183" s="15">
        <v>6</v>
      </c>
      <c r="F183" s="27">
        <v>75.98</v>
      </c>
      <c r="G183" s="15" t="s">
        <v>84</v>
      </c>
      <c r="H183" s="35">
        <v>0.34</v>
      </c>
      <c r="I183" s="15" t="s">
        <v>19</v>
      </c>
      <c r="J183" s="27">
        <v>14.12</v>
      </c>
      <c r="K183" s="15" t="s">
        <v>37</v>
      </c>
      <c r="L183" s="15" t="s">
        <v>21</v>
      </c>
      <c r="M183" s="15" t="s">
        <v>22</v>
      </c>
      <c r="N183" s="15" t="s">
        <v>23</v>
      </c>
      <c r="O183" s="15" t="s">
        <v>81</v>
      </c>
      <c r="P183" s="15" t="s">
        <v>25</v>
      </c>
      <c r="Q183" s="27">
        <v>455.88</v>
      </c>
      <c r="R183" s="27">
        <v>154.9992</v>
      </c>
      <c r="S183" s="31">
        <v>300.88080000000002</v>
      </c>
    </row>
    <row r="184" spans="1:19" x14ac:dyDescent="0.25">
      <c r="A184" s="20">
        <v>45673</v>
      </c>
      <c r="B184" s="15" t="s">
        <v>225</v>
      </c>
      <c r="C184" s="15">
        <v>31320</v>
      </c>
      <c r="D184" s="15" t="s">
        <v>46</v>
      </c>
      <c r="E184" s="15">
        <v>3</v>
      </c>
      <c r="F184" s="27">
        <v>87.15</v>
      </c>
      <c r="G184" s="15" t="s">
        <v>99</v>
      </c>
      <c r="H184" s="35">
        <v>0.49</v>
      </c>
      <c r="I184" s="15" t="s">
        <v>734</v>
      </c>
      <c r="J184" s="27">
        <v>26.04</v>
      </c>
      <c r="K184" s="15" t="s">
        <v>50</v>
      </c>
      <c r="L184" s="15" t="s">
        <v>31</v>
      </c>
      <c r="M184" s="15" t="s">
        <v>22</v>
      </c>
      <c r="N184" s="15" t="s">
        <v>53</v>
      </c>
      <c r="O184" s="15" t="s">
        <v>81</v>
      </c>
      <c r="P184" s="15" t="s">
        <v>25</v>
      </c>
      <c r="Q184" s="27">
        <v>261.45000000000005</v>
      </c>
      <c r="R184" s="27">
        <v>128.11050000000003</v>
      </c>
      <c r="S184" s="31">
        <v>133.33950000000002</v>
      </c>
    </row>
    <row r="185" spans="1:19" x14ac:dyDescent="0.25">
      <c r="A185" s="20">
        <v>45673</v>
      </c>
      <c r="B185" s="15" t="s">
        <v>129</v>
      </c>
      <c r="C185" s="15">
        <v>56972</v>
      </c>
      <c r="D185" s="15" t="s">
        <v>27</v>
      </c>
      <c r="E185" s="15">
        <v>30</v>
      </c>
      <c r="F185" s="27">
        <v>2.57</v>
      </c>
      <c r="G185" s="15" t="s">
        <v>47</v>
      </c>
      <c r="H185" s="35">
        <v>0.08</v>
      </c>
      <c r="I185" s="15" t="s">
        <v>29</v>
      </c>
      <c r="J185" s="27">
        <v>14.9</v>
      </c>
      <c r="K185" s="15" t="s">
        <v>44</v>
      </c>
      <c r="L185" s="15" t="s">
        <v>31</v>
      </c>
      <c r="M185" s="15" t="s">
        <v>22</v>
      </c>
      <c r="N185" s="15" t="s">
        <v>32</v>
      </c>
      <c r="O185" s="15" t="s">
        <v>59</v>
      </c>
      <c r="P185" s="15" t="s">
        <v>25</v>
      </c>
      <c r="Q185" s="27">
        <v>77.099999999999994</v>
      </c>
      <c r="R185" s="27">
        <v>6.1679999999999993</v>
      </c>
      <c r="S185" s="31">
        <v>70.931999999999988</v>
      </c>
    </row>
    <row r="186" spans="1:19" x14ac:dyDescent="0.25">
      <c r="A186" s="20">
        <v>45673</v>
      </c>
      <c r="B186" s="15" t="s">
        <v>226</v>
      </c>
      <c r="C186" s="15">
        <v>85664</v>
      </c>
      <c r="D186" s="15" t="s">
        <v>68</v>
      </c>
      <c r="E186" s="15">
        <v>24</v>
      </c>
      <c r="F186" s="27">
        <v>36.69</v>
      </c>
      <c r="G186" s="15" t="s">
        <v>52</v>
      </c>
      <c r="H186" s="35">
        <v>0.19</v>
      </c>
      <c r="I186" s="15" t="s">
        <v>734</v>
      </c>
      <c r="J186" s="27">
        <v>7.24</v>
      </c>
      <c r="K186" s="15" t="s">
        <v>20</v>
      </c>
      <c r="L186" s="15" t="s">
        <v>21</v>
      </c>
      <c r="M186" s="15" t="s">
        <v>111</v>
      </c>
      <c r="N186" s="15" t="s">
        <v>38</v>
      </c>
      <c r="O186" s="15" t="s">
        <v>33</v>
      </c>
      <c r="P186" s="15" t="s">
        <v>25</v>
      </c>
      <c r="Q186" s="27">
        <v>880.56</v>
      </c>
      <c r="R186" s="27">
        <v>167.3064</v>
      </c>
      <c r="S186" s="31">
        <v>713.25360000000001</v>
      </c>
    </row>
    <row r="187" spans="1:19" x14ac:dyDescent="0.25">
      <c r="A187" s="20">
        <v>45673</v>
      </c>
      <c r="B187" s="15" t="s">
        <v>227</v>
      </c>
      <c r="C187" s="15">
        <v>56819</v>
      </c>
      <c r="D187" s="15" t="s">
        <v>57</v>
      </c>
      <c r="E187" s="15">
        <v>48</v>
      </c>
      <c r="F187" s="27">
        <v>53</v>
      </c>
      <c r="G187" s="15" t="s">
        <v>55</v>
      </c>
      <c r="H187" s="35">
        <v>0.46</v>
      </c>
      <c r="I187" s="15" t="s">
        <v>19</v>
      </c>
      <c r="J187" s="27">
        <v>27.45</v>
      </c>
      <c r="K187" s="15" t="s">
        <v>50</v>
      </c>
      <c r="L187" s="15" t="s">
        <v>21</v>
      </c>
      <c r="M187" s="15" t="s">
        <v>22</v>
      </c>
      <c r="N187" s="15" t="s">
        <v>32</v>
      </c>
      <c r="O187" s="15" t="s">
        <v>39</v>
      </c>
      <c r="P187" s="15" t="s">
        <v>34</v>
      </c>
      <c r="Q187" s="27">
        <v>2544</v>
      </c>
      <c r="R187" s="27">
        <v>1170.24</v>
      </c>
      <c r="S187" s="31">
        <v>1373.76</v>
      </c>
    </row>
    <row r="188" spans="1:19" x14ac:dyDescent="0.25">
      <c r="A188" s="20">
        <v>45674</v>
      </c>
      <c r="B188" s="15" t="s">
        <v>228</v>
      </c>
      <c r="C188" s="15">
        <v>40466</v>
      </c>
      <c r="D188" s="15" t="s">
        <v>17</v>
      </c>
      <c r="E188" s="15">
        <v>14</v>
      </c>
      <c r="F188" s="27">
        <v>88.21</v>
      </c>
      <c r="G188" s="15" t="s">
        <v>76</v>
      </c>
      <c r="H188" s="35">
        <v>0.44</v>
      </c>
      <c r="I188" s="15" t="s">
        <v>29</v>
      </c>
      <c r="J188" s="27">
        <v>9.31</v>
      </c>
      <c r="K188" s="15" t="s">
        <v>30</v>
      </c>
      <c r="L188" s="15" t="s">
        <v>21</v>
      </c>
      <c r="M188" s="15" t="s">
        <v>735</v>
      </c>
      <c r="N188" s="15" t="s">
        <v>53</v>
      </c>
      <c r="O188" s="15" t="s">
        <v>59</v>
      </c>
      <c r="P188" s="15" t="s">
        <v>34</v>
      </c>
      <c r="Q188" s="27">
        <v>1234.9399999999998</v>
      </c>
      <c r="R188" s="27">
        <v>543.3735999999999</v>
      </c>
      <c r="S188" s="31">
        <v>691.56639999999993</v>
      </c>
    </row>
    <row r="189" spans="1:19" x14ac:dyDescent="0.25">
      <c r="A189" s="20">
        <v>45674</v>
      </c>
      <c r="B189" s="15" t="s">
        <v>229</v>
      </c>
      <c r="C189" s="15">
        <v>72868</v>
      </c>
      <c r="D189" s="15" t="s">
        <v>27</v>
      </c>
      <c r="E189" s="15">
        <v>26</v>
      </c>
      <c r="F189" s="27">
        <v>46.28</v>
      </c>
      <c r="G189" s="15" t="s">
        <v>84</v>
      </c>
      <c r="H189" s="35">
        <v>0.05</v>
      </c>
      <c r="I189" s="15" t="s">
        <v>29</v>
      </c>
      <c r="J189" s="27">
        <v>8.5500000000000007</v>
      </c>
      <c r="K189" s="15" t="s">
        <v>30</v>
      </c>
      <c r="L189" s="15" t="s">
        <v>31</v>
      </c>
      <c r="M189" s="15" t="s">
        <v>22</v>
      </c>
      <c r="N189" s="15" t="s">
        <v>38</v>
      </c>
      <c r="O189" s="15" t="s">
        <v>39</v>
      </c>
      <c r="P189" s="15" t="s">
        <v>25</v>
      </c>
      <c r="Q189" s="27">
        <v>1203.28</v>
      </c>
      <c r="R189" s="27">
        <v>60.164000000000001</v>
      </c>
      <c r="S189" s="31">
        <v>1143.116</v>
      </c>
    </row>
    <row r="190" spans="1:19" x14ac:dyDescent="0.25">
      <c r="A190" s="20">
        <v>45674</v>
      </c>
      <c r="B190" s="15" t="s">
        <v>230</v>
      </c>
      <c r="C190" s="15">
        <v>16423</v>
      </c>
      <c r="D190" s="15" t="s">
        <v>49</v>
      </c>
      <c r="E190" s="15">
        <v>29</v>
      </c>
      <c r="F190" s="27">
        <v>36.270000000000003</v>
      </c>
      <c r="G190" s="15" t="s">
        <v>28</v>
      </c>
      <c r="H190" s="35">
        <v>0.14000000000000001</v>
      </c>
      <c r="I190" s="15" t="s">
        <v>29</v>
      </c>
      <c r="J190" s="27">
        <v>26.22</v>
      </c>
      <c r="K190" s="15" t="s">
        <v>37</v>
      </c>
      <c r="L190" s="15" t="s">
        <v>21</v>
      </c>
      <c r="M190" s="15" t="s">
        <v>22</v>
      </c>
      <c r="N190" s="15" t="s">
        <v>53</v>
      </c>
      <c r="O190" s="15" t="s">
        <v>81</v>
      </c>
      <c r="P190" s="15" t="s">
        <v>34</v>
      </c>
      <c r="Q190" s="27">
        <v>1051.8300000000002</v>
      </c>
      <c r="R190" s="27">
        <v>147.25620000000004</v>
      </c>
      <c r="S190" s="31">
        <v>904.57380000000012</v>
      </c>
    </row>
    <row r="191" spans="1:19" x14ac:dyDescent="0.25">
      <c r="A191" s="20">
        <v>45674</v>
      </c>
      <c r="B191" s="15" t="s">
        <v>231</v>
      </c>
      <c r="C191" s="15">
        <v>71984</v>
      </c>
      <c r="D191" s="15" t="s">
        <v>49</v>
      </c>
      <c r="E191" s="15">
        <v>29</v>
      </c>
      <c r="F191" s="27">
        <v>30.48</v>
      </c>
      <c r="G191" s="15" t="s">
        <v>55</v>
      </c>
      <c r="H191" s="35">
        <v>0.4</v>
      </c>
      <c r="I191" s="15" t="s">
        <v>29</v>
      </c>
      <c r="J191" s="27">
        <v>22.63</v>
      </c>
      <c r="K191" s="15" t="s">
        <v>50</v>
      </c>
      <c r="L191" s="15" t="s">
        <v>31</v>
      </c>
      <c r="M191" s="15" t="s">
        <v>111</v>
      </c>
      <c r="N191" s="15" t="s">
        <v>32</v>
      </c>
      <c r="O191" s="15" t="s">
        <v>59</v>
      </c>
      <c r="P191" s="15" t="s">
        <v>25</v>
      </c>
      <c r="Q191" s="27">
        <v>883.92</v>
      </c>
      <c r="R191" s="27">
        <v>353.56799999999998</v>
      </c>
      <c r="S191" s="31">
        <v>530.35199999999998</v>
      </c>
    </row>
    <row r="192" spans="1:19" x14ac:dyDescent="0.25">
      <c r="A192" s="20">
        <v>45674</v>
      </c>
      <c r="B192" s="15" t="s">
        <v>232</v>
      </c>
      <c r="C192" s="15">
        <v>39231</v>
      </c>
      <c r="D192" s="15" t="s">
        <v>75</v>
      </c>
      <c r="E192" s="15">
        <v>10</v>
      </c>
      <c r="F192" s="27">
        <v>88.14</v>
      </c>
      <c r="G192" s="15" t="s">
        <v>58</v>
      </c>
      <c r="H192" s="35">
        <v>0.31</v>
      </c>
      <c r="I192" s="15" t="s">
        <v>29</v>
      </c>
      <c r="J192" s="27">
        <v>20.5</v>
      </c>
      <c r="K192" s="15" t="s">
        <v>44</v>
      </c>
      <c r="L192" s="15" t="s">
        <v>31</v>
      </c>
      <c r="M192" s="15" t="s">
        <v>22</v>
      </c>
      <c r="N192" s="15" t="s">
        <v>23</v>
      </c>
      <c r="O192" s="15" t="s">
        <v>24</v>
      </c>
      <c r="P192" s="15" t="s">
        <v>40</v>
      </c>
      <c r="Q192" s="27">
        <v>881.4</v>
      </c>
      <c r="R192" s="27">
        <v>273.23399999999998</v>
      </c>
      <c r="S192" s="31">
        <v>608.16599999999994</v>
      </c>
    </row>
    <row r="193" spans="1:19" x14ac:dyDescent="0.25">
      <c r="A193" s="20">
        <v>45674</v>
      </c>
      <c r="B193" s="15" t="s">
        <v>233</v>
      </c>
      <c r="C193" s="15">
        <v>50297</v>
      </c>
      <c r="D193" s="15" t="s">
        <v>57</v>
      </c>
      <c r="E193" s="15">
        <v>42</v>
      </c>
      <c r="F193" s="27">
        <v>64.37</v>
      </c>
      <c r="G193" s="15" t="s">
        <v>58</v>
      </c>
      <c r="H193" s="35">
        <v>0.38</v>
      </c>
      <c r="I193" s="15" t="s">
        <v>29</v>
      </c>
      <c r="J193" s="27">
        <v>25.05</v>
      </c>
      <c r="K193" s="15" t="s">
        <v>30</v>
      </c>
      <c r="L193" s="15" t="s">
        <v>21</v>
      </c>
      <c r="M193" s="15" t="s">
        <v>22</v>
      </c>
      <c r="N193" s="15" t="s">
        <v>53</v>
      </c>
      <c r="O193" s="15" t="s">
        <v>81</v>
      </c>
      <c r="P193" s="15" t="s">
        <v>25</v>
      </c>
      <c r="Q193" s="27">
        <v>2703.54</v>
      </c>
      <c r="R193" s="27">
        <v>1027.3452</v>
      </c>
      <c r="S193" s="31">
        <v>1676.1948</v>
      </c>
    </row>
    <row r="194" spans="1:19" x14ac:dyDescent="0.25">
      <c r="A194" s="20">
        <v>45674</v>
      </c>
      <c r="B194" s="15" t="s">
        <v>234</v>
      </c>
      <c r="C194" s="15">
        <v>47253</v>
      </c>
      <c r="D194" s="15" t="s">
        <v>70</v>
      </c>
      <c r="E194" s="15">
        <v>41</v>
      </c>
      <c r="F194" s="27">
        <v>37.5</v>
      </c>
      <c r="G194" s="15" t="s">
        <v>55</v>
      </c>
      <c r="H194" s="35">
        <v>0.44</v>
      </c>
      <c r="I194" s="15" t="s">
        <v>734</v>
      </c>
      <c r="J194" s="27">
        <v>14.64</v>
      </c>
      <c r="K194" s="15" t="s">
        <v>50</v>
      </c>
      <c r="L194" s="15" t="s">
        <v>21</v>
      </c>
      <c r="M194" s="15" t="s">
        <v>22</v>
      </c>
      <c r="N194" s="15" t="s">
        <v>23</v>
      </c>
      <c r="O194" s="15" t="s">
        <v>24</v>
      </c>
      <c r="P194" s="15" t="s">
        <v>40</v>
      </c>
      <c r="Q194" s="27">
        <v>1537.5</v>
      </c>
      <c r="R194" s="27">
        <v>676.5</v>
      </c>
      <c r="S194" s="31">
        <v>861</v>
      </c>
    </row>
    <row r="195" spans="1:19" x14ac:dyDescent="0.25">
      <c r="A195" s="20">
        <v>45674</v>
      </c>
      <c r="B195" s="15" t="s">
        <v>235</v>
      </c>
      <c r="C195" s="15">
        <v>60266</v>
      </c>
      <c r="D195" s="15" t="s">
        <v>42</v>
      </c>
      <c r="E195" s="15">
        <v>39</v>
      </c>
      <c r="F195" s="27">
        <v>48.69</v>
      </c>
      <c r="G195" s="15" t="s">
        <v>72</v>
      </c>
      <c r="H195" s="35">
        <v>7.0000000000000007E-2</v>
      </c>
      <c r="I195" s="15" t="s">
        <v>734</v>
      </c>
      <c r="J195" s="27">
        <v>23.59</v>
      </c>
      <c r="K195" s="15" t="s">
        <v>20</v>
      </c>
      <c r="L195" s="15" t="s">
        <v>31</v>
      </c>
      <c r="M195" s="15" t="s">
        <v>22</v>
      </c>
      <c r="N195" s="15" t="s">
        <v>38</v>
      </c>
      <c r="O195" s="15" t="s">
        <v>24</v>
      </c>
      <c r="P195" s="15" t="s">
        <v>34</v>
      </c>
      <c r="Q195" s="27">
        <v>1898.9099999999999</v>
      </c>
      <c r="R195" s="27">
        <v>132.9237</v>
      </c>
      <c r="S195" s="31">
        <v>1765.9862999999998</v>
      </c>
    </row>
    <row r="196" spans="1:19" x14ac:dyDescent="0.25">
      <c r="A196" s="20">
        <v>45674</v>
      </c>
      <c r="B196" s="15" t="s">
        <v>203</v>
      </c>
      <c r="C196" s="15">
        <v>90102</v>
      </c>
      <c r="D196" s="15" t="s">
        <v>17</v>
      </c>
      <c r="E196" s="15">
        <v>33</v>
      </c>
      <c r="F196" s="27">
        <v>12.47</v>
      </c>
      <c r="G196" s="15" t="s">
        <v>55</v>
      </c>
      <c r="H196" s="35">
        <v>0.46</v>
      </c>
      <c r="I196" s="15" t="s">
        <v>734</v>
      </c>
      <c r="J196" s="27">
        <v>11.56</v>
      </c>
      <c r="K196" s="15" t="s">
        <v>20</v>
      </c>
      <c r="L196" s="15" t="s">
        <v>31</v>
      </c>
      <c r="M196" s="15" t="s">
        <v>22</v>
      </c>
      <c r="N196" s="15" t="s">
        <v>23</v>
      </c>
      <c r="O196" s="15" t="s">
        <v>81</v>
      </c>
      <c r="P196" s="15" t="s">
        <v>25</v>
      </c>
      <c r="Q196" s="27">
        <v>411.51000000000005</v>
      </c>
      <c r="R196" s="27">
        <v>189.29460000000003</v>
      </c>
      <c r="S196" s="31">
        <v>222.21540000000002</v>
      </c>
    </row>
    <row r="197" spans="1:19" x14ac:dyDescent="0.25">
      <c r="A197" s="20">
        <v>45674</v>
      </c>
      <c r="B197" s="15" t="s">
        <v>236</v>
      </c>
      <c r="C197" s="15">
        <v>47573</v>
      </c>
      <c r="D197" s="15" t="s">
        <v>27</v>
      </c>
      <c r="E197" s="15">
        <v>8</v>
      </c>
      <c r="F197" s="27">
        <v>89.83</v>
      </c>
      <c r="G197" s="15" t="s">
        <v>76</v>
      </c>
      <c r="H197" s="35">
        <v>0.1</v>
      </c>
      <c r="I197" s="15" t="s">
        <v>734</v>
      </c>
      <c r="J197" s="27">
        <v>20.11</v>
      </c>
      <c r="K197" s="15" t="s">
        <v>30</v>
      </c>
      <c r="L197" s="15" t="s">
        <v>21</v>
      </c>
      <c r="M197" s="15" t="s">
        <v>22</v>
      </c>
      <c r="N197" s="15" t="s">
        <v>32</v>
      </c>
      <c r="O197" s="15" t="s">
        <v>81</v>
      </c>
      <c r="P197" s="15" t="s">
        <v>40</v>
      </c>
      <c r="Q197" s="27">
        <v>718.64</v>
      </c>
      <c r="R197" s="27">
        <v>71.864000000000004</v>
      </c>
      <c r="S197" s="31">
        <v>646.77599999999995</v>
      </c>
    </row>
    <row r="198" spans="1:19" x14ac:dyDescent="0.25">
      <c r="A198" s="20">
        <v>45674</v>
      </c>
      <c r="B198" s="15" t="s">
        <v>237</v>
      </c>
      <c r="C198" s="15">
        <v>74829</v>
      </c>
      <c r="D198" s="15" t="s">
        <v>70</v>
      </c>
      <c r="E198" s="15">
        <v>42</v>
      </c>
      <c r="F198" s="27">
        <v>56.96</v>
      </c>
      <c r="G198" s="15" t="s">
        <v>76</v>
      </c>
      <c r="H198" s="35">
        <v>0.37</v>
      </c>
      <c r="I198" s="15" t="s">
        <v>734</v>
      </c>
      <c r="J198" s="27">
        <v>13.94</v>
      </c>
      <c r="K198" s="15" t="s">
        <v>37</v>
      </c>
      <c r="L198" s="15" t="s">
        <v>31</v>
      </c>
      <c r="M198" s="15" t="s">
        <v>111</v>
      </c>
      <c r="N198" s="15" t="s">
        <v>53</v>
      </c>
      <c r="O198" s="15" t="s">
        <v>24</v>
      </c>
      <c r="P198" s="15" t="s">
        <v>34</v>
      </c>
      <c r="Q198" s="27">
        <v>2392.3200000000002</v>
      </c>
      <c r="R198" s="27">
        <v>885.15840000000003</v>
      </c>
      <c r="S198" s="31">
        <v>1507.1616000000001</v>
      </c>
    </row>
    <row r="199" spans="1:19" x14ac:dyDescent="0.25">
      <c r="A199" s="20">
        <v>45674</v>
      </c>
      <c r="B199" s="15" t="s">
        <v>238</v>
      </c>
      <c r="C199" s="15">
        <v>23789</v>
      </c>
      <c r="D199" s="15" t="s">
        <v>49</v>
      </c>
      <c r="E199" s="15">
        <v>13</v>
      </c>
      <c r="F199" s="27">
        <v>60.12</v>
      </c>
      <c r="G199" s="15" t="s">
        <v>55</v>
      </c>
      <c r="H199" s="35">
        <v>0.19</v>
      </c>
      <c r="I199" s="15" t="s">
        <v>734</v>
      </c>
      <c r="J199" s="27">
        <v>16.149999999999999</v>
      </c>
      <c r="K199" s="15" t="s">
        <v>44</v>
      </c>
      <c r="L199" s="15" t="s">
        <v>31</v>
      </c>
      <c r="M199" s="15" t="s">
        <v>22</v>
      </c>
      <c r="N199" s="15" t="s">
        <v>32</v>
      </c>
      <c r="O199" s="15" t="s">
        <v>24</v>
      </c>
      <c r="P199" s="15" t="s">
        <v>34</v>
      </c>
      <c r="Q199" s="27">
        <v>781.56</v>
      </c>
      <c r="R199" s="27">
        <v>148.49639999999999</v>
      </c>
      <c r="S199" s="31">
        <v>633.06359999999995</v>
      </c>
    </row>
    <row r="200" spans="1:19" x14ac:dyDescent="0.25">
      <c r="A200" s="20">
        <v>45674</v>
      </c>
      <c r="B200" s="15" t="s">
        <v>239</v>
      </c>
      <c r="C200" s="15">
        <v>28512</v>
      </c>
      <c r="D200" s="15" t="s">
        <v>49</v>
      </c>
      <c r="E200" s="15">
        <v>28</v>
      </c>
      <c r="F200" s="27">
        <v>41.86</v>
      </c>
      <c r="G200" s="15" t="s">
        <v>99</v>
      </c>
      <c r="H200" s="35">
        <v>0.34</v>
      </c>
      <c r="I200" s="15" t="s">
        <v>734</v>
      </c>
      <c r="J200" s="27">
        <v>22.25</v>
      </c>
      <c r="K200" s="15" t="s">
        <v>20</v>
      </c>
      <c r="L200" s="15" t="s">
        <v>21</v>
      </c>
      <c r="M200" s="15" t="s">
        <v>111</v>
      </c>
      <c r="N200" s="15" t="s">
        <v>38</v>
      </c>
      <c r="O200" s="15" t="s">
        <v>39</v>
      </c>
      <c r="P200" s="15" t="s">
        <v>25</v>
      </c>
      <c r="Q200" s="27">
        <v>1172.08</v>
      </c>
      <c r="R200" s="27">
        <v>398.50720000000001</v>
      </c>
      <c r="S200" s="31">
        <v>773.57279999999992</v>
      </c>
    </row>
    <row r="201" spans="1:19" x14ac:dyDescent="0.25">
      <c r="A201" s="20">
        <v>45674</v>
      </c>
      <c r="B201" s="15" t="s">
        <v>240</v>
      </c>
      <c r="C201" s="15">
        <v>78677</v>
      </c>
      <c r="D201" s="15" t="s">
        <v>17</v>
      </c>
      <c r="E201" s="15">
        <v>48</v>
      </c>
      <c r="F201" s="27">
        <v>30.52</v>
      </c>
      <c r="G201" s="15" t="s">
        <v>72</v>
      </c>
      <c r="H201" s="35">
        <v>0.26</v>
      </c>
      <c r="I201" s="15" t="s">
        <v>734</v>
      </c>
      <c r="J201" s="27">
        <v>28.58</v>
      </c>
      <c r="K201" s="15" t="s">
        <v>37</v>
      </c>
      <c r="L201" s="15" t="s">
        <v>31</v>
      </c>
      <c r="M201" s="15" t="s">
        <v>22</v>
      </c>
      <c r="N201" s="15" t="s">
        <v>23</v>
      </c>
      <c r="O201" s="15" t="s">
        <v>39</v>
      </c>
      <c r="P201" s="15" t="s">
        <v>40</v>
      </c>
      <c r="Q201" s="27">
        <v>1464.96</v>
      </c>
      <c r="R201" s="27">
        <v>380.88960000000003</v>
      </c>
      <c r="S201" s="31">
        <v>1084.0704000000001</v>
      </c>
    </row>
    <row r="202" spans="1:19" x14ac:dyDescent="0.25">
      <c r="A202" s="20">
        <v>45674</v>
      </c>
      <c r="B202" s="15" t="s">
        <v>241</v>
      </c>
      <c r="C202" s="15">
        <v>48205</v>
      </c>
      <c r="D202" s="15" t="s">
        <v>57</v>
      </c>
      <c r="E202" s="15">
        <v>11</v>
      </c>
      <c r="F202" s="27">
        <v>68.78</v>
      </c>
      <c r="G202" s="15" t="s">
        <v>47</v>
      </c>
      <c r="H202" s="35">
        <v>0.45</v>
      </c>
      <c r="I202" s="15" t="s">
        <v>29</v>
      </c>
      <c r="J202" s="27">
        <v>11.27</v>
      </c>
      <c r="K202" s="15" t="s">
        <v>20</v>
      </c>
      <c r="L202" s="15" t="s">
        <v>31</v>
      </c>
      <c r="M202" s="15" t="s">
        <v>22</v>
      </c>
      <c r="N202" s="15" t="s">
        <v>38</v>
      </c>
      <c r="O202" s="15" t="s">
        <v>81</v>
      </c>
      <c r="P202" s="15" t="s">
        <v>25</v>
      </c>
      <c r="Q202" s="27">
        <v>756.58</v>
      </c>
      <c r="R202" s="27">
        <v>340.46100000000001</v>
      </c>
      <c r="S202" s="31">
        <v>416.11900000000003</v>
      </c>
    </row>
    <row r="203" spans="1:19" x14ac:dyDescent="0.25">
      <c r="A203" s="20">
        <v>45674</v>
      </c>
      <c r="B203" s="15" t="s">
        <v>242</v>
      </c>
      <c r="C203" s="15">
        <v>55073</v>
      </c>
      <c r="D203" s="15" t="s">
        <v>75</v>
      </c>
      <c r="E203" s="15">
        <v>17</v>
      </c>
      <c r="F203" s="27">
        <v>29.47</v>
      </c>
      <c r="G203" s="15" t="s">
        <v>76</v>
      </c>
      <c r="H203" s="35">
        <v>0.47</v>
      </c>
      <c r="I203" s="15" t="s">
        <v>734</v>
      </c>
      <c r="J203" s="27">
        <v>20.09</v>
      </c>
      <c r="K203" s="15" t="s">
        <v>44</v>
      </c>
      <c r="L203" s="15" t="s">
        <v>21</v>
      </c>
      <c r="M203" s="15" t="s">
        <v>22</v>
      </c>
      <c r="N203" s="15" t="s">
        <v>23</v>
      </c>
      <c r="O203" s="15" t="s">
        <v>24</v>
      </c>
      <c r="P203" s="15" t="s">
        <v>34</v>
      </c>
      <c r="Q203" s="27">
        <v>500.99</v>
      </c>
      <c r="R203" s="27">
        <v>235.46529999999998</v>
      </c>
      <c r="S203" s="31">
        <v>265.52470000000005</v>
      </c>
    </row>
    <row r="204" spans="1:19" x14ac:dyDescent="0.25">
      <c r="A204" s="20">
        <v>45674</v>
      </c>
      <c r="B204" s="15" t="s">
        <v>243</v>
      </c>
      <c r="C204" s="15">
        <v>94433</v>
      </c>
      <c r="D204" s="15" t="s">
        <v>66</v>
      </c>
      <c r="E204" s="15">
        <v>16</v>
      </c>
      <c r="F204" s="27">
        <v>38.85</v>
      </c>
      <c r="G204" s="15" t="s">
        <v>99</v>
      </c>
      <c r="H204" s="35">
        <v>0.14000000000000001</v>
      </c>
      <c r="I204" s="15" t="s">
        <v>734</v>
      </c>
      <c r="J204" s="27">
        <v>5.69</v>
      </c>
      <c r="K204" s="15" t="s">
        <v>44</v>
      </c>
      <c r="L204" s="15" t="s">
        <v>31</v>
      </c>
      <c r="M204" s="15" t="s">
        <v>735</v>
      </c>
      <c r="N204" s="15" t="s">
        <v>38</v>
      </c>
      <c r="O204" s="15" t="s">
        <v>59</v>
      </c>
      <c r="P204" s="15" t="s">
        <v>40</v>
      </c>
      <c r="Q204" s="27">
        <v>621.6</v>
      </c>
      <c r="R204" s="27">
        <v>87.024000000000015</v>
      </c>
      <c r="S204" s="31">
        <v>534.57600000000002</v>
      </c>
    </row>
    <row r="205" spans="1:19" x14ac:dyDescent="0.25">
      <c r="A205" s="20">
        <v>45674</v>
      </c>
      <c r="B205" s="15" t="s">
        <v>85</v>
      </c>
      <c r="C205" s="15">
        <v>61911</v>
      </c>
      <c r="D205" s="15" t="s">
        <v>57</v>
      </c>
      <c r="E205" s="15">
        <v>24</v>
      </c>
      <c r="F205" s="27">
        <v>54.91</v>
      </c>
      <c r="G205" s="15" t="s">
        <v>76</v>
      </c>
      <c r="H205" s="35">
        <v>0.17</v>
      </c>
      <c r="I205" s="15" t="s">
        <v>19</v>
      </c>
      <c r="J205" s="27">
        <v>8.74</v>
      </c>
      <c r="K205" s="15" t="s">
        <v>44</v>
      </c>
      <c r="L205" s="15" t="s">
        <v>21</v>
      </c>
      <c r="M205" s="15" t="s">
        <v>22</v>
      </c>
      <c r="N205" s="15" t="s">
        <v>38</v>
      </c>
      <c r="O205" s="15" t="s">
        <v>24</v>
      </c>
      <c r="P205" s="15" t="s">
        <v>25</v>
      </c>
      <c r="Q205" s="27">
        <v>1317.84</v>
      </c>
      <c r="R205" s="27">
        <v>224.03280000000001</v>
      </c>
      <c r="S205" s="31">
        <v>1093.8072</v>
      </c>
    </row>
    <row r="206" spans="1:19" x14ac:dyDescent="0.25">
      <c r="A206" s="20">
        <v>45674</v>
      </c>
      <c r="B206" s="15" t="s">
        <v>244</v>
      </c>
      <c r="C206" s="15">
        <v>90370</v>
      </c>
      <c r="D206" s="15" t="s">
        <v>42</v>
      </c>
      <c r="E206" s="15">
        <v>33</v>
      </c>
      <c r="F206" s="27">
        <v>41.98</v>
      </c>
      <c r="G206" s="15" t="s">
        <v>43</v>
      </c>
      <c r="H206" s="35">
        <v>0.33</v>
      </c>
      <c r="I206" s="15" t="s">
        <v>734</v>
      </c>
      <c r="J206" s="27">
        <v>28.62</v>
      </c>
      <c r="K206" s="15" t="s">
        <v>44</v>
      </c>
      <c r="L206" s="15" t="s">
        <v>31</v>
      </c>
      <c r="M206" s="15" t="s">
        <v>22</v>
      </c>
      <c r="N206" s="15" t="s">
        <v>32</v>
      </c>
      <c r="O206" s="15" t="s">
        <v>39</v>
      </c>
      <c r="P206" s="15" t="s">
        <v>25</v>
      </c>
      <c r="Q206" s="27">
        <v>1385.34</v>
      </c>
      <c r="R206" s="27">
        <v>457.16219999999998</v>
      </c>
      <c r="S206" s="31">
        <v>928.17779999999993</v>
      </c>
    </row>
    <row r="207" spans="1:19" x14ac:dyDescent="0.25">
      <c r="A207" s="20">
        <v>45674</v>
      </c>
      <c r="B207" s="15" t="s">
        <v>245</v>
      </c>
      <c r="C207" s="15">
        <v>46660</v>
      </c>
      <c r="D207" s="15" t="s">
        <v>46</v>
      </c>
      <c r="E207" s="15">
        <v>26</v>
      </c>
      <c r="F207" s="27">
        <v>99.06</v>
      </c>
      <c r="G207" s="15" t="s">
        <v>18</v>
      </c>
      <c r="H207" s="35">
        <v>7.0000000000000007E-2</v>
      </c>
      <c r="I207" s="15" t="s">
        <v>29</v>
      </c>
      <c r="J207" s="27">
        <v>28.58</v>
      </c>
      <c r="K207" s="15" t="s">
        <v>37</v>
      </c>
      <c r="L207" s="15" t="s">
        <v>31</v>
      </c>
      <c r="M207" s="15" t="s">
        <v>22</v>
      </c>
      <c r="N207" s="15" t="s">
        <v>38</v>
      </c>
      <c r="O207" s="15" t="s">
        <v>33</v>
      </c>
      <c r="P207" s="15" t="s">
        <v>40</v>
      </c>
      <c r="Q207" s="27">
        <v>2575.56</v>
      </c>
      <c r="R207" s="27">
        <v>180.28920000000002</v>
      </c>
      <c r="S207" s="31">
        <v>2395.2707999999998</v>
      </c>
    </row>
    <row r="208" spans="1:19" x14ac:dyDescent="0.25">
      <c r="A208" s="20">
        <v>45674</v>
      </c>
      <c r="B208" s="15" t="s">
        <v>246</v>
      </c>
      <c r="C208" s="15">
        <v>74739</v>
      </c>
      <c r="D208" s="15" t="s">
        <v>42</v>
      </c>
      <c r="E208" s="15">
        <v>42</v>
      </c>
      <c r="F208" s="27">
        <v>53</v>
      </c>
      <c r="G208" s="15" t="s">
        <v>43</v>
      </c>
      <c r="H208" s="35">
        <v>0.49</v>
      </c>
      <c r="I208" s="15" t="s">
        <v>19</v>
      </c>
      <c r="J208" s="27">
        <v>12.67</v>
      </c>
      <c r="K208" s="15" t="s">
        <v>44</v>
      </c>
      <c r="L208" s="15" t="s">
        <v>31</v>
      </c>
      <c r="M208" s="15" t="s">
        <v>22</v>
      </c>
      <c r="N208" s="15" t="s">
        <v>32</v>
      </c>
      <c r="O208" s="15" t="s">
        <v>33</v>
      </c>
      <c r="P208" s="15" t="s">
        <v>34</v>
      </c>
      <c r="Q208" s="27">
        <v>2226</v>
      </c>
      <c r="R208" s="27">
        <v>1090.74</v>
      </c>
      <c r="S208" s="31">
        <v>1135.26</v>
      </c>
    </row>
    <row r="209" spans="1:19" x14ac:dyDescent="0.25">
      <c r="A209" s="20">
        <v>45674</v>
      </c>
      <c r="B209" s="15" t="s">
        <v>247</v>
      </c>
      <c r="C209" s="15">
        <v>11899</v>
      </c>
      <c r="D209" s="15" t="s">
        <v>49</v>
      </c>
      <c r="E209" s="15">
        <v>13</v>
      </c>
      <c r="F209" s="27">
        <v>56.57</v>
      </c>
      <c r="G209" s="15" t="s">
        <v>72</v>
      </c>
      <c r="H209" s="35">
        <v>0.21</v>
      </c>
      <c r="I209" s="15" t="s">
        <v>29</v>
      </c>
      <c r="J209" s="27">
        <v>23.08</v>
      </c>
      <c r="K209" s="15" t="s">
        <v>44</v>
      </c>
      <c r="L209" s="15" t="s">
        <v>31</v>
      </c>
      <c r="M209" s="15" t="s">
        <v>22</v>
      </c>
      <c r="N209" s="15" t="s">
        <v>23</v>
      </c>
      <c r="O209" s="15" t="s">
        <v>59</v>
      </c>
      <c r="P209" s="15" t="s">
        <v>34</v>
      </c>
      <c r="Q209" s="27">
        <v>735.41</v>
      </c>
      <c r="R209" s="27">
        <v>154.43609999999998</v>
      </c>
      <c r="S209" s="31">
        <v>580.97389999999996</v>
      </c>
    </row>
    <row r="210" spans="1:19" x14ac:dyDescent="0.25">
      <c r="A210" s="20">
        <v>45674</v>
      </c>
      <c r="B210" s="15" t="s">
        <v>248</v>
      </c>
      <c r="C210" s="15">
        <v>41737</v>
      </c>
      <c r="D210" s="15" t="s">
        <v>17</v>
      </c>
      <c r="E210" s="15">
        <v>2</v>
      </c>
      <c r="F210" s="27">
        <v>33.200000000000003</v>
      </c>
      <c r="G210" s="15" t="s">
        <v>18</v>
      </c>
      <c r="H210" s="35">
        <v>0.41</v>
      </c>
      <c r="I210" s="15" t="s">
        <v>19</v>
      </c>
      <c r="J210" s="27">
        <v>18.18</v>
      </c>
      <c r="K210" s="15" t="s">
        <v>37</v>
      </c>
      <c r="L210" s="15" t="s">
        <v>31</v>
      </c>
      <c r="M210" s="15" t="s">
        <v>111</v>
      </c>
      <c r="N210" s="15" t="s">
        <v>38</v>
      </c>
      <c r="O210" s="15" t="s">
        <v>33</v>
      </c>
      <c r="P210" s="15" t="s">
        <v>40</v>
      </c>
      <c r="Q210" s="27">
        <v>66.400000000000006</v>
      </c>
      <c r="R210" s="27">
        <v>27.224</v>
      </c>
      <c r="S210" s="31">
        <v>39.176000000000002</v>
      </c>
    </row>
    <row r="211" spans="1:19" x14ac:dyDescent="0.25">
      <c r="A211" s="20">
        <v>45675</v>
      </c>
      <c r="B211" s="15" t="s">
        <v>249</v>
      </c>
      <c r="C211" s="15">
        <v>70500</v>
      </c>
      <c r="D211" s="15" t="s">
        <v>17</v>
      </c>
      <c r="E211" s="15">
        <v>26</v>
      </c>
      <c r="F211" s="27">
        <v>36.200000000000003</v>
      </c>
      <c r="G211" s="15" t="s">
        <v>76</v>
      </c>
      <c r="H211" s="35">
        <v>0.19</v>
      </c>
      <c r="I211" s="15" t="s">
        <v>19</v>
      </c>
      <c r="J211" s="27">
        <v>26.85</v>
      </c>
      <c r="K211" s="15" t="s">
        <v>30</v>
      </c>
      <c r="L211" s="15" t="s">
        <v>21</v>
      </c>
      <c r="M211" s="15" t="s">
        <v>22</v>
      </c>
      <c r="N211" s="15" t="s">
        <v>32</v>
      </c>
      <c r="O211" s="15" t="s">
        <v>81</v>
      </c>
      <c r="P211" s="15" t="s">
        <v>40</v>
      </c>
      <c r="Q211" s="27">
        <v>941.2</v>
      </c>
      <c r="R211" s="27">
        <v>178.828</v>
      </c>
      <c r="S211" s="31">
        <v>762.37200000000007</v>
      </c>
    </row>
    <row r="212" spans="1:19" x14ac:dyDescent="0.25">
      <c r="A212" s="20">
        <v>45675</v>
      </c>
      <c r="B212" s="15" t="s">
        <v>227</v>
      </c>
      <c r="C212" s="15">
        <v>58426</v>
      </c>
      <c r="D212" s="15" t="s">
        <v>17</v>
      </c>
      <c r="E212" s="15">
        <v>29</v>
      </c>
      <c r="F212" s="27">
        <v>32.47</v>
      </c>
      <c r="G212" s="15" t="s">
        <v>58</v>
      </c>
      <c r="H212" s="35">
        <v>0.45</v>
      </c>
      <c r="I212" s="15" t="s">
        <v>19</v>
      </c>
      <c r="J212" s="27">
        <v>27.85</v>
      </c>
      <c r="K212" s="15" t="s">
        <v>30</v>
      </c>
      <c r="L212" s="15" t="s">
        <v>31</v>
      </c>
      <c r="M212" s="15" t="s">
        <v>22</v>
      </c>
      <c r="N212" s="15" t="s">
        <v>32</v>
      </c>
      <c r="O212" s="15" t="s">
        <v>81</v>
      </c>
      <c r="P212" s="15" t="s">
        <v>40</v>
      </c>
      <c r="Q212" s="27">
        <v>941.63</v>
      </c>
      <c r="R212" s="27">
        <v>423.73349999999999</v>
      </c>
      <c r="S212" s="31">
        <v>517.89650000000006</v>
      </c>
    </row>
    <row r="213" spans="1:19" x14ac:dyDescent="0.25">
      <c r="A213" s="20">
        <v>45675</v>
      </c>
      <c r="B213" s="15" t="s">
        <v>250</v>
      </c>
      <c r="C213" s="15">
        <v>23928</v>
      </c>
      <c r="D213" s="15" t="s">
        <v>89</v>
      </c>
      <c r="E213" s="15">
        <v>12</v>
      </c>
      <c r="F213" s="27">
        <v>78.94</v>
      </c>
      <c r="G213" s="15" t="s">
        <v>84</v>
      </c>
      <c r="H213" s="35">
        <v>0.41</v>
      </c>
      <c r="I213" s="15" t="s">
        <v>734</v>
      </c>
      <c r="J213" s="27">
        <v>21.06</v>
      </c>
      <c r="K213" s="15" t="s">
        <v>20</v>
      </c>
      <c r="L213" s="15" t="s">
        <v>21</v>
      </c>
      <c r="M213" s="15" t="s">
        <v>22</v>
      </c>
      <c r="N213" s="15" t="s">
        <v>53</v>
      </c>
      <c r="O213" s="15" t="s">
        <v>33</v>
      </c>
      <c r="P213" s="15" t="s">
        <v>25</v>
      </c>
      <c r="Q213" s="27">
        <v>947.28</v>
      </c>
      <c r="R213" s="27">
        <v>388.38479999999998</v>
      </c>
      <c r="S213" s="31">
        <v>558.89519999999993</v>
      </c>
    </row>
    <row r="214" spans="1:19" x14ac:dyDescent="0.25">
      <c r="A214" s="20">
        <v>45675</v>
      </c>
      <c r="B214" s="15" t="s">
        <v>251</v>
      </c>
      <c r="C214" s="15">
        <v>55742</v>
      </c>
      <c r="D214" s="15" t="s">
        <v>66</v>
      </c>
      <c r="E214" s="15">
        <v>3</v>
      </c>
      <c r="F214" s="27">
        <v>20</v>
      </c>
      <c r="G214" s="15" t="s">
        <v>18</v>
      </c>
      <c r="H214" s="35">
        <v>0.5</v>
      </c>
      <c r="I214" s="15" t="s">
        <v>734</v>
      </c>
      <c r="J214" s="27">
        <v>18.72</v>
      </c>
      <c r="K214" s="15" t="s">
        <v>37</v>
      </c>
      <c r="L214" s="15" t="s">
        <v>21</v>
      </c>
      <c r="M214" s="15" t="s">
        <v>22</v>
      </c>
      <c r="N214" s="15" t="s">
        <v>53</v>
      </c>
      <c r="O214" s="15" t="s">
        <v>59</v>
      </c>
      <c r="P214" s="15" t="s">
        <v>34</v>
      </c>
      <c r="Q214" s="27">
        <v>60</v>
      </c>
      <c r="R214" s="27">
        <v>30</v>
      </c>
      <c r="S214" s="31">
        <v>30</v>
      </c>
    </row>
    <row r="215" spans="1:19" x14ac:dyDescent="0.25">
      <c r="A215" s="20">
        <v>45675</v>
      </c>
      <c r="B215" s="15" t="s">
        <v>252</v>
      </c>
      <c r="C215" s="15">
        <v>31864</v>
      </c>
      <c r="D215" s="15" t="s">
        <v>70</v>
      </c>
      <c r="E215" s="15">
        <v>18</v>
      </c>
      <c r="F215" s="27">
        <v>16.899999999999999</v>
      </c>
      <c r="G215" s="15" t="s">
        <v>52</v>
      </c>
      <c r="H215" s="35">
        <v>0.19</v>
      </c>
      <c r="I215" s="15" t="s">
        <v>734</v>
      </c>
      <c r="J215" s="27">
        <v>23.52</v>
      </c>
      <c r="K215" s="15" t="s">
        <v>50</v>
      </c>
      <c r="L215" s="15" t="s">
        <v>31</v>
      </c>
      <c r="M215" s="15" t="s">
        <v>22</v>
      </c>
      <c r="N215" s="15" t="s">
        <v>23</v>
      </c>
      <c r="O215" s="15" t="s">
        <v>81</v>
      </c>
      <c r="P215" s="15" t="s">
        <v>34</v>
      </c>
      <c r="Q215" s="27">
        <v>304.2</v>
      </c>
      <c r="R215" s="27">
        <v>57.798000000000002</v>
      </c>
      <c r="S215" s="31">
        <v>246.40199999999999</v>
      </c>
    </row>
    <row r="216" spans="1:19" x14ac:dyDescent="0.25">
      <c r="A216" s="20">
        <v>45675</v>
      </c>
      <c r="B216" s="15" t="s">
        <v>253</v>
      </c>
      <c r="C216" s="15">
        <v>78738</v>
      </c>
      <c r="D216" s="15" t="s">
        <v>57</v>
      </c>
      <c r="E216" s="15">
        <v>40</v>
      </c>
      <c r="F216" s="27">
        <v>46.19</v>
      </c>
      <c r="G216" s="15" t="s">
        <v>58</v>
      </c>
      <c r="H216" s="35">
        <v>0.15</v>
      </c>
      <c r="I216" s="15" t="s">
        <v>29</v>
      </c>
      <c r="J216" s="27">
        <v>26.63</v>
      </c>
      <c r="K216" s="15" t="s">
        <v>30</v>
      </c>
      <c r="L216" s="15" t="s">
        <v>31</v>
      </c>
      <c r="M216" s="15" t="s">
        <v>22</v>
      </c>
      <c r="N216" s="15" t="s">
        <v>32</v>
      </c>
      <c r="O216" s="15" t="s">
        <v>24</v>
      </c>
      <c r="P216" s="15" t="s">
        <v>40</v>
      </c>
      <c r="Q216" s="27">
        <v>1847.6</v>
      </c>
      <c r="R216" s="27">
        <v>277.14</v>
      </c>
      <c r="S216" s="31">
        <v>1570.46</v>
      </c>
    </row>
    <row r="217" spans="1:19" x14ac:dyDescent="0.25">
      <c r="A217" s="20">
        <v>45675</v>
      </c>
      <c r="B217" s="15" t="s">
        <v>254</v>
      </c>
      <c r="C217" s="15">
        <v>87150</v>
      </c>
      <c r="D217" s="15" t="s">
        <v>57</v>
      </c>
      <c r="E217" s="15">
        <v>30</v>
      </c>
      <c r="F217" s="27">
        <v>66.69</v>
      </c>
      <c r="G217" s="15" t="s">
        <v>47</v>
      </c>
      <c r="H217" s="35">
        <v>7.0000000000000007E-2</v>
      </c>
      <c r="I217" s="15" t="s">
        <v>29</v>
      </c>
      <c r="J217" s="27">
        <v>26.42</v>
      </c>
      <c r="K217" s="15" t="s">
        <v>30</v>
      </c>
      <c r="L217" s="15" t="s">
        <v>31</v>
      </c>
      <c r="M217" s="15" t="s">
        <v>22</v>
      </c>
      <c r="N217" s="15" t="s">
        <v>53</v>
      </c>
      <c r="O217" s="15" t="s">
        <v>39</v>
      </c>
      <c r="P217" s="15" t="s">
        <v>25</v>
      </c>
      <c r="Q217" s="27">
        <v>2000.6999999999998</v>
      </c>
      <c r="R217" s="27">
        <v>140.04900000000001</v>
      </c>
      <c r="S217" s="31">
        <v>1860.6509999999998</v>
      </c>
    </row>
    <row r="218" spans="1:19" x14ac:dyDescent="0.25">
      <c r="A218" s="20">
        <v>45675</v>
      </c>
      <c r="B218" s="15" t="s">
        <v>255</v>
      </c>
      <c r="C218" s="15">
        <v>97856</v>
      </c>
      <c r="D218" s="15" t="s">
        <v>42</v>
      </c>
      <c r="E218" s="15">
        <v>39</v>
      </c>
      <c r="F218" s="27">
        <v>62.01</v>
      </c>
      <c r="G218" s="15" t="s">
        <v>76</v>
      </c>
      <c r="H218" s="35">
        <v>0.38</v>
      </c>
      <c r="I218" s="15" t="s">
        <v>29</v>
      </c>
      <c r="J218" s="27">
        <v>28.8</v>
      </c>
      <c r="K218" s="15" t="s">
        <v>20</v>
      </c>
      <c r="L218" s="15" t="s">
        <v>21</v>
      </c>
      <c r="M218" s="15" t="s">
        <v>22</v>
      </c>
      <c r="N218" s="15" t="s">
        <v>23</v>
      </c>
      <c r="O218" s="15" t="s">
        <v>81</v>
      </c>
      <c r="P218" s="15" t="s">
        <v>25</v>
      </c>
      <c r="Q218" s="27">
        <v>2418.39</v>
      </c>
      <c r="R218" s="27">
        <v>918.98820000000001</v>
      </c>
      <c r="S218" s="31">
        <v>1499.4017999999999</v>
      </c>
    </row>
    <row r="219" spans="1:19" x14ac:dyDescent="0.25">
      <c r="A219" s="20">
        <v>45675</v>
      </c>
      <c r="B219" s="15" t="s">
        <v>256</v>
      </c>
      <c r="C219" s="15">
        <v>21796</v>
      </c>
      <c r="D219" s="15" t="s">
        <v>75</v>
      </c>
      <c r="E219" s="15">
        <v>42</v>
      </c>
      <c r="F219" s="27">
        <v>26.85</v>
      </c>
      <c r="G219" s="15" t="s">
        <v>55</v>
      </c>
      <c r="H219" s="35">
        <v>0.08</v>
      </c>
      <c r="I219" s="15" t="s">
        <v>29</v>
      </c>
      <c r="J219" s="27">
        <v>6.28</v>
      </c>
      <c r="K219" s="15" t="s">
        <v>44</v>
      </c>
      <c r="L219" s="15" t="s">
        <v>21</v>
      </c>
      <c r="M219" s="15" t="s">
        <v>22</v>
      </c>
      <c r="N219" s="15" t="s">
        <v>32</v>
      </c>
      <c r="O219" s="15" t="s">
        <v>81</v>
      </c>
      <c r="P219" s="15" t="s">
        <v>40</v>
      </c>
      <c r="Q219" s="27">
        <v>1127.7</v>
      </c>
      <c r="R219" s="27">
        <v>90.216000000000008</v>
      </c>
      <c r="S219" s="31">
        <v>1037.4839999999999</v>
      </c>
    </row>
    <row r="220" spans="1:19" x14ac:dyDescent="0.25">
      <c r="A220" s="20">
        <v>45675</v>
      </c>
      <c r="B220" s="15" t="s">
        <v>257</v>
      </c>
      <c r="C220" s="15">
        <v>30395</v>
      </c>
      <c r="D220" s="15" t="s">
        <v>75</v>
      </c>
      <c r="E220" s="15">
        <v>35</v>
      </c>
      <c r="F220" s="27">
        <v>44.46</v>
      </c>
      <c r="G220" s="15" t="s">
        <v>36</v>
      </c>
      <c r="H220" s="35">
        <v>0.35</v>
      </c>
      <c r="I220" s="15" t="s">
        <v>19</v>
      </c>
      <c r="J220" s="27">
        <v>19.28</v>
      </c>
      <c r="K220" s="15" t="s">
        <v>50</v>
      </c>
      <c r="L220" s="15" t="s">
        <v>31</v>
      </c>
      <c r="M220" s="15" t="s">
        <v>111</v>
      </c>
      <c r="N220" s="15" t="s">
        <v>38</v>
      </c>
      <c r="O220" s="15" t="s">
        <v>24</v>
      </c>
      <c r="P220" s="15" t="s">
        <v>34</v>
      </c>
      <c r="Q220" s="27">
        <v>1556.1000000000001</v>
      </c>
      <c r="R220" s="27">
        <v>544.63499999999999</v>
      </c>
      <c r="S220" s="31">
        <v>1011.4650000000001</v>
      </c>
    </row>
    <row r="221" spans="1:19" x14ac:dyDescent="0.25">
      <c r="A221" s="20">
        <v>45675</v>
      </c>
      <c r="B221" s="15" t="s">
        <v>258</v>
      </c>
      <c r="C221" s="15">
        <v>25001</v>
      </c>
      <c r="D221" s="15" t="s">
        <v>27</v>
      </c>
      <c r="E221" s="15">
        <v>49</v>
      </c>
      <c r="F221" s="27">
        <v>33.6</v>
      </c>
      <c r="G221" s="15" t="s">
        <v>55</v>
      </c>
      <c r="H221" s="35">
        <v>0.3</v>
      </c>
      <c r="I221" s="15" t="s">
        <v>29</v>
      </c>
      <c r="J221" s="27">
        <v>29.7</v>
      </c>
      <c r="K221" s="15" t="s">
        <v>20</v>
      </c>
      <c r="L221" s="15" t="s">
        <v>31</v>
      </c>
      <c r="M221" s="15" t="s">
        <v>22</v>
      </c>
      <c r="N221" s="15" t="s">
        <v>32</v>
      </c>
      <c r="O221" s="15" t="s">
        <v>33</v>
      </c>
      <c r="P221" s="15" t="s">
        <v>34</v>
      </c>
      <c r="Q221" s="27">
        <v>1646.4</v>
      </c>
      <c r="R221" s="27">
        <v>493.92</v>
      </c>
      <c r="S221" s="31">
        <v>1152.48</v>
      </c>
    </row>
    <row r="222" spans="1:19" x14ac:dyDescent="0.25">
      <c r="A222" s="20">
        <v>45675</v>
      </c>
      <c r="B222" s="15" t="s">
        <v>259</v>
      </c>
      <c r="C222" s="15">
        <v>60083</v>
      </c>
      <c r="D222" s="15" t="s">
        <v>75</v>
      </c>
      <c r="E222" s="15">
        <v>9</v>
      </c>
      <c r="F222" s="27">
        <v>69.45</v>
      </c>
      <c r="G222" s="15" t="s">
        <v>28</v>
      </c>
      <c r="H222" s="35">
        <v>0.49</v>
      </c>
      <c r="I222" s="15" t="s">
        <v>734</v>
      </c>
      <c r="J222" s="27">
        <v>23.58</v>
      </c>
      <c r="K222" s="15" t="s">
        <v>37</v>
      </c>
      <c r="L222" s="15" t="s">
        <v>21</v>
      </c>
      <c r="M222" s="15" t="s">
        <v>735</v>
      </c>
      <c r="N222" s="15" t="s">
        <v>32</v>
      </c>
      <c r="O222" s="15" t="s">
        <v>81</v>
      </c>
      <c r="P222" s="15" t="s">
        <v>40</v>
      </c>
      <c r="Q222" s="27">
        <v>625.05000000000007</v>
      </c>
      <c r="R222" s="27">
        <v>306.27450000000005</v>
      </c>
      <c r="S222" s="31">
        <v>318.77550000000002</v>
      </c>
    </row>
    <row r="223" spans="1:19" x14ac:dyDescent="0.25">
      <c r="A223" s="20">
        <v>45675</v>
      </c>
      <c r="B223" s="15" t="s">
        <v>260</v>
      </c>
      <c r="C223" s="15">
        <v>95311</v>
      </c>
      <c r="D223" s="15" t="s">
        <v>70</v>
      </c>
      <c r="E223" s="15">
        <v>46</v>
      </c>
      <c r="F223" s="27">
        <v>5.37</v>
      </c>
      <c r="G223" s="15" t="s">
        <v>76</v>
      </c>
      <c r="H223" s="35">
        <v>0.28999999999999998</v>
      </c>
      <c r="I223" s="15" t="s">
        <v>29</v>
      </c>
      <c r="J223" s="27">
        <v>20.94</v>
      </c>
      <c r="K223" s="15" t="s">
        <v>20</v>
      </c>
      <c r="L223" s="15" t="s">
        <v>21</v>
      </c>
      <c r="M223" s="15" t="s">
        <v>22</v>
      </c>
      <c r="N223" s="15" t="s">
        <v>32</v>
      </c>
      <c r="O223" s="15" t="s">
        <v>59</v>
      </c>
      <c r="P223" s="15" t="s">
        <v>25</v>
      </c>
      <c r="Q223" s="27">
        <v>247.02</v>
      </c>
      <c r="R223" s="27">
        <v>71.635800000000003</v>
      </c>
      <c r="S223" s="31">
        <v>175.38420000000002</v>
      </c>
    </row>
    <row r="224" spans="1:19" x14ac:dyDescent="0.25">
      <c r="A224" s="20">
        <v>45675</v>
      </c>
      <c r="B224" s="15" t="s">
        <v>62</v>
      </c>
      <c r="C224" s="15">
        <v>22787</v>
      </c>
      <c r="D224" s="15" t="s">
        <v>70</v>
      </c>
      <c r="E224" s="15">
        <v>9</v>
      </c>
      <c r="F224" s="27">
        <v>53</v>
      </c>
      <c r="G224" s="15" t="s">
        <v>55</v>
      </c>
      <c r="H224" s="35">
        <v>0.21</v>
      </c>
      <c r="I224" s="15" t="s">
        <v>734</v>
      </c>
      <c r="J224" s="27">
        <v>20.54</v>
      </c>
      <c r="K224" s="15" t="s">
        <v>50</v>
      </c>
      <c r="L224" s="15" t="s">
        <v>21</v>
      </c>
      <c r="M224" s="15" t="s">
        <v>22</v>
      </c>
      <c r="N224" s="15" t="s">
        <v>32</v>
      </c>
      <c r="O224" s="15" t="s">
        <v>33</v>
      </c>
      <c r="P224" s="15" t="s">
        <v>40</v>
      </c>
      <c r="Q224" s="27">
        <v>477</v>
      </c>
      <c r="R224" s="27">
        <v>100.17</v>
      </c>
      <c r="S224" s="31">
        <v>376.83</v>
      </c>
    </row>
    <row r="225" spans="1:19" x14ac:dyDescent="0.25">
      <c r="A225" s="20">
        <v>45675</v>
      </c>
      <c r="B225" s="15" t="s">
        <v>261</v>
      </c>
      <c r="C225" s="15">
        <v>34445</v>
      </c>
      <c r="D225" s="15" t="s">
        <v>75</v>
      </c>
      <c r="E225" s="15">
        <v>42</v>
      </c>
      <c r="F225" s="27">
        <v>86.71</v>
      </c>
      <c r="G225" s="15" t="s">
        <v>99</v>
      </c>
      <c r="H225" s="35">
        <v>0.26</v>
      </c>
      <c r="I225" s="15" t="s">
        <v>19</v>
      </c>
      <c r="J225" s="27">
        <v>28.11</v>
      </c>
      <c r="K225" s="15" t="s">
        <v>20</v>
      </c>
      <c r="L225" s="15" t="s">
        <v>31</v>
      </c>
      <c r="M225" s="15" t="s">
        <v>22</v>
      </c>
      <c r="N225" s="15" t="s">
        <v>38</v>
      </c>
      <c r="O225" s="15" t="s">
        <v>59</v>
      </c>
      <c r="P225" s="15" t="s">
        <v>40</v>
      </c>
      <c r="Q225" s="27">
        <v>3641.8199999999997</v>
      </c>
      <c r="R225" s="27">
        <v>946.8732</v>
      </c>
      <c r="S225" s="31">
        <v>2694.9467999999997</v>
      </c>
    </row>
    <row r="226" spans="1:19" x14ac:dyDescent="0.25">
      <c r="A226" s="20">
        <v>45675</v>
      </c>
      <c r="B226" s="15" t="s">
        <v>262</v>
      </c>
      <c r="C226" s="15">
        <v>72545</v>
      </c>
      <c r="D226" s="15" t="s">
        <v>49</v>
      </c>
      <c r="E226" s="15">
        <v>41</v>
      </c>
      <c r="F226" s="27">
        <v>49.11</v>
      </c>
      <c r="G226" s="15" t="s">
        <v>36</v>
      </c>
      <c r="H226" s="35">
        <v>0.02</v>
      </c>
      <c r="I226" s="15" t="s">
        <v>29</v>
      </c>
      <c r="J226" s="27">
        <v>6.8</v>
      </c>
      <c r="K226" s="15" t="s">
        <v>30</v>
      </c>
      <c r="L226" s="15" t="s">
        <v>21</v>
      </c>
      <c r="M226" s="15" t="s">
        <v>22</v>
      </c>
      <c r="N226" s="15" t="s">
        <v>53</v>
      </c>
      <c r="O226" s="15" t="s">
        <v>81</v>
      </c>
      <c r="P226" s="15" t="s">
        <v>40</v>
      </c>
      <c r="Q226" s="27">
        <v>2013.51</v>
      </c>
      <c r="R226" s="27">
        <v>40.270200000000003</v>
      </c>
      <c r="S226" s="31">
        <v>1973.2398000000001</v>
      </c>
    </row>
    <row r="227" spans="1:19" x14ac:dyDescent="0.25">
      <c r="A227" s="20">
        <v>45675</v>
      </c>
      <c r="B227" s="15" t="s">
        <v>263</v>
      </c>
      <c r="C227" s="15">
        <v>27629</v>
      </c>
      <c r="D227" s="15" t="s">
        <v>70</v>
      </c>
      <c r="E227" s="15">
        <v>26</v>
      </c>
      <c r="F227" s="27">
        <v>54.42</v>
      </c>
      <c r="G227" s="15" t="s">
        <v>36</v>
      </c>
      <c r="H227" s="35">
        <v>0.11</v>
      </c>
      <c r="I227" s="15" t="s">
        <v>29</v>
      </c>
      <c r="J227" s="27">
        <v>19.09</v>
      </c>
      <c r="K227" s="15" t="s">
        <v>30</v>
      </c>
      <c r="L227" s="15" t="s">
        <v>31</v>
      </c>
      <c r="M227" s="15" t="s">
        <v>22</v>
      </c>
      <c r="N227" s="15" t="s">
        <v>53</v>
      </c>
      <c r="O227" s="15" t="s">
        <v>39</v>
      </c>
      <c r="P227" s="15" t="s">
        <v>25</v>
      </c>
      <c r="Q227" s="27">
        <v>1414.92</v>
      </c>
      <c r="R227" s="27">
        <v>155.6412</v>
      </c>
      <c r="S227" s="31">
        <v>1259.2788</v>
      </c>
    </row>
    <row r="228" spans="1:19" x14ac:dyDescent="0.25">
      <c r="A228" s="20">
        <v>45675</v>
      </c>
      <c r="B228" s="15" t="s">
        <v>264</v>
      </c>
      <c r="C228" s="15">
        <v>65792</v>
      </c>
      <c r="D228" s="15" t="s">
        <v>57</v>
      </c>
      <c r="E228" s="15">
        <v>20</v>
      </c>
      <c r="F228" s="27">
        <v>11.97</v>
      </c>
      <c r="G228" s="15" t="s">
        <v>55</v>
      </c>
      <c r="H228" s="35">
        <v>0.14000000000000001</v>
      </c>
      <c r="I228" s="15" t="s">
        <v>29</v>
      </c>
      <c r="J228" s="27">
        <v>13.55</v>
      </c>
      <c r="K228" s="15" t="s">
        <v>30</v>
      </c>
      <c r="L228" s="15" t="s">
        <v>31</v>
      </c>
      <c r="M228" s="15" t="s">
        <v>22</v>
      </c>
      <c r="N228" s="15" t="s">
        <v>23</v>
      </c>
      <c r="O228" s="15" t="s">
        <v>24</v>
      </c>
      <c r="P228" s="15" t="s">
        <v>25</v>
      </c>
      <c r="Q228" s="27">
        <v>239.4</v>
      </c>
      <c r="R228" s="27">
        <v>33.516000000000005</v>
      </c>
      <c r="S228" s="31">
        <v>205.88400000000001</v>
      </c>
    </row>
    <row r="229" spans="1:19" x14ac:dyDescent="0.25">
      <c r="A229" s="20">
        <v>45675</v>
      </c>
      <c r="B229" s="15" t="s">
        <v>265</v>
      </c>
      <c r="C229" s="15">
        <v>95137</v>
      </c>
      <c r="D229" s="15" t="s">
        <v>70</v>
      </c>
      <c r="E229" s="15">
        <v>48</v>
      </c>
      <c r="F229" s="27">
        <v>62.19</v>
      </c>
      <c r="G229" s="15" t="s">
        <v>36</v>
      </c>
      <c r="H229" s="35">
        <v>0.47</v>
      </c>
      <c r="I229" s="15" t="s">
        <v>29</v>
      </c>
      <c r="J229" s="27">
        <v>9.41</v>
      </c>
      <c r="K229" s="15" t="s">
        <v>50</v>
      </c>
      <c r="L229" s="15" t="s">
        <v>21</v>
      </c>
      <c r="M229" s="15" t="s">
        <v>22</v>
      </c>
      <c r="N229" s="15" t="s">
        <v>23</v>
      </c>
      <c r="O229" s="15" t="s">
        <v>81</v>
      </c>
      <c r="P229" s="15" t="s">
        <v>25</v>
      </c>
      <c r="Q229" s="27">
        <v>2985.12</v>
      </c>
      <c r="R229" s="27">
        <v>1403.0063999999998</v>
      </c>
      <c r="S229" s="31">
        <v>1582.1136000000001</v>
      </c>
    </row>
    <row r="230" spans="1:19" x14ac:dyDescent="0.25">
      <c r="A230" s="20">
        <v>45675</v>
      </c>
      <c r="B230" s="15" t="s">
        <v>266</v>
      </c>
      <c r="C230" s="15">
        <v>19828</v>
      </c>
      <c r="D230" s="15" t="s">
        <v>75</v>
      </c>
      <c r="E230" s="15">
        <v>17</v>
      </c>
      <c r="F230" s="27">
        <v>76.97</v>
      </c>
      <c r="G230" s="15" t="s">
        <v>55</v>
      </c>
      <c r="H230" s="35">
        <v>0.3</v>
      </c>
      <c r="I230" s="15" t="s">
        <v>19</v>
      </c>
      <c r="J230" s="27">
        <v>11.38</v>
      </c>
      <c r="K230" s="15" t="s">
        <v>20</v>
      </c>
      <c r="L230" s="15" t="s">
        <v>21</v>
      </c>
      <c r="M230" s="15" t="s">
        <v>22</v>
      </c>
      <c r="N230" s="15" t="s">
        <v>32</v>
      </c>
      <c r="O230" s="15" t="s">
        <v>81</v>
      </c>
      <c r="P230" s="15" t="s">
        <v>25</v>
      </c>
      <c r="Q230" s="27">
        <v>1308.49</v>
      </c>
      <c r="R230" s="27">
        <v>392.54699999999997</v>
      </c>
      <c r="S230" s="31">
        <v>915.94299999999998</v>
      </c>
    </row>
    <row r="231" spans="1:19" x14ac:dyDescent="0.25">
      <c r="A231" s="20">
        <v>45675</v>
      </c>
      <c r="B231" s="15" t="s">
        <v>267</v>
      </c>
      <c r="C231" s="15">
        <v>45078</v>
      </c>
      <c r="D231" s="15" t="s">
        <v>75</v>
      </c>
      <c r="E231" s="15">
        <v>12</v>
      </c>
      <c r="F231" s="27">
        <v>73.87</v>
      </c>
      <c r="G231" s="15" t="s">
        <v>76</v>
      </c>
      <c r="H231" s="35">
        <v>0.09</v>
      </c>
      <c r="I231" s="15" t="s">
        <v>734</v>
      </c>
      <c r="J231" s="27">
        <v>25.85</v>
      </c>
      <c r="K231" s="15" t="s">
        <v>30</v>
      </c>
      <c r="L231" s="15" t="s">
        <v>31</v>
      </c>
      <c r="M231" s="15" t="s">
        <v>22</v>
      </c>
      <c r="N231" s="15" t="s">
        <v>23</v>
      </c>
      <c r="O231" s="15" t="s">
        <v>39</v>
      </c>
      <c r="P231" s="15" t="s">
        <v>25</v>
      </c>
      <c r="Q231" s="27">
        <v>886.44</v>
      </c>
      <c r="R231" s="27">
        <v>79.779600000000002</v>
      </c>
      <c r="S231" s="31">
        <v>806.6604000000001</v>
      </c>
    </row>
    <row r="232" spans="1:19" x14ac:dyDescent="0.25">
      <c r="A232" s="20">
        <v>45675</v>
      </c>
      <c r="B232" s="15" t="s">
        <v>268</v>
      </c>
      <c r="C232" s="15">
        <v>84190</v>
      </c>
      <c r="D232" s="15" t="s">
        <v>46</v>
      </c>
      <c r="E232" s="15">
        <v>2</v>
      </c>
      <c r="F232" s="27">
        <v>72.89</v>
      </c>
      <c r="G232" s="15" t="s">
        <v>52</v>
      </c>
      <c r="H232" s="35">
        <v>0.31</v>
      </c>
      <c r="I232" s="15" t="s">
        <v>734</v>
      </c>
      <c r="J232" s="27">
        <v>26.14</v>
      </c>
      <c r="K232" s="15" t="s">
        <v>20</v>
      </c>
      <c r="L232" s="15" t="s">
        <v>21</v>
      </c>
      <c r="M232" s="15" t="s">
        <v>22</v>
      </c>
      <c r="N232" s="15" t="s">
        <v>23</v>
      </c>
      <c r="O232" s="15" t="s">
        <v>33</v>
      </c>
      <c r="P232" s="15" t="s">
        <v>40</v>
      </c>
      <c r="Q232" s="27">
        <v>145.78</v>
      </c>
      <c r="R232" s="27">
        <v>45.191800000000001</v>
      </c>
      <c r="S232" s="31">
        <v>100.5882</v>
      </c>
    </row>
    <row r="233" spans="1:19" x14ac:dyDescent="0.25">
      <c r="A233" s="20">
        <v>45675</v>
      </c>
      <c r="B233" s="15" t="s">
        <v>269</v>
      </c>
      <c r="C233" s="15">
        <v>52615</v>
      </c>
      <c r="D233" s="15" t="s">
        <v>57</v>
      </c>
      <c r="E233" s="15">
        <v>31</v>
      </c>
      <c r="F233" s="27">
        <v>4.28</v>
      </c>
      <c r="G233" s="15" t="s">
        <v>84</v>
      </c>
      <c r="H233" s="35">
        <v>0.02</v>
      </c>
      <c r="I233" s="15" t="s">
        <v>19</v>
      </c>
      <c r="J233" s="27">
        <v>17.850000000000001</v>
      </c>
      <c r="K233" s="15" t="s">
        <v>37</v>
      </c>
      <c r="L233" s="15" t="s">
        <v>21</v>
      </c>
      <c r="M233" s="15" t="s">
        <v>22</v>
      </c>
      <c r="N233" s="15" t="s">
        <v>32</v>
      </c>
      <c r="O233" s="15" t="s">
        <v>81</v>
      </c>
      <c r="P233" s="15" t="s">
        <v>40</v>
      </c>
      <c r="Q233" s="27">
        <v>132.68</v>
      </c>
      <c r="R233" s="27">
        <v>2.6536000000000004</v>
      </c>
      <c r="S233" s="31">
        <v>130.0264</v>
      </c>
    </row>
    <row r="234" spans="1:19" x14ac:dyDescent="0.25">
      <c r="A234" s="20">
        <v>45676</v>
      </c>
      <c r="B234" s="15" t="s">
        <v>270</v>
      </c>
      <c r="C234" s="15">
        <v>64301</v>
      </c>
      <c r="D234" s="15" t="s">
        <v>75</v>
      </c>
      <c r="E234" s="15">
        <v>15</v>
      </c>
      <c r="F234" s="27">
        <v>43.87</v>
      </c>
      <c r="G234" s="15" t="s">
        <v>55</v>
      </c>
      <c r="H234" s="35">
        <v>0.41</v>
      </c>
      <c r="I234" s="15" t="s">
        <v>19</v>
      </c>
      <c r="J234" s="27">
        <v>11.34</v>
      </c>
      <c r="K234" s="15" t="s">
        <v>37</v>
      </c>
      <c r="L234" s="15" t="s">
        <v>21</v>
      </c>
      <c r="M234" s="15" t="s">
        <v>111</v>
      </c>
      <c r="N234" s="15" t="s">
        <v>53</v>
      </c>
      <c r="O234" s="15" t="s">
        <v>59</v>
      </c>
      <c r="P234" s="15" t="s">
        <v>40</v>
      </c>
      <c r="Q234" s="27">
        <v>658.05</v>
      </c>
      <c r="R234" s="27">
        <v>269.80049999999994</v>
      </c>
      <c r="S234" s="31">
        <v>388.24950000000001</v>
      </c>
    </row>
    <row r="235" spans="1:19" x14ac:dyDescent="0.25">
      <c r="A235" s="20">
        <v>45676</v>
      </c>
      <c r="B235" s="15" t="s">
        <v>271</v>
      </c>
      <c r="C235" s="15">
        <v>63565</v>
      </c>
      <c r="D235" s="15" t="s">
        <v>49</v>
      </c>
      <c r="E235" s="15">
        <v>7</v>
      </c>
      <c r="F235" s="27">
        <v>51.84</v>
      </c>
      <c r="G235" s="15" t="s">
        <v>55</v>
      </c>
      <c r="H235" s="35">
        <v>0.36</v>
      </c>
      <c r="I235" s="15" t="s">
        <v>29</v>
      </c>
      <c r="J235" s="27">
        <v>28.08</v>
      </c>
      <c r="K235" s="15" t="s">
        <v>50</v>
      </c>
      <c r="L235" s="15" t="s">
        <v>21</v>
      </c>
      <c r="M235" s="15" t="s">
        <v>22</v>
      </c>
      <c r="N235" s="15" t="s">
        <v>23</v>
      </c>
      <c r="O235" s="15" t="s">
        <v>81</v>
      </c>
      <c r="P235" s="15" t="s">
        <v>25</v>
      </c>
      <c r="Q235" s="27">
        <v>362.88</v>
      </c>
      <c r="R235" s="27">
        <v>130.63679999999999</v>
      </c>
      <c r="S235" s="31">
        <v>232.2432</v>
      </c>
    </row>
    <row r="236" spans="1:19" x14ac:dyDescent="0.25">
      <c r="A236" s="20">
        <v>45676</v>
      </c>
      <c r="B236" s="15" t="s">
        <v>272</v>
      </c>
      <c r="C236" s="15">
        <v>59908</v>
      </c>
      <c r="D236" s="15" t="s">
        <v>75</v>
      </c>
      <c r="E236" s="15">
        <v>34</v>
      </c>
      <c r="F236" s="27">
        <v>29.09</v>
      </c>
      <c r="G236" s="15" t="s">
        <v>18</v>
      </c>
      <c r="H236" s="35">
        <v>0.4</v>
      </c>
      <c r="I236" s="15" t="s">
        <v>734</v>
      </c>
      <c r="J236" s="27">
        <v>18.82</v>
      </c>
      <c r="K236" s="15" t="s">
        <v>50</v>
      </c>
      <c r="L236" s="15" t="s">
        <v>31</v>
      </c>
      <c r="M236" s="15" t="s">
        <v>22</v>
      </c>
      <c r="N236" s="15" t="s">
        <v>23</v>
      </c>
      <c r="O236" s="15" t="s">
        <v>33</v>
      </c>
      <c r="P236" s="15" t="s">
        <v>34</v>
      </c>
      <c r="Q236" s="27">
        <v>989.06</v>
      </c>
      <c r="R236" s="27">
        <v>395.62400000000002</v>
      </c>
      <c r="S236" s="31">
        <v>593.43599999999992</v>
      </c>
    </row>
    <row r="237" spans="1:19" x14ac:dyDescent="0.25">
      <c r="A237" s="20">
        <v>45676</v>
      </c>
      <c r="B237" s="15" t="s">
        <v>270</v>
      </c>
      <c r="C237" s="15">
        <v>82206</v>
      </c>
      <c r="D237" s="15" t="s">
        <v>46</v>
      </c>
      <c r="E237" s="15">
        <v>40</v>
      </c>
      <c r="F237" s="27">
        <v>56.88</v>
      </c>
      <c r="G237" s="15" t="s">
        <v>55</v>
      </c>
      <c r="H237" s="35">
        <v>0.05</v>
      </c>
      <c r="I237" s="15" t="s">
        <v>734</v>
      </c>
      <c r="J237" s="27">
        <v>5.08</v>
      </c>
      <c r="K237" s="15" t="s">
        <v>20</v>
      </c>
      <c r="L237" s="15" t="s">
        <v>21</v>
      </c>
      <c r="M237" s="15" t="s">
        <v>22</v>
      </c>
      <c r="N237" s="15" t="s">
        <v>38</v>
      </c>
      <c r="O237" s="15" t="s">
        <v>81</v>
      </c>
      <c r="P237" s="15" t="s">
        <v>34</v>
      </c>
      <c r="Q237" s="27">
        <v>2275.2000000000003</v>
      </c>
      <c r="R237" s="27">
        <v>113.76000000000002</v>
      </c>
      <c r="S237" s="31">
        <v>2161.44</v>
      </c>
    </row>
    <row r="238" spans="1:19" x14ac:dyDescent="0.25">
      <c r="A238" s="20">
        <v>45676</v>
      </c>
      <c r="B238" s="15" t="s">
        <v>273</v>
      </c>
      <c r="C238" s="15">
        <v>58989</v>
      </c>
      <c r="D238" s="15" t="s">
        <v>57</v>
      </c>
      <c r="E238" s="15">
        <v>21</v>
      </c>
      <c r="F238" s="27">
        <v>96.69</v>
      </c>
      <c r="G238" s="15" t="s">
        <v>36</v>
      </c>
      <c r="H238" s="35">
        <v>0.1</v>
      </c>
      <c r="I238" s="15" t="s">
        <v>734</v>
      </c>
      <c r="J238" s="27">
        <v>5.32</v>
      </c>
      <c r="K238" s="15" t="s">
        <v>37</v>
      </c>
      <c r="L238" s="15" t="s">
        <v>21</v>
      </c>
      <c r="M238" s="15" t="s">
        <v>22</v>
      </c>
      <c r="N238" s="15" t="s">
        <v>53</v>
      </c>
      <c r="O238" s="15" t="s">
        <v>39</v>
      </c>
      <c r="P238" s="15" t="s">
        <v>40</v>
      </c>
      <c r="Q238" s="27">
        <v>2030.49</v>
      </c>
      <c r="R238" s="27">
        <v>203.04900000000001</v>
      </c>
      <c r="S238" s="31">
        <v>1827.441</v>
      </c>
    </row>
    <row r="239" spans="1:19" x14ac:dyDescent="0.25">
      <c r="A239" s="20">
        <v>45676</v>
      </c>
      <c r="B239" s="15" t="s">
        <v>133</v>
      </c>
      <c r="C239" s="15">
        <v>46036</v>
      </c>
      <c r="D239" s="15" t="s">
        <v>70</v>
      </c>
      <c r="E239" s="15">
        <v>13</v>
      </c>
      <c r="F239" s="27">
        <v>87.62</v>
      </c>
      <c r="G239" s="15" t="s">
        <v>84</v>
      </c>
      <c r="H239" s="35">
        <v>0.44</v>
      </c>
      <c r="I239" s="15" t="s">
        <v>19</v>
      </c>
      <c r="J239" s="27">
        <v>27.81</v>
      </c>
      <c r="K239" s="15" t="s">
        <v>30</v>
      </c>
      <c r="L239" s="15" t="s">
        <v>31</v>
      </c>
      <c r="M239" s="15" t="s">
        <v>22</v>
      </c>
      <c r="N239" s="15" t="s">
        <v>38</v>
      </c>
      <c r="O239" s="15" t="s">
        <v>81</v>
      </c>
      <c r="P239" s="15" t="s">
        <v>34</v>
      </c>
      <c r="Q239" s="27">
        <v>1139.06</v>
      </c>
      <c r="R239" s="27">
        <v>501.18639999999999</v>
      </c>
      <c r="S239" s="31">
        <v>637.8735999999999</v>
      </c>
    </row>
    <row r="240" spans="1:19" x14ac:dyDescent="0.25">
      <c r="A240" s="20">
        <v>45676</v>
      </c>
      <c r="B240" s="15" t="s">
        <v>274</v>
      </c>
      <c r="C240" s="15">
        <v>37350</v>
      </c>
      <c r="D240" s="15" t="s">
        <v>75</v>
      </c>
      <c r="E240" s="15">
        <v>49</v>
      </c>
      <c r="F240" s="27">
        <v>26.86</v>
      </c>
      <c r="G240" s="15" t="s">
        <v>52</v>
      </c>
      <c r="H240" s="35">
        <v>0.27</v>
      </c>
      <c r="I240" s="15" t="s">
        <v>19</v>
      </c>
      <c r="J240" s="27">
        <v>29.35</v>
      </c>
      <c r="K240" s="15" t="s">
        <v>37</v>
      </c>
      <c r="L240" s="15" t="s">
        <v>31</v>
      </c>
      <c r="M240" s="15" t="s">
        <v>22</v>
      </c>
      <c r="N240" s="15" t="s">
        <v>32</v>
      </c>
      <c r="O240" s="15" t="s">
        <v>33</v>
      </c>
      <c r="P240" s="15" t="s">
        <v>25</v>
      </c>
      <c r="Q240" s="27">
        <v>1316.1399999999999</v>
      </c>
      <c r="R240" s="27">
        <v>355.3578</v>
      </c>
      <c r="S240" s="31">
        <v>960.78219999999988</v>
      </c>
    </row>
    <row r="241" spans="1:19" x14ac:dyDescent="0.25">
      <c r="A241" s="20">
        <v>45676</v>
      </c>
      <c r="B241" s="15" t="s">
        <v>275</v>
      </c>
      <c r="C241" s="15">
        <v>58029</v>
      </c>
      <c r="D241" s="15" t="s">
        <v>27</v>
      </c>
      <c r="E241" s="15">
        <v>2</v>
      </c>
      <c r="F241" s="27">
        <v>82.39</v>
      </c>
      <c r="G241" s="15" t="s">
        <v>72</v>
      </c>
      <c r="H241" s="35">
        <v>0.42</v>
      </c>
      <c r="I241" s="15" t="s">
        <v>19</v>
      </c>
      <c r="J241" s="27">
        <v>29.14</v>
      </c>
      <c r="K241" s="15" t="s">
        <v>20</v>
      </c>
      <c r="L241" s="15" t="s">
        <v>21</v>
      </c>
      <c r="M241" s="15" t="s">
        <v>22</v>
      </c>
      <c r="N241" s="15" t="s">
        <v>23</v>
      </c>
      <c r="O241" s="15" t="s">
        <v>24</v>
      </c>
      <c r="P241" s="15" t="s">
        <v>25</v>
      </c>
      <c r="Q241" s="27">
        <v>164.78</v>
      </c>
      <c r="R241" s="27">
        <v>69.207599999999999</v>
      </c>
      <c r="S241" s="31">
        <v>95.572400000000002</v>
      </c>
    </row>
    <row r="242" spans="1:19" x14ac:dyDescent="0.25">
      <c r="A242" s="20">
        <v>45676</v>
      </c>
      <c r="B242" s="15" t="s">
        <v>276</v>
      </c>
      <c r="C242" s="15">
        <v>13134</v>
      </c>
      <c r="D242" s="15" t="s">
        <v>66</v>
      </c>
      <c r="E242" s="15">
        <v>8</v>
      </c>
      <c r="F242" s="27">
        <v>53</v>
      </c>
      <c r="G242" s="15" t="s">
        <v>84</v>
      </c>
      <c r="H242" s="35">
        <v>0.43</v>
      </c>
      <c r="I242" s="15" t="s">
        <v>29</v>
      </c>
      <c r="J242" s="27">
        <v>23.02</v>
      </c>
      <c r="K242" s="15" t="s">
        <v>30</v>
      </c>
      <c r="L242" s="15" t="s">
        <v>21</v>
      </c>
      <c r="M242" s="15" t="s">
        <v>111</v>
      </c>
      <c r="N242" s="15" t="s">
        <v>38</v>
      </c>
      <c r="O242" s="15" t="s">
        <v>39</v>
      </c>
      <c r="P242" s="15" t="s">
        <v>25</v>
      </c>
      <c r="Q242" s="27">
        <v>424</v>
      </c>
      <c r="R242" s="27">
        <v>182.32</v>
      </c>
      <c r="S242" s="31">
        <v>241.68</v>
      </c>
    </row>
    <row r="243" spans="1:19" x14ac:dyDescent="0.25">
      <c r="A243" s="20">
        <v>45676</v>
      </c>
      <c r="B243" s="15" t="s">
        <v>277</v>
      </c>
      <c r="C243" s="15">
        <v>25737</v>
      </c>
      <c r="D243" s="15" t="s">
        <v>57</v>
      </c>
      <c r="E243" s="15">
        <v>20</v>
      </c>
      <c r="F243" s="27">
        <v>90.13</v>
      </c>
      <c r="G243" s="15" t="s">
        <v>47</v>
      </c>
      <c r="H243" s="35">
        <v>0.12</v>
      </c>
      <c r="I243" s="15" t="s">
        <v>734</v>
      </c>
      <c r="J243" s="27">
        <v>9.8699999999999992</v>
      </c>
      <c r="K243" s="15" t="s">
        <v>50</v>
      </c>
      <c r="L243" s="15" t="s">
        <v>31</v>
      </c>
      <c r="M243" s="15" t="s">
        <v>735</v>
      </c>
      <c r="N243" s="15" t="s">
        <v>32</v>
      </c>
      <c r="O243" s="15" t="s">
        <v>39</v>
      </c>
      <c r="P243" s="15" t="s">
        <v>25</v>
      </c>
      <c r="Q243" s="27">
        <v>1802.6</v>
      </c>
      <c r="R243" s="27">
        <v>216.31199999999998</v>
      </c>
      <c r="S243" s="31">
        <v>1586.288</v>
      </c>
    </row>
    <row r="244" spans="1:19" x14ac:dyDescent="0.25">
      <c r="A244" s="20">
        <v>45676</v>
      </c>
      <c r="B244" s="15" t="s">
        <v>278</v>
      </c>
      <c r="C244" s="15">
        <v>72187</v>
      </c>
      <c r="D244" s="15" t="s">
        <v>70</v>
      </c>
      <c r="E244" s="15">
        <v>19</v>
      </c>
      <c r="F244" s="27">
        <v>66.959999999999994</v>
      </c>
      <c r="G244" s="15" t="s">
        <v>18</v>
      </c>
      <c r="H244" s="35">
        <v>0.18</v>
      </c>
      <c r="I244" s="15" t="s">
        <v>734</v>
      </c>
      <c r="J244" s="27">
        <v>13.48</v>
      </c>
      <c r="K244" s="15" t="s">
        <v>30</v>
      </c>
      <c r="L244" s="15" t="s">
        <v>21</v>
      </c>
      <c r="M244" s="15" t="s">
        <v>111</v>
      </c>
      <c r="N244" s="15" t="s">
        <v>23</v>
      </c>
      <c r="O244" s="15" t="s">
        <v>24</v>
      </c>
      <c r="P244" s="15" t="s">
        <v>25</v>
      </c>
      <c r="Q244" s="27">
        <v>1272.2399999999998</v>
      </c>
      <c r="R244" s="27">
        <v>229.00319999999996</v>
      </c>
      <c r="S244" s="31">
        <v>1043.2367999999999</v>
      </c>
    </row>
    <row r="245" spans="1:19" x14ac:dyDescent="0.25">
      <c r="A245" s="20">
        <v>45676</v>
      </c>
      <c r="B245" s="15" t="s">
        <v>279</v>
      </c>
      <c r="C245" s="15">
        <v>76500</v>
      </c>
      <c r="D245" s="15" t="s">
        <v>68</v>
      </c>
      <c r="E245" s="15">
        <v>25</v>
      </c>
      <c r="F245" s="27">
        <v>83.53</v>
      </c>
      <c r="G245" s="15" t="s">
        <v>76</v>
      </c>
      <c r="H245" s="35">
        <v>0.18</v>
      </c>
      <c r="I245" s="15" t="s">
        <v>29</v>
      </c>
      <c r="J245" s="27">
        <v>27.26</v>
      </c>
      <c r="K245" s="15" t="s">
        <v>44</v>
      </c>
      <c r="L245" s="15" t="s">
        <v>21</v>
      </c>
      <c r="M245" s="15" t="s">
        <v>111</v>
      </c>
      <c r="N245" s="15" t="s">
        <v>32</v>
      </c>
      <c r="O245" s="15" t="s">
        <v>33</v>
      </c>
      <c r="P245" s="15" t="s">
        <v>40</v>
      </c>
      <c r="Q245" s="27">
        <v>2088.25</v>
      </c>
      <c r="R245" s="27">
        <v>375.88499999999999</v>
      </c>
      <c r="S245" s="31">
        <v>1712.365</v>
      </c>
    </row>
    <row r="246" spans="1:19" x14ac:dyDescent="0.25">
      <c r="A246" s="20">
        <v>45676</v>
      </c>
      <c r="B246" s="15" t="s">
        <v>280</v>
      </c>
      <c r="C246" s="15">
        <v>92672</v>
      </c>
      <c r="D246" s="15" t="s">
        <v>42</v>
      </c>
      <c r="E246" s="15">
        <v>49</v>
      </c>
      <c r="F246" s="27">
        <v>51.85</v>
      </c>
      <c r="G246" s="15" t="s">
        <v>28</v>
      </c>
      <c r="H246" s="35">
        <v>0.39</v>
      </c>
      <c r="I246" s="15" t="s">
        <v>19</v>
      </c>
      <c r="J246" s="27">
        <v>29.14</v>
      </c>
      <c r="K246" s="15" t="s">
        <v>37</v>
      </c>
      <c r="L246" s="15" t="s">
        <v>21</v>
      </c>
      <c r="M246" s="15" t="s">
        <v>22</v>
      </c>
      <c r="N246" s="15" t="s">
        <v>38</v>
      </c>
      <c r="O246" s="15" t="s">
        <v>59</v>
      </c>
      <c r="P246" s="15" t="s">
        <v>25</v>
      </c>
      <c r="Q246" s="27">
        <v>2540.65</v>
      </c>
      <c r="R246" s="27">
        <v>990.85350000000005</v>
      </c>
      <c r="S246" s="31">
        <v>1549.7964999999999</v>
      </c>
    </row>
    <row r="247" spans="1:19" x14ac:dyDescent="0.25">
      <c r="A247" s="20">
        <v>45676</v>
      </c>
      <c r="B247" s="15" t="s">
        <v>281</v>
      </c>
      <c r="C247" s="15">
        <v>37004</v>
      </c>
      <c r="D247" s="15" t="s">
        <v>75</v>
      </c>
      <c r="E247" s="15">
        <v>26</v>
      </c>
      <c r="F247" s="27">
        <v>96.93</v>
      </c>
      <c r="G247" s="15" t="s">
        <v>36</v>
      </c>
      <c r="H247" s="35">
        <v>0.13</v>
      </c>
      <c r="I247" s="15" t="s">
        <v>19</v>
      </c>
      <c r="J247" s="27">
        <v>15.32</v>
      </c>
      <c r="K247" s="15" t="s">
        <v>20</v>
      </c>
      <c r="L247" s="15" t="s">
        <v>21</v>
      </c>
      <c r="M247" s="15" t="s">
        <v>22</v>
      </c>
      <c r="N247" s="15" t="s">
        <v>23</v>
      </c>
      <c r="O247" s="15" t="s">
        <v>59</v>
      </c>
      <c r="P247" s="15" t="s">
        <v>25</v>
      </c>
      <c r="Q247" s="27">
        <v>2520.1800000000003</v>
      </c>
      <c r="R247" s="27">
        <v>327.62340000000006</v>
      </c>
      <c r="S247" s="31">
        <v>2192.5566000000003</v>
      </c>
    </row>
    <row r="248" spans="1:19" x14ac:dyDescent="0.25">
      <c r="A248" s="20">
        <v>45676</v>
      </c>
      <c r="B248" s="15" t="s">
        <v>282</v>
      </c>
      <c r="C248" s="15">
        <v>73507</v>
      </c>
      <c r="D248" s="15" t="s">
        <v>27</v>
      </c>
      <c r="E248" s="15">
        <v>20</v>
      </c>
      <c r="F248" s="27">
        <v>76.11</v>
      </c>
      <c r="G248" s="15" t="s">
        <v>43</v>
      </c>
      <c r="H248" s="35">
        <v>0.33</v>
      </c>
      <c r="I248" s="15" t="s">
        <v>19</v>
      </c>
      <c r="J248" s="27">
        <v>5.38</v>
      </c>
      <c r="K248" s="15" t="s">
        <v>50</v>
      </c>
      <c r="L248" s="15" t="s">
        <v>21</v>
      </c>
      <c r="M248" s="15" t="s">
        <v>22</v>
      </c>
      <c r="N248" s="15" t="s">
        <v>38</v>
      </c>
      <c r="O248" s="15" t="s">
        <v>81</v>
      </c>
      <c r="P248" s="15" t="s">
        <v>25</v>
      </c>
      <c r="Q248" s="27">
        <v>1522.2</v>
      </c>
      <c r="R248" s="27">
        <v>502.32600000000002</v>
      </c>
      <c r="S248" s="31">
        <v>1019.874</v>
      </c>
    </row>
    <row r="249" spans="1:19" x14ac:dyDescent="0.25">
      <c r="A249" s="20">
        <v>45676</v>
      </c>
      <c r="B249" s="15" t="s">
        <v>283</v>
      </c>
      <c r="C249" s="15">
        <v>79512</v>
      </c>
      <c r="D249" s="15" t="s">
        <v>70</v>
      </c>
      <c r="E249" s="15">
        <v>31</v>
      </c>
      <c r="F249" s="27">
        <v>24.02</v>
      </c>
      <c r="G249" s="15" t="s">
        <v>36</v>
      </c>
      <c r="H249" s="35">
        <v>0.26</v>
      </c>
      <c r="I249" s="15" t="s">
        <v>29</v>
      </c>
      <c r="J249" s="27">
        <v>18.12</v>
      </c>
      <c r="K249" s="15" t="s">
        <v>20</v>
      </c>
      <c r="L249" s="15" t="s">
        <v>21</v>
      </c>
      <c r="M249" s="15" t="s">
        <v>22</v>
      </c>
      <c r="N249" s="15" t="s">
        <v>32</v>
      </c>
      <c r="O249" s="15" t="s">
        <v>59</v>
      </c>
      <c r="P249" s="15" t="s">
        <v>34</v>
      </c>
      <c r="Q249" s="27">
        <v>744.62</v>
      </c>
      <c r="R249" s="27">
        <v>193.60120000000001</v>
      </c>
      <c r="S249" s="31">
        <v>551.01880000000006</v>
      </c>
    </row>
    <row r="250" spans="1:19" x14ac:dyDescent="0.25">
      <c r="A250" s="20">
        <v>45676</v>
      </c>
      <c r="B250" s="15" t="s">
        <v>284</v>
      </c>
      <c r="C250" s="15">
        <v>40728</v>
      </c>
      <c r="D250" s="15" t="s">
        <v>57</v>
      </c>
      <c r="E250" s="15">
        <v>17</v>
      </c>
      <c r="F250" s="27">
        <v>94.43</v>
      </c>
      <c r="G250" s="15" t="s">
        <v>72</v>
      </c>
      <c r="H250" s="35">
        <v>0.24</v>
      </c>
      <c r="I250" s="15" t="s">
        <v>19</v>
      </c>
      <c r="J250" s="27">
        <v>20.91</v>
      </c>
      <c r="K250" s="15" t="s">
        <v>20</v>
      </c>
      <c r="L250" s="15" t="s">
        <v>31</v>
      </c>
      <c r="M250" s="15" t="s">
        <v>22</v>
      </c>
      <c r="N250" s="15" t="s">
        <v>23</v>
      </c>
      <c r="O250" s="15" t="s">
        <v>24</v>
      </c>
      <c r="P250" s="15" t="s">
        <v>25</v>
      </c>
      <c r="Q250" s="27">
        <v>1605.3100000000002</v>
      </c>
      <c r="R250" s="27">
        <v>385.27440000000001</v>
      </c>
      <c r="S250" s="31">
        <v>1220.0356000000002</v>
      </c>
    </row>
    <row r="251" spans="1:19" x14ac:dyDescent="0.25">
      <c r="A251" s="20">
        <v>45676</v>
      </c>
      <c r="B251" s="15" t="s">
        <v>285</v>
      </c>
      <c r="C251" s="15">
        <v>88106</v>
      </c>
      <c r="D251" s="15" t="s">
        <v>46</v>
      </c>
      <c r="E251" s="15">
        <v>23</v>
      </c>
      <c r="F251" s="27">
        <v>62.26</v>
      </c>
      <c r="G251" s="15" t="s">
        <v>58</v>
      </c>
      <c r="H251" s="35">
        <v>0.16</v>
      </c>
      <c r="I251" s="15" t="s">
        <v>29</v>
      </c>
      <c r="J251" s="27">
        <v>12.51</v>
      </c>
      <c r="K251" s="15" t="s">
        <v>30</v>
      </c>
      <c r="L251" s="15" t="s">
        <v>21</v>
      </c>
      <c r="M251" s="15" t="s">
        <v>22</v>
      </c>
      <c r="N251" s="15" t="s">
        <v>32</v>
      </c>
      <c r="O251" s="15" t="s">
        <v>24</v>
      </c>
      <c r="P251" s="15" t="s">
        <v>25</v>
      </c>
      <c r="Q251" s="27">
        <v>1431.98</v>
      </c>
      <c r="R251" s="27">
        <v>229.11680000000001</v>
      </c>
      <c r="S251" s="31">
        <v>1202.8632</v>
      </c>
    </row>
    <row r="252" spans="1:19" x14ac:dyDescent="0.25">
      <c r="A252" s="20">
        <v>45676</v>
      </c>
      <c r="B252" s="15" t="s">
        <v>286</v>
      </c>
      <c r="C252" s="15">
        <v>17270</v>
      </c>
      <c r="D252" s="15" t="s">
        <v>57</v>
      </c>
      <c r="E252" s="15">
        <v>49</v>
      </c>
      <c r="F252" s="27">
        <v>46.58</v>
      </c>
      <c r="G252" s="15" t="s">
        <v>52</v>
      </c>
      <c r="H252" s="35">
        <v>0.08</v>
      </c>
      <c r="I252" s="15" t="s">
        <v>19</v>
      </c>
      <c r="J252" s="27">
        <v>13.72</v>
      </c>
      <c r="K252" s="15" t="s">
        <v>50</v>
      </c>
      <c r="L252" s="15" t="s">
        <v>31</v>
      </c>
      <c r="M252" s="15" t="s">
        <v>22</v>
      </c>
      <c r="N252" s="15" t="s">
        <v>38</v>
      </c>
      <c r="O252" s="15" t="s">
        <v>59</v>
      </c>
      <c r="P252" s="15" t="s">
        <v>34</v>
      </c>
      <c r="Q252" s="27">
        <v>2282.42</v>
      </c>
      <c r="R252" s="27">
        <v>182.59360000000001</v>
      </c>
      <c r="S252" s="31">
        <v>2099.8263999999999</v>
      </c>
    </row>
    <row r="253" spans="1:19" x14ac:dyDescent="0.25">
      <c r="A253" s="20">
        <v>45676</v>
      </c>
      <c r="B253" s="15" t="s">
        <v>134</v>
      </c>
      <c r="C253" s="15">
        <v>57397</v>
      </c>
      <c r="D253" s="15" t="s">
        <v>57</v>
      </c>
      <c r="E253" s="15">
        <v>37</v>
      </c>
      <c r="F253" s="27">
        <v>53.13</v>
      </c>
      <c r="G253" s="15" t="s">
        <v>28</v>
      </c>
      <c r="H253" s="35">
        <v>0.2</v>
      </c>
      <c r="I253" s="15" t="s">
        <v>19</v>
      </c>
      <c r="J253" s="27">
        <v>17.87</v>
      </c>
      <c r="K253" s="15" t="s">
        <v>44</v>
      </c>
      <c r="L253" s="15" t="s">
        <v>21</v>
      </c>
      <c r="M253" s="15" t="s">
        <v>22</v>
      </c>
      <c r="N253" s="15" t="s">
        <v>23</v>
      </c>
      <c r="O253" s="15" t="s">
        <v>24</v>
      </c>
      <c r="P253" s="15" t="s">
        <v>34</v>
      </c>
      <c r="Q253" s="27">
        <v>1965.8100000000002</v>
      </c>
      <c r="R253" s="27">
        <v>393.16200000000003</v>
      </c>
      <c r="S253" s="31">
        <v>1572.6480000000001</v>
      </c>
    </row>
    <row r="254" spans="1:19" x14ac:dyDescent="0.25">
      <c r="A254" s="20">
        <v>45676</v>
      </c>
      <c r="B254" s="15" t="s">
        <v>287</v>
      </c>
      <c r="C254" s="15">
        <v>86524</v>
      </c>
      <c r="D254" s="15" t="s">
        <v>75</v>
      </c>
      <c r="E254" s="15">
        <v>3</v>
      </c>
      <c r="F254" s="27">
        <v>14.21</v>
      </c>
      <c r="G254" s="15" t="s">
        <v>58</v>
      </c>
      <c r="H254" s="35">
        <v>0.14000000000000001</v>
      </c>
      <c r="I254" s="15" t="s">
        <v>734</v>
      </c>
      <c r="J254" s="27">
        <v>12.73</v>
      </c>
      <c r="K254" s="15" t="s">
        <v>44</v>
      </c>
      <c r="L254" s="15" t="s">
        <v>31</v>
      </c>
      <c r="M254" s="15" t="s">
        <v>22</v>
      </c>
      <c r="N254" s="15" t="s">
        <v>32</v>
      </c>
      <c r="O254" s="15" t="s">
        <v>59</v>
      </c>
      <c r="P254" s="15" t="s">
        <v>34</v>
      </c>
      <c r="Q254" s="27">
        <v>42.63</v>
      </c>
      <c r="R254" s="27">
        <v>5.9682000000000013</v>
      </c>
      <c r="S254" s="31">
        <v>36.661799999999999</v>
      </c>
    </row>
    <row r="255" spans="1:19" x14ac:dyDescent="0.25">
      <c r="A255" s="20">
        <v>45676</v>
      </c>
      <c r="B255" s="15" t="s">
        <v>228</v>
      </c>
      <c r="C255" s="15">
        <v>62050</v>
      </c>
      <c r="D255" s="15" t="s">
        <v>27</v>
      </c>
      <c r="E255" s="15">
        <v>22</v>
      </c>
      <c r="F255" s="27">
        <v>87</v>
      </c>
      <c r="G255" s="15" t="s">
        <v>55</v>
      </c>
      <c r="H255" s="35">
        <v>0.37</v>
      </c>
      <c r="I255" s="15" t="s">
        <v>19</v>
      </c>
      <c r="J255" s="27">
        <v>26.58</v>
      </c>
      <c r="K255" s="15" t="s">
        <v>44</v>
      </c>
      <c r="L255" s="15" t="s">
        <v>21</v>
      </c>
      <c r="M255" s="15" t="s">
        <v>22</v>
      </c>
      <c r="N255" s="15" t="s">
        <v>32</v>
      </c>
      <c r="O255" s="15" t="s">
        <v>39</v>
      </c>
      <c r="P255" s="15" t="s">
        <v>40</v>
      </c>
      <c r="Q255" s="27">
        <v>1914</v>
      </c>
      <c r="R255" s="27">
        <v>708.18</v>
      </c>
      <c r="S255" s="31">
        <v>1205.8200000000002</v>
      </c>
    </row>
    <row r="256" spans="1:19" x14ac:dyDescent="0.25">
      <c r="A256" s="20">
        <v>45677</v>
      </c>
      <c r="B256" s="15" t="s">
        <v>288</v>
      </c>
      <c r="C256" s="15">
        <v>11825</v>
      </c>
      <c r="D256" s="15" t="s">
        <v>70</v>
      </c>
      <c r="E256" s="15">
        <v>11</v>
      </c>
      <c r="F256" s="27">
        <v>23.17</v>
      </c>
      <c r="G256" s="15" t="s">
        <v>43</v>
      </c>
      <c r="H256" s="35">
        <v>0.11</v>
      </c>
      <c r="I256" s="15" t="s">
        <v>19</v>
      </c>
      <c r="J256" s="27">
        <v>21.33</v>
      </c>
      <c r="K256" s="15" t="s">
        <v>20</v>
      </c>
      <c r="L256" s="15" t="s">
        <v>21</v>
      </c>
      <c r="M256" s="15" t="s">
        <v>735</v>
      </c>
      <c r="N256" s="15" t="s">
        <v>23</v>
      </c>
      <c r="O256" s="15" t="s">
        <v>24</v>
      </c>
      <c r="P256" s="15" t="s">
        <v>25</v>
      </c>
      <c r="Q256" s="27">
        <v>254.87</v>
      </c>
      <c r="R256" s="27">
        <v>28.035700000000002</v>
      </c>
      <c r="S256" s="31">
        <v>226.83430000000001</v>
      </c>
    </row>
    <row r="257" spans="1:19" x14ac:dyDescent="0.25">
      <c r="A257" s="20">
        <v>45677</v>
      </c>
      <c r="B257" s="15" t="s">
        <v>289</v>
      </c>
      <c r="C257" s="15">
        <v>52199</v>
      </c>
      <c r="D257" s="15" t="s">
        <v>17</v>
      </c>
      <c r="E257" s="15">
        <v>3</v>
      </c>
      <c r="F257" s="27">
        <v>76.599999999999994</v>
      </c>
      <c r="G257" s="15" t="s">
        <v>36</v>
      </c>
      <c r="H257" s="35">
        <v>0.13</v>
      </c>
      <c r="I257" s="15" t="s">
        <v>29</v>
      </c>
      <c r="J257" s="27">
        <v>13.67</v>
      </c>
      <c r="K257" s="15" t="s">
        <v>44</v>
      </c>
      <c r="L257" s="15" t="s">
        <v>21</v>
      </c>
      <c r="M257" s="15" t="s">
        <v>22</v>
      </c>
      <c r="N257" s="15" t="s">
        <v>53</v>
      </c>
      <c r="O257" s="15" t="s">
        <v>24</v>
      </c>
      <c r="P257" s="15" t="s">
        <v>40</v>
      </c>
      <c r="Q257" s="27">
        <v>229.79999999999998</v>
      </c>
      <c r="R257" s="27">
        <v>29.873999999999999</v>
      </c>
      <c r="S257" s="31">
        <v>199.92599999999999</v>
      </c>
    </row>
    <row r="258" spans="1:19" x14ac:dyDescent="0.25">
      <c r="A258" s="20">
        <v>45677</v>
      </c>
      <c r="B258" s="15" t="s">
        <v>212</v>
      </c>
      <c r="C258" s="15">
        <v>75447</v>
      </c>
      <c r="D258" s="15" t="s">
        <v>49</v>
      </c>
      <c r="E258" s="15">
        <v>45</v>
      </c>
      <c r="F258" s="27">
        <v>76.03</v>
      </c>
      <c r="G258" s="15" t="s">
        <v>43</v>
      </c>
      <c r="H258" s="35">
        <v>0.33</v>
      </c>
      <c r="I258" s="15" t="s">
        <v>19</v>
      </c>
      <c r="J258" s="27">
        <v>13.75</v>
      </c>
      <c r="K258" s="15" t="s">
        <v>50</v>
      </c>
      <c r="L258" s="15" t="s">
        <v>21</v>
      </c>
      <c r="M258" s="15" t="s">
        <v>22</v>
      </c>
      <c r="N258" s="15" t="s">
        <v>38</v>
      </c>
      <c r="O258" s="15" t="s">
        <v>24</v>
      </c>
      <c r="P258" s="15" t="s">
        <v>40</v>
      </c>
      <c r="Q258" s="27">
        <v>3421.35</v>
      </c>
      <c r="R258" s="27">
        <v>1129.0454999999999</v>
      </c>
      <c r="S258" s="31">
        <v>2292.3045000000002</v>
      </c>
    </row>
    <row r="259" spans="1:19" x14ac:dyDescent="0.25">
      <c r="A259" s="20">
        <v>45677</v>
      </c>
      <c r="B259" s="15" t="s">
        <v>290</v>
      </c>
      <c r="C259" s="15">
        <v>48684</v>
      </c>
      <c r="D259" s="15" t="s">
        <v>46</v>
      </c>
      <c r="E259" s="15">
        <v>49</v>
      </c>
      <c r="F259" s="27">
        <v>90.06</v>
      </c>
      <c r="G259" s="15" t="s">
        <v>58</v>
      </c>
      <c r="H259" s="35">
        <v>0.24</v>
      </c>
      <c r="I259" s="15" t="s">
        <v>734</v>
      </c>
      <c r="J259" s="27">
        <v>23.18</v>
      </c>
      <c r="K259" s="15" t="s">
        <v>20</v>
      </c>
      <c r="L259" s="15" t="s">
        <v>21</v>
      </c>
      <c r="M259" s="15" t="s">
        <v>22</v>
      </c>
      <c r="N259" s="15" t="s">
        <v>38</v>
      </c>
      <c r="O259" s="15" t="s">
        <v>81</v>
      </c>
      <c r="P259" s="15" t="s">
        <v>40</v>
      </c>
      <c r="Q259" s="27">
        <v>4412.9400000000005</v>
      </c>
      <c r="R259" s="27">
        <v>1059.1056000000001</v>
      </c>
      <c r="S259" s="31">
        <v>3353.8344000000006</v>
      </c>
    </row>
    <row r="260" spans="1:19" x14ac:dyDescent="0.25">
      <c r="A260" s="20">
        <v>45677</v>
      </c>
      <c r="B260" s="15" t="s">
        <v>291</v>
      </c>
      <c r="C260" s="15">
        <v>77467</v>
      </c>
      <c r="D260" s="15" t="s">
        <v>49</v>
      </c>
      <c r="E260" s="15">
        <v>40</v>
      </c>
      <c r="F260" s="27">
        <v>77.95</v>
      </c>
      <c r="G260" s="15" t="s">
        <v>47</v>
      </c>
      <c r="H260" s="35">
        <v>0.06</v>
      </c>
      <c r="I260" s="15" t="s">
        <v>734</v>
      </c>
      <c r="J260" s="27">
        <v>17.7</v>
      </c>
      <c r="K260" s="15" t="s">
        <v>44</v>
      </c>
      <c r="L260" s="15" t="s">
        <v>21</v>
      </c>
      <c r="M260" s="15" t="s">
        <v>22</v>
      </c>
      <c r="N260" s="15" t="s">
        <v>53</v>
      </c>
      <c r="O260" s="15" t="s">
        <v>39</v>
      </c>
      <c r="P260" s="15" t="s">
        <v>25</v>
      </c>
      <c r="Q260" s="27">
        <v>3118</v>
      </c>
      <c r="R260" s="27">
        <v>187.07999999999998</v>
      </c>
      <c r="S260" s="31">
        <v>2930.92</v>
      </c>
    </row>
    <row r="261" spans="1:19" x14ac:dyDescent="0.25">
      <c r="A261" s="20">
        <v>45677</v>
      </c>
      <c r="B261" s="15" t="s">
        <v>292</v>
      </c>
      <c r="C261" s="15">
        <v>21293</v>
      </c>
      <c r="D261" s="15" t="s">
        <v>75</v>
      </c>
      <c r="E261" s="15">
        <v>27</v>
      </c>
      <c r="F261" s="27">
        <v>46.25</v>
      </c>
      <c r="G261" s="15" t="s">
        <v>58</v>
      </c>
      <c r="H261" s="35">
        <v>0.38</v>
      </c>
      <c r="I261" s="15" t="s">
        <v>19</v>
      </c>
      <c r="J261" s="27">
        <v>20.239999999999998</v>
      </c>
      <c r="K261" s="15" t="s">
        <v>20</v>
      </c>
      <c r="L261" s="15" t="s">
        <v>21</v>
      </c>
      <c r="M261" s="15" t="s">
        <v>111</v>
      </c>
      <c r="N261" s="15" t="s">
        <v>32</v>
      </c>
      <c r="O261" s="15" t="s">
        <v>39</v>
      </c>
      <c r="P261" s="15" t="s">
        <v>40</v>
      </c>
      <c r="Q261" s="27">
        <v>1248.75</v>
      </c>
      <c r="R261" s="27">
        <v>474.52499999999998</v>
      </c>
      <c r="S261" s="31">
        <v>774.22500000000002</v>
      </c>
    </row>
    <row r="262" spans="1:19" x14ac:dyDescent="0.25">
      <c r="A262" s="20">
        <v>45677</v>
      </c>
      <c r="B262" s="15" t="s">
        <v>293</v>
      </c>
      <c r="C262" s="15">
        <v>58634</v>
      </c>
      <c r="D262" s="15" t="s">
        <v>70</v>
      </c>
      <c r="E262" s="15">
        <v>1</v>
      </c>
      <c r="F262" s="27">
        <v>53</v>
      </c>
      <c r="G262" s="15" t="s">
        <v>99</v>
      </c>
      <c r="H262" s="35">
        <v>0.2</v>
      </c>
      <c r="I262" s="15" t="s">
        <v>29</v>
      </c>
      <c r="J262" s="27">
        <v>15.85</v>
      </c>
      <c r="K262" s="15" t="s">
        <v>30</v>
      </c>
      <c r="L262" s="15" t="s">
        <v>31</v>
      </c>
      <c r="M262" s="15" t="s">
        <v>22</v>
      </c>
      <c r="N262" s="15" t="s">
        <v>38</v>
      </c>
      <c r="O262" s="15" t="s">
        <v>81</v>
      </c>
      <c r="P262" s="15" t="s">
        <v>40</v>
      </c>
      <c r="Q262" s="27">
        <v>53</v>
      </c>
      <c r="R262" s="27">
        <v>10.600000000000001</v>
      </c>
      <c r="S262" s="31">
        <v>42.4</v>
      </c>
    </row>
    <row r="263" spans="1:19" x14ac:dyDescent="0.25">
      <c r="A263" s="20">
        <v>45677</v>
      </c>
      <c r="B263" s="15" t="s">
        <v>294</v>
      </c>
      <c r="C263" s="15">
        <v>65874</v>
      </c>
      <c r="D263" s="15" t="s">
        <v>57</v>
      </c>
      <c r="E263" s="15">
        <v>7</v>
      </c>
      <c r="F263" s="27">
        <v>73.52</v>
      </c>
      <c r="G263" s="15" t="s">
        <v>84</v>
      </c>
      <c r="H263" s="35">
        <v>0.15</v>
      </c>
      <c r="I263" s="15" t="s">
        <v>19</v>
      </c>
      <c r="J263" s="27">
        <v>13.68</v>
      </c>
      <c r="K263" s="15" t="s">
        <v>37</v>
      </c>
      <c r="L263" s="15" t="s">
        <v>31</v>
      </c>
      <c r="M263" s="15" t="s">
        <v>22</v>
      </c>
      <c r="N263" s="15" t="s">
        <v>38</v>
      </c>
      <c r="O263" s="15" t="s">
        <v>39</v>
      </c>
      <c r="P263" s="15" t="s">
        <v>34</v>
      </c>
      <c r="Q263" s="27">
        <v>514.64</v>
      </c>
      <c r="R263" s="27">
        <v>77.195999999999998</v>
      </c>
      <c r="S263" s="31">
        <v>437.44399999999996</v>
      </c>
    </row>
    <row r="264" spans="1:19" x14ac:dyDescent="0.25">
      <c r="A264" s="20">
        <v>45677</v>
      </c>
      <c r="B264" s="15" t="s">
        <v>159</v>
      </c>
      <c r="C264" s="15">
        <v>35295</v>
      </c>
      <c r="D264" s="15" t="s">
        <v>68</v>
      </c>
      <c r="E264" s="15">
        <v>5</v>
      </c>
      <c r="F264" s="27">
        <v>46.35</v>
      </c>
      <c r="G264" s="15" t="s">
        <v>36</v>
      </c>
      <c r="H264" s="35">
        <v>0.19</v>
      </c>
      <c r="I264" s="15" t="s">
        <v>734</v>
      </c>
      <c r="J264" s="27">
        <v>9.24</v>
      </c>
      <c r="K264" s="15" t="s">
        <v>44</v>
      </c>
      <c r="L264" s="15" t="s">
        <v>31</v>
      </c>
      <c r="M264" s="15" t="s">
        <v>22</v>
      </c>
      <c r="N264" s="15" t="s">
        <v>23</v>
      </c>
      <c r="O264" s="15" t="s">
        <v>39</v>
      </c>
      <c r="P264" s="15" t="s">
        <v>40</v>
      </c>
      <c r="Q264" s="27">
        <v>231.75</v>
      </c>
      <c r="R264" s="27">
        <v>44.032499999999999</v>
      </c>
      <c r="S264" s="31">
        <v>187.7175</v>
      </c>
    </row>
    <row r="265" spans="1:19" x14ac:dyDescent="0.25">
      <c r="A265" s="20">
        <v>45677</v>
      </c>
      <c r="B265" s="15" t="s">
        <v>295</v>
      </c>
      <c r="C265" s="15">
        <v>73790</v>
      </c>
      <c r="D265" s="15" t="s">
        <v>66</v>
      </c>
      <c r="E265" s="15">
        <v>26</v>
      </c>
      <c r="F265" s="27">
        <v>53.04</v>
      </c>
      <c r="G265" s="15" t="s">
        <v>99</v>
      </c>
      <c r="H265" s="35">
        <v>0.09</v>
      </c>
      <c r="I265" s="15" t="s">
        <v>29</v>
      </c>
      <c r="J265" s="27">
        <v>6.2</v>
      </c>
      <c r="K265" s="15" t="s">
        <v>44</v>
      </c>
      <c r="L265" s="15" t="s">
        <v>31</v>
      </c>
      <c r="M265" s="15" t="s">
        <v>22</v>
      </c>
      <c r="N265" s="15" t="s">
        <v>38</v>
      </c>
      <c r="O265" s="15" t="s">
        <v>24</v>
      </c>
      <c r="P265" s="15" t="s">
        <v>40</v>
      </c>
      <c r="Q265" s="27">
        <v>1379.04</v>
      </c>
      <c r="R265" s="27">
        <v>124.11359999999999</v>
      </c>
      <c r="S265" s="31">
        <v>1254.9264000000001</v>
      </c>
    </row>
    <row r="266" spans="1:19" x14ac:dyDescent="0.25">
      <c r="A266" s="20">
        <v>45677</v>
      </c>
      <c r="B266" s="15" t="s">
        <v>296</v>
      </c>
      <c r="C266" s="15">
        <v>31730</v>
      </c>
      <c r="D266" s="15" t="s">
        <v>27</v>
      </c>
      <c r="E266" s="15">
        <v>20</v>
      </c>
      <c r="F266" s="27">
        <v>13.83</v>
      </c>
      <c r="G266" s="15" t="s">
        <v>84</v>
      </c>
      <c r="H266" s="35">
        <v>0.06</v>
      </c>
      <c r="I266" s="15" t="s">
        <v>734</v>
      </c>
      <c r="J266" s="27">
        <v>14.99</v>
      </c>
      <c r="K266" s="15" t="s">
        <v>37</v>
      </c>
      <c r="L266" s="15" t="s">
        <v>31</v>
      </c>
      <c r="M266" s="15" t="s">
        <v>22</v>
      </c>
      <c r="N266" s="15" t="s">
        <v>53</v>
      </c>
      <c r="O266" s="15" t="s">
        <v>81</v>
      </c>
      <c r="P266" s="15" t="s">
        <v>40</v>
      </c>
      <c r="Q266" s="27">
        <v>276.60000000000002</v>
      </c>
      <c r="R266" s="27">
        <v>16.596</v>
      </c>
      <c r="S266" s="31">
        <v>260.00400000000002</v>
      </c>
    </row>
    <row r="267" spans="1:19" x14ac:dyDescent="0.25">
      <c r="A267" s="20">
        <v>45677</v>
      </c>
      <c r="B267" s="15" t="s">
        <v>297</v>
      </c>
      <c r="C267" s="15">
        <v>28651</v>
      </c>
      <c r="D267" s="15" t="s">
        <v>75</v>
      </c>
      <c r="E267" s="15">
        <v>4</v>
      </c>
      <c r="F267" s="27">
        <v>93.61</v>
      </c>
      <c r="G267" s="15" t="s">
        <v>58</v>
      </c>
      <c r="H267" s="35">
        <v>0.32</v>
      </c>
      <c r="I267" s="15" t="s">
        <v>19</v>
      </c>
      <c r="J267" s="27">
        <v>11.36</v>
      </c>
      <c r="K267" s="15" t="s">
        <v>30</v>
      </c>
      <c r="L267" s="15" t="s">
        <v>21</v>
      </c>
      <c r="M267" s="15" t="s">
        <v>22</v>
      </c>
      <c r="N267" s="15" t="s">
        <v>32</v>
      </c>
      <c r="O267" s="15" t="s">
        <v>59</v>
      </c>
      <c r="P267" s="15" t="s">
        <v>34</v>
      </c>
      <c r="Q267" s="27">
        <v>374.44</v>
      </c>
      <c r="R267" s="27">
        <v>119.82080000000001</v>
      </c>
      <c r="S267" s="31">
        <v>254.61919999999998</v>
      </c>
    </row>
    <row r="268" spans="1:19" x14ac:dyDescent="0.25">
      <c r="A268" s="20">
        <v>45677</v>
      </c>
      <c r="B268" s="15" t="s">
        <v>217</v>
      </c>
      <c r="C268" s="15">
        <v>20111</v>
      </c>
      <c r="D268" s="15" t="s">
        <v>75</v>
      </c>
      <c r="E268" s="15">
        <v>42</v>
      </c>
      <c r="F268" s="27">
        <v>61.64</v>
      </c>
      <c r="G268" s="15" t="s">
        <v>28</v>
      </c>
      <c r="H268" s="35">
        <v>0.24</v>
      </c>
      <c r="I268" s="15" t="s">
        <v>734</v>
      </c>
      <c r="J268" s="27">
        <v>14.45</v>
      </c>
      <c r="K268" s="15" t="s">
        <v>37</v>
      </c>
      <c r="L268" s="15" t="s">
        <v>21</v>
      </c>
      <c r="M268" s="15" t="s">
        <v>22</v>
      </c>
      <c r="N268" s="15" t="s">
        <v>53</v>
      </c>
      <c r="O268" s="15" t="s">
        <v>33</v>
      </c>
      <c r="P268" s="15" t="s">
        <v>25</v>
      </c>
      <c r="Q268" s="27">
        <v>2588.88</v>
      </c>
      <c r="R268" s="27">
        <v>621.33119999999997</v>
      </c>
      <c r="S268" s="31">
        <v>1967.5488</v>
      </c>
    </row>
    <row r="269" spans="1:19" x14ac:dyDescent="0.25">
      <c r="A269" s="20">
        <v>45677</v>
      </c>
      <c r="B269" s="15" t="s">
        <v>298</v>
      </c>
      <c r="C269" s="15">
        <v>92618</v>
      </c>
      <c r="D269" s="15" t="s">
        <v>57</v>
      </c>
      <c r="E269" s="15">
        <v>41</v>
      </c>
      <c r="F269" s="27">
        <v>1.4</v>
      </c>
      <c r="G269" s="15" t="s">
        <v>76</v>
      </c>
      <c r="H269" s="35">
        <v>0.22</v>
      </c>
      <c r="I269" s="15" t="s">
        <v>19</v>
      </c>
      <c r="J269" s="27">
        <v>25.7</v>
      </c>
      <c r="K269" s="15" t="s">
        <v>37</v>
      </c>
      <c r="L269" s="15" t="s">
        <v>31</v>
      </c>
      <c r="M269" s="15" t="s">
        <v>22</v>
      </c>
      <c r="N269" s="15" t="s">
        <v>53</v>
      </c>
      <c r="O269" s="15" t="s">
        <v>39</v>
      </c>
      <c r="P269" s="15" t="s">
        <v>34</v>
      </c>
      <c r="Q269" s="27">
        <v>57.4</v>
      </c>
      <c r="R269" s="27">
        <v>12.628</v>
      </c>
      <c r="S269" s="31">
        <v>44.771999999999998</v>
      </c>
    </row>
    <row r="270" spans="1:19" x14ac:dyDescent="0.25">
      <c r="A270" s="20">
        <v>45677</v>
      </c>
      <c r="B270" s="15" t="s">
        <v>299</v>
      </c>
      <c r="C270" s="15">
        <v>82313</v>
      </c>
      <c r="D270" s="15" t="s">
        <v>57</v>
      </c>
      <c r="E270" s="15">
        <v>19</v>
      </c>
      <c r="F270" s="27">
        <v>6.91</v>
      </c>
      <c r="G270" s="15" t="s">
        <v>84</v>
      </c>
      <c r="H270" s="35">
        <v>0.37</v>
      </c>
      <c r="I270" s="15" t="s">
        <v>19</v>
      </c>
      <c r="J270" s="27">
        <v>22.13</v>
      </c>
      <c r="K270" s="15" t="s">
        <v>37</v>
      </c>
      <c r="L270" s="15" t="s">
        <v>31</v>
      </c>
      <c r="M270" s="15" t="s">
        <v>22</v>
      </c>
      <c r="N270" s="15" t="s">
        <v>32</v>
      </c>
      <c r="O270" s="15" t="s">
        <v>39</v>
      </c>
      <c r="P270" s="15" t="s">
        <v>34</v>
      </c>
      <c r="Q270" s="27">
        <v>131.29</v>
      </c>
      <c r="R270" s="27">
        <v>48.577299999999994</v>
      </c>
      <c r="S270" s="31">
        <v>82.712699999999998</v>
      </c>
    </row>
    <row r="271" spans="1:19" x14ac:dyDescent="0.25">
      <c r="A271" s="20">
        <v>45677</v>
      </c>
      <c r="B271" s="15" t="s">
        <v>235</v>
      </c>
      <c r="C271" s="15">
        <v>63177</v>
      </c>
      <c r="D271" s="15" t="s">
        <v>89</v>
      </c>
      <c r="E271" s="15">
        <v>25</v>
      </c>
      <c r="F271" s="27">
        <v>12.29</v>
      </c>
      <c r="G271" s="15" t="s">
        <v>76</v>
      </c>
      <c r="H271" s="35">
        <v>0.06</v>
      </c>
      <c r="I271" s="15" t="s">
        <v>734</v>
      </c>
      <c r="J271" s="27">
        <v>28.07</v>
      </c>
      <c r="K271" s="15" t="s">
        <v>50</v>
      </c>
      <c r="L271" s="15" t="s">
        <v>21</v>
      </c>
      <c r="M271" s="15" t="s">
        <v>111</v>
      </c>
      <c r="N271" s="15" t="s">
        <v>23</v>
      </c>
      <c r="O271" s="15" t="s">
        <v>81</v>
      </c>
      <c r="P271" s="15" t="s">
        <v>25</v>
      </c>
      <c r="Q271" s="27">
        <v>307.25</v>
      </c>
      <c r="R271" s="27">
        <v>18.434999999999999</v>
      </c>
      <c r="S271" s="31">
        <v>288.815</v>
      </c>
    </row>
    <row r="272" spans="1:19" x14ac:dyDescent="0.25">
      <c r="A272" s="20">
        <v>45677</v>
      </c>
      <c r="B272" s="15" t="s">
        <v>300</v>
      </c>
      <c r="C272" s="15">
        <v>58381</v>
      </c>
      <c r="D272" s="15" t="s">
        <v>89</v>
      </c>
      <c r="E272" s="15">
        <v>17</v>
      </c>
      <c r="F272" s="27">
        <v>5.9</v>
      </c>
      <c r="G272" s="15" t="s">
        <v>55</v>
      </c>
      <c r="H272" s="35">
        <v>0.01</v>
      </c>
      <c r="I272" s="15" t="s">
        <v>19</v>
      </c>
      <c r="J272" s="27">
        <v>17.329999999999998</v>
      </c>
      <c r="K272" s="15" t="s">
        <v>20</v>
      </c>
      <c r="L272" s="15" t="s">
        <v>31</v>
      </c>
      <c r="M272" s="15" t="s">
        <v>735</v>
      </c>
      <c r="N272" s="15" t="s">
        <v>38</v>
      </c>
      <c r="O272" s="15" t="s">
        <v>39</v>
      </c>
      <c r="P272" s="15" t="s">
        <v>40</v>
      </c>
      <c r="Q272" s="27">
        <v>100.30000000000001</v>
      </c>
      <c r="R272" s="27">
        <v>1.0030000000000001</v>
      </c>
      <c r="S272" s="31">
        <v>99.297000000000011</v>
      </c>
    </row>
    <row r="273" spans="1:19" x14ac:dyDescent="0.25">
      <c r="A273" s="20">
        <v>45677</v>
      </c>
      <c r="B273" s="15" t="s">
        <v>301</v>
      </c>
      <c r="C273" s="15">
        <v>81334</v>
      </c>
      <c r="D273" s="15" t="s">
        <v>46</v>
      </c>
      <c r="E273" s="15">
        <v>40</v>
      </c>
      <c r="F273" s="27">
        <v>18.100000000000001</v>
      </c>
      <c r="G273" s="15" t="s">
        <v>52</v>
      </c>
      <c r="H273" s="35">
        <v>0.38</v>
      </c>
      <c r="I273" s="15" t="s">
        <v>734</v>
      </c>
      <c r="J273" s="27">
        <v>10.82</v>
      </c>
      <c r="K273" s="15" t="s">
        <v>50</v>
      </c>
      <c r="L273" s="15" t="s">
        <v>31</v>
      </c>
      <c r="M273" s="15" t="s">
        <v>22</v>
      </c>
      <c r="N273" s="15" t="s">
        <v>23</v>
      </c>
      <c r="O273" s="15" t="s">
        <v>33</v>
      </c>
      <c r="P273" s="15" t="s">
        <v>40</v>
      </c>
      <c r="Q273" s="27">
        <v>724</v>
      </c>
      <c r="R273" s="27">
        <v>275.12</v>
      </c>
      <c r="S273" s="31">
        <v>448.88</v>
      </c>
    </row>
    <row r="274" spans="1:19" x14ac:dyDescent="0.25">
      <c r="A274" s="20">
        <v>45677</v>
      </c>
      <c r="B274" s="15" t="s">
        <v>302</v>
      </c>
      <c r="C274" s="15">
        <v>11760</v>
      </c>
      <c r="D274" s="15" t="s">
        <v>70</v>
      </c>
      <c r="E274" s="15">
        <v>33</v>
      </c>
      <c r="F274" s="27">
        <v>40.43</v>
      </c>
      <c r="G274" s="15" t="s">
        <v>76</v>
      </c>
      <c r="H274" s="35">
        <v>0.46</v>
      </c>
      <c r="I274" s="15" t="s">
        <v>19</v>
      </c>
      <c r="J274" s="27">
        <v>25.74</v>
      </c>
      <c r="K274" s="15" t="s">
        <v>50</v>
      </c>
      <c r="L274" s="15" t="s">
        <v>21</v>
      </c>
      <c r="M274" s="15" t="s">
        <v>22</v>
      </c>
      <c r="N274" s="15" t="s">
        <v>32</v>
      </c>
      <c r="O274" s="15" t="s">
        <v>33</v>
      </c>
      <c r="P274" s="15" t="s">
        <v>25</v>
      </c>
      <c r="Q274" s="27">
        <v>1334.19</v>
      </c>
      <c r="R274" s="27">
        <v>613.7274000000001</v>
      </c>
      <c r="S274" s="31">
        <v>720.46259999999995</v>
      </c>
    </row>
    <row r="275" spans="1:19" x14ac:dyDescent="0.25">
      <c r="A275" s="20">
        <v>45677</v>
      </c>
      <c r="B275" s="15" t="s">
        <v>303</v>
      </c>
      <c r="C275" s="15">
        <v>30048</v>
      </c>
      <c r="D275" s="15" t="s">
        <v>68</v>
      </c>
      <c r="E275" s="15">
        <v>33</v>
      </c>
      <c r="F275" s="27">
        <v>45.47</v>
      </c>
      <c r="G275" s="15" t="s">
        <v>47</v>
      </c>
      <c r="H275" s="35">
        <v>0.25</v>
      </c>
      <c r="I275" s="15" t="s">
        <v>19</v>
      </c>
      <c r="J275" s="27">
        <v>6.36</v>
      </c>
      <c r="K275" s="15" t="s">
        <v>30</v>
      </c>
      <c r="L275" s="15" t="s">
        <v>21</v>
      </c>
      <c r="M275" s="15" t="s">
        <v>735</v>
      </c>
      <c r="N275" s="15" t="s">
        <v>38</v>
      </c>
      <c r="O275" s="15" t="s">
        <v>39</v>
      </c>
      <c r="P275" s="15" t="s">
        <v>40</v>
      </c>
      <c r="Q275" s="27">
        <v>1500.51</v>
      </c>
      <c r="R275" s="27">
        <v>375.1275</v>
      </c>
      <c r="S275" s="31">
        <v>1125.3824999999999</v>
      </c>
    </row>
    <row r="276" spans="1:19" x14ac:dyDescent="0.25">
      <c r="A276" s="20">
        <v>45677</v>
      </c>
      <c r="B276" s="15" t="s">
        <v>71</v>
      </c>
      <c r="C276" s="15">
        <v>98958</v>
      </c>
      <c r="D276" s="15" t="s">
        <v>46</v>
      </c>
      <c r="E276" s="15">
        <v>46</v>
      </c>
      <c r="F276" s="27">
        <v>33.26</v>
      </c>
      <c r="G276" s="15" t="s">
        <v>76</v>
      </c>
      <c r="H276" s="35">
        <v>0.28000000000000003</v>
      </c>
      <c r="I276" s="15" t="s">
        <v>19</v>
      </c>
      <c r="J276" s="27">
        <v>16.920000000000002</v>
      </c>
      <c r="K276" s="15" t="s">
        <v>44</v>
      </c>
      <c r="L276" s="15" t="s">
        <v>31</v>
      </c>
      <c r="M276" s="15" t="s">
        <v>22</v>
      </c>
      <c r="N276" s="15" t="s">
        <v>23</v>
      </c>
      <c r="O276" s="15" t="s">
        <v>33</v>
      </c>
      <c r="P276" s="15" t="s">
        <v>25</v>
      </c>
      <c r="Q276" s="27">
        <v>1529.9599999999998</v>
      </c>
      <c r="R276" s="27">
        <v>428.3888</v>
      </c>
      <c r="S276" s="31">
        <v>1101.5711999999999</v>
      </c>
    </row>
    <row r="277" spans="1:19" x14ac:dyDescent="0.25">
      <c r="A277" s="20">
        <v>45677</v>
      </c>
      <c r="B277" s="15" t="s">
        <v>304</v>
      </c>
      <c r="C277" s="15">
        <v>74880</v>
      </c>
      <c r="D277" s="15" t="s">
        <v>27</v>
      </c>
      <c r="E277" s="15">
        <v>28</v>
      </c>
      <c r="F277" s="27">
        <v>63.37</v>
      </c>
      <c r="G277" s="15" t="s">
        <v>36</v>
      </c>
      <c r="H277" s="35">
        <v>0.35</v>
      </c>
      <c r="I277" s="15" t="s">
        <v>734</v>
      </c>
      <c r="J277" s="27">
        <v>25.09</v>
      </c>
      <c r="K277" s="15" t="s">
        <v>20</v>
      </c>
      <c r="L277" s="15" t="s">
        <v>31</v>
      </c>
      <c r="M277" s="15" t="s">
        <v>22</v>
      </c>
      <c r="N277" s="15" t="s">
        <v>38</v>
      </c>
      <c r="O277" s="15" t="s">
        <v>39</v>
      </c>
      <c r="P277" s="15" t="s">
        <v>34</v>
      </c>
      <c r="Q277" s="27">
        <v>1774.36</v>
      </c>
      <c r="R277" s="27">
        <v>621.02599999999995</v>
      </c>
      <c r="S277" s="31">
        <v>1153.3339999999998</v>
      </c>
    </row>
    <row r="278" spans="1:19" x14ac:dyDescent="0.25">
      <c r="A278" s="20">
        <v>45678</v>
      </c>
      <c r="B278" s="15" t="s">
        <v>305</v>
      </c>
      <c r="C278" s="15">
        <v>44419</v>
      </c>
      <c r="D278" s="15" t="s">
        <v>46</v>
      </c>
      <c r="E278" s="15">
        <v>17</v>
      </c>
      <c r="F278" s="27">
        <v>68.94</v>
      </c>
      <c r="G278" s="15" t="s">
        <v>47</v>
      </c>
      <c r="H278" s="35">
        <v>0.16</v>
      </c>
      <c r="I278" s="15" t="s">
        <v>29</v>
      </c>
      <c r="J278" s="27">
        <v>26.76</v>
      </c>
      <c r="K278" s="15" t="s">
        <v>20</v>
      </c>
      <c r="L278" s="15" t="s">
        <v>21</v>
      </c>
      <c r="M278" s="15" t="s">
        <v>22</v>
      </c>
      <c r="N278" s="15" t="s">
        <v>53</v>
      </c>
      <c r="O278" s="15" t="s">
        <v>39</v>
      </c>
      <c r="P278" s="15" t="s">
        <v>34</v>
      </c>
      <c r="Q278" s="27">
        <v>1171.98</v>
      </c>
      <c r="R278" s="27">
        <v>187.51680000000002</v>
      </c>
      <c r="S278" s="31">
        <v>984.46320000000003</v>
      </c>
    </row>
    <row r="279" spans="1:19" x14ac:dyDescent="0.25">
      <c r="A279" s="20">
        <v>45678</v>
      </c>
      <c r="B279" s="15" t="s">
        <v>90</v>
      </c>
      <c r="C279" s="15">
        <v>35013</v>
      </c>
      <c r="D279" s="15" t="s">
        <v>42</v>
      </c>
      <c r="E279" s="15">
        <v>48</v>
      </c>
      <c r="F279" s="27">
        <v>5.04</v>
      </c>
      <c r="G279" s="15" t="s">
        <v>72</v>
      </c>
      <c r="H279" s="35">
        <v>0.23</v>
      </c>
      <c r="I279" s="15" t="s">
        <v>19</v>
      </c>
      <c r="J279" s="27">
        <v>22.43</v>
      </c>
      <c r="K279" s="15" t="s">
        <v>37</v>
      </c>
      <c r="L279" s="15" t="s">
        <v>31</v>
      </c>
      <c r="M279" s="15" t="s">
        <v>22</v>
      </c>
      <c r="N279" s="15" t="s">
        <v>23</v>
      </c>
      <c r="O279" s="15" t="s">
        <v>81</v>
      </c>
      <c r="P279" s="15" t="s">
        <v>34</v>
      </c>
      <c r="Q279" s="27">
        <v>241.92000000000002</v>
      </c>
      <c r="R279" s="27">
        <v>55.641600000000004</v>
      </c>
      <c r="S279" s="31">
        <v>186.2784</v>
      </c>
    </row>
    <row r="280" spans="1:19" x14ac:dyDescent="0.25">
      <c r="A280" s="20">
        <v>45678</v>
      </c>
      <c r="B280" s="15" t="s">
        <v>296</v>
      </c>
      <c r="C280" s="15">
        <v>40974</v>
      </c>
      <c r="D280" s="15" t="s">
        <v>89</v>
      </c>
      <c r="E280" s="15">
        <v>31</v>
      </c>
      <c r="F280" s="27">
        <v>49.19</v>
      </c>
      <c r="G280" s="15" t="s">
        <v>36</v>
      </c>
      <c r="H280" s="35">
        <v>0.27</v>
      </c>
      <c r="I280" s="15" t="s">
        <v>734</v>
      </c>
      <c r="J280" s="27">
        <v>16.63</v>
      </c>
      <c r="K280" s="15" t="s">
        <v>30</v>
      </c>
      <c r="L280" s="15" t="s">
        <v>21</v>
      </c>
      <c r="M280" s="15" t="s">
        <v>22</v>
      </c>
      <c r="N280" s="15" t="s">
        <v>32</v>
      </c>
      <c r="O280" s="15" t="s">
        <v>24</v>
      </c>
      <c r="P280" s="15" t="s">
        <v>40</v>
      </c>
      <c r="Q280" s="27">
        <v>1524.8899999999999</v>
      </c>
      <c r="R280" s="27">
        <v>411.72030000000001</v>
      </c>
      <c r="S280" s="31">
        <v>1113.1696999999999</v>
      </c>
    </row>
    <row r="281" spans="1:19" x14ac:dyDescent="0.25">
      <c r="A281" s="20">
        <v>45678</v>
      </c>
      <c r="B281" s="15" t="s">
        <v>306</v>
      </c>
      <c r="C281" s="15">
        <v>68822</v>
      </c>
      <c r="D281" s="15" t="s">
        <v>70</v>
      </c>
      <c r="E281" s="15">
        <v>12</v>
      </c>
      <c r="F281" s="27">
        <v>81.52</v>
      </c>
      <c r="G281" s="15" t="s">
        <v>28</v>
      </c>
      <c r="H281" s="35">
        <v>0.24</v>
      </c>
      <c r="I281" s="15" t="s">
        <v>19</v>
      </c>
      <c r="J281" s="27">
        <v>18.12</v>
      </c>
      <c r="K281" s="15" t="s">
        <v>44</v>
      </c>
      <c r="L281" s="15" t="s">
        <v>21</v>
      </c>
      <c r="M281" s="15" t="s">
        <v>22</v>
      </c>
      <c r="N281" s="15" t="s">
        <v>53</v>
      </c>
      <c r="O281" s="15" t="s">
        <v>33</v>
      </c>
      <c r="P281" s="15" t="s">
        <v>40</v>
      </c>
      <c r="Q281" s="27">
        <v>978.24</v>
      </c>
      <c r="R281" s="27">
        <v>234.77760000000001</v>
      </c>
      <c r="S281" s="31">
        <v>743.4624</v>
      </c>
    </row>
    <row r="282" spans="1:19" x14ac:dyDescent="0.25">
      <c r="A282" s="20">
        <v>45678</v>
      </c>
      <c r="B282" s="15" t="s">
        <v>307</v>
      </c>
      <c r="C282" s="15">
        <v>77293</v>
      </c>
      <c r="D282" s="15" t="s">
        <v>49</v>
      </c>
      <c r="E282" s="15">
        <v>26</v>
      </c>
      <c r="F282" s="27">
        <v>53</v>
      </c>
      <c r="G282" s="15" t="s">
        <v>36</v>
      </c>
      <c r="H282" s="35">
        <v>0.15</v>
      </c>
      <c r="I282" s="15" t="s">
        <v>19</v>
      </c>
      <c r="J282" s="27">
        <v>11.34</v>
      </c>
      <c r="K282" s="15" t="s">
        <v>50</v>
      </c>
      <c r="L282" s="15" t="s">
        <v>21</v>
      </c>
      <c r="M282" s="15" t="s">
        <v>22</v>
      </c>
      <c r="N282" s="15" t="s">
        <v>32</v>
      </c>
      <c r="O282" s="15" t="s">
        <v>81</v>
      </c>
      <c r="P282" s="15" t="s">
        <v>34</v>
      </c>
      <c r="Q282" s="27">
        <v>1378</v>
      </c>
      <c r="R282" s="27">
        <v>206.7</v>
      </c>
      <c r="S282" s="31">
        <v>1171.3</v>
      </c>
    </row>
    <row r="283" spans="1:19" x14ac:dyDescent="0.25">
      <c r="A283" s="20">
        <v>45678</v>
      </c>
      <c r="B283" s="15" t="s">
        <v>308</v>
      </c>
      <c r="C283" s="15">
        <v>57059</v>
      </c>
      <c r="D283" s="15" t="s">
        <v>49</v>
      </c>
      <c r="E283" s="15">
        <v>3</v>
      </c>
      <c r="F283" s="27">
        <v>4.26</v>
      </c>
      <c r="G283" s="15" t="s">
        <v>76</v>
      </c>
      <c r="H283" s="35">
        <v>0.21</v>
      </c>
      <c r="I283" s="15" t="s">
        <v>29</v>
      </c>
      <c r="J283" s="27">
        <v>16.43</v>
      </c>
      <c r="K283" s="15" t="s">
        <v>50</v>
      </c>
      <c r="L283" s="15" t="s">
        <v>21</v>
      </c>
      <c r="M283" s="15" t="s">
        <v>111</v>
      </c>
      <c r="N283" s="15" t="s">
        <v>38</v>
      </c>
      <c r="O283" s="15" t="s">
        <v>24</v>
      </c>
      <c r="P283" s="15" t="s">
        <v>25</v>
      </c>
      <c r="Q283" s="27">
        <v>12.78</v>
      </c>
      <c r="R283" s="27">
        <v>2.6837999999999997</v>
      </c>
      <c r="S283" s="31">
        <v>10.0962</v>
      </c>
    </row>
    <row r="284" spans="1:19" x14ac:dyDescent="0.25">
      <c r="A284" s="20">
        <v>45678</v>
      </c>
      <c r="B284" s="15" t="s">
        <v>309</v>
      </c>
      <c r="C284" s="15">
        <v>48338</v>
      </c>
      <c r="D284" s="15" t="s">
        <v>70</v>
      </c>
      <c r="E284" s="15">
        <v>2</v>
      </c>
      <c r="F284" s="27">
        <v>72.489999999999995</v>
      </c>
      <c r="G284" s="15" t="s">
        <v>58</v>
      </c>
      <c r="H284" s="35">
        <v>0.31</v>
      </c>
      <c r="I284" s="15" t="s">
        <v>734</v>
      </c>
      <c r="J284" s="27">
        <v>23.26</v>
      </c>
      <c r="K284" s="15" t="s">
        <v>37</v>
      </c>
      <c r="L284" s="15" t="s">
        <v>31</v>
      </c>
      <c r="M284" s="15" t="s">
        <v>22</v>
      </c>
      <c r="N284" s="15" t="s">
        <v>38</v>
      </c>
      <c r="O284" s="15" t="s">
        <v>33</v>
      </c>
      <c r="P284" s="15" t="s">
        <v>25</v>
      </c>
      <c r="Q284" s="27">
        <v>144.97999999999999</v>
      </c>
      <c r="R284" s="27">
        <v>44.943799999999996</v>
      </c>
      <c r="S284" s="31">
        <v>100.03619999999999</v>
      </c>
    </row>
    <row r="285" spans="1:19" x14ac:dyDescent="0.25">
      <c r="A285" s="20">
        <v>45678</v>
      </c>
      <c r="B285" s="15" t="s">
        <v>310</v>
      </c>
      <c r="C285" s="15">
        <v>63049</v>
      </c>
      <c r="D285" s="15" t="s">
        <v>68</v>
      </c>
      <c r="E285" s="15">
        <v>16</v>
      </c>
      <c r="F285" s="27">
        <v>51.29</v>
      </c>
      <c r="G285" s="15" t="s">
        <v>58</v>
      </c>
      <c r="H285" s="35">
        <v>0.1</v>
      </c>
      <c r="I285" s="15" t="s">
        <v>29</v>
      </c>
      <c r="J285" s="27">
        <v>26.79</v>
      </c>
      <c r="K285" s="15" t="s">
        <v>20</v>
      </c>
      <c r="L285" s="15" t="s">
        <v>31</v>
      </c>
      <c r="M285" s="15" t="s">
        <v>22</v>
      </c>
      <c r="N285" s="15" t="s">
        <v>53</v>
      </c>
      <c r="O285" s="15" t="s">
        <v>81</v>
      </c>
      <c r="P285" s="15" t="s">
        <v>40</v>
      </c>
      <c r="Q285" s="27">
        <v>820.64</v>
      </c>
      <c r="R285" s="27">
        <v>82.064000000000007</v>
      </c>
      <c r="S285" s="31">
        <v>738.57600000000002</v>
      </c>
    </row>
    <row r="286" spans="1:19" x14ac:dyDescent="0.25">
      <c r="A286" s="20">
        <v>45678</v>
      </c>
      <c r="B286" s="15" t="s">
        <v>233</v>
      </c>
      <c r="C286" s="15">
        <v>77303</v>
      </c>
      <c r="D286" s="15" t="s">
        <v>27</v>
      </c>
      <c r="E286" s="15">
        <v>12</v>
      </c>
      <c r="F286" s="27">
        <v>54.63</v>
      </c>
      <c r="G286" s="15" t="s">
        <v>47</v>
      </c>
      <c r="H286" s="35">
        <v>0.17</v>
      </c>
      <c r="I286" s="15" t="s">
        <v>29</v>
      </c>
      <c r="J286" s="27">
        <v>28.15</v>
      </c>
      <c r="K286" s="15" t="s">
        <v>30</v>
      </c>
      <c r="L286" s="15" t="s">
        <v>31</v>
      </c>
      <c r="M286" s="15" t="s">
        <v>22</v>
      </c>
      <c r="N286" s="15" t="s">
        <v>53</v>
      </c>
      <c r="O286" s="15" t="s">
        <v>81</v>
      </c>
      <c r="P286" s="15" t="s">
        <v>25</v>
      </c>
      <c r="Q286" s="27">
        <v>655.56000000000006</v>
      </c>
      <c r="R286" s="27">
        <v>111.44520000000001</v>
      </c>
      <c r="S286" s="31">
        <v>544.11480000000006</v>
      </c>
    </row>
    <row r="287" spans="1:19" x14ac:dyDescent="0.25">
      <c r="A287" s="20">
        <v>45678</v>
      </c>
      <c r="B287" s="15" t="s">
        <v>174</v>
      </c>
      <c r="C287" s="15">
        <v>67010</v>
      </c>
      <c r="D287" s="15" t="s">
        <v>70</v>
      </c>
      <c r="E287" s="15">
        <v>14</v>
      </c>
      <c r="F287" s="27">
        <v>39.64</v>
      </c>
      <c r="G287" s="15" t="s">
        <v>47</v>
      </c>
      <c r="H287" s="35">
        <v>0.1</v>
      </c>
      <c r="I287" s="15" t="s">
        <v>19</v>
      </c>
      <c r="J287" s="27">
        <v>22.06</v>
      </c>
      <c r="K287" s="15" t="s">
        <v>30</v>
      </c>
      <c r="L287" s="15" t="s">
        <v>21</v>
      </c>
      <c r="M287" s="15" t="s">
        <v>111</v>
      </c>
      <c r="N287" s="15" t="s">
        <v>32</v>
      </c>
      <c r="O287" s="15" t="s">
        <v>24</v>
      </c>
      <c r="P287" s="15" t="s">
        <v>40</v>
      </c>
      <c r="Q287" s="27">
        <v>554.96</v>
      </c>
      <c r="R287" s="27">
        <v>55.496000000000009</v>
      </c>
      <c r="S287" s="31">
        <v>499.46400000000006</v>
      </c>
    </row>
    <row r="288" spans="1:19" x14ac:dyDescent="0.25">
      <c r="A288" s="20">
        <v>45678</v>
      </c>
      <c r="B288" s="15" t="s">
        <v>311</v>
      </c>
      <c r="C288" s="15">
        <v>57828</v>
      </c>
      <c r="D288" s="15" t="s">
        <v>17</v>
      </c>
      <c r="E288" s="15">
        <v>14</v>
      </c>
      <c r="F288" s="27">
        <v>80.05</v>
      </c>
      <c r="G288" s="15" t="s">
        <v>99</v>
      </c>
      <c r="H288" s="35">
        <v>0.06</v>
      </c>
      <c r="I288" s="15" t="s">
        <v>734</v>
      </c>
      <c r="J288" s="27">
        <v>7.42</v>
      </c>
      <c r="K288" s="15" t="s">
        <v>37</v>
      </c>
      <c r="L288" s="15" t="s">
        <v>21</v>
      </c>
      <c r="M288" s="15" t="s">
        <v>22</v>
      </c>
      <c r="N288" s="15" t="s">
        <v>23</v>
      </c>
      <c r="O288" s="15" t="s">
        <v>81</v>
      </c>
      <c r="P288" s="15" t="s">
        <v>40</v>
      </c>
      <c r="Q288" s="27">
        <v>1120.7</v>
      </c>
      <c r="R288" s="27">
        <v>67.242000000000004</v>
      </c>
      <c r="S288" s="31">
        <v>1053.4580000000001</v>
      </c>
    </row>
    <row r="289" spans="1:19" x14ac:dyDescent="0.25">
      <c r="A289" s="20">
        <v>45678</v>
      </c>
      <c r="B289" s="15" t="s">
        <v>312</v>
      </c>
      <c r="C289" s="15">
        <v>19463</v>
      </c>
      <c r="D289" s="15" t="s">
        <v>42</v>
      </c>
      <c r="E289" s="15">
        <v>3</v>
      </c>
      <c r="F289" s="27">
        <v>31.9</v>
      </c>
      <c r="G289" s="15" t="s">
        <v>58</v>
      </c>
      <c r="H289" s="35">
        <v>0.06</v>
      </c>
      <c r="I289" s="15" t="s">
        <v>29</v>
      </c>
      <c r="J289" s="27">
        <v>7.18</v>
      </c>
      <c r="K289" s="15" t="s">
        <v>44</v>
      </c>
      <c r="L289" s="15" t="s">
        <v>21</v>
      </c>
      <c r="M289" s="15" t="s">
        <v>22</v>
      </c>
      <c r="N289" s="15" t="s">
        <v>32</v>
      </c>
      <c r="O289" s="15" t="s">
        <v>39</v>
      </c>
      <c r="P289" s="15" t="s">
        <v>40</v>
      </c>
      <c r="Q289" s="27">
        <v>95.699999999999989</v>
      </c>
      <c r="R289" s="27">
        <v>5.7419999999999991</v>
      </c>
      <c r="S289" s="31">
        <v>89.957999999999984</v>
      </c>
    </row>
    <row r="290" spans="1:19" x14ac:dyDescent="0.25">
      <c r="A290" s="20">
        <v>45678</v>
      </c>
      <c r="B290" s="15" t="s">
        <v>313</v>
      </c>
      <c r="C290" s="15">
        <v>15296</v>
      </c>
      <c r="D290" s="15" t="s">
        <v>89</v>
      </c>
      <c r="E290" s="15">
        <v>5</v>
      </c>
      <c r="F290" s="27">
        <v>45.88</v>
      </c>
      <c r="G290" s="15" t="s">
        <v>55</v>
      </c>
      <c r="H290" s="35">
        <v>0.01</v>
      </c>
      <c r="I290" s="15" t="s">
        <v>19</v>
      </c>
      <c r="J290" s="27">
        <v>25.39</v>
      </c>
      <c r="K290" s="15" t="s">
        <v>37</v>
      </c>
      <c r="L290" s="15" t="s">
        <v>21</v>
      </c>
      <c r="M290" s="15" t="s">
        <v>22</v>
      </c>
      <c r="N290" s="15" t="s">
        <v>32</v>
      </c>
      <c r="O290" s="15" t="s">
        <v>39</v>
      </c>
      <c r="P290" s="15" t="s">
        <v>40</v>
      </c>
      <c r="Q290" s="27">
        <v>229.4</v>
      </c>
      <c r="R290" s="27">
        <v>2.294</v>
      </c>
      <c r="S290" s="31">
        <v>227.10599999999999</v>
      </c>
    </row>
    <row r="291" spans="1:19" x14ac:dyDescent="0.25">
      <c r="A291" s="20">
        <v>45678</v>
      </c>
      <c r="B291" s="15" t="s">
        <v>314</v>
      </c>
      <c r="C291" s="15">
        <v>63159</v>
      </c>
      <c r="D291" s="15" t="s">
        <v>68</v>
      </c>
      <c r="E291" s="15">
        <v>9</v>
      </c>
      <c r="F291" s="27">
        <v>88.95</v>
      </c>
      <c r="G291" s="15" t="s">
        <v>28</v>
      </c>
      <c r="H291" s="35">
        <v>0.37</v>
      </c>
      <c r="I291" s="15" t="s">
        <v>734</v>
      </c>
      <c r="J291" s="27">
        <v>8.65</v>
      </c>
      <c r="K291" s="15" t="s">
        <v>50</v>
      </c>
      <c r="L291" s="15" t="s">
        <v>31</v>
      </c>
      <c r="M291" s="15" t="s">
        <v>22</v>
      </c>
      <c r="N291" s="15" t="s">
        <v>23</v>
      </c>
      <c r="O291" s="15" t="s">
        <v>39</v>
      </c>
      <c r="P291" s="15" t="s">
        <v>25</v>
      </c>
      <c r="Q291" s="27">
        <v>800.55000000000007</v>
      </c>
      <c r="R291" s="27">
        <v>296.20350000000002</v>
      </c>
      <c r="S291" s="31">
        <v>504.34650000000005</v>
      </c>
    </row>
    <row r="292" spans="1:19" x14ac:dyDescent="0.25">
      <c r="A292" s="20">
        <v>45678</v>
      </c>
      <c r="B292" s="15" t="s">
        <v>315</v>
      </c>
      <c r="C292" s="15">
        <v>68988</v>
      </c>
      <c r="D292" s="15" t="s">
        <v>46</v>
      </c>
      <c r="E292" s="15">
        <v>14</v>
      </c>
      <c r="F292" s="27">
        <v>73.95</v>
      </c>
      <c r="G292" s="15" t="s">
        <v>72</v>
      </c>
      <c r="H292" s="35">
        <v>0.28000000000000003</v>
      </c>
      <c r="I292" s="15" t="s">
        <v>734</v>
      </c>
      <c r="J292" s="27">
        <v>18.79</v>
      </c>
      <c r="K292" s="15" t="s">
        <v>50</v>
      </c>
      <c r="L292" s="15" t="s">
        <v>21</v>
      </c>
      <c r="M292" s="15" t="s">
        <v>22</v>
      </c>
      <c r="N292" s="15" t="s">
        <v>38</v>
      </c>
      <c r="O292" s="15" t="s">
        <v>59</v>
      </c>
      <c r="P292" s="15" t="s">
        <v>25</v>
      </c>
      <c r="Q292" s="27">
        <v>1035.3</v>
      </c>
      <c r="R292" s="27">
        <v>289.88400000000001</v>
      </c>
      <c r="S292" s="31">
        <v>745.41599999999994</v>
      </c>
    </row>
    <row r="293" spans="1:19" x14ac:dyDescent="0.25">
      <c r="A293" s="20">
        <v>45678</v>
      </c>
      <c r="B293" s="15" t="s">
        <v>316</v>
      </c>
      <c r="C293" s="15">
        <v>93163</v>
      </c>
      <c r="D293" s="15" t="s">
        <v>46</v>
      </c>
      <c r="E293" s="15">
        <v>44</v>
      </c>
      <c r="F293" s="27">
        <v>78.5</v>
      </c>
      <c r="G293" s="15" t="s">
        <v>99</v>
      </c>
      <c r="H293" s="35">
        <v>0.13</v>
      </c>
      <c r="I293" s="15" t="s">
        <v>19</v>
      </c>
      <c r="J293" s="27">
        <v>21.81</v>
      </c>
      <c r="K293" s="15" t="s">
        <v>50</v>
      </c>
      <c r="L293" s="15" t="s">
        <v>21</v>
      </c>
      <c r="M293" s="15" t="s">
        <v>22</v>
      </c>
      <c r="N293" s="15" t="s">
        <v>38</v>
      </c>
      <c r="O293" s="15" t="s">
        <v>39</v>
      </c>
      <c r="P293" s="15" t="s">
        <v>25</v>
      </c>
      <c r="Q293" s="27">
        <v>3454</v>
      </c>
      <c r="R293" s="27">
        <v>449.02000000000004</v>
      </c>
      <c r="S293" s="31">
        <v>3004.98</v>
      </c>
    </row>
    <row r="294" spans="1:19" x14ac:dyDescent="0.25">
      <c r="A294" s="20">
        <v>45678</v>
      </c>
      <c r="B294" s="15" t="s">
        <v>317</v>
      </c>
      <c r="C294" s="15">
        <v>34672</v>
      </c>
      <c r="D294" s="15" t="s">
        <v>46</v>
      </c>
      <c r="E294" s="15">
        <v>39</v>
      </c>
      <c r="F294" s="27">
        <v>77.400000000000006</v>
      </c>
      <c r="G294" s="15" t="s">
        <v>76</v>
      </c>
      <c r="H294" s="35">
        <v>0.22</v>
      </c>
      <c r="I294" s="15" t="s">
        <v>19</v>
      </c>
      <c r="J294" s="27">
        <v>25.08</v>
      </c>
      <c r="K294" s="15" t="s">
        <v>44</v>
      </c>
      <c r="L294" s="15" t="s">
        <v>31</v>
      </c>
      <c r="M294" s="15" t="s">
        <v>22</v>
      </c>
      <c r="N294" s="15" t="s">
        <v>32</v>
      </c>
      <c r="O294" s="15" t="s">
        <v>59</v>
      </c>
      <c r="P294" s="15" t="s">
        <v>34</v>
      </c>
      <c r="Q294" s="27">
        <v>3018.6000000000004</v>
      </c>
      <c r="R294" s="27">
        <v>664.0920000000001</v>
      </c>
      <c r="S294" s="31">
        <v>2354.5080000000003</v>
      </c>
    </row>
    <row r="295" spans="1:19" x14ac:dyDescent="0.25">
      <c r="A295" s="20">
        <v>45678</v>
      </c>
      <c r="B295" s="15" t="s">
        <v>318</v>
      </c>
      <c r="C295" s="15">
        <v>27247</v>
      </c>
      <c r="D295" s="15" t="s">
        <v>49</v>
      </c>
      <c r="E295" s="15">
        <v>48</v>
      </c>
      <c r="F295" s="27">
        <v>69.64</v>
      </c>
      <c r="G295" s="15" t="s">
        <v>18</v>
      </c>
      <c r="H295" s="35">
        <v>0.41</v>
      </c>
      <c r="I295" s="15" t="s">
        <v>734</v>
      </c>
      <c r="J295" s="27">
        <v>19.13</v>
      </c>
      <c r="K295" s="15" t="s">
        <v>20</v>
      </c>
      <c r="L295" s="15" t="s">
        <v>21</v>
      </c>
      <c r="M295" s="15" t="s">
        <v>22</v>
      </c>
      <c r="N295" s="15" t="s">
        <v>32</v>
      </c>
      <c r="O295" s="15" t="s">
        <v>59</v>
      </c>
      <c r="P295" s="15" t="s">
        <v>34</v>
      </c>
      <c r="Q295" s="27">
        <v>3342.7200000000003</v>
      </c>
      <c r="R295" s="27">
        <v>1370.5152</v>
      </c>
      <c r="S295" s="31">
        <v>1972.2048000000002</v>
      </c>
    </row>
    <row r="296" spans="1:19" x14ac:dyDescent="0.25">
      <c r="A296" s="20">
        <v>45678</v>
      </c>
      <c r="B296" s="15" t="s">
        <v>319</v>
      </c>
      <c r="C296" s="15">
        <v>99616</v>
      </c>
      <c r="D296" s="15" t="s">
        <v>27</v>
      </c>
      <c r="E296" s="15">
        <v>49</v>
      </c>
      <c r="F296" s="27">
        <v>66.69</v>
      </c>
      <c r="G296" s="15" t="s">
        <v>72</v>
      </c>
      <c r="H296" s="35">
        <v>0.16</v>
      </c>
      <c r="I296" s="15" t="s">
        <v>734</v>
      </c>
      <c r="J296" s="27">
        <v>14.83</v>
      </c>
      <c r="K296" s="15" t="s">
        <v>20</v>
      </c>
      <c r="L296" s="15" t="s">
        <v>21</v>
      </c>
      <c r="M296" s="15" t="s">
        <v>735</v>
      </c>
      <c r="N296" s="15" t="s">
        <v>53</v>
      </c>
      <c r="O296" s="15" t="s">
        <v>33</v>
      </c>
      <c r="P296" s="15" t="s">
        <v>34</v>
      </c>
      <c r="Q296" s="27">
        <v>3267.81</v>
      </c>
      <c r="R296" s="27">
        <v>522.84960000000001</v>
      </c>
      <c r="S296" s="31">
        <v>2744.9603999999999</v>
      </c>
    </row>
    <row r="297" spans="1:19" x14ac:dyDescent="0.25">
      <c r="A297" s="20">
        <v>45678</v>
      </c>
      <c r="B297" s="15" t="s">
        <v>320</v>
      </c>
      <c r="C297" s="15">
        <v>29821</v>
      </c>
      <c r="D297" s="15" t="s">
        <v>49</v>
      </c>
      <c r="E297" s="15">
        <v>8</v>
      </c>
      <c r="F297" s="27">
        <v>33.61</v>
      </c>
      <c r="G297" s="15" t="s">
        <v>84</v>
      </c>
      <c r="H297" s="35">
        <v>0.5</v>
      </c>
      <c r="I297" s="15" t="s">
        <v>734</v>
      </c>
      <c r="J297" s="27">
        <v>25.44</v>
      </c>
      <c r="K297" s="15" t="s">
        <v>37</v>
      </c>
      <c r="L297" s="15" t="s">
        <v>31</v>
      </c>
      <c r="M297" s="15" t="s">
        <v>22</v>
      </c>
      <c r="N297" s="15" t="s">
        <v>38</v>
      </c>
      <c r="O297" s="15" t="s">
        <v>81</v>
      </c>
      <c r="P297" s="15" t="s">
        <v>34</v>
      </c>
      <c r="Q297" s="27">
        <v>268.88</v>
      </c>
      <c r="R297" s="27">
        <v>134.44</v>
      </c>
      <c r="S297" s="31">
        <v>134.44</v>
      </c>
    </row>
    <row r="298" spans="1:19" x14ac:dyDescent="0.25">
      <c r="A298" s="20">
        <v>45678</v>
      </c>
      <c r="B298" s="15" t="s">
        <v>321</v>
      </c>
      <c r="C298" s="15">
        <v>45875</v>
      </c>
      <c r="D298" s="15" t="s">
        <v>70</v>
      </c>
      <c r="E298" s="15">
        <v>10</v>
      </c>
      <c r="F298" s="27">
        <v>21.96</v>
      </c>
      <c r="G298" s="15" t="s">
        <v>52</v>
      </c>
      <c r="H298" s="35">
        <v>0.2</v>
      </c>
      <c r="I298" s="15" t="s">
        <v>734</v>
      </c>
      <c r="J298" s="27">
        <v>8.9600000000000009</v>
      </c>
      <c r="K298" s="15" t="s">
        <v>44</v>
      </c>
      <c r="L298" s="15" t="s">
        <v>21</v>
      </c>
      <c r="M298" s="15" t="s">
        <v>22</v>
      </c>
      <c r="N298" s="15" t="s">
        <v>53</v>
      </c>
      <c r="O298" s="15" t="s">
        <v>24</v>
      </c>
      <c r="P298" s="15" t="s">
        <v>40</v>
      </c>
      <c r="Q298" s="27">
        <v>219.60000000000002</v>
      </c>
      <c r="R298" s="27">
        <v>43.920000000000009</v>
      </c>
      <c r="S298" s="31">
        <v>175.68</v>
      </c>
    </row>
    <row r="299" spans="1:19" x14ac:dyDescent="0.25">
      <c r="A299" s="20">
        <v>45678</v>
      </c>
      <c r="B299" s="15" t="s">
        <v>322</v>
      </c>
      <c r="C299" s="15">
        <v>67476</v>
      </c>
      <c r="D299" s="15" t="s">
        <v>57</v>
      </c>
      <c r="E299" s="15">
        <v>27</v>
      </c>
      <c r="F299" s="27">
        <v>46.31</v>
      </c>
      <c r="G299" s="15" t="s">
        <v>58</v>
      </c>
      <c r="H299" s="35">
        <v>0.17</v>
      </c>
      <c r="I299" s="15" t="s">
        <v>29</v>
      </c>
      <c r="J299" s="27">
        <v>21.67</v>
      </c>
      <c r="K299" s="15" t="s">
        <v>20</v>
      </c>
      <c r="L299" s="15" t="s">
        <v>31</v>
      </c>
      <c r="M299" s="15" t="s">
        <v>22</v>
      </c>
      <c r="N299" s="15" t="s">
        <v>23</v>
      </c>
      <c r="O299" s="15" t="s">
        <v>81</v>
      </c>
      <c r="P299" s="15" t="s">
        <v>40</v>
      </c>
      <c r="Q299" s="27">
        <v>1250.3700000000001</v>
      </c>
      <c r="R299" s="27">
        <v>212.56290000000004</v>
      </c>
      <c r="S299" s="31">
        <v>1037.8071</v>
      </c>
    </row>
    <row r="300" spans="1:19" x14ac:dyDescent="0.25">
      <c r="A300" s="20">
        <v>45678</v>
      </c>
      <c r="B300" s="15" t="s">
        <v>119</v>
      </c>
      <c r="C300" s="15">
        <v>79765</v>
      </c>
      <c r="D300" s="15" t="s">
        <v>42</v>
      </c>
      <c r="E300" s="15">
        <v>14</v>
      </c>
      <c r="F300" s="27">
        <v>93.01</v>
      </c>
      <c r="G300" s="15" t="s">
        <v>72</v>
      </c>
      <c r="H300" s="35">
        <v>0.41</v>
      </c>
      <c r="I300" s="15" t="s">
        <v>734</v>
      </c>
      <c r="J300" s="27">
        <v>19.46</v>
      </c>
      <c r="K300" s="15" t="s">
        <v>44</v>
      </c>
      <c r="L300" s="15" t="s">
        <v>31</v>
      </c>
      <c r="M300" s="15" t="s">
        <v>22</v>
      </c>
      <c r="N300" s="15" t="s">
        <v>38</v>
      </c>
      <c r="O300" s="15" t="s">
        <v>39</v>
      </c>
      <c r="P300" s="15" t="s">
        <v>40</v>
      </c>
      <c r="Q300" s="27">
        <v>1302.1400000000001</v>
      </c>
      <c r="R300" s="27">
        <v>533.87739999999997</v>
      </c>
      <c r="S300" s="31">
        <v>768.26260000000013</v>
      </c>
    </row>
    <row r="301" spans="1:19" x14ac:dyDescent="0.25">
      <c r="A301" s="20">
        <v>45679</v>
      </c>
      <c r="B301" s="15" t="s">
        <v>323</v>
      </c>
      <c r="C301" s="15">
        <v>65833</v>
      </c>
      <c r="D301" s="15" t="s">
        <v>89</v>
      </c>
      <c r="E301" s="15">
        <v>7</v>
      </c>
      <c r="F301" s="27">
        <v>81.41</v>
      </c>
      <c r="G301" s="15" t="s">
        <v>55</v>
      </c>
      <c r="H301" s="35">
        <v>0.03</v>
      </c>
      <c r="I301" s="15" t="s">
        <v>29</v>
      </c>
      <c r="J301" s="27">
        <v>9.17</v>
      </c>
      <c r="K301" s="15" t="s">
        <v>37</v>
      </c>
      <c r="L301" s="15" t="s">
        <v>31</v>
      </c>
      <c r="M301" s="15" t="s">
        <v>22</v>
      </c>
      <c r="N301" s="15" t="s">
        <v>53</v>
      </c>
      <c r="O301" s="15" t="s">
        <v>33</v>
      </c>
      <c r="P301" s="15" t="s">
        <v>40</v>
      </c>
      <c r="Q301" s="27">
        <v>569.87</v>
      </c>
      <c r="R301" s="27">
        <v>17.0961</v>
      </c>
      <c r="S301" s="31">
        <v>552.77390000000003</v>
      </c>
    </row>
    <row r="302" spans="1:19" x14ac:dyDescent="0.25">
      <c r="A302" s="20">
        <v>45679</v>
      </c>
      <c r="B302" s="15" t="s">
        <v>324</v>
      </c>
      <c r="C302" s="15">
        <v>19915</v>
      </c>
      <c r="D302" s="15" t="s">
        <v>70</v>
      </c>
      <c r="E302" s="15">
        <v>5</v>
      </c>
      <c r="F302" s="27">
        <v>57.61</v>
      </c>
      <c r="G302" s="15" t="s">
        <v>84</v>
      </c>
      <c r="H302" s="35">
        <v>0.44</v>
      </c>
      <c r="I302" s="15" t="s">
        <v>19</v>
      </c>
      <c r="J302" s="27">
        <v>20.91</v>
      </c>
      <c r="K302" s="15" t="s">
        <v>20</v>
      </c>
      <c r="L302" s="15" t="s">
        <v>21</v>
      </c>
      <c r="M302" s="15" t="s">
        <v>22</v>
      </c>
      <c r="N302" s="15" t="s">
        <v>53</v>
      </c>
      <c r="O302" s="15" t="s">
        <v>24</v>
      </c>
      <c r="P302" s="15" t="s">
        <v>25</v>
      </c>
      <c r="Q302" s="27">
        <v>288.05</v>
      </c>
      <c r="R302" s="27">
        <v>126.742</v>
      </c>
      <c r="S302" s="31">
        <v>161.30799999999999</v>
      </c>
    </row>
    <row r="303" spans="1:19" x14ac:dyDescent="0.25">
      <c r="A303" s="20">
        <v>45679</v>
      </c>
      <c r="B303" s="15" t="s">
        <v>325</v>
      </c>
      <c r="C303" s="15">
        <v>50320</v>
      </c>
      <c r="D303" s="15" t="s">
        <v>68</v>
      </c>
      <c r="E303" s="15">
        <v>34</v>
      </c>
      <c r="F303" s="27">
        <v>53</v>
      </c>
      <c r="G303" s="15" t="s">
        <v>76</v>
      </c>
      <c r="H303" s="35">
        <v>0.15</v>
      </c>
      <c r="I303" s="15" t="s">
        <v>734</v>
      </c>
      <c r="J303" s="27">
        <v>16.87</v>
      </c>
      <c r="K303" s="15" t="s">
        <v>44</v>
      </c>
      <c r="L303" s="15" t="s">
        <v>21</v>
      </c>
      <c r="M303" s="15" t="s">
        <v>22</v>
      </c>
      <c r="N303" s="15" t="s">
        <v>53</v>
      </c>
      <c r="O303" s="15" t="s">
        <v>24</v>
      </c>
      <c r="P303" s="15" t="s">
        <v>34</v>
      </c>
      <c r="Q303" s="27">
        <v>1802</v>
      </c>
      <c r="R303" s="27">
        <v>270.3</v>
      </c>
      <c r="S303" s="31">
        <v>1531.7</v>
      </c>
    </row>
    <row r="304" spans="1:19" x14ac:dyDescent="0.25">
      <c r="A304" s="20">
        <v>45679</v>
      </c>
      <c r="B304" s="15" t="s">
        <v>326</v>
      </c>
      <c r="C304" s="15">
        <v>68632</v>
      </c>
      <c r="D304" s="15" t="s">
        <v>75</v>
      </c>
      <c r="E304" s="15">
        <v>32</v>
      </c>
      <c r="F304" s="27">
        <v>47.95</v>
      </c>
      <c r="G304" s="15" t="s">
        <v>76</v>
      </c>
      <c r="H304" s="35">
        <v>0.1</v>
      </c>
      <c r="I304" s="15" t="s">
        <v>734</v>
      </c>
      <c r="J304" s="27">
        <v>6.49</v>
      </c>
      <c r="K304" s="15" t="s">
        <v>50</v>
      </c>
      <c r="L304" s="15" t="s">
        <v>31</v>
      </c>
      <c r="M304" s="15" t="s">
        <v>22</v>
      </c>
      <c r="N304" s="15" t="s">
        <v>23</v>
      </c>
      <c r="O304" s="15" t="s">
        <v>39</v>
      </c>
      <c r="P304" s="15" t="s">
        <v>40</v>
      </c>
      <c r="Q304" s="27">
        <v>1534.4</v>
      </c>
      <c r="R304" s="27">
        <v>153.44000000000003</v>
      </c>
      <c r="S304" s="31">
        <v>1380.96</v>
      </c>
    </row>
    <row r="305" spans="1:19" x14ac:dyDescent="0.25">
      <c r="A305" s="20">
        <v>45679</v>
      </c>
      <c r="B305" s="15" t="s">
        <v>327</v>
      </c>
      <c r="C305" s="15">
        <v>70003</v>
      </c>
      <c r="D305" s="15" t="s">
        <v>57</v>
      </c>
      <c r="E305" s="15">
        <v>26</v>
      </c>
      <c r="F305" s="27">
        <v>67.739999999999995</v>
      </c>
      <c r="G305" s="15" t="s">
        <v>47</v>
      </c>
      <c r="H305" s="35">
        <v>0.28000000000000003</v>
      </c>
      <c r="I305" s="15" t="s">
        <v>734</v>
      </c>
      <c r="J305" s="27">
        <v>6.67</v>
      </c>
      <c r="K305" s="15" t="s">
        <v>50</v>
      </c>
      <c r="L305" s="15" t="s">
        <v>31</v>
      </c>
      <c r="M305" s="15" t="s">
        <v>22</v>
      </c>
      <c r="N305" s="15" t="s">
        <v>53</v>
      </c>
      <c r="O305" s="15" t="s">
        <v>33</v>
      </c>
      <c r="P305" s="15" t="s">
        <v>25</v>
      </c>
      <c r="Q305" s="27">
        <v>1761.2399999999998</v>
      </c>
      <c r="R305" s="27">
        <v>493.1472</v>
      </c>
      <c r="S305" s="31">
        <v>1268.0927999999999</v>
      </c>
    </row>
    <row r="306" spans="1:19" x14ac:dyDescent="0.25">
      <c r="A306" s="20">
        <v>45679</v>
      </c>
      <c r="B306" s="15" t="s">
        <v>328</v>
      </c>
      <c r="C306" s="15">
        <v>62462</v>
      </c>
      <c r="D306" s="15" t="s">
        <v>42</v>
      </c>
      <c r="E306" s="15">
        <v>30</v>
      </c>
      <c r="F306" s="27">
        <v>12.03</v>
      </c>
      <c r="G306" s="15" t="s">
        <v>43</v>
      </c>
      <c r="H306" s="35">
        <v>0.44</v>
      </c>
      <c r="I306" s="15" t="s">
        <v>29</v>
      </c>
      <c r="J306" s="27">
        <v>6.02</v>
      </c>
      <c r="K306" s="15" t="s">
        <v>20</v>
      </c>
      <c r="L306" s="15" t="s">
        <v>31</v>
      </c>
      <c r="M306" s="15" t="s">
        <v>22</v>
      </c>
      <c r="N306" s="15" t="s">
        <v>23</v>
      </c>
      <c r="O306" s="15" t="s">
        <v>59</v>
      </c>
      <c r="P306" s="15" t="s">
        <v>25</v>
      </c>
      <c r="Q306" s="27">
        <v>360.9</v>
      </c>
      <c r="R306" s="27">
        <v>158.79599999999999</v>
      </c>
      <c r="S306" s="31">
        <v>202.10399999999998</v>
      </c>
    </row>
    <row r="307" spans="1:19" x14ac:dyDescent="0.25">
      <c r="A307" s="20">
        <v>45679</v>
      </c>
      <c r="B307" s="15" t="s">
        <v>329</v>
      </c>
      <c r="C307" s="15">
        <v>75840</v>
      </c>
      <c r="D307" s="15" t="s">
        <v>66</v>
      </c>
      <c r="E307" s="15">
        <v>19</v>
      </c>
      <c r="F307" s="27">
        <v>36.200000000000003</v>
      </c>
      <c r="G307" s="15" t="s">
        <v>36</v>
      </c>
      <c r="H307" s="35">
        <v>0.01</v>
      </c>
      <c r="I307" s="15" t="s">
        <v>19</v>
      </c>
      <c r="J307" s="27">
        <v>29.36</v>
      </c>
      <c r="K307" s="15" t="s">
        <v>50</v>
      </c>
      <c r="L307" s="15" t="s">
        <v>31</v>
      </c>
      <c r="M307" s="15" t="s">
        <v>22</v>
      </c>
      <c r="N307" s="15" t="s">
        <v>32</v>
      </c>
      <c r="O307" s="15" t="s">
        <v>81</v>
      </c>
      <c r="P307" s="15" t="s">
        <v>40</v>
      </c>
      <c r="Q307" s="27">
        <v>687.80000000000007</v>
      </c>
      <c r="R307" s="27">
        <v>6.878000000000001</v>
      </c>
      <c r="S307" s="31">
        <v>680.92200000000003</v>
      </c>
    </row>
    <row r="308" spans="1:19" x14ac:dyDescent="0.25">
      <c r="A308" s="20">
        <v>45679</v>
      </c>
      <c r="B308" s="15" t="s">
        <v>164</v>
      </c>
      <c r="C308" s="15">
        <v>80414</v>
      </c>
      <c r="D308" s="15" t="s">
        <v>89</v>
      </c>
      <c r="E308" s="15">
        <v>12</v>
      </c>
      <c r="F308" s="27">
        <v>19.48</v>
      </c>
      <c r="G308" s="15" t="s">
        <v>72</v>
      </c>
      <c r="H308" s="35">
        <v>0.14000000000000001</v>
      </c>
      <c r="I308" s="15" t="s">
        <v>29</v>
      </c>
      <c r="J308" s="27">
        <v>8.83</v>
      </c>
      <c r="K308" s="15" t="s">
        <v>30</v>
      </c>
      <c r="L308" s="15" t="s">
        <v>31</v>
      </c>
      <c r="M308" s="15" t="s">
        <v>22</v>
      </c>
      <c r="N308" s="15" t="s">
        <v>23</v>
      </c>
      <c r="O308" s="15" t="s">
        <v>33</v>
      </c>
      <c r="P308" s="15" t="s">
        <v>25</v>
      </c>
      <c r="Q308" s="27">
        <v>233.76</v>
      </c>
      <c r="R308" s="27">
        <v>32.726400000000005</v>
      </c>
      <c r="S308" s="31">
        <v>201.03359999999998</v>
      </c>
    </row>
    <row r="309" spans="1:19" x14ac:dyDescent="0.25">
      <c r="A309" s="20">
        <v>45679</v>
      </c>
      <c r="B309" s="15" t="s">
        <v>265</v>
      </c>
      <c r="C309" s="15">
        <v>54945</v>
      </c>
      <c r="D309" s="15" t="s">
        <v>75</v>
      </c>
      <c r="E309" s="15">
        <v>17</v>
      </c>
      <c r="F309" s="27">
        <v>34.42</v>
      </c>
      <c r="G309" s="15" t="s">
        <v>72</v>
      </c>
      <c r="H309" s="35">
        <v>0.02</v>
      </c>
      <c r="I309" s="15" t="s">
        <v>29</v>
      </c>
      <c r="J309" s="27">
        <v>24.65</v>
      </c>
      <c r="K309" s="15" t="s">
        <v>44</v>
      </c>
      <c r="L309" s="15" t="s">
        <v>21</v>
      </c>
      <c r="M309" s="15" t="s">
        <v>22</v>
      </c>
      <c r="N309" s="15" t="s">
        <v>32</v>
      </c>
      <c r="O309" s="15" t="s">
        <v>24</v>
      </c>
      <c r="P309" s="15" t="s">
        <v>25</v>
      </c>
      <c r="Q309" s="27">
        <v>585.14</v>
      </c>
      <c r="R309" s="27">
        <v>11.7028</v>
      </c>
      <c r="S309" s="31">
        <v>573.43719999999996</v>
      </c>
    </row>
    <row r="310" spans="1:19" x14ac:dyDescent="0.25">
      <c r="A310" s="20">
        <v>45679</v>
      </c>
      <c r="B310" s="15" t="s">
        <v>330</v>
      </c>
      <c r="C310" s="15">
        <v>95713</v>
      </c>
      <c r="D310" s="15" t="s">
        <v>17</v>
      </c>
      <c r="E310" s="15">
        <v>11</v>
      </c>
      <c r="F310" s="27">
        <v>15.52</v>
      </c>
      <c r="G310" s="15" t="s">
        <v>55</v>
      </c>
      <c r="H310" s="35">
        <v>0.14000000000000001</v>
      </c>
      <c r="I310" s="15" t="s">
        <v>734</v>
      </c>
      <c r="J310" s="27">
        <v>21.57</v>
      </c>
      <c r="K310" s="15" t="s">
        <v>30</v>
      </c>
      <c r="L310" s="15" t="s">
        <v>21</v>
      </c>
      <c r="M310" s="15" t="s">
        <v>111</v>
      </c>
      <c r="N310" s="15" t="s">
        <v>53</v>
      </c>
      <c r="O310" s="15" t="s">
        <v>24</v>
      </c>
      <c r="P310" s="15" t="s">
        <v>40</v>
      </c>
      <c r="Q310" s="27">
        <v>170.72</v>
      </c>
      <c r="R310" s="27">
        <v>23.900800000000004</v>
      </c>
      <c r="S310" s="31">
        <v>146.8192</v>
      </c>
    </row>
    <row r="311" spans="1:19" x14ac:dyDescent="0.25">
      <c r="A311" s="20">
        <v>45679</v>
      </c>
      <c r="B311" s="15" t="s">
        <v>264</v>
      </c>
      <c r="C311" s="15">
        <v>46710</v>
      </c>
      <c r="D311" s="15" t="s">
        <v>89</v>
      </c>
      <c r="E311" s="15">
        <v>27</v>
      </c>
      <c r="F311" s="27">
        <v>89.48</v>
      </c>
      <c r="G311" s="15" t="s">
        <v>55</v>
      </c>
      <c r="H311" s="35">
        <v>0.5</v>
      </c>
      <c r="I311" s="15" t="s">
        <v>29</v>
      </c>
      <c r="J311" s="27">
        <v>9.07</v>
      </c>
      <c r="K311" s="15" t="s">
        <v>44</v>
      </c>
      <c r="L311" s="15" t="s">
        <v>31</v>
      </c>
      <c r="M311" s="15" t="s">
        <v>22</v>
      </c>
      <c r="N311" s="15" t="s">
        <v>53</v>
      </c>
      <c r="O311" s="15" t="s">
        <v>81</v>
      </c>
      <c r="P311" s="15" t="s">
        <v>25</v>
      </c>
      <c r="Q311" s="27">
        <v>2415.96</v>
      </c>
      <c r="R311" s="27">
        <v>1207.98</v>
      </c>
      <c r="S311" s="31">
        <v>1207.98</v>
      </c>
    </row>
    <row r="312" spans="1:19" x14ac:dyDescent="0.25">
      <c r="A312" s="20">
        <v>45679</v>
      </c>
      <c r="B312" s="15" t="s">
        <v>331</v>
      </c>
      <c r="C312" s="15">
        <v>19364</v>
      </c>
      <c r="D312" s="15" t="s">
        <v>68</v>
      </c>
      <c r="E312" s="15">
        <v>22</v>
      </c>
      <c r="F312" s="27">
        <v>88.39</v>
      </c>
      <c r="G312" s="15" t="s">
        <v>18</v>
      </c>
      <c r="H312" s="35">
        <v>0.18</v>
      </c>
      <c r="I312" s="15" t="s">
        <v>734</v>
      </c>
      <c r="J312" s="27">
        <v>21.02</v>
      </c>
      <c r="K312" s="15" t="s">
        <v>50</v>
      </c>
      <c r="L312" s="15" t="s">
        <v>21</v>
      </c>
      <c r="M312" s="15" t="s">
        <v>22</v>
      </c>
      <c r="N312" s="15" t="s">
        <v>32</v>
      </c>
      <c r="O312" s="15" t="s">
        <v>39</v>
      </c>
      <c r="P312" s="15" t="s">
        <v>25</v>
      </c>
      <c r="Q312" s="27">
        <v>1944.58</v>
      </c>
      <c r="R312" s="27">
        <v>350.02439999999996</v>
      </c>
      <c r="S312" s="31">
        <v>1594.5555999999999</v>
      </c>
    </row>
    <row r="313" spans="1:19" x14ac:dyDescent="0.25">
      <c r="A313" s="20">
        <v>45679</v>
      </c>
      <c r="B313" s="15" t="s">
        <v>201</v>
      </c>
      <c r="C313" s="15">
        <v>86253</v>
      </c>
      <c r="D313" s="15" t="s">
        <v>46</v>
      </c>
      <c r="E313" s="15">
        <v>25</v>
      </c>
      <c r="F313" s="27">
        <v>19.27</v>
      </c>
      <c r="G313" s="15" t="s">
        <v>28</v>
      </c>
      <c r="H313" s="35">
        <v>0.28999999999999998</v>
      </c>
      <c r="I313" s="15" t="s">
        <v>734</v>
      </c>
      <c r="J313" s="27">
        <v>7.24</v>
      </c>
      <c r="K313" s="15" t="s">
        <v>20</v>
      </c>
      <c r="L313" s="15" t="s">
        <v>31</v>
      </c>
      <c r="M313" s="15" t="s">
        <v>22</v>
      </c>
      <c r="N313" s="15" t="s">
        <v>23</v>
      </c>
      <c r="O313" s="15" t="s">
        <v>81</v>
      </c>
      <c r="P313" s="15" t="s">
        <v>34</v>
      </c>
      <c r="Q313" s="27">
        <v>481.75</v>
      </c>
      <c r="R313" s="27">
        <v>139.70749999999998</v>
      </c>
      <c r="S313" s="31">
        <v>342.04250000000002</v>
      </c>
    </row>
    <row r="314" spans="1:19" x14ac:dyDescent="0.25">
      <c r="A314" s="20">
        <v>45679</v>
      </c>
      <c r="B314" s="15" t="s">
        <v>332</v>
      </c>
      <c r="C314" s="15">
        <v>97317</v>
      </c>
      <c r="D314" s="15" t="s">
        <v>42</v>
      </c>
      <c r="E314" s="15">
        <v>45</v>
      </c>
      <c r="F314" s="27">
        <v>20.91</v>
      </c>
      <c r="G314" s="15" t="s">
        <v>76</v>
      </c>
      <c r="H314" s="35">
        <v>0.41</v>
      </c>
      <c r="I314" s="15" t="s">
        <v>734</v>
      </c>
      <c r="J314" s="27">
        <v>6.33</v>
      </c>
      <c r="K314" s="15" t="s">
        <v>44</v>
      </c>
      <c r="L314" s="15" t="s">
        <v>21</v>
      </c>
      <c r="M314" s="15" t="s">
        <v>22</v>
      </c>
      <c r="N314" s="15" t="s">
        <v>53</v>
      </c>
      <c r="O314" s="15" t="s">
        <v>59</v>
      </c>
      <c r="P314" s="15" t="s">
        <v>25</v>
      </c>
      <c r="Q314" s="27">
        <v>940.95</v>
      </c>
      <c r="R314" s="27">
        <v>385.78949999999998</v>
      </c>
      <c r="S314" s="31">
        <v>555.16050000000007</v>
      </c>
    </row>
    <row r="315" spans="1:19" x14ac:dyDescent="0.25">
      <c r="A315" s="20">
        <v>45679</v>
      </c>
      <c r="B315" s="15" t="s">
        <v>160</v>
      </c>
      <c r="C315" s="15">
        <v>36892</v>
      </c>
      <c r="D315" s="15" t="s">
        <v>89</v>
      </c>
      <c r="E315" s="15">
        <v>11</v>
      </c>
      <c r="F315" s="27">
        <v>53</v>
      </c>
      <c r="G315" s="15" t="s">
        <v>47</v>
      </c>
      <c r="H315" s="35">
        <v>0.42</v>
      </c>
      <c r="I315" s="15" t="s">
        <v>19</v>
      </c>
      <c r="J315" s="27">
        <v>11.66</v>
      </c>
      <c r="K315" s="15" t="s">
        <v>20</v>
      </c>
      <c r="L315" s="15" t="s">
        <v>31</v>
      </c>
      <c r="M315" s="15" t="s">
        <v>22</v>
      </c>
      <c r="N315" s="15" t="s">
        <v>32</v>
      </c>
      <c r="O315" s="15" t="s">
        <v>24</v>
      </c>
      <c r="P315" s="15" t="s">
        <v>25</v>
      </c>
      <c r="Q315" s="27">
        <v>583</v>
      </c>
      <c r="R315" s="27">
        <v>244.85999999999999</v>
      </c>
      <c r="S315" s="31">
        <v>338.14</v>
      </c>
    </row>
    <row r="316" spans="1:19" x14ac:dyDescent="0.25">
      <c r="A316" s="20">
        <v>45679</v>
      </c>
      <c r="B316" s="15" t="s">
        <v>333</v>
      </c>
      <c r="C316" s="15">
        <v>57277</v>
      </c>
      <c r="D316" s="15" t="s">
        <v>66</v>
      </c>
      <c r="E316" s="15">
        <v>44</v>
      </c>
      <c r="F316" s="27">
        <v>99.94</v>
      </c>
      <c r="G316" s="15" t="s">
        <v>52</v>
      </c>
      <c r="H316" s="35">
        <v>0.33</v>
      </c>
      <c r="I316" s="15" t="s">
        <v>19</v>
      </c>
      <c r="J316" s="27">
        <v>25.94</v>
      </c>
      <c r="K316" s="15" t="s">
        <v>30</v>
      </c>
      <c r="L316" s="15" t="s">
        <v>21</v>
      </c>
      <c r="M316" s="15" t="s">
        <v>22</v>
      </c>
      <c r="N316" s="15" t="s">
        <v>32</v>
      </c>
      <c r="O316" s="15" t="s">
        <v>59</v>
      </c>
      <c r="P316" s="15" t="s">
        <v>25</v>
      </c>
      <c r="Q316" s="27">
        <v>4397.3599999999997</v>
      </c>
      <c r="R316" s="27">
        <v>1451.1288</v>
      </c>
      <c r="S316" s="31">
        <v>2946.2311999999997</v>
      </c>
    </row>
    <row r="317" spans="1:19" x14ac:dyDescent="0.25">
      <c r="A317" s="20">
        <v>45679</v>
      </c>
      <c r="B317" s="15" t="s">
        <v>334</v>
      </c>
      <c r="C317" s="15">
        <v>13390</v>
      </c>
      <c r="D317" s="15" t="s">
        <v>89</v>
      </c>
      <c r="E317" s="15">
        <v>24</v>
      </c>
      <c r="F317" s="27">
        <v>14.89</v>
      </c>
      <c r="G317" s="15" t="s">
        <v>72</v>
      </c>
      <c r="H317" s="35">
        <v>0.19</v>
      </c>
      <c r="I317" s="15" t="s">
        <v>29</v>
      </c>
      <c r="J317" s="27">
        <v>7.84</v>
      </c>
      <c r="K317" s="15" t="s">
        <v>20</v>
      </c>
      <c r="L317" s="15" t="s">
        <v>21</v>
      </c>
      <c r="M317" s="15" t="s">
        <v>22</v>
      </c>
      <c r="N317" s="15" t="s">
        <v>38</v>
      </c>
      <c r="O317" s="15" t="s">
        <v>59</v>
      </c>
      <c r="P317" s="15" t="s">
        <v>40</v>
      </c>
      <c r="Q317" s="27">
        <v>357.36</v>
      </c>
      <c r="R317" s="27">
        <v>67.898400000000009</v>
      </c>
      <c r="S317" s="31">
        <v>289.46159999999998</v>
      </c>
    </row>
    <row r="318" spans="1:19" x14ac:dyDescent="0.25">
      <c r="A318" s="20">
        <v>45679</v>
      </c>
      <c r="B318" s="15" t="s">
        <v>335</v>
      </c>
      <c r="C318" s="15">
        <v>47655</v>
      </c>
      <c r="D318" s="15" t="s">
        <v>46</v>
      </c>
      <c r="E318" s="15">
        <v>37</v>
      </c>
      <c r="F318" s="27">
        <v>8.94</v>
      </c>
      <c r="G318" s="15" t="s">
        <v>52</v>
      </c>
      <c r="H318" s="35">
        <v>0.49</v>
      </c>
      <c r="I318" s="15" t="s">
        <v>734</v>
      </c>
      <c r="J318" s="27">
        <v>11.96</v>
      </c>
      <c r="K318" s="15" t="s">
        <v>37</v>
      </c>
      <c r="L318" s="15" t="s">
        <v>21</v>
      </c>
      <c r="M318" s="15" t="s">
        <v>735</v>
      </c>
      <c r="N318" s="15" t="s">
        <v>38</v>
      </c>
      <c r="O318" s="15" t="s">
        <v>59</v>
      </c>
      <c r="P318" s="15" t="s">
        <v>34</v>
      </c>
      <c r="Q318" s="27">
        <v>330.78</v>
      </c>
      <c r="R318" s="27">
        <v>162.08219999999997</v>
      </c>
      <c r="S318" s="31">
        <v>168.6978</v>
      </c>
    </row>
    <row r="319" spans="1:19" x14ac:dyDescent="0.25">
      <c r="A319" s="20">
        <v>45679</v>
      </c>
      <c r="B319" s="15" t="s">
        <v>336</v>
      </c>
      <c r="C319" s="15">
        <v>57746</v>
      </c>
      <c r="D319" s="15" t="s">
        <v>68</v>
      </c>
      <c r="E319" s="15">
        <v>42</v>
      </c>
      <c r="F319" s="27">
        <v>79.45</v>
      </c>
      <c r="G319" s="15" t="s">
        <v>84</v>
      </c>
      <c r="H319" s="35">
        <v>0.06</v>
      </c>
      <c r="I319" s="15" t="s">
        <v>19</v>
      </c>
      <c r="J319" s="27">
        <v>14.77</v>
      </c>
      <c r="K319" s="15" t="s">
        <v>50</v>
      </c>
      <c r="L319" s="15" t="s">
        <v>21</v>
      </c>
      <c r="M319" s="15" t="s">
        <v>22</v>
      </c>
      <c r="N319" s="15" t="s">
        <v>23</v>
      </c>
      <c r="O319" s="15" t="s">
        <v>59</v>
      </c>
      <c r="P319" s="15" t="s">
        <v>34</v>
      </c>
      <c r="Q319" s="27">
        <v>3336.9</v>
      </c>
      <c r="R319" s="27">
        <v>200.214</v>
      </c>
      <c r="S319" s="31">
        <v>3136.6860000000001</v>
      </c>
    </row>
    <row r="320" spans="1:19" x14ac:dyDescent="0.25">
      <c r="A320" s="20">
        <v>45680</v>
      </c>
      <c r="B320" s="15" t="s">
        <v>337</v>
      </c>
      <c r="C320" s="15">
        <v>77619</v>
      </c>
      <c r="D320" s="15" t="s">
        <v>89</v>
      </c>
      <c r="E320" s="15">
        <v>19</v>
      </c>
      <c r="F320" s="27">
        <v>79.94</v>
      </c>
      <c r="G320" s="15" t="s">
        <v>72</v>
      </c>
      <c r="H320" s="35">
        <v>0.43</v>
      </c>
      <c r="I320" s="15" t="s">
        <v>734</v>
      </c>
      <c r="J320" s="27">
        <v>12.89</v>
      </c>
      <c r="K320" s="15" t="s">
        <v>50</v>
      </c>
      <c r="L320" s="15" t="s">
        <v>21</v>
      </c>
      <c r="M320" s="15" t="s">
        <v>22</v>
      </c>
      <c r="N320" s="15" t="s">
        <v>38</v>
      </c>
      <c r="O320" s="15" t="s">
        <v>39</v>
      </c>
      <c r="P320" s="15" t="s">
        <v>34</v>
      </c>
      <c r="Q320" s="27">
        <v>1518.86</v>
      </c>
      <c r="R320" s="27">
        <v>653.10979999999995</v>
      </c>
      <c r="S320" s="31">
        <v>865.75019999999995</v>
      </c>
    </row>
    <row r="321" spans="1:19" x14ac:dyDescent="0.25">
      <c r="A321" s="20">
        <v>45680</v>
      </c>
      <c r="B321" s="15" t="s">
        <v>266</v>
      </c>
      <c r="C321" s="15">
        <v>75815</v>
      </c>
      <c r="D321" s="15" t="s">
        <v>17</v>
      </c>
      <c r="E321" s="15">
        <v>27</v>
      </c>
      <c r="F321" s="27">
        <v>9.49</v>
      </c>
      <c r="G321" s="15" t="s">
        <v>36</v>
      </c>
      <c r="H321" s="35">
        <v>0.05</v>
      </c>
      <c r="I321" s="15" t="s">
        <v>19</v>
      </c>
      <c r="J321" s="27">
        <v>21.83</v>
      </c>
      <c r="K321" s="15" t="s">
        <v>37</v>
      </c>
      <c r="L321" s="15" t="s">
        <v>21</v>
      </c>
      <c r="M321" s="15" t="s">
        <v>22</v>
      </c>
      <c r="N321" s="15" t="s">
        <v>23</v>
      </c>
      <c r="O321" s="15" t="s">
        <v>24</v>
      </c>
      <c r="P321" s="15" t="s">
        <v>25</v>
      </c>
      <c r="Q321" s="27">
        <v>256.23</v>
      </c>
      <c r="R321" s="27">
        <v>12.811500000000002</v>
      </c>
      <c r="S321" s="31">
        <v>243.41850000000002</v>
      </c>
    </row>
    <row r="322" spans="1:19" x14ac:dyDescent="0.25">
      <c r="A322" s="20">
        <v>45680</v>
      </c>
      <c r="B322" s="15" t="s">
        <v>338</v>
      </c>
      <c r="C322" s="15">
        <v>71554</v>
      </c>
      <c r="D322" s="15" t="s">
        <v>17</v>
      </c>
      <c r="E322" s="15">
        <v>43</v>
      </c>
      <c r="F322" s="27">
        <v>82.53</v>
      </c>
      <c r="G322" s="15" t="s">
        <v>99</v>
      </c>
      <c r="H322" s="35">
        <v>0.43</v>
      </c>
      <c r="I322" s="15" t="s">
        <v>19</v>
      </c>
      <c r="J322" s="27">
        <v>29.68</v>
      </c>
      <c r="K322" s="15" t="s">
        <v>44</v>
      </c>
      <c r="L322" s="15" t="s">
        <v>31</v>
      </c>
      <c r="M322" s="15" t="s">
        <v>22</v>
      </c>
      <c r="N322" s="15" t="s">
        <v>38</v>
      </c>
      <c r="O322" s="15" t="s">
        <v>24</v>
      </c>
      <c r="P322" s="15" t="s">
        <v>25</v>
      </c>
      <c r="Q322" s="27">
        <v>3548.79</v>
      </c>
      <c r="R322" s="27">
        <v>1525.9796999999999</v>
      </c>
      <c r="S322" s="31">
        <v>2022.8103000000001</v>
      </c>
    </row>
    <row r="323" spans="1:19" x14ac:dyDescent="0.25">
      <c r="A323" s="20">
        <v>45680</v>
      </c>
      <c r="B323" s="15" t="s">
        <v>339</v>
      </c>
      <c r="C323" s="15">
        <v>25936</v>
      </c>
      <c r="D323" s="15" t="s">
        <v>57</v>
      </c>
      <c r="E323" s="15">
        <v>2</v>
      </c>
      <c r="F323" s="27">
        <v>77.459999999999994</v>
      </c>
      <c r="G323" s="15" t="s">
        <v>28</v>
      </c>
      <c r="H323" s="35">
        <v>0.05</v>
      </c>
      <c r="I323" s="15" t="s">
        <v>19</v>
      </c>
      <c r="J323" s="27">
        <v>13.74</v>
      </c>
      <c r="K323" s="15" t="s">
        <v>44</v>
      </c>
      <c r="L323" s="15" t="s">
        <v>31</v>
      </c>
      <c r="M323" s="15" t="s">
        <v>22</v>
      </c>
      <c r="N323" s="15" t="s">
        <v>32</v>
      </c>
      <c r="O323" s="15" t="s">
        <v>24</v>
      </c>
      <c r="P323" s="15" t="s">
        <v>25</v>
      </c>
      <c r="Q323" s="27">
        <v>154.91999999999999</v>
      </c>
      <c r="R323" s="27">
        <v>7.7459999999999996</v>
      </c>
      <c r="S323" s="31">
        <v>147.17399999999998</v>
      </c>
    </row>
    <row r="324" spans="1:19" x14ac:dyDescent="0.25">
      <c r="A324" s="20">
        <v>45680</v>
      </c>
      <c r="B324" s="15" t="s">
        <v>152</v>
      </c>
      <c r="C324" s="15">
        <v>14921</v>
      </c>
      <c r="D324" s="15" t="s">
        <v>68</v>
      </c>
      <c r="E324" s="15">
        <v>18</v>
      </c>
      <c r="F324" s="27">
        <v>59.33</v>
      </c>
      <c r="G324" s="15" t="s">
        <v>47</v>
      </c>
      <c r="H324" s="35">
        <v>0.13</v>
      </c>
      <c r="I324" s="15" t="s">
        <v>19</v>
      </c>
      <c r="J324" s="27">
        <v>27.24</v>
      </c>
      <c r="K324" s="15" t="s">
        <v>44</v>
      </c>
      <c r="L324" s="15" t="s">
        <v>21</v>
      </c>
      <c r="M324" s="15" t="s">
        <v>22</v>
      </c>
      <c r="N324" s="15" t="s">
        <v>23</v>
      </c>
      <c r="O324" s="15" t="s">
        <v>81</v>
      </c>
      <c r="P324" s="15" t="s">
        <v>25</v>
      </c>
      <c r="Q324" s="27">
        <v>1067.94</v>
      </c>
      <c r="R324" s="27">
        <v>138.8322</v>
      </c>
      <c r="S324" s="31">
        <v>929.1078</v>
      </c>
    </row>
    <row r="325" spans="1:19" x14ac:dyDescent="0.25">
      <c r="A325" s="20">
        <v>45680</v>
      </c>
      <c r="B325" s="15" t="s">
        <v>340</v>
      </c>
      <c r="C325" s="15">
        <v>41650</v>
      </c>
      <c r="D325" s="15" t="s">
        <v>49</v>
      </c>
      <c r="E325" s="15">
        <v>33</v>
      </c>
      <c r="F325" s="27">
        <v>40.340000000000003</v>
      </c>
      <c r="G325" s="15" t="s">
        <v>55</v>
      </c>
      <c r="H325" s="35">
        <v>0.49</v>
      </c>
      <c r="I325" s="15" t="s">
        <v>19</v>
      </c>
      <c r="J325" s="27">
        <v>14.14</v>
      </c>
      <c r="K325" s="15" t="s">
        <v>30</v>
      </c>
      <c r="L325" s="15" t="s">
        <v>21</v>
      </c>
      <c r="M325" s="15" t="s">
        <v>22</v>
      </c>
      <c r="N325" s="15" t="s">
        <v>38</v>
      </c>
      <c r="O325" s="15" t="s">
        <v>33</v>
      </c>
      <c r="P325" s="15" t="s">
        <v>40</v>
      </c>
      <c r="Q325" s="27">
        <v>1331.22</v>
      </c>
      <c r="R325" s="27">
        <v>652.29780000000005</v>
      </c>
      <c r="S325" s="31">
        <v>678.92219999999998</v>
      </c>
    </row>
    <row r="326" spans="1:19" x14ac:dyDescent="0.25">
      <c r="A326" s="20">
        <v>45680</v>
      </c>
      <c r="B326" s="15" t="s">
        <v>341</v>
      </c>
      <c r="C326" s="15">
        <v>67749</v>
      </c>
      <c r="D326" s="15" t="s">
        <v>66</v>
      </c>
      <c r="E326" s="15">
        <v>2</v>
      </c>
      <c r="F326" s="27">
        <v>84.15</v>
      </c>
      <c r="G326" s="15" t="s">
        <v>52</v>
      </c>
      <c r="H326" s="35">
        <v>0.34</v>
      </c>
      <c r="I326" s="15" t="s">
        <v>19</v>
      </c>
      <c r="J326" s="27">
        <v>23.73</v>
      </c>
      <c r="K326" s="15" t="s">
        <v>44</v>
      </c>
      <c r="L326" s="15" t="s">
        <v>21</v>
      </c>
      <c r="M326" s="15" t="s">
        <v>22</v>
      </c>
      <c r="N326" s="15" t="s">
        <v>23</v>
      </c>
      <c r="O326" s="15" t="s">
        <v>81</v>
      </c>
      <c r="P326" s="15" t="s">
        <v>25</v>
      </c>
      <c r="Q326" s="27">
        <v>168.3</v>
      </c>
      <c r="R326" s="27">
        <v>57.222000000000008</v>
      </c>
      <c r="S326" s="31">
        <v>111.078</v>
      </c>
    </row>
    <row r="327" spans="1:19" x14ac:dyDescent="0.25">
      <c r="A327" s="20">
        <v>45680</v>
      </c>
      <c r="B327" s="15" t="s">
        <v>135</v>
      </c>
      <c r="C327" s="15">
        <v>62456</v>
      </c>
      <c r="D327" s="15" t="s">
        <v>49</v>
      </c>
      <c r="E327" s="15">
        <v>26</v>
      </c>
      <c r="F327" s="27">
        <v>24.23</v>
      </c>
      <c r="G327" s="15" t="s">
        <v>28</v>
      </c>
      <c r="H327" s="35">
        <v>7.0000000000000007E-2</v>
      </c>
      <c r="I327" s="15" t="s">
        <v>29</v>
      </c>
      <c r="J327" s="27">
        <v>27.93</v>
      </c>
      <c r="K327" s="15" t="s">
        <v>20</v>
      </c>
      <c r="L327" s="15" t="s">
        <v>31</v>
      </c>
      <c r="M327" s="15" t="s">
        <v>22</v>
      </c>
      <c r="N327" s="15" t="s">
        <v>53</v>
      </c>
      <c r="O327" s="15" t="s">
        <v>24</v>
      </c>
      <c r="P327" s="15" t="s">
        <v>25</v>
      </c>
      <c r="Q327" s="27">
        <v>629.98</v>
      </c>
      <c r="R327" s="27">
        <v>44.098600000000005</v>
      </c>
      <c r="S327" s="31">
        <v>585.88139999999999</v>
      </c>
    </row>
    <row r="328" spans="1:19" x14ac:dyDescent="0.25">
      <c r="A328" s="20">
        <v>45680</v>
      </c>
      <c r="B328" s="15" t="s">
        <v>342</v>
      </c>
      <c r="C328" s="15">
        <v>37615</v>
      </c>
      <c r="D328" s="15" t="s">
        <v>27</v>
      </c>
      <c r="E328" s="15">
        <v>5</v>
      </c>
      <c r="F328" s="27">
        <v>82.85</v>
      </c>
      <c r="G328" s="15" t="s">
        <v>36</v>
      </c>
      <c r="H328" s="35">
        <v>0.23</v>
      </c>
      <c r="I328" s="15" t="s">
        <v>734</v>
      </c>
      <c r="J328" s="27">
        <v>15</v>
      </c>
      <c r="K328" s="15" t="s">
        <v>50</v>
      </c>
      <c r="L328" s="15" t="s">
        <v>31</v>
      </c>
      <c r="M328" s="15" t="s">
        <v>111</v>
      </c>
      <c r="N328" s="15" t="s">
        <v>53</v>
      </c>
      <c r="O328" s="15" t="s">
        <v>81</v>
      </c>
      <c r="P328" s="15" t="s">
        <v>25</v>
      </c>
      <c r="Q328" s="27">
        <v>414.25</v>
      </c>
      <c r="R328" s="27">
        <v>95.277500000000003</v>
      </c>
      <c r="S328" s="31">
        <v>318.97249999999997</v>
      </c>
    </row>
    <row r="329" spans="1:19" x14ac:dyDescent="0.25">
      <c r="A329" s="20">
        <v>45680</v>
      </c>
      <c r="B329" s="15" t="s">
        <v>324</v>
      </c>
      <c r="C329" s="15">
        <v>59991</v>
      </c>
      <c r="D329" s="15" t="s">
        <v>70</v>
      </c>
      <c r="E329" s="15">
        <v>46</v>
      </c>
      <c r="F329" s="27">
        <v>65.930000000000007</v>
      </c>
      <c r="G329" s="15" t="s">
        <v>58</v>
      </c>
      <c r="H329" s="35">
        <v>0.13</v>
      </c>
      <c r="I329" s="15" t="s">
        <v>19</v>
      </c>
      <c r="J329" s="27">
        <v>10.7</v>
      </c>
      <c r="K329" s="15" t="s">
        <v>44</v>
      </c>
      <c r="L329" s="15" t="s">
        <v>31</v>
      </c>
      <c r="M329" s="15" t="s">
        <v>22</v>
      </c>
      <c r="N329" s="15" t="s">
        <v>23</v>
      </c>
      <c r="O329" s="15" t="s">
        <v>24</v>
      </c>
      <c r="P329" s="15" t="s">
        <v>25</v>
      </c>
      <c r="Q329" s="27">
        <v>3032.78</v>
      </c>
      <c r="R329" s="27">
        <v>394.26140000000004</v>
      </c>
      <c r="S329" s="31">
        <v>2638.5186000000003</v>
      </c>
    </row>
    <row r="330" spans="1:19" x14ac:dyDescent="0.25">
      <c r="A330" s="20">
        <v>45680</v>
      </c>
      <c r="B330" s="15" t="s">
        <v>343</v>
      </c>
      <c r="C330" s="15">
        <v>72138</v>
      </c>
      <c r="D330" s="15" t="s">
        <v>42</v>
      </c>
      <c r="E330" s="15">
        <v>41</v>
      </c>
      <c r="F330" s="27">
        <v>37.1</v>
      </c>
      <c r="G330" s="15" t="s">
        <v>72</v>
      </c>
      <c r="H330" s="35">
        <v>0.08</v>
      </c>
      <c r="I330" s="15" t="s">
        <v>29</v>
      </c>
      <c r="J330" s="27">
        <v>22.46</v>
      </c>
      <c r="K330" s="15" t="s">
        <v>37</v>
      </c>
      <c r="L330" s="15" t="s">
        <v>31</v>
      </c>
      <c r="M330" s="15" t="s">
        <v>22</v>
      </c>
      <c r="N330" s="15" t="s">
        <v>23</v>
      </c>
      <c r="O330" s="15" t="s">
        <v>33</v>
      </c>
      <c r="P330" s="15" t="s">
        <v>34</v>
      </c>
      <c r="Q330" s="27">
        <v>1521.1000000000001</v>
      </c>
      <c r="R330" s="27">
        <v>121.68800000000002</v>
      </c>
      <c r="S330" s="31">
        <v>1399.412</v>
      </c>
    </row>
    <row r="331" spans="1:19" x14ac:dyDescent="0.25">
      <c r="A331" s="20">
        <v>45680</v>
      </c>
      <c r="B331" s="15" t="s">
        <v>344</v>
      </c>
      <c r="C331" s="15">
        <v>77423</v>
      </c>
      <c r="D331" s="15" t="s">
        <v>46</v>
      </c>
      <c r="E331" s="15">
        <v>35</v>
      </c>
      <c r="F331" s="27">
        <v>78.3</v>
      </c>
      <c r="G331" s="15" t="s">
        <v>43</v>
      </c>
      <c r="H331" s="35">
        <v>0.12</v>
      </c>
      <c r="I331" s="15" t="s">
        <v>734</v>
      </c>
      <c r="J331" s="27">
        <v>21.3</v>
      </c>
      <c r="K331" s="15" t="s">
        <v>50</v>
      </c>
      <c r="L331" s="15" t="s">
        <v>31</v>
      </c>
      <c r="M331" s="15" t="s">
        <v>22</v>
      </c>
      <c r="N331" s="15" t="s">
        <v>32</v>
      </c>
      <c r="O331" s="15" t="s">
        <v>24</v>
      </c>
      <c r="P331" s="15" t="s">
        <v>34</v>
      </c>
      <c r="Q331" s="27">
        <v>2740.5</v>
      </c>
      <c r="R331" s="27">
        <v>328.86</v>
      </c>
      <c r="S331" s="31">
        <v>2411.64</v>
      </c>
    </row>
    <row r="332" spans="1:19" x14ac:dyDescent="0.25">
      <c r="A332" s="20">
        <v>45680</v>
      </c>
      <c r="B332" s="15" t="s">
        <v>147</v>
      </c>
      <c r="C332" s="15">
        <v>91658</v>
      </c>
      <c r="D332" s="15" t="s">
        <v>42</v>
      </c>
      <c r="E332" s="15">
        <v>24</v>
      </c>
      <c r="F332" s="27">
        <v>84.63</v>
      </c>
      <c r="G332" s="15" t="s">
        <v>76</v>
      </c>
      <c r="H332" s="35">
        <v>0.2</v>
      </c>
      <c r="I332" s="15" t="s">
        <v>734</v>
      </c>
      <c r="J332" s="27">
        <v>5.54</v>
      </c>
      <c r="K332" s="15" t="s">
        <v>20</v>
      </c>
      <c r="L332" s="15" t="s">
        <v>31</v>
      </c>
      <c r="M332" s="15" t="s">
        <v>22</v>
      </c>
      <c r="N332" s="15" t="s">
        <v>38</v>
      </c>
      <c r="O332" s="15" t="s">
        <v>59</v>
      </c>
      <c r="P332" s="15" t="s">
        <v>25</v>
      </c>
      <c r="Q332" s="27">
        <v>2031.12</v>
      </c>
      <c r="R332" s="27">
        <v>406.22399999999999</v>
      </c>
      <c r="S332" s="31">
        <v>1624.896</v>
      </c>
    </row>
    <row r="333" spans="1:19" x14ac:dyDescent="0.25">
      <c r="A333" s="20">
        <v>45680</v>
      </c>
      <c r="B333" s="15" t="s">
        <v>345</v>
      </c>
      <c r="C333" s="15">
        <v>19210</v>
      </c>
      <c r="D333" s="15" t="s">
        <v>17</v>
      </c>
      <c r="E333" s="15">
        <v>18</v>
      </c>
      <c r="F333" s="27">
        <v>6.19</v>
      </c>
      <c r="G333" s="15" t="s">
        <v>28</v>
      </c>
      <c r="H333" s="35">
        <v>0.15</v>
      </c>
      <c r="I333" s="15" t="s">
        <v>19</v>
      </c>
      <c r="J333" s="27">
        <v>12.65</v>
      </c>
      <c r="K333" s="15" t="s">
        <v>30</v>
      </c>
      <c r="L333" s="15" t="s">
        <v>21</v>
      </c>
      <c r="M333" s="15" t="s">
        <v>22</v>
      </c>
      <c r="N333" s="15" t="s">
        <v>23</v>
      </c>
      <c r="O333" s="15" t="s">
        <v>59</v>
      </c>
      <c r="P333" s="15" t="s">
        <v>25</v>
      </c>
      <c r="Q333" s="27">
        <v>111.42</v>
      </c>
      <c r="R333" s="27">
        <v>16.713000000000001</v>
      </c>
      <c r="S333" s="31">
        <v>94.706999999999994</v>
      </c>
    </row>
    <row r="334" spans="1:19" x14ac:dyDescent="0.25">
      <c r="A334" s="20">
        <v>45680</v>
      </c>
      <c r="B334" s="15" t="s">
        <v>346</v>
      </c>
      <c r="C334" s="15">
        <v>94635</v>
      </c>
      <c r="D334" s="15" t="s">
        <v>49</v>
      </c>
      <c r="E334" s="15">
        <v>12</v>
      </c>
      <c r="F334" s="27">
        <v>24.21</v>
      </c>
      <c r="G334" s="15" t="s">
        <v>18</v>
      </c>
      <c r="H334" s="35">
        <v>0.34</v>
      </c>
      <c r="I334" s="15" t="s">
        <v>19</v>
      </c>
      <c r="J334" s="27">
        <v>16.46</v>
      </c>
      <c r="K334" s="15" t="s">
        <v>50</v>
      </c>
      <c r="L334" s="15" t="s">
        <v>21</v>
      </c>
      <c r="M334" s="15" t="s">
        <v>22</v>
      </c>
      <c r="N334" s="15" t="s">
        <v>53</v>
      </c>
      <c r="O334" s="15" t="s">
        <v>39</v>
      </c>
      <c r="P334" s="15" t="s">
        <v>25</v>
      </c>
      <c r="Q334" s="27">
        <v>290.52</v>
      </c>
      <c r="R334" s="27">
        <v>98.776799999999994</v>
      </c>
      <c r="S334" s="31">
        <v>191.7432</v>
      </c>
    </row>
    <row r="335" spans="1:19" x14ac:dyDescent="0.25">
      <c r="A335" s="20">
        <v>45680</v>
      </c>
      <c r="B335" s="15" t="s">
        <v>253</v>
      </c>
      <c r="C335" s="15">
        <v>32062</v>
      </c>
      <c r="D335" s="15" t="s">
        <v>89</v>
      </c>
      <c r="E335" s="15">
        <v>8</v>
      </c>
      <c r="F335" s="27">
        <v>40.72</v>
      </c>
      <c r="G335" s="15" t="s">
        <v>43</v>
      </c>
      <c r="H335" s="35">
        <v>0.18</v>
      </c>
      <c r="I335" s="15" t="s">
        <v>734</v>
      </c>
      <c r="J335" s="27">
        <v>19.82</v>
      </c>
      <c r="K335" s="15" t="s">
        <v>44</v>
      </c>
      <c r="L335" s="15" t="s">
        <v>31</v>
      </c>
      <c r="M335" s="15" t="s">
        <v>22</v>
      </c>
      <c r="N335" s="15" t="s">
        <v>32</v>
      </c>
      <c r="O335" s="15" t="s">
        <v>59</v>
      </c>
      <c r="P335" s="15" t="s">
        <v>34</v>
      </c>
      <c r="Q335" s="27">
        <v>325.76</v>
      </c>
      <c r="R335" s="27">
        <v>58.636799999999994</v>
      </c>
      <c r="S335" s="31">
        <v>267.1232</v>
      </c>
    </row>
    <row r="336" spans="1:19" x14ac:dyDescent="0.25">
      <c r="A336" s="20">
        <v>45680</v>
      </c>
      <c r="B336" s="15" t="s">
        <v>347</v>
      </c>
      <c r="C336" s="15">
        <v>34864</v>
      </c>
      <c r="D336" s="15" t="s">
        <v>68</v>
      </c>
      <c r="E336" s="15">
        <v>1</v>
      </c>
      <c r="F336" s="27">
        <v>95.33</v>
      </c>
      <c r="G336" s="15" t="s">
        <v>47</v>
      </c>
      <c r="H336" s="35">
        <v>0.47</v>
      </c>
      <c r="I336" s="15" t="s">
        <v>19</v>
      </c>
      <c r="J336" s="27">
        <v>13.51</v>
      </c>
      <c r="K336" s="15" t="s">
        <v>20</v>
      </c>
      <c r="L336" s="15" t="s">
        <v>21</v>
      </c>
      <c r="M336" s="15" t="s">
        <v>22</v>
      </c>
      <c r="N336" s="15" t="s">
        <v>23</v>
      </c>
      <c r="O336" s="15" t="s">
        <v>24</v>
      </c>
      <c r="P336" s="15" t="s">
        <v>40</v>
      </c>
      <c r="Q336" s="27">
        <v>95.33</v>
      </c>
      <c r="R336" s="27">
        <v>44.805099999999996</v>
      </c>
      <c r="S336" s="31">
        <v>50.524900000000002</v>
      </c>
    </row>
    <row r="337" spans="1:19" x14ac:dyDescent="0.25">
      <c r="A337" s="20">
        <v>45680</v>
      </c>
      <c r="B337" s="15" t="s">
        <v>110</v>
      </c>
      <c r="C337" s="15">
        <v>76934</v>
      </c>
      <c r="D337" s="15" t="s">
        <v>17</v>
      </c>
      <c r="E337" s="15">
        <v>31</v>
      </c>
      <c r="F337" s="27">
        <v>43.81</v>
      </c>
      <c r="G337" s="15" t="s">
        <v>76</v>
      </c>
      <c r="H337" s="35">
        <v>0.35</v>
      </c>
      <c r="I337" s="15" t="s">
        <v>19</v>
      </c>
      <c r="J337" s="27">
        <v>7.23</v>
      </c>
      <c r="K337" s="15" t="s">
        <v>30</v>
      </c>
      <c r="L337" s="15" t="s">
        <v>31</v>
      </c>
      <c r="M337" s="15" t="s">
        <v>22</v>
      </c>
      <c r="N337" s="15" t="s">
        <v>38</v>
      </c>
      <c r="O337" s="15" t="s">
        <v>39</v>
      </c>
      <c r="P337" s="15" t="s">
        <v>40</v>
      </c>
      <c r="Q337" s="27">
        <v>1358.1100000000001</v>
      </c>
      <c r="R337" s="27">
        <v>475.33850000000001</v>
      </c>
      <c r="S337" s="31">
        <v>882.77150000000006</v>
      </c>
    </row>
    <row r="338" spans="1:19" x14ac:dyDescent="0.25">
      <c r="A338" s="20">
        <v>45680</v>
      </c>
      <c r="B338" s="15" t="s">
        <v>348</v>
      </c>
      <c r="C338" s="15">
        <v>66110</v>
      </c>
      <c r="D338" s="15" t="s">
        <v>42</v>
      </c>
      <c r="E338" s="15">
        <v>26</v>
      </c>
      <c r="F338" s="27">
        <v>18.47</v>
      </c>
      <c r="G338" s="15" t="s">
        <v>52</v>
      </c>
      <c r="H338" s="35">
        <v>0.32</v>
      </c>
      <c r="I338" s="15" t="s">
        <v>29</v>
      </c>
      <c r="J338" s="27">
        <v>17.66</v>
      </c>
      <c r="K338" s="15" t="s">
        <v>50</v>
      </c>
      <c r="L338" s="15" t="s">
        <v>21</v>
      </c>
      <c r="M338" s="15" t="s">
        <v>22</v>
      </c>
      <c r="N338" s="15" t="s">
        <v>53</v>
      </c>
      <c r="O338" s="15" t="s">
        <v>39</v>
      </c>
      <c r="P338" s="15" t="s">
        <v>25</v>
      </c>
      <c r="Q338" s="27">
        <v>480.21999999999997</v>
      </c>
      <c r="R338" s="27">
        <v>153.6704</v>
      </c>
      <c r="S338" s="31">
        <v>326.54959999999994</v>
      </c>
    </row>
    <row r="339" spans="1:19" x14ac:dyDescent="0.25">
      <c r="A339" s="20">
        <v>45680</v>
      </c>
      <c r="B339" s="15" t="s">
        <v>349</v>
      </c>
      <c r="C339" s="15">
        <v>48605</v>
      </c>
      <c r="D339" s="15" t="s">
        <v>27</v>
      </c>
      <c r="E339" s="15">
        <v>35</v>
      </c>
      <c r="F339" s="27">
        <v>71.150000000000006</v>
      </c>
      <c r="G339" s="15" t="s">
        <v>58</v>
      </c>
      <c r="H339" s="35">
        <v>0.26</v>
      </c>
      <c r="I339" s="15" t="s">
        <v>19</v>
      </c>
      <c r="J339" s="27">
        <v>5.93</v>
      </c>
      <c r="K339" s="15" t="s">
        <v>44</v>
      </c>
      <c r="L339" s="15" t="s">
        <v>31</v>
      </c>
      <c r="M339" s="15" t="s">
        <v>735</v>
      </c>
      <c r="N339" s="15" t="s">
        <v>32</v>
      </c>
      <c r="O339" s="15" t="s">
        <v>39</v>
      </c>
      <c r="P339" s="15" t="s">
        <v>34</v>
      </c>
      <c r="Q339" s="27">
        <v>2490.25</v>
      </c>
      <c r="R339" s="27">
        <v>647.46500000000003</v>
      </c>
      <c r="S339" s="31">
        <v>1842.7849999999999</v>
      </c>
    </row>
    <row r="340" spans="1:19" x14ac:dyDescent="0.25">
      <c r="A340" s="20">
        <v>45680</v>
      </c>
      <c r="B340" s="15" t="s">
        <v>350</v>
      </c>
      <c r="C340" s="15">
        <v>57620</v>
      </c>
      <c r="D340" s="15" t="s">
        <v>17</v>
      </c>
      <c r="E340" s="15">
        <v>17</v>
      </c>
      <c r="F340" s="27">
        <v>56.33</v>
      </c>
      <c r="G340" s="15" t="s">
        <v>76</v>
      </c>
      <c r="H340" s="35">
        <v>0.44</v>
      </c>
      <c r="I340" s="15" t="s">
        <v>19</v>
      </c>
      <c r="J340" s="27">
        <v>14.12</v>
      </c>
      <c r="K340" s="15" t="s">
        <v>37</v>
      </c>
      <c r="L340" s="15" t="s">
        <v>31</v>
      </c>
      <c r="M340" s="15" t="s">
        <v>22</v>
      </c>
      <c r="N340" s="15" t="s">
        <v>53</v>
      </c>
      <c r="O340" s="15" t="s">
        <v>33</v>
      </c>
      <c r="P340" s="15" t="s">
        <v>34</v>
      </c>
      <c r="Q340" s="27">
        <v>957.61</v>
      </c>
      <c r="R340" s="27">
        <v>421.34840000000003</v>
      </c>
      <c r="S340" s="31">
        <v>536.26160000000004</v>
      </c>
    </row>
    <row r="341" spans="1:19" x14ac:dyDescent="0.25">
      <c r="A341" s="20">
        <v>45681</v>
      </c>
      <c r="B341" s="15" t="s">
        <v>351</v>
      </c>
      <c r="C341" s="15">
        <v>34059</v>
      </c>
      <c r="D341" s="15" t="s">
        <v>70</v>
      </c>
      <c r="E341" s="15">
        <v>27</v>
      </c>
      <c r="F341" s="27">
        <v>94.45</v>
      </c>
      <c r="G341" s="15" t="s">
        <v>99</v>
      </c>
      <c r="H341" s="35">
        <v>0.02</v>
      </c>
      <c r="I341" s="15" t="s">
        <v>734</v>
      </c>
      <c r="J341" s="27">
        <v>28.33</v>
      </c>
      <c r="K341" s="15" t="s">
        <v>44</v>
      </c>
      <c r="L341" s="15" t="s">
        <v>31</v>
      </c>
      <c r="M341" s="15" t="s">
        <v>22</v>
      </c>
      <c r="N341" s="15" t="s">
        <v>38</v>
      </c>
      <c r="O341" s="15" t="s">
        <v>33</v>
      </c>
      <c r="P341" s="15" t="s">
        <v>34</v>
      </c>
      <c r="Q341" s="27">
        <v>2550.15</v>
      </c>
      <c r="R341" s="27">
        <v>51.003</v>
      </c>
      <c r="S341" s="31">
        <v>2499.1469999999999</v>
      </c>
    </row>
    <row r="342" spans="1:19" x14ac:dyDescent="0.25">
      <c r="A342" s="20">
        <v>45681</v>
      </c>
      <c r="B342" s="15" t="s">
        <v>352</v>
      </c>
      <c r="C342" s="15">
        <v>15329</v>
      </c>
      <c r="D342" s="15" t="s">
        <v>42</v>
      </c>
      <c r="E342" s="15">
        <v>20</v>
      </c>
      <c r="F342" s="27">
        <v>48.63</v>
      </c>
      <c r="G342" s="15" t="s">
        <v>36</v>
      </c>
      <c r="H342" s="35">
        <v>0.24</v>
      </c>
      <c r="I342" s="15" t="s">
        <v>19</v>
      </c>
      <c r="J342" s="27">
        <v>5.72</v>
      </c>
      <c r="K342" s="15" t="s">
        <v>37</v>
      </c>
      <c r="L342" s="15" t="s">
        <v>21</v>
      </c>
      <c r="M342" s="15" t="s">
        <v>22</v>
      </c>
      <c r="N342" s="15" t="s">
        <v>53</v>
      </c>
      <c r="O342" s="15" t="s">
        <v>33</v>
      </c>
      <c r="P342" s="15" t="s">
        <v>40</v>
      </c>
      <c r="Q342" s="27">
        <v>972.6</v>
      </c>
      <c r="R342" s="27">
        <v>233.42400000000001</v>
      </c>
      <c r="S342" s="31">
        <v>739.17600000000004</v>
      </c>
    </row>
    <row r="343" spans="1:19" x14ac:dyDescent="0.25">
      <c r="A343" s="20">
        <v>45681</v>
      </c>
      <c r="B343" s="15" t="s">
        <v>353</v>
      </c>
      <c r="C343" s="15">
        <v>18886</v>
      </c>
      <c r="D343" s="15" t="s">
        <v>89</v>
      </c>
      <c r="E343" s="15">
        <v>40</v>
      </c>
      <c r="F343" s="27">
        <v>26.06</v>
      </c>
      <c r="G343" s="15" t="s">
        <v>28</v>
      </c>
      <c r="H343" s="35">
        <v>0.28000000000000003</v>
      </c>
      <c r="I343" s="15" t="s">
        <v>29</v>
      </c>
      <c r="J343" s="27">
        <v>27.62</v>
      </c>
      <c r="K343" s="15" t="s">
        <v>44</v>
      </c>
      <c r="L343" s="15" t="s">
        <v>21</v>
      </c>
      <c r="M343" s="15" t="s">
        <v>22</v>
      </c>
      <c r="N343" s="15" t="s">
        <v>53</v>
      </c>
      <c r="O343" s="15" t="s">
        <v>39</v>
      </c>
      <c r="P343" s="15" t="s">
        <v>25</v>
      </c>
      <c r="Q343" s="27">
        <v>1042.3999999999999</v>
      </c>
      <c r="R343" s="27">
        <v>291.87200000000001</v>
      </c>
      <c r="S343" s="31">
        <v>750.52799999999979</v>
      </c>
    </row>
    <row r="344" spans="1:19" x14ac:dyDescent="0.25">
      <c r="A344" s="20">
        <v>45681</v>
      </c>
      <c r="B344" s="15" t="s">
        <v>345</v>
      </c>
      <c r="C344" s="15">
        <v>72759</v>
      </c>
      <c r="D344" s="15" t="s">
        <v>57</v>
      </c>
      <c r="E344" s="15">
        <v>28</v>
      </c>
      <c r="F344" s="27">
        <v>20.440000000000001</v>
      </c>
      <c r="G344" s="15" t="s">
        <v>58</v>
      </c>
      <c r="H344" s="35">
        <v>0.32</v>
      </c>
      <c r="I344" s="15" t="s">
        <v>29</v>
      </c>
      <c r="J344" s="27">
        <v>14.3</v>
      </c>
      <c r="K344" s="15" t="s">
        <v>44</v>
      </c>
      <c r="L344" s="15" t="s">
        <v>31</v>
      </c>
      <c r="M344" s="15" t="s">
        <v>22</v>
      </c>
      <c r="N344" s="15" t="s">
        <v>32</v>
      </c>
      <c r="O344" s="15" t="s">
        <v>59</v>
      </c>
      <c r="P344" s="15" t="s">
        <v>34</v>
      </c>
      <c r="Q344" s="27">
        <v>572.32000000000005</v>
      </c>
      <c r="R344" s="27">
        <v>183.14240000000001</v>
      </c>
      <c r="S344" s="31">
        <v>389.17760000000004</v>
      </c>
    </row>
    <row r="345" spans="1:19" x14ac:dyDescent="0.25">
      <c r="A345" s="20">
        <v>45681</v>
      </c>
      <c r="B345" s="15" t="s">
        <v>354</v>
      </c>
      <c r="C345" s="15">
        <v>77971</v>
      </c>
      <c r="D345" s="15" t="s">
        <v>70</v>
      </c>
      <c r="E345" s="15">
        <v>43</v>
      </c>
      <c r="F345" s="27">
        <v>47.74</v>
      </c>
      <c r="G345" s="15" t="s">
        <v>52</v>
      </c>
      <c r="H345" s="35">
        <v>0.43</v>
      </c>
      <c r="I345" s="15" t="s">
        <v>29</v>
      </c>
      <c r="J345" s="27">
        <v>20.84</v>
      </c>
      <c r="K345" s="15" t="s">
        <v>44</v>
      </c>
      <c r="L345" s="15" t="s">
        <v>31</v>
      </c>
      <c r="M345" s="15" t="s">
        <v>22</v>
      </c>
      <c r="N345" s="15" t="s">
        <v>23</v>
      </c>
      <c r="O345" s="15" t="s">
        <v>59</v>
      </c>
      <c r="P345" s="15" t="s">
        <v>40</v>
      </c>
      <c r="Q345" s="27">
        <v>2052.8200000000002</v>
      </c>
      <c r="R345" s="27">
        <v>882.71260000000007</v>
      </c>
      <c r="S345" s="31">
        <v>1170.1074000000001</v>
      </c>
    </row>
    <row r="346" spans="1:19" x14ac:dyDescent="0.25">
      <c r="A346" s="20">
        <v>45681</v>
      </c>
      <c r="B346" s="15" t="s">
        <v>355</v>
      </c>
      <c r="C346" s="15">
        <v>43120</v>
      </c>
      <c r="D346" s="15" t="s">
        <v>57</v>
      </c>
      <c r="E346" s="15">
        <v>46</v>
      </c>
      <c r="F346" s="27">
        <v>38.770000000000003</v>
      </c>
      <c r="G346" s="15" t="s">
        <v>47</v>
      </c>
      <c r="H346" s="35">
        <v>0.09</v>
      </c>
      <c r="I346" s="15" t="s">
        <v>19</v>
      </c>
      <c r="J346" s="27">
        <v>21.97</v>
      </c>
      <c r="K346" s="15" t="s">
        <v>30</v>
      </c>
      <c r="L346" s="15" t="s">
        <v>21</v>
      </c>
      <c r="M346" s="15" t="s">
        <v>111</v>
      </c>
      <c r="N346" s="15" t="s">
        <v>38</v>
      </c>
      <c r="O346" s="15" t="s">
        <v>24</v>
      </c>
      <c r="P346" s="15" t="s">
        <v>25</v>
      </c>
      <c r="Q346" s="27">
        <v>1783.42</v>
      </c>
      <c r="R346" s="27">
        <v>160.5078</v>
      </c>
      <c r="S346" s="31">
        <v>1622.9122</v>
      </c>
    </row>
    <row r="347" spans="1:19" x14ac:dyDescent="0.25">
      <c r="A347" s="20">
        <v>45681</v>
      </c>
      <c r="B347" s="15" t="s">
        <v>356</v>
      </c>
      <c r="C347" s="15">
        <v>83268</v>
      </c>
      <c r="D347" s="15" t="s">
        <v>70</v>
      </c>
      <c r="E347" s="15">
        <v>12</v>
      </c>
      <c r="F347" s="27">
        <v>87.11</v>
      </c>
      <c r="G347" s="15" t="s">
        <v>99</v>
      </c>
      <c r="H347" s="35">
        <v>0.12</v>
      </c>
      <c r="I347" s="15" t="s">
        <v>734</v>
      </c>
      <c r="J347" s="27">
        <v>25.86</v>
      </c>
      <c r="K347" s="15" t="s">
        <v>30</v>
      </c>
      <c r="L347" s="15" t="s">
        <v>31</v>
      </c>
      <c r="M347" s="15" t="s">
        <v>22</v>
      </c>
      <c r="N347" s="15" t="s">
        <v>53</v>
      </c>
      <c r="O347" s="15" t="s">
        <v>33</v>
      </c>
      <c r="P347" s="15" t="s">
        <v>25</v>
      </c>
      <c r="Q347" s="27">
        <v>1045.32</v>
      </c>
      <c r="R347" s="27">
        <v>125.43839999999999</v>
      </c>
      <c r="S347" s="31">
        <v>919.88159999999993</v>
      </c>
    </row>
    <row r="348" spans="1:19" x14ac:dyDescent="0.25">
      <c r="A348" s="20">
        <v>45681</v>
      </c>
      <c r="B348" s="15" t="s">
        <v>357</v>
      </c>
      <c r="C348" s="15">
        <v>18167</v>
      </c>
      <c r="D348" s="15" t="s">
        <v>57</v>
      </c>
      <c r="E348" s="15">
        <v>5</v>
      </c>
      <c r="F348" s="27">
        <v>58.6</v>
      </c>
      <c r="G348" s="15" t="s">
        <v>18</v>
      </c>
      <c r="H348" s="35">
        <v>0.02</v>
      </c>
      <c r="I348" s="15" t="s">
        <v>29</v>
      </c>
      <c r="J348" s="27">
        <v>7.25</v>
      </c>
      <c r="K348" s="15" t="s">
        <v>30</v>
      </c>
      <c r="L348" s="15" t="s">
        <v>21</v>
      </c>
      <c r="M348" s="15" t="s">
        <v>111</v>
      </c>
      <c r="N348" s="15" t="s">
        <v>23</v>
      </c>
      <c r="O348" s="15" t="s">
        <v>33</v>
      </c>
      <c r="P348" s="15" t="s">
        <v>34</v>
      </c>
      <c r="Q348" s="27">
        <v>293</v>
      </c>
      <c r="R348" s="27">
        <v>5.86</v>
      </c>
      <c r="S348" s="31">
        <v>287.14</v>
      </c>
    </row>
    <row r="349" spans="1:19" x14ac:dyDescent="0.25">
      <c r="A349" s="20">
        <v>45681</v>
      </c>
      <c r="B349" s="15" t="s">
        <v>358</v>
      </c>
      <c r="C349" s="15">
        <v>17667</v>
      </c>
      <c r="D349" s="15" t="s">
        <v>66</v>
      </c>
      <c r="E349" s="15">
        <v>24</v>
      </c>
      <c r="F349" s="27">
        <v>74.239999999999995</v>
      </c>
      <c r="G349" s="15" t="s">
        <v>99</v>
      </c>
      <c r="H349" s="35">
        <v>0.4</v>
      </c>
      <c r="I349" s="15" t="s">
        <v>29</v>
      </c>
      <c r="J349" s="27">
        <v>25.33</v>
      </c>
      <c r="K349" s="15" t="s">
        <v>30</v>
      </c>
      <c r="L349" s="15" t="s">
        <v>31</v>
      </c>
      <c r="M349" s="15" t="s">
        <v>22</v>
      </c>
      <c r="N349" s="15" t="s">
        <v>23</v>
      </c>
      <c r="O349" s="15" t="s">
        <v>59</v>
      </c>
      <c r="P349" s="15" t="s">
        <v>34</v>
      </c>
      <c r="Q349" s="27">
        <v>1781.7599999999998</v>
      </c>
      <c r="R349" s="27">
        <v>712.70399999999995</v>
      </c>
      <c r="S349" s="31">
        <v>1069.0559999999998</v>
      </c>
    </row>
    <row r="350" spans="1:19" x14ac:dyDescent="0.25">
      <c r="A350" s="20">
        <v>45681</v>
      </c>
      <c r="B350" s="15" t="s">
        <v>359</v>
      </c>
      <c r="C350" s="15">
        <v>70710</v>
      </c>
      <c r="D350" s="15" t="s">
        <v>75</v>
      </c>
      <c r="E350" s="15">
        <v>31</v>
      </c>
      <c r="F350" s="27">
        <v>65.989999999999995</v>
      </c>
      <c r="G350" s="15" t="s">
        <v>99</v>
      </c>
      <c r="H350" s="35">
        <v>0.26</v>
      </c>
      <c r="I350" s="15" t="s">
        <v>29</v>
      </c>
      <c r="J350" s="27">
        <v>29.92</v>
      </c>
      <c r="K350" s="15" t="s">
        <v>20</v>
      </c>
      <c r="L350" s="15" t="s">
        <v>21</v>
      </c>
      <c r="M350" s="15" t="s">
        <v>22</v>
      </c>
      <c r="N350" s="15" t="s">
        <v>23</v>
      </c>
      <c r="O350" s="15" t="s">
        <v>24</v>
      </c>
      <c r="P350" s="15" t="s">
        <v>34</v>
      </c>
      <c r="Q350" s="27">
        <v>2045.6899999999998</v>
      </c>
      <c r="R350" s="27">
        <v>531.87939999999992</v>
      </c>
      <c r="S350" s="31">
        <v>1513.8105999999998</v>
      </c>
    </row>
    <row r="351" spans="1:19" x14ac:dyDescent="0.25">
      <c r="A351" s="20">
        <v>45681</v>
      </c>
      <c r="B351" s="15" t="s">
        <v>360</v>
      </c>
      <c r="C351" s="15">
        <v>53907</v>
      </c>
      <c r="D351" s="15" t="s">
        <v>57</v>
      </c>
      <c r="E351" s="15">
        <v>32</v>
      </c>
      <c r="F351" s="27">
        <v>44.47</v>
      </c>
      <c r="G351" s="15" t="s">
        <v>52</v>
      </c>
      <c r="H351" s="35">
        <v>0.42</v>
      </c>
      <c r="I351" s="15" t="s">
        <v>734</v>
      </c>
      <c r="J351" s="27">
        <v>29.77</v>
      </c>
      <c r="K351" s="15" t="s">
        <v>37</v>
      </c>
      <c r="L351" s="15" t="s">
        <v>31</v>
      </c>
      <c r="M351" s="15" t="s">
        <v>22</v>
      </c>
      <c r="N351" s="15" t="s">
        <v>38</v>
      </c>
      <c r="O351" s="15" t="s">
        <v>33</v>
      </c>
      <c r="P351" s="15" t="s">
        <v>25</v>
      </c>
      <c r="Q351" s="27">
        <v>1423.04</v>
      </c>
      <c r="R351" s="27">
        <v>597.67679999999996</v>
      </c>
      <c r="S351" s="31">
        <v>825.36320000000001</v>
      </c>
    </row>
    <row r="352" spans="1:19" x14ac:dyDescent="0.25">
      <c r="A352" s="20">
        <v>45681</v>
      </c>
      <c r="B352" s="15" t="s">
        <v>119</v>
      </c>
      <c r="C352" s="15">
        <v>25987</v>
      </c>
      <c r="D352" s="15" t="s">
        <v>46</v>
      </c>
      <c r="E352" s="15">
        <v>17</v>
      </c>
      <c r="F352" s="27">
        <v>76.8</v>
      </c>
      <c r="G352" s="15" t="s">
        <v>58</v>
      </c>
      <c r="H352" s="35">
        <v>0.4</v>
      </c>
      <c r="I352" s="15" t="s">
        <v>734</v>
      </c>
      <c r="J352" s="27">
        <v>17.2</v>
      </c>
      <c r="K352" s="15" t="s">
        <v>30</v>
      </c>
      <c r="L352" s="15" t="s">
        <v>21</v>
      </c>
      <c r="M352" s="15" t="s">
        <v>22</v>
      </c>
      <c r="N352" s="15" t="s">
        <v>32</v>
      </c>
      <c r="O352" s="15" t="s">
        <v>33</v>
      </c>
      <c r="P352" s="15" t="s">
        <v>40</v>
      </c>
      <c r="Q352" s="27">
        <v>1305.5999999999999</v>
      </c>
      <c r="R352" s="27">
        <v>522.24</v>
      </c>
      <c r="S352" s="31">
        <v>783.3599999999999</v>
      </c>
    </row>
    <row r="353" spans="1:19" x14ac:dyDescent="0.25">
      <c r="A353" s="20">
        <v>45681</v>
      </c>
      <c r="B353" s="15" t="s">
        <v>361</v>
      </c>
      <c r="C353" s="15">
        <v>30860</v>
      </c>
      <c r="D353" s="15" t="s">
        <v>46</v>
      </c>
      <c r="E353" s="15">
        <v>49</v>
      </c>
      <c r="F353" s="27">
        <v>21.93</v>
      </c>
      <c r="G353" s="15" t="s">
        <v>55</v>
      </c>
      <c r="H353" s="35">
        <v>0.04</v>
      </c>
      <c r="I353" s="15" t="s">
        <v>29</v>
      </c>
      <c r="J353" s="27">
        <v>27.88</v>
      </c>
      <c r="K353" s="15" t="s">
        <v>50</v>
      </c>
      <c r="L353" s="15" t="s">
        <v>31</v>
      </c>
      <c r="M353" s="15" t="s">
        <v>22</v>
      </c>
      <c r="N353" s="15" t="s">
        <v>23</v>
      </c>
      <c r="O353" s="15" t="s">
        <v>81</v>
      </c>
      <c r="P353" s="15" t="s">
        <v>40</v>
      </c>
      <c r="Q353" s="27">
        <v>1074.57</v>
      </c>
      <c r="R353" s="27">
        <v>42.982799999999997</v>
      </c>
      <c r="S353" s="31">
        <v>1031.5871999999999</v>
      </c>
    </row>
    <row r="354" spans="1:19" x14ac:dyDescent="0.25">
      <c r="A354" s="20">
        <v>45681</v>
      </c>
      <c r="B354" s="15" t="s">
        <v>320</v>
      </c>
      <c r="C354" s="15">
        <v>87090</v>
      </c>
      <c r="D354" s="15" t="s">
        <v>70</v>
      </c>
      <c r="E354" s="15">
        <v>45</v>
      </c>
      <c r="F354" s="27">
        <v>47.57</v>
      </c>
      <c r="G354" s="15" t="s">
        <v>99</v>
      </c>
      <c r="H354" s="35">
        <v>0.03</v>
      </c>
      <c r="I354" s="15" t="s">
        <v>734</v>
      </c>
      <c r="J354" s="27">
        <v>17.059999999999999</v>
      </c>
      <c r="K354" s="15" t="s">
        <v>37</v>
      </c>
      <c r="L354" s="15" t="s">
        <v>21</v>
      </c>
      <c r="M354" s="15" t="s">
        <v>22</v>
      </c>
      <c r="N354" s="15" t="s">
        <v>53</v>
      </c>
      <c r="O354" s="15" t="s">
        <v>59</v>
      </c>
      <c r="P354" s="15" t="s">
        <v>25</v>
      </c>
      <c r="Q354" s="27">
        <v>2140.65</v>
      </c>
      <c r="R354" s="27">
        <v>64.219499999999996</v>
      </c>
      <c r="S354" s="31">
        <v>2076.4304999999999</v>
      </c>
    </row>
    <row r="355" spans="1:19" x14ac:dyDescent="0.25">
      <c r="A355" s="20">
        <v>45681</v>
      </c>
      <c r="B355" s="15" t="s">
        <v>362</v>
      </c>
      <c r="C355" s="15">
        <v>99998</v>
      </c>
      <c r="D355" s="15" t="s">
        <v>68</v>
      </c>
      <c r="E355" s="15">
        <v>43</v>
      </c>
      <c r="F355" s="27">
        <v>41.29</v>
      </c>
      <c r="G355" s="15" t="s">
        <v>28</v>
      </c>
      <c r="H355" s="35">
        <v>0.38</v>
      </c>
      <c r="I355" s="15" t="s">
        <v>29</v>
      </c>
      <c r="J355" s="27">
        <v>8.27</v>
      </c>
      <c r="K355" s="15" t="s">
        <v>50</v>
      </c>
      <c r="L355" s="15" t="s">
        <v>31</v>
      </c>
      <c r="M355" s="15" t="s">
        <v>111</v>
      </c>
      <c r="N355" s="15" t="s">
        <v>32</v>
      </c>
      <c r="O355" s="15" t="s">
        <v>81</v>
      </c>
      <c r="P355" s="15" t="s">
        <v>40</v>
      </c>
      <c r="Q355" s="27">
        <v>1775.47</v>
      </c>
      <c r="R355" s="27">
        <v>674.67860000000007</v>
      </c>
      <c r="S355" s="31">
        <v>1100.7914000000001</v>
      </c>
    </row>
    <row r="356" spans="1:19" x14ac:dyDescent="0.25">
      <c r="A356" s="20">
        <v>45681</v>
      </c>
      <c r="B356" s="15" t="s">
        <v>363</v>
      </c>
      <c r="C356" s="15">
        <v>65775</v>
      </c>
      <c r="D356" s="15" t="s">
        <v>49</v>
      </c>
      <c r="E356" s="15">
        <v>22</v>
      </c>
      <c r="F356" s="27">
        <v>30.83</v>
      </c>
      <c r="G356" s="15" t="s">
        <v>72</v>
      </c>
      <c r="H356" s="35">
        <v>0.5</v>
      </c>
      <c r="I356" s="15" t="s">
        <v>29</v>
      </c>
      <c r="J356" s="27">
        <v>21.14</v>
      </c>
      <c r="K356" s="15" t="s">
        <v>44</v>
      </c>
      <c r="L356" s="15" t="s">
        <v>21</v>
      </c>
      <c r="M356" s="15" t="s">
        <v>22</v>
      </c>
      <c r="N356" s="15" t="s">
        <v>23</v>
      </c>
      <c r="O356" s="15" t="s">
        <v>39</v>
      </c>
      <c r="P356" s="15" t="s">
        <v>40</v>
      </c>
      <c r="Q356" s="27">
        <v>678.26</v>
      </c>
      <c r="R356" s="27">
        <v>339.13</v>
      </c>
      <c r="S356" s="31">
        <v>339.13</v>
      </c>
    </row>
    <row r="357" spans="1:19" x14ac:dyDescent="0.25">
      <c r="A357" s="20">
        <v>45681</v>
      </c>
      <c r="B357" s="15" t="s">
        <v>165</v>
      </c>
      <c r="C357" s="15">
        <v>93413</v>
      </c>
      <c r="D357" s="15" t="s">
        <v>68</v>
      </c>
      <c r="E357" s="15">
        <v>31</v>
      </c>
      <c r="F357" s="27">
        <v>43.34</v>
      </c>
      <c r="G357" s="15" t="s">
        <v>43</v>
      </c>
      <c r="H357" s="35">
        <v>0.23</v>
      </c>
      <c r="I357" s="15" t="s">
        <v>29</v>
      </c>
      <c r="J357" s="27">
        <v>13.42</v>
      </c>
      <c r="K357" s="15" t="s">
        <v>50</v>
      </c>
      <c r="L357" s="15" t="s">
        <v>21</v>
      </c>
      <c r="M357" s="15" t="s">
        <v>735</v>
      </c>
      <c r="N357" s="15" t="s">
        <v>53</v>
      </c>
      <c r="O357" s="15" t="s">
        <v>24</v>
      </c>
      <c r="P357" s="15" t="s">
        <v>34</v>
      </c>
      <c r="Q357" s="27">
        <v>1343.5400000000002</v>
      </c>
      <c r="R357" s="27">
        <v>309.01420000000007</v>
      </c>
      <c r="S357" s="31">
        <v>1034.5258000000001</v>
      </c>
    </row>
    <row r="358" spans="1:19" x14ac:dyDescent="0.25">
      <c r="A358" s="20">
        <v>45681</v>
      </c>
      <c r="B358" s="15" t="s">
        <v>364</v>
      </c>
      <c r="C358" s="15">
        <v>22456</v>
      </c>
      <c r="D358" s="15" t="s">
        <v>89</v>
      </c>
      <c r="E358" s="15">
        <v>47</v>
      </c>
      <c r="F358" s="27">
        <v>58.01</v>
      </c>
      <c r="G358" s="15" t="s">
        <v>47</v>
      </c>
      <c r="H358" s="35">
        <v>0.38</v>
      </c>
      <c r="I358" s="15" t="s">
        <v>29</v>
      </c>
      <c r="J358" s="27">
        <v>12.98</v>
      </c>
      <c r="K358" s="15" t="s">
        <v>20</v>
      </c>
      <c r="L358" s="15" t="s">
        <v>21</v>
      </c>
      <c r="M358" s="15" t="s">
        <v>22</v>
      </c>
      <c r="N358" s="15" t="s">
        <v>32</v>
      </c>
      <c r="O358" s="15" t="s">
        <v>24</v>
      </c>
      <c r="P358" s="15" t="s">
        <v>34</v>
      </c>
      <c r="Q358" s="27">
        <v>2726.47</v>
      </c>
      <c r="R358" s="27">
        <v>1036.0585999999998</v>
      </c>
      <c r="S358" s="31">
        <v>1690.4114</v>
      </c>
    </row>
    <row r="359" spans="1:19" x14ac:dyDescent="0.25">
      <c r="A359" s="20">
        <v>45682</v>
      </c>
      <c r="B359" s="15" t="s">
        <v>365</v>
      </c>
      <c r="C359" s="15">
        <v>85632</v>
      </c>
      <c r="D359" s="15" t="s">
        <v>17</v>
      </c>
      <c r="E359" s="15">
        <v>38</v>
      </c>
      <c r="F359" s="27">
        <v>53</v>
      </c>
      <c r="G359" s="15" t="s">
        <v>52</v>
      </c>
      <c r="H359" s="35">
        <v>0.19</v>
      </c>
      <c r="I359" s="15" t="s">
        <v>734</v>
      </c>
      <c r="J359" s="27">
        <v>28.05</v>
      </c>
      <c r="K359" s="15" t="s">
        <v>37</v>
      </c>
      <c r="L359" s="15" t="s">
        <v>31</v>
      </c>
      <c r="M359" s="15" t="s">
        <v>22</v>
      </c>
      <c r="N359" s="15" t="s">
        <v>23</v>
      </c>
      <c r="O359" s="15" t="s">
        <v>24</v>
      </c>
      <c r="P359" s="15" t="s">
        <v>34</v>
      </c>
      <c r="Q359" s="27">
        <v>2014</v>
      </c>
      <c r="R359" s="27">
        <v>382.66</v>
      </c>
      <c r="S359" s="31">
        <v>1631.34</v>
      </c>
    </row>
    <row r="360" spans="1:19" x14ac:dyDescent="0.25">
      <c r="A360" s="20">
        <v>45682</v>
      </c>
      <c r="B360" s="15" t="s">
        <v>366</v>
      </c>
      <c r="C360" s="15">
        <v>75293</v>
      </c>
      <c r="D360" s="15" t="s">
        <v>42</v>
      </c>
      <c r="E360" s="15">
        <v>33</v>
      </c>
      <c r="F360" s="27">
        <v>31.32</v>
      </c>
      <c r="G360" s="15" t="s">
        <v>52</v>
      </c>
      <c r="H360" s="35">
        <v>0.18</v>
      </c>
      <c r="I360" s="15" t="s">
        <v>19</v>
      </c>
      <c r="J360" s="27">
        <v>9.6199999999999992</v>
      </c>
      <c r="K360" s="15" t="s">
        <v>20</v>
      </c>
      <c r="L360" s="15" t="s">
        <v>21</v>
      </c>
      <c r="M360" s="15" t="s">
        <v>22</v>
      </c>
      <c r="N360" s="15" t="s">
        <v>38</v>
      </c>
      <c r="O360" s="15" t="s">
        <v>33</v>
      </c>
      <c r="P360" s="15" t="s">
        <v>40</v>
      </c>
      <c r="Q360" s="27">
        <v>1033.56</v>
      </c>
      <c r="R360" s="27">
        <v>186.04079999999999</v>
      </c>
      <c r="S360" s="31">
        <v>847.51919999999996</v>
      </c>
    </row>
    <row r="361" spans="1:19" x14ac:dyDescent="0.25">
      <c r="A361" s="20">
        <v>45682</v>
      </c>
      <c r="B361" s="15" t="s">
        <v>367</v>
      </c>
      <c r="C361" s="15">
        <v>82797</v>
      </c>
      <c r="D361" s="15" t="s">
        <v>75</v>
      </c>
      <c r="E361" s="15">
        <v>44</v>
      </c>
      <c r="F361" s="27">
        <v>3.73</v>
      </c>
      <c r="G361" s="15" t="s">
        <v>55</v>
      </c>
      <c r="H361" s="35">
        <v>0.37</v>
      </c>
      <c r="I361" s="15" t="s">
        <v>19</v>
      </c>
      <c r="J361" s="27">
        <v>20.27</v>
      </c>
      <c r="K361" s="15" t="s">
        <v>44</v>
      </c>
      <c r="L361" s="15" t="s">
        <v>21</v>
      </c>
      <c r="M361" s="15" t="s">
        <v>22</v>
      </c>
      <c r="N361" s="15" t="s">
        <v>38</v>
      </c>
      <c r="O361" s="15" t="s">
        <v>39</v>
      </c>
      <c r="P361" s="15" t="s">
        <v>34</v>
      </c>
      <c r="Q361" s="27">
        <v>164.12</v>
      </c>
      <c r="R361" s="27">
        <v>60.724400000000003</v>
      </c>
      <c r="S361" s="31">
        <v>103.3956</v>
      </c>
    </row>
    <row r="362" spans="1:19" x14ac:dyDescent="0.25">
      <c r="A362" s="20">
        <v>45682</v>
      </c>
      <c r="B362" s="15" t="s">
        <v>368</v>
      </c>
      <c r="C362" s="15">
        <v>47898</v>
      </c>
      <c r="D362" s="15" t="s">
        <v>57</v>
      </c>
      <c r="E362" s="15">
        <v>13</v>
      </c>
      <c r="F362" s="27">
        <v>61.67</v>
      </c>
      <c r="G362" s="15" t="s">
        <v>84</v>
      </c>
      <c r="H362" s="35">
        <v>0.25</v>
      </c>
      <c r="I362" s="15" t="s">
        <v>19</v>
      </c>
      <c r="J362" s="27">
        <v>27.79</v>
      </c>
      <c r="K362" s="15" t="s">
        <v>30</v>
      </c>
      <c r="L362" s="15" t="s">
        <v>31</v>
      </c>
      <c r="M362" s="15" t="s">
        <v>22</v>
      </c>
      <c r="N362" s="15" t="s">
        <v>23</v>
      </c>
      <c r="O362" s="15" t="s">
        <v>33</v>
      </c>
      <c r="P362" s="15" t="s">
        <v>40</v>
      </c>
      <c r="Q362" s="27">
        <v>801.71</v>
      </c>
      <c r="R362" s="27">
        <v>200.42750000000001</v>
      </c>
      <c r="S362" s="31">
        <v>601.28250000000003</v>
      </c>
    </row>
    <row r="363" spans="1:19" x14ac:dyDescent="0.25">
      <c r="A363" s="20">
        <v>45682</v>
      </c>
      <c r="B363" s="15" t="s">
        <v>369</v>
      </c>
      <c r="C363" s="15">
        <v>69473</v>
      </c>
      <c r="D363" s="15" t="s">
        <v>17</v>
      </c>
      <c r="E363" s="15">
        <v>49</v>
      </c>
      <c r="F363" s="27">
        <v>18.239999999999998</v>
      </c>
      <c r="G363" s="15" t="s">
        <v>47</v>
      </c>
      <c r="H363" s="35">
        <v>0.25</v>
      </c>
      <c r="I363" s="15" t="s">
        <v>29</v>
      </c>
      <c r="J363" s="27">
        <v>16.45</v>
      </c>
      <c r="K363" s="15" t="s">
        <v>44</v>
      </c>
      <c r="L363" s="15" t="s">
        <v>21</v>
      </c>
      <c r="M363" s="15" t="s">
        <v>22</v>
      </c>
      <c r="N363" s="15" t="s">
        <v>53</v>
      </c>
      <c r="O363" s="15" t="s">
        <v>39</v>
      </c>
      <c r="P363" s="15" t="s">
        <v>40</v>
      </c>
      <c r="Q363" s="27">
        <v>893.75999999999988</v>
      </c>
      <c r="R363" s="27">
        <v>223.43999999999997</v>
      </c>
      <c r="S363" s="31">
        <v>670.31999999999994</v>
      </c>
    </row>
    <row r="364" spans="1:19" x14ac:dyDescent="0.25">
      <c r="A364" s="20">
        <v>45682</v>
      </c>
      <c r="B364" s="15" t="s">
        <v>370</v>
      </c>
      <c r="C364" s="15">
        <v>12567</v>
      </c>
      <c r="D364" s="15" t="s">
        <v>75</v>
      </c>
      <c r="E364" s="15">
        <v>33</v>
      </c>
      <c r="F364" s="27">
        <v>69.319999999999993</v>
      </c>
      <c r="G364" s="15" t="s">
        <v>72</v>
      </c>
      <c r="H364" s="35">
        <v>0.06</v>
      </c>
      <c r="I364" s="15" t="s">
        <v>19</v>
      </c>
      <c r="J364" s="27">
        <v>15.16</v>
      </c>
      <c r="K364" s="15" t="s">
        <v>44</v>
      </c>
      <c r="L364" s="15" t="s">
        <v>31</v>
      </c>
      <c r="M364" s="15" t="s">
        <v>22</v>
      </c>
      <c r="N364" s="15" t="s">
        <v>32</v>
      </c>
      <c r="O364" s="15" t="s">
        <v>59</v>
      </c>
      <c r="P364" s="15" t="s">
        <v>34</v>
      </c>
      <c r="Q364" s="27">
        <v>2287.56</v>
      </c>
      <c r="R364" s="27">
        <v>137.25360000000001</v>
      </c>
      <c r="S364" s="31">
        <v>2150.3063999999999</v>
      </c>
    </row>
    <row r="365" spans="1:19" x14ac:dyDescent="0.25">
      <c r="A365" s="20">
        <v>45682</v>
      </c>
      <c r="B365" s="15" t="s">
        <v>371</v>
      </c>
      <c r="C365" s="15">
        <v>25039</v>
      </c>
      <c r="D365" s="15" t="s">
        <v>68</v>
      </c>
      <c r="E365" s="15">
        <v>29</v>
      </c>
      <c r="F365" s="27">
        <v>50.6</v>
      </c>
      <c r="G365" s="15" t="s">
        <v>99</v>
      </c>
      <c r="H365" s="35">
        <v>0.11</v>
      </c>
      <c r="I365" s="15" t="s">
        <v>19</v>
      </c>
      <c r="J365" s="27">
        <v>21.27</v>
      </c>
      <c r="K365" s="15" t="s">
        <v>30</v>
      </c>
      <c r="L365" s="15" t="s">
        <v>31</v>
      </c>
      <c r="M365" s="15" t="s">
        <v>111</v>
      </c>
      <c r="N365" s="15" t="s">
        <v>38</v>
      </c>
      <c r="O365" s="15" t="s">
        <v>39</v>
      </c>
      <c r="P365" s="15" t="s">
        <v>25</v>
      </c>
      <c r="Q365" s="27">
        <v>1467.4</v>
      </c>
      <c r="R365" s="27">
        <v>161.41400000000002</v>
      </c>
      <c r="S365" s="31">
        <v>1305.9860000000001</v>
      </c>
    </row>
    <row r="366" spans="1:19" x14ac:dyDescent="0.25">
      <c r="A366" s="20">
        <v>45682</v>
      </c>
      <c r="B366" s="15" t="s">
        <v>372</v>
      </c>
      <c r="C366" s="15">
        <v>22793</v>
      </c>
      <c r="D366" s="15" t="s">
        <v>75</v>
      </c>
      <c r="E366" s="15">
        <v>10</v>
      </c>
      <c r="F366" s="27">
        <v>11.15</v>
      </c>
      <c r="G366" s="15" t="s">
        <v>58</v>
      </c>
      <c r="H366" s="35">
        <v>0.36</v>
      </c>
      <c r="I366" s="15" t="s">
        <v>734</v>
      </c>
      <c r="J366" s="27">
        <v>22.78</v>
      </c>
      <c r="K366" s="15" t="s">
        <v>37</v>
      </c>
      <c r="L366" s="15" t="s">
        <v>31</v>
      </c>
      <c r="M366" s="15" t="s">
        <v>22</v>
      </c>
      <c r="N366" s="15" t="s">
        <v>32</v>
      </c>
      <c r="O366" s="15" t="s">
        <v>59</v>
      </c>
      <c r="P366" s="15" t="s">
        <v>25</v>
      </c>
      <c r="Q366" s="27">
        <v>111.5</v>
      </c>
      <c r="R366" s="27">
        <v>40.14</v>
      </c>
      <c r="S366" s="31">
        <v>71.36</v>
      </c>
    </row>
    <row r="367" spans="1:19" x14ac:dyDescent="0.25">
      <c r="A367" s="20">
        <v>45682</v>
      </c>
      <c r="B367" s="15" t="s">
        <v>373</v>
      </c>
      <c r="C367" s="15">
        <v>43678</v>
      </c>
      <c r="D367" s="15" t="s">
        <v>49</v>
      </c>
      <c r="E367" s="15">
        <v>11</v>
      </c>
      <c r="F367" s="27">
        <v>53.06</v>
      </c>
      <c r="G367" s="15" t="s">
        <v>47</v>
      </c>
      <c r="H367" s="35">
        <v>0.5</v>
      </c>
      <c r="I367" s="15" t="s">
        <v>19</v>
      </c>
      <c r="J367" s="27">
        <v>13.67</v>
      </c>
      <c r="K367" s="15" t="s">
        <v>30</v>
      </c>
      <c r="L367" s="15" t="s">
        <v>31</v>
      </c>
      <c r="M367" s="15" t="s">
        <v>22</v>
      </c>
      <c r="N367" s="15" t="s">
        <v>38</v>
      </c>
      <c r="O367" s="15" t="s">
        <v>81</v>
      </c>
      <c r="P367" s="15" t="s">
        <v>40</v>
      </c>
      <c r="Q367" s="27">
        <v>583.66000000000008</v>
      </c>
      <c r="R367" s="27">
        <v>291.83000000000004</v>
      </c>
      <c r="S367" s="31">
        <v>291.83000000000004</v>
      </c>
    </row>
    <row r="368" spans="1:19" x14ac:dyDescent="0.25">
      <c r="A368" s="20">
        <v>45682</v>
      </c>
      <c r="B368" s="15" t="s">
        <v>374</v>
      </c>
      <c r="C368" s="15">
        <v>81582</v>
      </c>
      <c r="D368" s="15" t="s">
        <v>70</v>
      </c>
      <c r="E368" s="15">
        <v>48</v>
      </c>
      <c r="F368" s="27">
        <v>53.97</v>
      </c>
      <c r="G368" s="15" t="s">
        <v>99</v>
      </c>
      <c r="H368" s="35">
        <v>0.41</v>
      </c>
      <c r="I368" s="15" t="s">
        <v>19</v>
      </c>
      <c r="J368" s="27">
        <v>13.17</v>
      </c>
      <c r="K368" s="15" t="s">
        <v>50</v>
      </c>
      <c r="L368" s="15" t="s">
        <v>31</v>
      </c>
      <c r="M368" s="15" t="s">
        <v>22</v>
      </c>
      <c r="N368" s="15" t="s">
        <v>53</v>
      </c>
      <c r="O368" s="15" t="s">
        <v>33</v>
      </c>
      <c r="P368" s="15" t="s">
        <v>40</v>
      </c>
      <c r="Q368" s="27">
        <v>2590.56</v>
      </c>
      <c r="R368" s="27">
        <v>1062.1296</v>
      </c>
      <c r="S368" s="31">
        <v>1528.4304</v>
      </c>
    </row>
    <row r="369" spans="1:19" x14ac:dyDescent="0.25">
      <c r="A369" s="20">
        <v>45682</v>
      </c>
      <c r="B369" s="15" t="s">
        <v>375</v>
      </c>
      <c r="C369" s="15">
        <v>19913</v>
      </c>
      <c r="D369" s="15" t="s">
        <v>75</v>
      </c>
      <c r="E369" s="15">
        <v>2</v>
      </c>
      <c r="F369" s="27">
        <v>53.14</v>
      </c>
      <c r="G369" s="15" t="s">
        <v>47</v>
      </c>
      <c r="H369" s="35">
        <v>0.47</v>
      </c>
      <c r="I369" s="15" t="s">
        <v>734</v>
      </c>
      <c r="J369" s="27">
        <v>13.99</v>
      </c>
      <c r="K369" s="15" t="s">
        <v>37</v>
      </c>
      <c r="L369" s="15" t="s">
        <v>31</v>
      </c>
      <c r="M369" s="15" t="s">
        <v>22</v>
      </c>
      <c r="N369" s="15" t="s">
        <v>32</v>
      </c>
      <c r="O369" s="15" t="s">
        <v>59</v>
      </c>
      <c r="P369" s="15" t="s">
        <v>25</v>
      </c>
      <c r="Q369" s="27">
        <v>106.28</v>
      </c>
      <c r="R369" s="27">
        <v>49.951599999999999</v>
      </c>
      <c r="S369" s="31">
        <v>56.328400000000002</v>
      </c>
    </row>
    <row r="370" spans="1:19" x14ac:dyDescent="0.25">
      <c r="A370" s="20">
        <v>45682</v>
      </c>
      <c r="B370" s="15" t="s">
        <v>271</v>
      </c>
      <c r="C370" s="15">
        <v>41738</v>
      </c>
      <c r="D370" s="15" t="s">
        <v>49</v>
      </c>
      <c r="E370" s="15">
        <v>13</v>
      </c>
      <c r="F370" s="27">
        <v>72.45</v>
      </c>
      <c r="G370" s="15" t="s">
        <v>52</v>
      </c>
      <c r="H370" s="35">
        <v>0.32</v>
      </c>
      <c r="I370" s="15" t="s">
        <v>29</v>
      </c>
      <c r="J370" s="27">
        <v>8.0500000000000007</v>
      </c>
      <c r="K370" s="15" t="s">
        <v>37</v>
      </c>
      <c r="L370" s="15" t="s">
        <v>31</v>
      </c>
      <c r="M370" s="15" t="s">
        <v>111</v>
      </c>
      <c r="N370" s="15" t="s">
        <v>53</v>
      </c>
      <c r="O370" s="15" t="s">
        <v>39</v>
      </c>
      <c r="P370" s="15" t="s">
        <v>25</v>
      </c>
      <c r="Q370" s="27">
        <v>941.85</v>
      </c>
      <c r="R370" s="27">
        <v>301.392</v>
      </c>
      <c r="S370" s="31">
        <v>640.45800000000008</v>
      </c>
    </row>
    <row r="371" spans="1:19" x14ac:dyDescent="0.25">
      <c r="A371" s="20">
        <v>45682</v>
      </c>
      <c r="B371" s="15" t="s">
        <v>368</v>
      </c>
      <c r="C371" s="15">
        <v>85232</v>
      </c>
      <c r="D371" s="15" t="s">
        <v>70</v>
      </c>
      <c r="E371" s="15">
        <v>15</v>
      </c>
      <c r="F371" s="27">
        <v>51.51</v>
      </c>
      <c r="G371" s="15" t="s">
        <v>84</v>
      </c>
      <c r="H371" s="35">
        <v>0.42</v>
      </c>
      <c r="I371" s="15" t="s">
        <v>19</v>
      </c>
      <c r="J371" s="27">
        <v>16.39</v>
      </c>
      <c r="K371" s="15" t="s">
        <v>30</v>
      </c>
      <c r="L371" s="15" t="s">
        <v>31</v>
      </c>
      <c r="M371" s="15" t="s">
        <v>22</v>
      </c>
      <c r="N371" s="15" t="s">
        <v>23</v>
      </c>
      <c r="O371" s="15" t="s">
        <v>33</v>
      </c>
      <c r="P371" s="15" t="s">
        <v>25</v>
      </c>
      <c r="Q371" s="27">
        <v>772.65</v>
      </c>
      <c r="R371" s="27">
        <v>324.51299999999998</v>
      </c>
      <c r="S371" s="31">
        <v>448.137</v>
      </c>
    </row>
    <row r="372" spans="1:19" x14ac:dyDescent="0.25">
      <c r="A372" s="20">
        <v>45682</v>
      </c>
      <c r="B372" s="15" t="s">
        <v>376</v>
      </c>
      <c r="C372" s="15">
        <v>50399</v>
      </c>
      <c r="D372" s="15" t="s">
        <v>27</v>
      </c>
      <c r="E372" s="15">
        <v>46</v>
      </c>
      <c r="F372" s="27">
        <v>4.9800000000000004</v>
      </c>
      <c r="G372" s="15" t="s">
        <v>28</v>
      </c>
      <c r="H372" s="35">
        <v>0.46</v>
      </c>
      <c r="I372" s="15" t="s">
        <v>19</v>
      </c>
      <c r="J372" s="27">
        <v>8.11</v>
      </c>
      <c r="K372" s="15" t="s">
        <v>30</v>
      </c>
      <c r="L372" s="15" t="s">
        <v>21</v>
      </c>
      <c r="M372" s="15" t="s">
        <v>22</v>
      </c>
      <c r="N372" s="15" t="s">
        <v>23</v>
      </c>
      <c r="O372" s="15" t="s">
        <v>24</v>
      </c>
      <c r="P372" s="15" t="s">
        <v>25</v>
      </c>
      <c r="Q372" s="27">
        <v>229.08</v>
      </c>
      <c r="R372" s="27">
        <v>105.37680000000002</v>
      </c>
      <c r="S372" s="31">
        <v>123.7032</v>
      </c>
    </row>
    <row r="373" spans="1:19" x14ac:dyDescent="0.25">
      <c r="A373" s="20">
        <v>45682</v>
      </c>
      <c r="B373" s="15" t="s">
        <v>377</v>
      </c>
      <c r="C373" s="15">
        <v>84113</v>
      </c>
      <c r="D373" s="15" t="s">
        <v>46</v>
      </c>
      <c r="E373" s="15">
        <v>42</v>
      </c>
      <c r="F373" s="27">
        <v>12.61</v>
      </c>
      <c r="G373" s="15" t="s">
        <v>99</v>
      </c>
      <c r="H373" s="35">
        <v>0.05</v>
      </c>
      <c r="I373" s="15" t="s">
        <v>19</v>
      </c>
      <c r="J373" s="27">
        <v>27.25</v>
      </c>
      <c r="K373" s="15" t="s">
        <v>37</v>
      </c>
      <c r="L373" s="15" t="s">
        <v>21</v>
      </c>
      <c r="M373" s="15" t="s">
        <v>111</v>
      </c>
      <c r="N373" s="15" t="s">
        <v>32</v>
      </c>
      <c r="O373" s="15" t="s">
        <v>33</v>
      </c>
      <c r="P373" s="15" t="s">
        <v>40</v>
      </c>
      <c r="Q373" s="27">
        <v>529.62</v>
      </c>
      <c r="R373" s="27">
        <v>26.481000000000002</v>
      </c>
      <c r="S373" s="31">
        <v>503.13900000000001</v>
      </c>
    </row>
    <row r="374" spans="1:19" x14ac:dyDescent="0.25">
      <c r="A374" s="20">
        <v>45682</v>
      </c>
      <c r="B374" s="15" t="s">
        <v>378</v>
      </c>
      <c r="C374" s="15">
        <v>57438</v>
      </c>
      <c r="D374" s="15" t="s">
        <v>49</v>
      </c>
      <c r="E374" s="15">
        <v>9</v>
      </c>
      <c r="F374" s="27">
        <v>53.55</v>
      </c>
      <c r="G374" s="15" t="s">
        <v>28</v>
      </c>
      <c r="H374" s="35">
        <v>0.12</v>
      </c>
      <c r="I374" s="15" t="s">
        <v>734</v>
      </c>
      <c r="J374" s="27">
        <v>26.62</v>
      </c>
      <c r="K374" s="15" t="s">
        <v>30</v>
      </c>
      <c r="L374" s="15" t="s">
        <v>31</v>
      </c>
      <c r="M374" s="15" t="s">
        <v>22</v>
      </c>
      <c r="N374" s="15" t="s">
        <v>23</v>
      </c>
      <c r="O374" s="15" t="s">
        <v>33</v>
      </c>
      <c r="P374" s="15" t="s">
        <v>34</v>
      </c>
      <c r="Q374" s="27">
        <v>481.95</v>
      </c>
      <c r="R374" s="27">
        <v>57.833999999999996</v>
      </c>
      <c r="S374" s="31">
        <v>424.11599999999999</v>
      </c>
    </row>
    <row r="375" spans="1:19" x14ac:dyDescent="0.25">
      <c r="A375" s="20">
        <v>45682</v>
      </c>
      <c r="B375" s="15" t="s">
        <v>379</v>
      </c>
      <c r="C375" s="15">
        <v>99623</v>
      </c>
      <c r="D375" s="15" t="s">
        <v>57</v>
      </c>
      <c r="E375" s="15">
        <v>44</v>
      </c>
      <c r="F375" s="27">
        <v>14.29</v>
      </c>
      <c r="G375" s="15" t="s">
        <v>43</v>
      </c>
      <c r="H375" s="35">
        <v>0.11</v>
      </c>
      <c r="I375" s="15" t="s">
        <v>19</v>
      </c>
      <c r="J375" s="27">
        <v>28.09</v>
      </c>
      <c r="K375" s="15" t="s">
        <v>37</v>
      </c>
      <c r="L375" s="15" t="s">
        <v>31</v>
      </c>
      <c r="M375" s="15" t="s">
        <v>735</v>
      </c>
      <c r="N375" s="15" t="s">
        <v>53</v>
      </c>
      <c r="O375" s="15" t="s">
        <v>33</v>
      </c>
      <c r="P375" s="15" t="s">
        <v>34</v>
      </c>
      <c r="Q375" s="27">
        <v>628.76</v>
      </c>
      <c r="R375" s="27">
        <v>69.163600000000002</v>
      </c>
      <c r="S375" s="31">
        <v>559.59640000000002</v>
      </c>
    </row>
    <row r="376" spans="1:19" x14ac:dyDescent="0.25">
      <c r="A376" s="20">
        <v>45682</v>
      </c>
      <c r="B376" s="15" t="s">
        <v>380</v>
      </c>
      <c r="C376" s="15">
        <v>28824</v>
      </c>
      <c r="D376" s="15" t="s">
        <v>66</v>
      </c>
      <c r="E376" s="15">
        <v>19</v>
      </c>
      <c r="F376" s="27">
        <v>59.18</v>
      </c>
      <c r="G376" s="15" t="s">
        <v>76</v>
      </c>
      <c r="H376" s="35">
        <v>0.48</v>
      </c>
      <c r="I376" s="15" t="s">
        <v>29</v>
      </c>
      <c r="J376" s="27">
        <v>18.78</v>
      </c>
      <c r="K376" s="15" t="s">
        <v>44</v>
      </c>
      <c r="L376" s="15" t="s">
        <v>21</v>
      </c>
      <c r="M376" s="15" t="s">
        <v>22</v>
      </c>
      <c r="N376" s="15" t="s">
        <v>32</v>
      </c>
      <c r="O376" s="15" t="s">
        <v>81</v>
      </c>
      <c r="P376" s="15" t="s">
        <v>40</v>
      </c>
      <c r="Q376" s="27">
        <v>1124.42</v>
      </c>
      <c r="R376" s="27">
        <v>539.72159999999997</v>
      </c>
      <c r="S376" s="31">
        <v>584.69840000000011</v>
      </c>
    </row>
    <row r="377" spans="1:19" x14ac:dyDescent="0.25">
      <c r="A377" s="20">
        <v>45682</v>
      </c>
      <c r="B377" s="15" t="s">
        <v>381</v>
      </c>
      <c r="C377" s="15">
        <v>72862</v>
      </c>
      <c r="D377" s="15" t="s">
        <v>89</v>
      </c>
      <c r="E377" s="15">
        <v>36</v>
      </c>
      <c r="F377" s="27">
        <v>59.62</v>
      </c>
      <c r="G377" s="15" t="s">
        <v>99</v>
      </c>
      <c r="H377" s="35">
        <v>0.37</v>
      </c>
      <c r="I377" s="15" t="s">
        <v>19</v>
      </c>
      <c r="J377" s="27">
        <v>10.11</v>
      </c>
      <c r="K377" s="15" t="s">
        <v>30</v>
      </c>
      <c r="L377" s="15" t="s">
        <v>21</v>
      </c>
      <c r="M377" s="15" t="s">
        <v>22</v>
      </c>
      <c r="N377" s="15" t="s">
        <v>32</v>
      </c>
      <c r="O377" s="15" t="s">
        <v>81</v>
      </c>
      <c r="P377" s="15" t="s">
        <v>25</v>
      </c>
      <c r="Q377" s="27">
        <v>2146.3199999999997</v>
      </c>
      <c r="R377" s="27">
        <v>794.13839999999993</v>
      </c>
      <c r="S377" s="31">
        <v>1352.1815999999999</v>
      </c>
    </row>
    <row r="378" spans="1:19" x14ac:dyDescent="0.25">
      <c r="A378" s="20">
        <v>45682</v>
      </c>
      <c r="B378" s="15" t="s">
        <v>244</v>
      </c>
      <c r="C378" s="15">
        <v>66754</v>
      </c>
      <c r="D378" s="15" t="s">
        <v>66</v>
      </c>
      <c r="E378" s="15">
        <v>38</v>
      </c>
      <c r="F378" s="27">
        <v>39.29</v>
      </c>
      <c r="G378" s="15" t="s">
        <v>43</v>
      </c>
      <c r="H378" s="35">
        <v>0.31</v>
      </c>
      <c r="I378" s="15" t="s">
        <v>19</v>
      </c>
      <c r="J378" s="27">
        <v>29.23</v>
      </c>
      <c r="K378" s="15" t="s">
        <v>50</v>
      </c>
      <c r="L378" s="15" t="s">
        <v>31</v>
      </c>
      <c r="M378" s="15" t="s">
        <v>22</v>
      </c>
      <c r="N378" s="15" t="s">
        <v>32</v>
      </c>
      <c r="O378" s="15" t="s">
        <v>24</v>
      </c>
      <c r="P378" s="15" t="s">
        <v>34</v>
      </c>
      <c r="Q378" s="27">
        <v>1493.02</v>
      </c>
      <c r="R378" s="27">
        <v>462.83620000000002</v>
      </c>
      <c r="S378" s="31">
        <v>1030.1838</v>
      </c>
    </row>
    <row r="379" spans="1:19" x14ac:dyDescent="0.25">
      <c r="A379" s="20">
        <v>45682</v>
      </c>
      <c r="B379" s="15" t="s">
        <v>382</v>
      </c>
      <c r="C379" s="15">
        <v>82279</v>
      </c>
      <c r="D379" s="15" t="s">
        <v>46</v>
      </c>
      <c r="E379" s="15">
        <v>8</v>
      </c>
      <c r="F379" s="27">
        <v>92.97</v>
      </c>
      <c r="G379" s="15" t="s">
        <v>58</v>
      </c>
      <c r="H379" s="35">
        <v>0.49</v>
      </c>
      <c r="I379" s="15" t="s">
        <v>19</v>
      </c>
      <c r="J379" s="27">
        <v>28.12</v>
      </c>
      <c r="K379" s="15" t="s">
        <v>50</v>
      </c>
      <c r="L379" s="15" t="s">
        <v>21</v>
      </c>
      <c r="M379" s="15" t="s">
        <v>22</v>
      </c>
      <c r="N379" s="15" t="s">
        <v>32</v>
      </c>
      <c r="O379" s="15" t="s">
        <v>59</v>
      </c>
      <c r="P379" s="15" t="s">
        <v>34</v>
      </c>
      <c r="Q379" s="27">
        <v>743.76</v>
      </c>
      <c r="R379" s="27">
        <v>364.44239999999996</v>
      </c>
      <c r="S379" s="31">
        <v>379.31760000000003</v>
      </c>
    </row>
    <row r="380" spans="1:19" x14ac:dyDescent="0.25">
      <c r="A380" s="20">
        <v>45682</v>
      </c>
      <c r="B380" s="15" t="s">
        <v>383</v>
      </c>
      <c r="C380" s="15">
        <v>43773</v>
      </c>
      <c r="D380" s="15" t="s">
        <v>27</v>
      </c>
      <c r="E380" s="15">
        <v>28</v>
      </c>
      <c r="F380" s="27">
        <v>21.66</v>
      </c>
      <c r="G380" s="15" t="s">
        <v>58</v>
      </c>
      <c r="H380" s="35">
        <v>0.31</v>
      </c>
      <c r="I380" s="15" t="s">
        <v>19</v>
      </c>
      <c r="J380" s="27">
        <v>25.58</v>
      </c>
      <c r="K380" s="15" t="s">
        <v>37</v>
      </c>
      <c r="L380" s="15" t="s">
        <v>21</v>
      </c>
      <c r="M380" s="15" t="s">
        <v>22</v>
      </c>
      <c r="N380" s="15" t="s">
        <v>38</v>
      </c>
      <c r="O380" s="15" t="s">
        <v>59</v>
      </c>
      <c r="P380" s="15" t="s">
        <v>34</v>
      </c>
      <c r="Q380" s="27">
        <v>606.48</v>
      </c>
      <c r="R380" s="27">
        <v>188.00880000000001</v>
      </c>
      <c r="S380" s="31">
        <v>418.47120000000001</v>
      </c>
    </row>
    <row r="381" spans="1:19" x14ac:dyDescent="0.25">
      <c r="A381" s="20">
        <v>45682</v>
      </c>
      <c r="B381" s="15" t="s">
        <v>384</v>
      </c>
      <c r="C381" s="15">
        <v>26948</v>
      </c>
      <c r="D381" s="15" t="s">
        <v>66</v>
      </c>
      <c r="E381" s="15">
        <v>36</v>
      </c>
      <c r="F381" s="27">
        <v>1.4</v>
      </c>
      <c r="G381" s="15" t="s">
        <v>76</v>
      </c>
      <c r="H381" s="35">
        <v>0.22</v>
      </c>
      <c r="I381" s="15" t="s">
        <v>19</v>
      </c>
      <c r="J381" s="27">
        <v>11</v>
      </c>
      <c r="K381" s="15" t="s">
        <v>20</v>
      </c>
      <c r="L381" s="15" t="s">
        <v>31</v>
      </c>
      <c r="M381" s="15" t="s">
        <v>111</v>
      </c>
      <c r="N381" s="15" t="s">
        <v>23</v>
      </c>
      <c r="O381" s="15" t="s">
        <v>39</v>
      </c>
      <c r="P381" s="15" t="s">
        <v>25</v>
      </c>
      <c r="Q381" s="27">
        <v>50.4</v>
      </c>
      <c r="R381" s="27">
        <v>11.087999999999999</v>
      </c>
      <c r="S381" s="31">
        <v>39.311999999999998</v>
      </c>
    </row>
    <row r="382" spans="1:19" x14ac:dyDescent="0.25">
      <c r="A382" s="20">
        <v>45682</v>
      </c>
      <c r="B382" s="15" t="s">
        <v>385</v>
      </c>
      <c r="C382" s="15">
        <v>24216</v>
      </c>
      <c r="D382" s="15" t="s">
        <v>17</v>
      </c>
      <c r="E382" s="15">
        <v>18</v>
      </c>
      <c r="F382" s="27">
        <v>73.900000000000006</v>
      </c>
      <c r="G382" s="15" t="s">
        <v>58</v>
      </c>
      <c r="H382" s="35">
        <v>0.35</v>
      </c>
      <c r="I382" s="15" t="s">
        <v>734</v>
      </c>
      <c r="J382" s="27">
        <v>24.49</v>
      </c>
      <c r="K382" s="15" t="s">
        <v>50</v>
      </c>
      <c r="L382" s="15" t="s">
        <v>31</v>
      </c>
      <c r="M382" s="15" t="s">
        <v>22</v>
      </c>
      <c r="N382" s="15" t="s">
        <v>23</v>
      </c>
      <c r="O382" s="15" t="s">
        <v>81</v>
      </c>
      <c r="P382" s="15" t="s">
        <v>34</v>
      </c>
      <c r="Q382" s="27">
        <v>1330.2</v>
      </c>
      <c r="R382" s="27">
        <v>465.57</v>
      </c>
      <c r="S382" s="31">
        <v>864.63000000000011</v>
      </c>
    </row>
    <row r="383" spans="1:19" x14ac:dyDescent="0.25">
      <c r="A383" s="20">
        <v>45683</v>
      </c>
      <c r="B383" s="15" t="s">
        <v>386</v>
      </c>
      <c r="C383" s="15">
        <v>47443</v>
      </c>
      <c r="D383" s="15" t="s">
        <v>70</v>
      </c>
      <c r="E383" s="15">
        <v>34</v>
      </c>
      <c r="F383" s="27">
        <v>11.26</v>
      </c>
      <c r="G383" s="15" t="s">
        <v>28</v>
      </c>
      <c r="H383" s="35">
        <v>0.19</v>
      </c>
      <c r="I383" s="15" t="s">
        <v>29</v>
      </c>
      <c r="J383" s="27">
        <v>11.21</v>
      </c>
      <c r="K383" s="15" t="s">
        <v>30</v>
      </c>
      <c r="L383" s="15" t="s">
        <v>31</v>
      </c>
      <c r="M383" s="15" t="s">
        <v>22</v>
      </c>
      <c r="N383" s="15" t="s">
        <v>53</v>
      </c>
      <c r="O383" s="15" t="s">
        <v>59</v>
      </c>
      <c r="P383" s="15" t="s">
        <v>25</v>
      </c>
      <c r="Q383" s="27">
        <v>382.84</v>
      </c>
      <c r="R383" s="27">
        <v>72.739599999999996</v>
      </c>
      <c r="S383" s="31">
        <v>310.10039999999998</v>
      </c>
    </row>
    <row r="384" spans="1:19" x14ac:dyDescent="0.25">
      <c r="A384" s="20">
        <v>45683</v>
      </c>
      <c r="B384" s="15" t="s">
        <v>387</v>
      </c>
      <c r="C384" s="15">
        <v>11978</v>
      </c>
      <c r="D384" s="15" t="s">
        <v>42</v>
      </c>
      <c r="E384" s="15">
        <v>48</v>
      </c>
      <c r="F384" s="27">
        <v>71.349999999999994</v>
      </c>
      <c r="G384" s="15" t="s">
        <v>99</v>
      </c>
      <c r="H384" s="35">
        <v>0.12</v>
      </c>
      <c r="I384" s="15" t="s">
        <v>19</v>
      </c>
      <c r="J384" s="27">
        <v>19.75</v>
      </c>
      <c r="K384" s="15" t="s">
        <v>30</v>
      </c>
      <c r="L384" s="15" t="s">
        <v>31</v>
      </c>
      <c r="M384" s="15" t="s">
        <v>22</v>
      </c>
      <c r="N384" s="15" t="s">
        <v>23</v>
      </c>
      <c r="O384" s="15" t="s">
        <v>81</v>
      </c>
      <c r="P384" s="15" t="s">
        <v>40</v>
      </c>
      <c r="Q384" s="27">
        <v>3424.7999999999997</v>
      </c>
      <c r="R384" s="27">
        <v>410.97599999999994</v>
      </c>
      <c r="S384" s="31">
        <v>3013.8239999999996</v>
      </c>
    </row>
    <row r="385" spans="1:19" x14ac:dyDescent="0.25">
      <c r="A385" s="20">
        <v>45683</v>
      </c>
      <c r="B385" s="15" t="s">
        <v>388</v>
      </c>
      <c r="C385" s="15">
        <v>76202</v>
      </c>
      <c r="D385" s="15" t="s">
        <v>27</v>
      </c>
      <c r="E385" s="15">
        <v>18</v>
      </c>
      <c r="F385" s="27">
        <v>12.33</v>
      </c>
      <c r="G385" s="15" t="s">
        <v>58</v>
      </c>
      <c r="H385" s="35">
        <v>0.08</v>
      </c>
      <c r="I385" s="15" t="s">
        <v>734</v>
      </c>
      <c r="J385" s="27">
        <v>28.76</v>
      </c>
      <c r="K385" s="15" t="s">
        <v>30</v>
      </c>
      <c r="L385" s="15" t="s">
        <v>21</v>
      </c>
      <c r="M385" s="15" t="s">
        <v>22</v>
      </c>
      <c r="N385" s="15" t="s">
        <v>38</v>
      </c>
      <c r="O385" s="15" t="s">
        <v>39</v>
      </c>
      <c r="P385" s="15" t="s">
        <v>25</v>
      </c>
      <c r="Q385" s="27">
        <v>221.94</v>
      </c>
      <c r="R385" s="27">
        <v>17.755199999999999</v>
      </c>
      <c r="S385" s="31">
        <v>204.1848</v>
      </c>
    </row>
    <row r="386" spans="1:19" x14ac:dyDescent="0.25">
      <c r="A386" s="20">
        <v>45683</v>
      </c>
      <c r="B386" s="15" t="s">
        <v>311</v>
      </c>
      <c r="C386" s="15">
        <v>35509</v>
      </c>
      <c r="D386" s="15" t="s">
        <v>46</v>
      </c>
      <c r="E386" s="15">
        <v>17</v>
      </c>
      <c r="F386" s="27">
        <v>53</v>
      </c>
      <c r="G386" s="15" t="s">
        <v>84</v>
      </c>
      <c r="H386" s="35">
        <v>0.24</v>
      </c>
      <c r="I386" s="15" t="s">
        <v>19</v>
      </c>
      <c r="J386" s="27">
        <v>12.56</v>
      </c>
      <c r="K386" s="15" t="s">
        <v>37</v>
      </c>
      <c r="L386" s="15" t="s">
        <v>21</v>
      </c>
      <c r="M386" s="15" t="s">
        <v>22</v>
      </c>
      <c r="N386" s="15" t="s">
        <v>32</v>
      </c>
      <c r="O386" s="15" t="s">
        <v>39</v>
      </c>
      <c r="P386" s="15" t="s">
        <v>34</v>
      </c>
      <c r="Q386" s="27">
        <v>901</v>
      </c>
      <c r="R386" s="27">
        <v>216.23999999999998</v>
      </c>
      <c r="S386" s="31">
        <v>684.76</v>
      </c>
    </row>
    <row r="387" spans="1:19" x14ac:dyDescent="0.25">
      <c r="A387" s="20">
        <v>45683</v>
      </c>
      <c r="B387" s="15" t="s">
        <v>389</v>
      </c>
      <c r="C387" s="15">
        <v>19751</v>
      </c>
      <c r="D387" s="15" t="s">
        <v>17</v>
      </c>
      <c r="E387" s="15">
        <v>47</v>
      </c>
      <c r="F387" s="27">
        <v>9.1</v>
      </c>
      <c r="G387" s="15" t="s">
        <v>18</v>
      </c>
      <c r="H387" s="35">
        <v>0.38</v>
      </c>
      <c r="I387" s="15" t="s">
        <v>734</v>
      </c>
      <c r="J387" s="27">
        <v>7.89</v>
      </c>
      <c r="K387" s="15" t="s">
        <v>50</v>
      </c>
      <c r="L387" s="15" t="s">
        <v>21</v>
      </c>
      <c r="M387" s="15" t="s">
        <v>22</v>
      </c>
      <c r="N387" s="15" t="s">
        <v>32</v>
      </c>
      <c r="O387" s="15" t="s">
        <v>39</v>
      </c>
      <c r="P387" s="15" t="s">
        <v>40</v>
      </c>
      <c r="Q387" s="27">
        <v>427.7</v>
      </c>
      <c r="R387" s="27">
        <v>162.52600000000001</v>
      </c>
      <c r="S387" s="31">
        <v>265.17399999999998</v>
      </c>
    </row>
    <row r="388" spans="1:19" x14ac:dyDescent="0.25">
      <c r="A388" s="20">
        <v>45683</v>
      </c>
      <c r="B388" s="15" t="s">
        <v>390</v>
      </c>
      <c r="C388" s="15">
        <v>75941</v>
      </c>
      <c r="D388" s="15" t="s">
        <v>57</v>
      </c>
      <c r="E388" s="15">
        <v>8</v>
      </c>
      <c r="F388" s="27">
        <v>69.680000000000007</v>
      </c>
      <c r="G388" s="15" t="s">
        <v>99</v>
      </c>
      <c r="H388" s="35">
        <v>0.37</v>
      </c>
      <c r="I388" s="15" t="s">
        <v>29</v>
      </c>
      <c r="J388" s="27">
        <v>11.4</v>
      </c>
      <c r="K388" s="15" t="s">
        <v>50</v>
      </c>
      <c r="L388" s="15" t="s">
        <v>21</v>
      </c>
      <c r="M388" s="15" t="s">
        <v>22</v>
      </c>
      <c r="N388" s="15" t="s">
        <v>32</v>
      </c>
      <c r="O388" s="15" t="s">
        <v>81</v>
      </c>
      <c r="P388" s="15" t="s">
        <v>34</v>
      </c>
      <c r="Q388" s="27">
        <v>557.44000000000005</v>
      </c>
      <c r="R388" s="27">
        <v>206.25280000000001</v>
      </c>
      <c r="S388" s="31">
        <v>351.18720000000008</v>
      </c>
    </row>
    <row r="389" spans="1:19" x14ac:dyDescent="0.25">
      <c r="A389" s="20">
        <v>45683</v>
      </c>
      <c r="B389" s="15" t="s">
        <v>391</v>
      </c>
      <c r="C389" s="15">
        <v>21142</v>
      </c>
      <c r="D389" s="15" t="s">
        <v>75</v>
      </c>
      <c r="E389" s="15">
        <v>19</v>
      </c>
      <c r="F389" s="27">
        <v>86.1</v>
      </c>
      <c r="G389" s="15" t="s">
        <v>84</v>
      </c>
      <c r="H389" s="35">
        <v>0.34</v>
      </c>
      <c r="I389" s="15" t="s">
        <v>19</v>
      </c>
      <c r="J389" s="27">
        <v>22.8</v>
      </c>
      <c r="K389" s="15" t="s">
        <v>50</v>
      </c>
      <c r="L389" s="15" t="s">
        <v>21</v>
      </c>
      <c r="M389" s="15" t="s">
        <v>22</v>
      </c>
      <c r="N389" s="15" t="s">
        <v>38</v>
      </c>
      <c r="O389" s="15" t="s">
        <v>39</v>
      </c>
      <c r="P389" s="15" t="s">
        <v>34</v>
      </c>
      <c r="Q389" s="27">
        <v>1635.8999999999999</v>
      </c>
      <c r="R389" s="27">
        <v>556.20600000000002</v>
      </c>
      <c r="S389" s="31">
        <v>1079.694</v>
      </c>
    </row>
    <row r="390" spans="1:19" x14ac:dyDescent="0.25">
      <c r="A390" s="20">
        <v>45683</v>
      </c>
      <c r="B390" s="15" t="s">
        <v>335</v>
      </c>
      <c r="C390" s="15">
        <v>18978</v>
      </c>
      <c r="D390" s="15" t="s">
        <v>46</v>
      </c>
      <c r="E390" s="15">
        <v>34</v>
      </c>
      <c r="F390" s="27">
        <v>85.2</v>
      </c>
      <c r="G390" s="15" t="s">
        <v>18</v>
      </c>
      <c r="H390" s="35">
        <v>0.08</v>
      </c>
      <c r="I390" s="15" t="s">
        <v>19</v>
      </c>
      <c r="J390" s="27">
        <v>11.61</v>
      </c>
      <c r="K390" s="15" t="s">
        <v>44</v>
      </c>
      <c r="L390" s="15" t="s">
        <v>21</v>
      </c>
      <c r="M390" s="15" t="s">
        <v>22</v>
      </c>
      <c r="N390" s="15" t="s">
        <v>38</v>
      </c>
      <c r="O390" s="15" t="s">
        <v>33</v>
      </c>
      <c r="P390" s="15" t="s">
        <v>40</v>
      </c>
      <c r="Q390" s="27">
        <v>2896.8</v>
      </c>
      <c r="R390" s="27">
        <v>231.74400000000003</v>
      </c>
      <c r="S390" s="31">
        <v>2665.056</v>
      </c>
    </row>
    <row r="391" spans="1:19" x14ac:dyDescent="0.25">
      <c r="A391" s="20">
        <v>45683</v>
      </c>
      <c r="B391" s="15" t="s">
        <v>392</v>
      </c>
      <c r="C391" s="15">
        <v>18394</v>
      </c>
      <c r="D391" s="15" t="s">
        <v>46</v>
      </c>
      <c r="E391" s="15">
        <v>12</v>
      </c>
      <c r="F391" s="27">
        <v>79.790000000000006</v>
      </c>
      <c r="G391" s="15" t="s">
        <v>43</v>
      </c>
      <c r="H391" s="35">
        <v>0.04</v>
      </c>
      <c r="I391" s="15" t="s">
        <v>734</v>
      </c>
      <c r="J391" s="27">
        <v>13.99</v>
      </c>
      <c r="K391" s="15" t="s">
        <v>37</v>
      </c>
      <c r="L391" s="15" t="s">
        <v>31</v>
      </c>
      <c r="M391" s="15" t="s">
        <v>22</v>
      </c>
      <c r="N391" s="15" t="s">
        <v>53</v>
      </c>
      <c r="O391" s="15" t="s">
        <v>59</v>
      </c>
      <c r="P391" s="15" t="s">
        <v>34</v>
      </c>
      <c r="Q391" s="27">
        <v>957.48</v>
      </c>
      <c r="R391" s="27">
        <v>38.299199999999999</v>
      </c>
      <c r="S391" s="31">
        <v>919.18079999999998</v>
      </c>
    </row>
    <row r="392" spans="1:19" x14ac:dyDescent="0.25">
      <c r="A392" s="20">
        <v>45683</v>
      </c>
      <c r="B392" s="15" t="s">
        <v>393</v>
      </c>
      <c r="C392" s="15">
        <v>81542</v>
      </c>
      <c r="D392" s="15" t="s">
        <v>57</v>
      </c>
      <c r="E392" s="15">
        <v>44</v>
      </c>
      <c r="F392" s="27">
        <v>58.71</v>
      </c>
      <c r="G392" s="15" t="s">
        <v>36</v>
      </c>
      <c r="H392" s="35">
        <v>0.37</v>
      </c>
      <c r="I392" s="15" t="s">
        <v>19</v>
      </c>
      <c r="J392" s="27">
        <v>25.07</v>
      </c>
      <c r="K392" s="15" t="s">
        <v>44</v>
      </c>
      <c r="L392" s="15" t="s">
        <v>21</v>
      </c>
      <c r="M392" s="15" t="s">
        <v>22</v>
      </c>
      <c r="N392" s="15" t="s">
        <v>53</v>
      </c>
      <c r="O392" s="15" t="s">
        <v>24</v>
      </c>
      <c r="P392" s="15" t="s">
        <v>25</v>
      </c>
      <c r="Q392" s="27">
        <v>2583.2400000000002</v>
      </c>
      <c r="R392" s="27">
        <v>955.79880000000003</v>
      </c>
      <c r="S392" s="31">
        <v>1627.4412000000002</v>
      </c>
    </row>
    <row r="393" spans="1:19" x14ac:dyDescent="0.25">
      <c r="A393" s="20">
        <v>45683</v>
      </c>
      <c r="B393" s="15" t="s">
        <v>394</v>
      </c>
      <c r="C393" s="15">
        <v>19776</v>
      </c>
      <c r="D393" s="15" t="s">
        <v>27</v>
      </c>
      <c r="E393" s="15">
        <v>23</v>
      </c>
      <c r="F393" s="27">
        <v>17.27</v>
      </c>
      <c r="G393" s="15" t="s">
        <v>55</v>
      </c>
      <c r="H393" s="35">
        <v>0.17</v>
      </c>
      <c r="I393" s="15" t="s">
        <v>19</v>
      </c>
      <c r="J393" s="27">
        <v>29.78</v>
      </c>
      <c r="K393" s="15" t="s">
        <v>20</v>
      </c>
      <c r="L393" s="15" t="s">
        <v>21</v>
      </c>
      <c r="M393" s="15" t="s">
        <v>22</v>
      </c>
      <c r="N393" s="15" t="s">
        <v>23</v>
      </c>
      <c r="O393" s="15" t="s">
        <v>33</v>
      </c>
      <c r="P393" s="15" t="s">
        <v>34</v>
      </c>
      <c r="Q393" s="27">
        <v>397.21</v>
      </c>
      <c r="R393" s="27">
        <v>67.525700000000001</v>
      </c>
      <c r="S393" s="31">
        <v>329.68430000000001</v>
      </c>
    </row>
    <row r="394" spans="1:19" x14ac:dyDescent="0.25">
      <c r="A394" s="20">
        <v>45683</v>
      </c>
      <c r="B394" s="15" t="s">
        <v>395</v>
      </c>
      <c r="C394" s="15">
        <v>59733</v>
      </c>
      <c r="D394" s="15" t="s">
        <v>46</v>
      </c>
      <c r="E394" s="15">
        <v>26</v>
      </c>
      <c r="F394" s="27">
        <v>31.24</v>
      </c>
      <c r="G394" s="15" t="s">
        <v>84</v>
      </c>
      <c r="H394" s="35">
        <v>0.13</v>
      </c>
      <c r="I394" s="15" t="s">
        <v>19</v>
      </c>
      <c r="J394" s="27">
        <v>7.58</v>
      </c>
      <c r="K394" s="15" t="s">
        <v>50</v>
      </c>
      <c r="L394" s="15" t="s">
        <v>31</v>
      </c>
      <c r="M394" s="15" t="s">
        <v>22</v>
      </c>
      <c r="N394" s="15" t="s">
        <v>32</v>
      </c>
      <c r="O394" s="15" t="s">
        <v>24</v>
      </c>
      <c r="P394" s="15" t="s">
        <v>34</v>
      </c>
      <c r="Q394" s="27">
        <v>812.24</v>
      </c>
      <c r="R394" s="27">
        <v>105.5912</v>
      </c>
      <c r="S394" s="31">
        <v>706.64880000000005</v>
      </c>
    </row>
    <row r="395" spans="1:19" x14ac:dyDescent="0.25">
      <c r="A395" s="20">
        <v>45683</v>
      </c>
      <c r="B395" s="15" t="s">
        <v>396</v>
      </c>
      <c r="C395" s="15">
        <v>73460</v>
      </c>
      <c r="D395" s="15" t="s">
        <v>42</v>
      </c>
      <c r="E395" s="15">
        <v>37</v>
      </c>
      <c r="F395" s="27">
        <v>81.61</v>
      </c>
      <c r="G395" s="15" t="s">
        <v>52</v>
      </c>
      <c r="H395" s="35">
        <v>0.41</v>
      </c>
      <c r="I395" s="15" t="s">
        <v>19</v>
      </c>
      <c r="J395" s="27">
        <v>8.3000000000000007</v>
      </c>
      <c r="K395" s="15" t="s">
        <v>50</v>
      </c>
      <c r="L395" s="15" t="s">
        <v>21</v>
      </c>
      <c r="M395" s="15" t="s">
        <v>22</v>
      </c>
      <c r="N395" s="15" t="s">
        <v>38</v>
      </c>
      <c r="O395" s="15" t="s">
        <v>59</v>
      </c>
      <c r="P395" s="15" t="s">
        <v>25</v>
      </c>
      <c r="Q395" s="27">
        <v>3019.57</v>
      </c>
      <c r="R395" s="27">
        <v>1238.0237</v>
      </c>
      <c r="S395" s="31">
        <v>1781.5463000000002</v>
      </c>
    </row>
    <row r="396" spans="1:19" x14ac:dyDescent="0.25">
      <c r="A396" s="20">
        <v>45683</v>
      </c>
      <c r="B396" s="15" t="s">
        <v>397</v>
      </c>
      <c r="C396" s="15">
        <v>96367</v>
      </c>
      <c r="D396" s="15" t="s">
        <v>70</v>
      </c>
      <c r="E396" s="15">
        <v>1</v>
      </c>
      <c r="F396" s="27">
        <v>95.64</v>
      </c>
      <c r="G396" s="15" t="s">
        <v>72</v>
      </c>
      <c r="H396" s="35">
        <v>0.28999999999999998</v>
      </c>
      <c r="I396" s="15" t="s">
        <v>19</v>
      </c>
      <c r="J396" s="27">
        <v>28.77</v>
      </c>
      <c r="K396" s="15" t="s">
        <v>20</v>
      </c>
      <c r="L396" s="15" t="s">
        <v>31</v>
      </c>
      <c r="M396" s="15" t="s">
        <v>22</v>
      </c>
      <c r="N396" s="15" t="s">
        <v>38</v>
      </c>
      <c r="O396" s="15" t="s">
        <v>24</v>
      </c>
      <c r="P396" s="15" t="s">
        <v>40</v>
      </c>
      <c r="Q396" s="27">
        <v>95.64</v>
      </c>
      <c r="R396" s="27">
        <v>27.735599999999998</v>
      </c>
      <c r="S396" s="31">
        <v>67.90440000000001</v>
      </c>
    </row>
    <row r="397" spans="1:19" x14ac:dyDescent="0.25">
      <c r="A397" s="20">
        <v>45683</v>
      </c>
      <c r="B397" s="15" t="s">
        <v>398</v>
      </c>
      <c r="C397" s="15">
        <v>14477</v>
      </c>
      <c r="D397" s="15" t="s">
        <v>49</v>
      </c>
      <c r="E397" s="15">
        <v>39</v>
      </c>
      <c r="F397" s="27">
        <v>75.13</v>
      </c>
      <c r="G397" s="15" t="s">
        <v>84</v>
      </c>
      <c r="H397" s="35">
        <v>0.36</v>
      </c>
      <c r="I397" s="15" t="s">
        <v>19</v>
      </c>
      <c r="J397" s="27">
        <v>12.76</v>
      </c>
      <c r="K397" s="15" t="s">
        <v>20</v>
      </c>
      <c r="L397" s="15" t="s">
        <v>31</v>
      </c>
      <c r="M397" s="15" t="s">
        <v>22</v>
      </c>
      <c r="N397" s="15" t="s">
        <v>38</v>
      </c>
      <c r="O397" s="15" t="s">
        <v>59</v>
      </c>
      <c r="P397" s="15" t="s">
        <v>25</v>
      </c>
      <c r="Q397" s="27">
        <v>2930.0699999999997</v>
      </c>
      <c r="R397" s="27">
        <v>1054.8251999999998</v>
      </c>
      <c r="S397" s="31">
        <v>1875.2447999999999</v>
      </c>
    </row>
    <row r="398" spans="1:19" x14ac:dyDescent="0.25">
      <c r="A398" s="20">
        <v>45683</v>
      </c>
      <c r="B398" s="15" t="s">
        <v>179</v>
      </c>
      <c r="C398" s="15">
        <v>47533</v>
      </c>
      <c r="D398" s="15" t="s">
        <v>66</v>
      </c>
      <c r="E398" s="15">
        <v>43</v>
      </c>
      <c r="F398" s="27">
        <v>96.41</v>
      </c>
      <c r="G398" s="15" t="s">
        <v>18</v>
      </c>
      <c r="H398" s="35">
        <v>0</v>
      </c>
      <c r="I398" s="15" t="s">
        <v>29</v>
      </c>
      <c r="J398" s="27">
        <v>20.07</v>
      </c>
      <c r="K398" s="15" t="s">
        <v>20</v>
      </c>
      <c r="L398" s="15" t="s">
        <v>21</v>
      </c>
      <c r="M398" s="15" t="s">
        <v>22</v>
      </c>
      <c r="N398" s="15" t="s">
        <v>23</v>
      </c>
      <c r="O398" s="15" t="s">
        <v>33</v>
      </c>
      <c r="P398" s="15" t="s">
        <v>25</v>
      </c>
      <c r="Q398" s="27">
        <v>4145.63</v>
      </c>
      <c r="R398" s="27">
        <v>0</v>
      </c>
      <c r="S398" s="31">
        <v>4145.63</v>
      </c>
    </row>
    <row r="399" spans="1:19" x14ac:dyDescent="0.25">
      <c r="A399" s="20">
        <v>45683</v>
      </c>
      <c r="B399" s="15" t="s">
        <v>399</v>
      </c>
      <c r="C399" s="15">
        <v>94461</v>
      </c>
      <c r="D399" s="15" t="s">
        <v>68</v>
      </c>
      <c r="E399" s="15">
        <v>10</v>
      </c>
      <c r="F399" s="27">
        <v>53</v>
      </c>
      <c r="G399" s="15" t="s">
        <v>47</v>
      </c>
      <c r="H399" s="35">
        <v>0.15</v>
      </c>
      <c r="I399" s="15" t="s">
        <v>19</v>
      </c>
      <c r="J399" s="27">
        <v>7.47</v>
      </c>
      <c r="K399" s="15" t="s">
        <v>20</v>
      </c>
      <c r="L399" s="15" t="s">
        <v>31</v>
      </c>
      <c r="M399" s="15" t="s">
        <v>22</v>
      </c>
      <c r="N399" s="15" t="s">
        <v>38</v>
      </c>
      <c r="O399" s="15" t="s">
        <v>81</v>
      </c>
      <c r="P399" s="15" t="s">
        <v>40</v>
      </c>
      <c r="Q399" s="27">
        <v>530</v>
      </c>
      <c r="R399" s="27">
        <v>79.5</v>
      </c>
      <c r="S399" s="31">
        <v>450.5</v>
      </c>
    </row>
    <row r="400" spans="1:19" x14ac:dyDescent="0.25">
      <c r="A400" s="20">
        <v>45683</v>
      </c>
      <c r="B400" s="15" t="s">
        <v>400</v>
      </c>
      <c r="C400" s="15">
        <v>46581</v>
      </c>
      <c r="D400" s="15" t="s">
        <v>75</v>
      </c>
      <c r="E400" s="15">
        <v>25</v>
      </c>
      <c r="F400" s="27">
        <v>90.66</v>
      </c>
      <c r="G400" s="15" t="s">
        <v>18</v>
      </c>
      <c r="H400" s="35">
        <v>0.28999999999999998</v>
      </c>
      <c r="I400" s="15" t="s">
        <v>19</v>
      </c>
      <c r="J400" s="27">
        <v>6.43</v>
      </c>
      <c r="K400" s="15" t="s">
        <v>44</v>
      </c>
      <c r="L400" s="15" t="s">
        <v>31</v>
      </c>
      <c r="M400" s="15" t="s">
        <v>22</v>
      </c>
      <c r="N400" s="15" t="s">
        <v>38</v>
      </c>
      <c r="O400" s="15" t="s">
        <v>59</v>
      </c>
      <c r="P400" s="15" t="s">
        <v>25</v>
      </c>
      <c r="Q400" s="27">
        <v>2266.5</v>
      </c>
      <c r="R400" s="27">
        <v>657.28499999999997</v>
      </c>
      <c r="S400" s="31">
        <v>1609.2150000000001</v>
      </c>
    </row>
    <row r="401" spans="1:19" x14ac:dyDescent="0.25">
      <c r="A401" s="20">
        <v>45683</v>
      </c>
      <c r="B401" s="15" t="s">
        <v>401</v>
      </c>
      <c r="C401" s="15">
        <v>52927</v>
      </c>
      <c r="D401" s="15" t="s">
        <v>17</v>
      </c>
      <c r="E401" s="15">
        <v>33</v>
      </c>
      <c r="F401" s="27">
        <v>89.2</v>
      </c>
      <c r="G401" s="15" t="s">
        <v>99</v>
      </c>
      <c r="H401" s="35">
        <v>0.37</v>
      </c>
      <c r="I401" s="15" t="s">
        <v>19</v>
      </c>
      <c r="J401" s="27">
        <v>12.41</v>
      </c>
      <c r="K401" s="15" t="s">
        <v>50</v>
      </c>
      <c r="L401" s="15" t="s">
        <v>31</v>
      </c>
      <c r="M401" s="15" t="s">
        <v>111</v>
      </c>
      <c r="N401" s="15" t="s">
        <v>53</v>
      </c>
      <c r="O401" s="15" t="s">
        <v>24</v>
      </c>
      <c r="P401" s="15" t="s">
        <v>40</v>
      </c>
      <c r="Q401" s="27">
        <v>2943.6</v>
      </c>
      <c r="R401" s="27">
        <v>1089.1320000000001</v>
      </c>
      <c r="S401" s="31">
        <v>1854.4679999999998</v>
      </c>
    </row>
    <row r="402" spans="1:19" x14ac:dyDescent="0.25">
      <c r="A402" s="20">
        <v>45684</v>
      </c>
      <c r="B402" s="15" t="s">
        <v>402</v>
      </c>
      <c r="C402" s="15">
        <v>60888</v>
      </c>
      <c r="D402" s="15" t="s">
        <v>46</v>
      </c>
      <c r="E402" s="15">
        <v>27</v>
      </c>
      <c r="F402" s="27">
        <v>31.33</v>
      </c>
      <c r="G402" s="15" t="s">
        <v>52</v>
      </c>
      <c r="H402" s="35">
        <v>0.25</v>
      </c>
      <c r="I402" s="15" t="s">
        <v>19</v>
      </c>
      <c r="J402" s="27">
        <v>23.59</v>
      </c>
      <c r="K402" s="15" t="s">
        <v>50</v>
      </c>
      <c r="L402" s="15" t="s">
        <v>21</v>
      </c>
      <c r="M402" s="15" t="s">
        <v>22</v>
      </c>
      <c r="N402" s="15" t="s">
        <v>32</v>
      </c>
      <c r="O402" s="15" t="s">
        <v>33</v>
      </c>
      <c r="P402" s="15" t="s">
        <v>25</v>
      </c>
      <c r="Q402" s="27">
        <v>845.91</v>
      </c>
      <c r="R402" s="27">
        <v>211.47749999999999</v>
      </c>
      <c r="S402" s="31">
        <v>634.4325</v>
      </c>
    </row>
    <row r="403" spans="1:19" x14ac:dyDescent="0.25">
      <c r="A403" s="20">
        <v>45684</v>
      </c>
      <c r="B403" s="15" t="s">
        <v>403</v>
      </c>
      <c r="C403" s="15">
        <v>19196</v>
      </c>
      <c r="D403" s="15" t="s">
        <v>89</v>
      </c>
      <c r="E403" s="15">
        <v>8</v>
      </c>
      <c r="F403" s="27">
        <v>53</v>
      </c>
      <c r="G403" s="15" t="s">
        <v>18</v>
      </c>
      <c r="H403" s="35">
        <v>0.37</v>
      </c>
      <c r="I403" s="15" t="s">
        <v>29</v>
      </c>
      <c r="J403" s="27">
        <v>9.49</v>
      </c>
      <c r="K403" s="15" t="s">
        <v>44</v>
      </c>
      <c r="L403" s="15" t="s">
        <v>21</v>
      </c>
      <c r="M403" s="15" t="s">
        <v>22</v>
      </c>
      <c r="N403" s="15" t="s">
        <v>23</v>
      </c>
      <c r="O403" s="15" t="s">
        <v>59</v>
      </c>
      <c r="P403" s="15" t="s">
        <v>40</v>
      </c>
      <c r="Q403" s="27">
        <v>424</v>
      </c>
      <c r="R403" s="27">
        <v>156.88</v>
      </c>
      <c r="S403" s="31">
        <v>267.12</v>
      </c>
    </row>
    <row r="404" spans="1:19" x14ac:dyDescent="0.25">
      <c r="A404" s="20">
        <v>45684</v>
      </c>
      <c r="B404" s="15" t="s">
        <v>404</v>
      </c>
      <c r="C404" s="15">
        <v>12561</v>
      </c>
      <c r="D404" s="15" t="s">
        <v>70</v>
      </c>
      <c r="E404" s="15">
        <v>23</v>
      </c>
      <c r="F404" s="27">
        <v>69.45</v>
      </c>
      <c r="G404" s="15" t="s">
        <v>76</v>
      </c>
      <c r="H404" s="35">
        <v>0.32</v>
      </c>
      <c r="I404" s="15" t="s">
        <v>734</v>
      </c>
      <c r="J404" s="27">
        <v>24.36</v>
      </c>
      <c r="K404" s="15" t="s">
        <v>20</v>
      </c>
      <c r="L404" s="15" t="s">
        <v>21</v>
      </c>
      <c r="M404" s="15" t="s">
        <v>111</v>
      </c>
      <c r="N404" s="15" t="s">
        <v>32</v>
      </c>
      <c r="O404" s="15" t="s">
        <v>33</v>
      </c>
      <c r="P404" s="15" t="s">
        <v>40</v>
      </c>
      <c r="Q404" s="27">
        <v>1597.3500000000001</v>
      </c>
      <c r="R404" s="27">
        <v>511.15200000000004</v>
      </c>
      <c r="S404" s="31">
        <v>1086.1980000000001</v>
      </c>
    </row>
    <row r="405" spans="1:19" x14ac:dyDescent="0.25">
      <c r="A405" s="20">
        <v>45684</v>
      </c>
      <c r="B405" s="15" t="s">
        <v>221</v>
      </c>
      <c r="C405" s="15">
        <v>67622</v>
      </c>
      <c r="D405" s="15" t="s">
        <v>17</v>
      </c>
      <c r="E405" s="15">
        <v>40</v>
      </c>
      <c r="F405" s="27">
        <v>78.73</v>
      </c>
      <c r="G405" s="15" t="s">
        <v>43</v>
      </c>
      <c r="H405" s="35">
        <v>0.26</v>
      </c>
      <c r="I405" s="15" t="s">
        <v>734</v>
      </c>
      <c r="J405" s="27">
        <v>26.8</v>
      </c>
      <c r="K405" s="15" t="s">
        <v>50</v>
      </c>
      <c r="L405" s="15" t="s">
        <v>31</v>
      </c>
      <c r="M405" s="15" t="s">
        <v>22</v>
      </c>
      <c r="N405" s="15" t="s">
        <v>32</v>
      </c>
      <c r="O405" s="15" t="s">
        <v>39</v>
      </c>
      <c r="P405" s="15" t="s">
        <v>34</v>
      </c>
      <c r="Q405" s="27">
        <v>3149.2000000000003</v>
      </c>
      <c r="R405" s="27">
        <v>818.79200000000014</v>
      </c>
      <c r="S405" s="31">
        <v>2330.4080000000004</v>
      </c>
    </row>
    <row r="406" spans="1:19" x14ac:dyDescent="0.25">
      <c r="A406" s="20">
        <v>45684</v>
      </c>
      <c r="B406" s="15" t="s">
        <v>405</v>
      </c>
      <c r="C406" s="15">
        <v>30840</v>
      </c>
      <c r="D406" s="15" t="s">
        <v>27</v>
      </c>
      <c r="E406" s="15">
        <v>26</v>
      </c>
      <c r="F406" s="27">
        <v>45.21</v>
      </c>
      <c r="G406" s="15" t="s">
        <v>99</v>
      </c>
      <c r="H406" s="35">
        <v>0.16</v>
      </c>
      <c r="I406" s="15" t="s">
        <v>19</v>
      </c>
      <c r="J406" s="27">
        <v>26.75</v>
      </c>
      <c r="K406" s="15" t="s">
        <v>44</v>
      </c>
      <c r="L406" s="15" t="s">
        <v>21</v>
      </c>
      <c r="M406" s="15" t="s">
        <v>22</v>
      </c>
      <c r="N406" s="15" t="s">
        <v>53</v>
      </c>
      <c r="O406" s="15" t="s">
        <v>59</v>
      </c>
      <c r="P406" s="15" t="s">
        <v>40</v>
      </c>
      <c r="Q406" s="27">
        <v>1175.46</v>
      </c>
      <c r="R406" s="27">
        <v>188.0736</v>
      </c>
      <c r="S406" s="31">
        <v>987.38640000000009</v>
      </c>
    </row>
    <row r="407" spans="1:19" x14ac:dyDescent="0.25">
      <c r="A407" s="20">
        <v>45684</v>
      </c>
      <c r="B407" s="15" t="s">
        <v>406</v>
      </c>
      <c r="C407" s="15">
        <v>73070</v>
      </c>
      <c r="D407" s="15" t="s">
        <v>17</v>
      </c>
      <c r="E407" s="15">
        <v>7</v>
      </c>
      <c r="F407" s="27">
        <v>73.92</v>
      </c>
      <c r="G407" s="15" t="s">
        <v>43</v>
      </c>
      <c r="H407" s="35">
        <v>0.38</v>
      </c>
      <c r="I407" s="15" t="s">
        <v>734</v>
      </c>
      <c r="J407" s="27">
        <v>5.78</v>
      </c>
      <c r="K407" s="15" t="s">
        <v>30</v>
      </c>
      <c r="L407" s="15" t="s">
        <v>31</v>
      </c>
      <c r="M407" s="15" t="s">
        <v>22</v>
      </c>
      <c r="N407" s="15" t="s">
        <v>38</v>
      </c>
      <c r="O407" s="15" t="s">
        <v>59</v>
      </c>
      <c r="P407" s="15" t="s">
        <v>25</v>
      </c>
      <c r="Q407" s="27">
        <v>517.44000000000005</v>
      </c>
      <c r="R407" s="27">
        <v>196.62720000000002</v>
      </c>
      <c r="S407" s="31">
        <v>320.81280000000004</v>
      </c>
    </row>
    <row r="408" spans="1:19" x14ac:dyDescent="0.25">
      <c r="A408" s="20">
        <v>45684</v>
      </c>
      <c r="B408" s="15" t="s">
        <v>407</v>
      </c>
      <c r="C408" s="15">
        <v>52663</v>
      </c>
      <c r="D408" s="15" t="s">
        <v>42</v>
      </c>
      <c r="E408" s="15">
        <v>23</v>
      </c>
      <c r="F408" s="27">
        <v>66.16</v>
      </c>
      <c r="G408" s="15" t="s">
        <v>36</v>
      </c>
      <c r="H408" s="35">
        <v>0.35</v>
      </c>
      <c r="I408" s="15" t="s">
        <v>19</v>
      </c>
      <c r="J408" s="27">
        <v>14.47</v>
      </c>
      <c r="K408" s="15" t="s">
        <v>30</v>
      </c>
      <c r="L408" s="15" t="s">
        <v>31</v>
      </c>
      <c r="M408" s="15" t="s">
        <v>22</v>
      </c>
      <c r="N408" s="15" t="s">
        <v>53</v>
      </c>
      <c r="O408" s="15" t="s">
        <v>24</v>
      </c>
      <c r="P408" s="15" t="s">
        <v>25</v>
      </c>
      <c r="Q408" s="27">
        <v>1521.6799999999998</v>
      </c>
      <c r="R408" s="27">
        <v>532.58799999999997</v>
      </c>
      <c r="S408" s="31">
        <v>989.09199999999987</v>
      </c>
    </row>
    <row r="409" spans="1:19" x14ac:dyDescent="0.25">
      <c r="A409" s="20">
        <v>45684</v>
      </c>
      <c r="B409" s="15" t="s">
        <v>408</v>
      </c>
      <c r="C409" s="15">
        <v>87202</v>
      </c>
      <c r="D409" s="15" t="s">
        <v>89</v>
      </c>
      <c r="E409" s="15">
        <v>41</v>
      </c>
      <c r="F409" s="27">
        <v>65.09</v>
      </c>
      <c r="G409" s="15" t="s">
        <v>55</v>
      </c>
      <c r="H409" s="35">
        <v>0.12</v>
      </c>
      <c r="I409" s="15" t="s">
        <v>29</v>
      </c>
      <c r="J409" s="27">
        <v>27.93</v>
      </c>
      <c r="K409" s="15" t="s">
        <v>37</v>
      </c>
      <c r="L409" s="15" t="s">
        <v>31</v>
      </c>
      <c r="M409" s="15" t="s">
        <v>22</v>
      </c>
      <c r="N409" s="15" t="s">
        <v>38</v>
      </c>
      <c r="O409" s="15" t="s">
        <v>81</v>
      </c>
      <c r="P409" s="15" t="s">
        <v>40</v>
      </c>
      <c r="Q409" s="27">
        <v>2668.69</v>
      </c>
      <c r="R409" s="27">
        <v>320.24279999999999</v>
      </c>
      <c r="S409" s="31">
        <v>2348.4472000000001</v>
      </c>
    </row>
    <row r="410" spans="1:19" x14ac:dyDescent="0.25">
      <c r="A410" s="20">
        <v>45684</v>
      </c>
      <c r="B410" s="15" t="s">
        <v>79</v>
      </c>
      <c r="C410" s="15">
        <v>31681</v>
      </c>
      <c r="D410" s="15" t="s">
        <v>57</v>
      </c>
      <c r="E410" s="15">
        <v>37</v>
      </c>
      <c r="F410" s="27">
        <v>33.869999999999997</v>
      </c>
      <c r="G410" s="15" t="s">
        <v>76</v>
      </c>
      <c r="H410" s="35">
        <v>0.05</v>
      </c>
      <c r="I410" s="15" t="s">
        <v>29</v>
      </c>
      <c r="J410" s="27">
        <v>27.04</v>
      </c>
      <c r="K410" s="15" t="s">
        <v>20</v>
      </c>
      <c r="L410" s="15" t="s">
        <v>21</v>
      </c>
      <c r="M410" s="15" t="s">
        <v>22</v>
      </c>
      <c r="N410" s="15" t="s">
        <v>38</v>
      </c>
      <c r="O410" s="15" t="s">
        <v>39</v>
      </c>
      <c r="P410" s="15" t="s">
        <v>34</v>
      </c>
      <c r="Q410" s="27">
        <v>1253.1899999999998</v>
      </c>
      <c r="R410" s="27">
        <v>62.659499999999994</v>
      </c>
      <c r="S410" s="31">
        <v>1190.5304999999998</v>
      </c>
    </row>
    <row r="411" spans="1:19" x14ac:dyDescent="0.25">
      <c r="A411" s="20">
        <v>45684</v>
      </c>
      <c r="B411" s="15" t="s">
        <v>409</v>
      </c>
      <c r="C411" s="15">
        <v>13350</v>
      </c>
      <c r="D411" s="15" t="s">
        <v>46</v>
      </c>
      <c r="E411" s="15">
        <v>2</v>
      </c>
      <c r="F411" s="27">
        <v>53.33</v>
      </c>
      <c r="G411" s="15" t="s">
        <v>84</v>
      </c>
      <c r="H411" s="35">
        <v>0.3</v>
      </c>
      <c r="I411" s="15" t="s">
        <v>19</v>
      </c>
      <c r="J411" s="27">
        <v>11.01</v>
      </c>
      <c r="K411" s="15" t="s">
        <v>44</v>
      </c>
      <c r="L411" s="15" t="s">
        <v>21</v>
      </c>
      <c r="M411" s="15" t="s">
        <v>22</v>
      </c>
      <c r="N411" s="15" t="s">
        <v>38</v>
      </c>
      <c r="O411" s="15" t="s">
        <v>39</v>
      </c>
      <c r="P411" s="15" t="s">
        <v>40</v>
      </c>
      <c r="Q411" s="27">
        <v>106.66</v>
      </c>
      <c r="R411" s="27">
        <v>31.997999999999998</v>
      </c>
      <c r="S411" s="31">
        <v>74.662000000000006</v>
      </c>
    </row>
    <row r="412" spans="1:19" x14ac:dyDescent="0.25">
      <c r="A412" s="20">
        <v>45684</v>
      </c>
      <c r="B412" s="15" t="s">
        <v>410</v>
      </c>
      <c r="C412" s="15">
        <v>13470</v>
      </c>
      <c r="D412" s="15" t="s">
        <v>42</v>
      </c>
      <c r="E412" s="15">
        <v>4</v>
      </c>
      <c r="F412" s="27">
        <v>48.07</v>
      </c>
      <c r="G412" s="15" t="s">
        <v>58</v>
      </c>
      <c r="H412" s="35">
        <v>0.34</v>
      </c>
      <c r="I412" s="15" t="s">
        <v>734</v>
      </c>
      <c r="J412" s="27">
        <v>26.23</v>
      </c>
      <c r="K412" s="15" t="s">
        <v>30</v>
      </c>
      <c r="L412" s="15" t="s">
        <v>31</v>
      </c>
      <c r="M412" s="15" t="s">
        <v>22</v>
      </c>
      <c r="N412" s="15" t="s">
        <v>38</v>
      </c>
      <c r="O412" s="15" t="s">
        <v>59</v>
      </c>
      <c r="P412" s="15" t="s">
        <v>40</v>
      </c>
      <c r="Q412" s="27">
        <v>192.28</v>
      </c>
      <c r="R412" s="27">
        <v>65.375200000000007</v>
      </c>
      <c r="S412" s="31">
        <v>126.90479999999999</v>
      </c>
    </row>
    <row r="413" spans="1:19" x14ac:dyDescent="0.25">
      <c r="A413" s="20">
        <v>45684</v>
      </c>
      <c r="B413" s="15" t="s">
        <v>88</v>
      </c>
      <c r="C413" s="15">
        <v>52998</v>
      </c>
      <c r="D413" s="15" t="s">
        <v>68</v>
      </c>
      <c r="E413" s="15">
        <v>42</v>
      </c>
      <c r="F413" s="27">
        <v>76.63</v>
      </c>
      <c r="G413" s="15" t="s">
        <v>76</v>
      </c>
      <c r="H413" s="35">
        <v>0.16</v>
      </c>
      <c r="I413" s="15" t="s">
        <v>29</v>
      </c>
      <c r="J413" s="27">
        <v>10.57</v>
      </c>
      <c r="K413" s="15" t="s">
        <v>20</v>
      </c>
      <c r="L413" s="15" t="s">
        <v>21</v>
      </c>
      <c r="M413" s="15" t="s">
        <v>22</v>
      </c>
      <c r="N413" s="15" t="s">
        <v>32</v>
      </c>
      <c r="O413" s="15" t="s">
        <v>33</v>
      </c>
      <c r="P413" s="15" t="s">
        <v>34</v>
      </c>
      <c r="Q413" s="27">
        <v>3218.46</v>
      </c>
      <c r="R413" s="27">
        <v>514.95360000000005</v>
      </c>
      <c r="S413" s="31">
        <v>2703.5064000000002</v>
      </c>
    </row>
    <row r="414" spans="1:19" x14ac:dyDescent="0.25">
      <c r="A414" s="20">
        <v>45684</v>
      </c>
      <c r="B414" s="15" t="s">
        <v>317</v>
      </c>
      <c r="C414" s="15">
        <v>39476</v>
      </c>
      <c r="D414" s="15" t="s">
        <v>49</v>
      </c>
      <c r="E414" s="15">
        <v>1</v>
      </c>
      <c r="F414" s="27">
        <v>87.79</v>
      </c>
      <c r="G414" s="15" t="s">
        <v>18</v>
      </c>
      <c r="H414" s="35">
        <v>0.42</v>
      </c>
      <c r="I414" s="15" t="s">
        <v>19</v>
      </c>
      <c r="J414" s="27">
        <v>21.72</v>
      </c>
      <c r="K414" s="15" t="s">
        <v>37</v>
      </c>
      <c r="L414" s="15" t="s">
        <v>31</v>
      </c>
      <c r="M414" s="15" t="s">
        <v>22</v>
      </c>
      <c r="N414" s="15" t="s">
        <v>38</v>
      </c>
      <c r="O414" s="15" t="s">
        <v>81</v>
      </c>
      <c r="P414" s="15" t="s">
        <v>40</v>
      </c>
      <c r="Q414" s="27">
        <v>87.79</v>
      </c>
      <c r="R414" s="27">
        <v>36.8718</v>
      </c>
      <c r="S414" s="31">
        <v>50.918200000000006</v>
      </c>
    </row>
    <row r="415" spans="1:19" x14ac:dyDescent="0.25">
      <c r="A415" s="20">
        <v>45684</v>
      </c>
      <c r="B415" s="15" t="s">
        <v>320</v>
      </c>
      <c r="C415" s="15">
        <v>38309</v>
      </c>
      <c r="D415" s="15" t="s">
        <v>49</v>
      </c>
      <c r="E415" s="15">
        <v>22</v>
      </c>
      <c r="F415" s="27">
        <v>50.81</v>
      </c>
      <c r="G415" s="15" t="s">
        <v>58</v>
      </c>
      <c r="H415" s="35">
        <v>0.5</v>
      </c>
      <c r="I415" s="15" t="s">
        <v>29</v>
      </c>
      <c r="J415" s="27">
        <v>16.73</v>
      </c>
      <c r="K415" s="15" t="s">
        <v>44</v>
      </c>
      <c r="L415" s="15" t="s">
        <v>21</v>
      </c>
      <c r="M415" s="15" t="s">
        <v>22</v>
      </c>
      <c r="N415" s="15" t="s">
        <v>38</v>
      </c>
      <c r="O415" s="15" t="s">
        <v>81</v>
      </c>
      <c r="P415" s="15" t="s">
        <v>25</v>
      </c>
      <c r="Q415" s="27">
        <v>1117.8200000000002</v>
      </c>
      <c r="R415" s="27">
        <v>558.91000000000008</v>
      </c>
      <c r="S415" s="31">
        <v>558.91000000000008</v>
      </c>
    </row>
    <row r="416" spans="1:19" x14ac:dyDescent="0.25">
      <c r="A416" s="20">
        <v>45684</v>
      </c>
      <c r="B416" s="15" t="s">
        <v>231</v>
      </c>
      <c r="C416" s="15">
        <v>19099</v>
      </c>
      <c r="D416" s="15" t="s">
        <v>70</v>
      </c>
      <c r="E416" s="15">
        <v>17</v>
      </c>
      <c r="F416" s="27">
        <v>53.65</v>
      </c>
      <c r="G416" s="15" t="s">
        <v>72</v>
      </c>
      <c r="H416" s="35">
        <v>0.35</v>
      </c>
      <c r="I416" s="15" t="s">
        <v>734</v>
      </c>
      <c r="J416" s="27">
        <v>27.2</v>
      </c>
      <c r="K416" s="15" t="s">
        <v>37</v>
      </c>
      <c r="L416" s="15" t="s">
        <v>21</v>
      </c>
      <c r="M416" s="15" t="s">
        <v>22</v>
      </c>
      <c r="N416" s="15" t="s">
        <v>38</v>
      </c>
      <c r="O416" s="15" t="s">
        <v>24</v>
      </c>
      <c r="P416" s="15" t="s">
        <v>40</v>
      </c>
      <c r="Q416" s="27">
        <v>912.05</v>
      </c>
      <c r="R416" s="27">
        <v>319.21749999999997</v>
      </c>
      <c r="S416" s="31">
        <v>592.83249999999998</v>
      </c>
    </row>
    <row r="417" spans="1:19" x14ac:dyDescent="0.25">
      <c r="A417" s="20">
        <v>45684</v>
      </c>
      <c r="B417" s="15" t="s">
        <v>411</v>
      </c>
      <c r="C417" s="15">
        <v>30424</v>
      </c>
      <c r="D417" s="15" t="s">
        <v>68</v>
      </c>
      <c r="E417" s="15">
        <v>5</v>
      </c>
      <c r="F417" s="27">
        <v>51.5</v>
      </c>
      <c r="G417" s="15" t="s">
        <v>55</v>
      </c>
      <c r="H417" s="35">
        <v>0.16</v>
      </c>
      <c r="I417" s="15" t="s">
        <v>29</v>
      </c>
      <c r="J417" s="27">
        <v>11.53</v>
      </c>
      <c r="K417" s="15" t="s">
        <v>44</v>
      </c>
      <c r="L417" s="15" t="s">
        <v>21</v>
      </c>
      <c r="M417" s="15" t="s">
        <v>22</v>
      </c>
      <c r="N417" s="15" t="s">
        <v>32</v>
      </c>
      <c r="O417" s="15" t="s">
        <v>33</v>
      </c>
      <c r="P417" s="15" t="s">
        <v>34</v>
      </c>
      <c r="Q417" s="27">
        <v>257.5</v>
      </c>
      <c r="R417" s="27">
        <v>41.2</v>
      </c>
      <c r="S417" s="31">
        <v>216.3</v>
      </c>
    </row>
    <row r="418" spans="1:19" x14ac:dyDescent="0.25">
      <c r="A418" s="20">
        <v>45684</v>
      </c>
      <c r="B418" s="15" t="s">
        <v>412</v>
      </c>
      <c r="C418" s="15">
        <v>17347</v>
      </c>
      <c r="D418" s="15" t="s">
        <v>49</v>
      </c>
      <c r="E418" s="15">
        <v>23</v>
      </c>
      <c r="F418" s="27">
        <v>79.92</v>
      </c>
      <c r="G418" s="15" t="s">
        <v>72</v>
      </c>
      <c r="H418" s="35">
        <v>0.12</v>
      </c>
      <c r="I418" s="15" t="s">
        <v>734</v>
      </c>
      <c r="J418" s="27">
        <v>6.97</v>
      </c>
      <c r="K418" s="15" t="s">
        <v>44</v>
      </c>
      <c r="L418" s="15" t="s">
        <v>31</v>
      </c>
      <c r="M418" s="15" t="s">
        <v>22</v>
      </c>
      <c r="N418" s="15" t="s">
        <v>23</v>
      </c>
      <c r="O418" s="15" t="s">
        <v>39</v>
      </c>
      <c r="P418" s="15" t="s">
        <v>34</v>
      </c>
      <c r="Q418" s="27">
        <v>1838.16</v>
      </c>
      <c r="R418" s="27">
        <v>220.57920000000001</v>
      </c>
      <c r="S418" s="31">
        <v>1617.5808000000002</v>
      </c>
    </row>
    <row r="419" spans="1:19" x14ac:dyDescent="0.25">
      <c r="A419" s="20">
        <v>45684</v>
      </c>
      <c r="B419" s="15" t="s">
        <v>189</v>
      </c>
      <c r="C419" s="15">
        <v>45211</v>
      </c>
      <c r="D419" s="15" t="s">
        <v>70</v>
      </c>
      <c r="E419" s="15">
        <v>26</v>
      </c>
      <c r="F419" s="27">
        <v>33.99</v>
      </c>
      <c r="G419" s="15" t="s">
        <v>52</v>
      </c>
      <c r="H419" s="35">
        <v>0.2</v>
      </c>
      <c r="I419" s="15" t="s">
        <v>734</v>
      </c>
      <c r="J419" s="27">
        <v>6.41</v>
      </c>
      <c r="K419" s="15" t="s">
        <v>30</v>
      </c>
      <c r="L419" s="15" t="s">
        <v>31</v>
      </c>
      <c r="M419" s="15" t="s">
        <v>22</v>
      </c>
      <c r="N419" s="15" t="s">
        <v>23</v>
      </c>
      <c r="O419" s="15" t="s">
        <v>24</v>
      </c>
      <c r="P419" s="15" t="s">
        <v>40</v>
      </c>
      <c r="Q419" s="27">
        <v>883.74</v>
      </c>
      <c r="R419" s="27">
        <v>176.74800000000002</v>
      </c>
      <c r="S419" s="31">
        <v>706.99199999999996</v>
      </c>
    </row>
    <row r="420" spans="1:19" x14ac:dyDescent="0.25">
      <c r="A420" s="20">
        <v>45684</v>
      </c>
      <c r="B420" s="15" t="s">
        <v>413</v>
      </c>
      <c r="C420" s="15">
        <v>85991</v>
      </c>
      <c r="D420" s="15" t="s">
        <v>70</v>
      </c>
      <c r="E420" s="15">
        <v>5</v>
      </c>
      <c r="F420" s="27">
        <v>57.94</v>
      </c>
      <c r="G420" s="15" t="s">
        <v>52</v>
      </c>
      <c r="H420" s="35">
        <v>0.26</v>
      </c>
      <c r="I420" s="15" t="s">
        <v>734</v>
      </c>
      <c r="J420" s="27">
        <v>8.82</v>
      </c>
      <c r="K420" s="15" t="s">
        <v>50</v>
      </c>
      <c r="L420" s="15" t="s">
        <v>31</v>
      </c>
      <c r="M420" s="15" t="s">
        <v>22</v>
      </c>
      <c r="N420" s="15" t="s">
        <v>38</v>
      </c>
      <c r="O420" s="15" t="s">
        <v>33</v>
      </c>
      <c r="P420" s="15" t="s">
        <v>34</v>
      </c>
      <c r="Q420" s="27">
        <v>289.7</v>
      </c>
      <c r="R420" s="27">
        <v>75.322000000000003</v>
      </c>
      <c r="S420" s="31">
        <v>214.37799999999999</v>
      </c>
    </row>
    <row r="421" spans="1:19" x14ac:dyDescent="0.25">
      <c r="A421" s="20">
        <v>45684</v>
      </c>
      <c r="B421" s="15" t="s">
        <v>67</v>
      </c>
      <c r="C421" s="15">
        <v>90517</v>
      </c>
      <c r="D421" s="15" t="s">
        <v>57</v>
      </c>
      <c r="E421" s="15">
        <v>46</v>
      </c>
      <c r="F421" s="27">
        <v>97.73</v>
      </c>
      <c r="G421" s="15" t="s">
        <v>76</v>
      </c>
      <c r="H421" s="35">
        <v>0.28000000000000003</v>
      </c>
      <c r="I421" s="15" t="s">
        <v>19</v>
      </c>
      <c r="J421" s="27">
        <v>11.06</v>
      </c>
      <c r="K421" s="15" t="s">
        <v>44</v>
      </c>
      <c r="L421" s="15" t="s">
        <v>21</v>
      </c>
      <c r="M421" s="15" t="s">
        <v>22</v>
      </c>
      <c r="N421" s="15" t="s">
        <v>53</v>
      </c>
      <c r="O421" s="15" t="s">
        <v>33</v>
      </c>
      <c r="P421" s="15" t="s">
        <v>25</v>
      </c>
      <c r="Q421" s="27">
        <v>4495.58</v>
      </c>
      <c r="R421" s="27">
        <v>1258.7624000000001</v>
      </c>
      <c r="S421" s="31">
        <v>3236.8175999999999</v>
      </c>
    </row>
    <row r="422" spans="1:19" x14ac:dyDescent="0.25">
      <c r="A422" s="20">
        <v>45684</v>
      </c>
      <c r="B422" s="15" t="s">
        <v>228</v>
      </c>
      <c r="C422" s="15">
        <v>40495</v>
      </c>
      <c r="D422" s="15" t="s">
        <v>68</v>
      </c>
      <c r="E422" s="15">
        <v>38</v>
      </c>
      <c r="F422" s="27">
        <v>73.459999999999994</v>
      </c>
      <c r="G422" s="15" t="s">
        <v>28</v>
      </c>
      <c r="H422" s="35">
        <v>0.36</v>
      </c>
      <c r="I422" s="15" t="s">
        <v>29</v>
      </c>
      <c r="J422" s="27">
        <v>10.69</v>
      </c>
      <c r="K422" s="15" t="s">
        <v>37</v>
      </c>
      <c r="L422" s="15" t="s">
        <v>21</v>
      </c>
      <c r="M422" s="15" t="s">
        <v>22</v>
      </c>
      <c r="N422" s="15" t="s">
        <v>53</v>
      </c>
      <c r="O422" s="15" t="s">
        <v>59</v>
      </c>
      <c r="P422" s="15" t="s">
        <v>25</v>
      </c>
      <c r="Q422" s="27">
        <v>2791.4799999999996</v>
      </c>
      <c r="R422" s="27">
        <v>1004.9327999999998</v>
      </c>
      <c r="S422" s="31">
        <v>1786.5471999999997</v>
      </c>
    </row>
    <row r="423" spans="1:19" x14ac:dyDescent="0.25">
      <c r="A423" s="20">
        <v>45684</v>
      </c>
      <c r="B423" s="15" t="s">
        <v>414</v>
      </c>
      <c r="C423" s="15">
        <v>86549</v>
      </c>
      <c r="D423" s="15" t="s">
        <v>27</v>
      </c>
      <c r="E423" s="15">
        <v>9</v>
      </c>
      <c r="F423" s="27">
        <v>82.33</v>
      </c>
      <c r="G423" s="15" t="s">
        <v>99</v>
      </c>
      <c r="H423" s="35">
        <v>0.18</v>
      </c>
      <c r="I423" s="15" t="s">
        <v>19</v>
      </c>
      <c r="J423" s="27">
        <v>12.27</v>
      </c>
      <c r="K423" s="15" t="s">
        <v>37</v>
      </c>
      <c r="L423" s="15" t="s">
        <v>31</v>
      </c>
      <c r="M423" s="15" t="s">
        <v>22</v>
      </c>
      <c r="N423" s="15" t="s">
        <v>38</v>
      </c>
      <c r="O423" s="15" t="s">
        <v>81</v>
      </c>
      <c r="P423" s="15" t="s">
        <v>34</v>
      </c>
      <c r="Q423" s="27">
        <v>740.97</v>
      </c>
      <c r="R423" s="27">
        <v>133.37459999999999</v>
      </c>
      <c r="S423" s="31">
        <v>607.59540000000004</v>
      </c>
    </row>
    <row r="424" spans="1:19" x14ac:dyDescent="0.25">
      <c r="A424" s="20">
        <v>45684</v>
      </c>
      <c r="B424" s="15" t="s">
        <v>415</v>
      </c>
      <c r="C424" s="15">
        <v>92648</v>
      </c>
      <c r="D424" s="15" t="s">
        <v>57</v>
      </c>
      <c r="E424" s="15">
        <v>14</v>
      </c>
      <c r="F424" s="27">
        <v>36.200000000000003</v>
      </c>
      <c r="G424" s="15" t="s">
        <v>99</v>
      </c>
      <c r="H424" s="35">
        <v>0.36</v>
      </c>
      <c r="I424" s="15" t="s">
        <v>29</v>
      </c>
      <c r="J424" s="27">
        <v>27.66</v>
      </c>
      <c r="K424" s="15" t="s">
        <v>37</v>
      </c>
      <c r="L424" s="15" t="s">
        <v>31</v>
      </c>
      <c r="M424" s="15" t="s">
        <v>22</v>
      </c>
      <c r="N424" s="15" t="s">
        <v>32</v>
      </c>
      <c r="O424" s="15" t="s">
        <v>59</v>
      </c>
      <c r="P424" s="15" t="s">
        <v>40</v>
      </c>
      <c r="Q424" s="27">
        <v>506.80000000000007</v>
      </c>
      <c r="R424" s="27">
        <v>182.44800000000001</v>
      </c>
      <c r="S424" s="31">
        <v>324.35200000000009</v>
      </c>
    </row>
    <row r="425" spans="1:19" x14ac:dyDescent="0.25">
      <c r="A425" s="20">
        <v>45685</v>
      </c>
      <c r="B425" s="15" t="s">
        <v>234</v>
      </c>
      <c r="C425" s="15">
        <v>96268</v>
      </c>
      <c r="D425" s="15" t="s">
        <v>70</v>
      </c>
      <c r="E425" s="15">
        <v>32</v>
      </c>
      <c r="F425" s="27">
        <v>62.13</v>
      </c>
      <c r="G425" s="15" t="s">
        <v>58</v>
      </c>
      <c r="H425" s="35">
        <v>0.36</v>
      </c>
      <c r="I425" s="15" t="s">
        <v>29</v>
      </c>
      <c r="J425" s="27">
        <v>29.6</v>
      </c>
      <c r="K425" s="15" t="s">
        <v>30</v>
      </c>
      <c r="L425" s="15" t="s">
        <v>31</v>
      </c>
      <c r="M425" s="15" t="s">
        <v>22</v>
      </c>
      <c r="N425" s="15" t="s">
        <v>38</v>
      </c>
      <c r="O425" s="15" t="s">
        <v>24</v>
      </c>
      <c r="P425" s="15" t="s">
        <v>40</v>
      </c>
      <c r="Q425" s="27">
        <v>1988.16</v>
      </c>
      <c r="R425" s="27">
        <v>715.73760000000004</v>
      </c>
      <c r="S425" s="31">
        <v>1272.4223999999999</v>
      </c>
    </row>
    <row r="426" spans="1:19" x14ac:dyDescent="0.25">
      <c r="A426" s="20">
        <v>45685</v>
      </c>
      <c r="B426" s="15" t="s">
        <v>416</v>
      </c>
      <c r="C426" s="15">
        <v>23361</v>
      </c>
      <c r="D426" s="15" t="s">
        <v>46</v>
      </c>
      <c r="E426" s="15">
        <v>2</v>
      </c>
      <c r="F426" s="27">
        <v>26.52</v>
      </c>
      <c r="G426" s="15" t="s">
        <v>84</v>
      </c>
      <c r="H426" s="35">
        <v>0.18</v>
      </c>
      <c r="I426" s="15" t="s">
        <v>19</v>
      </c>
      <c r="J426" s="27">
        <v>6.96</v>
      </c>
      <c r="K426" s="15" t="s">
        <v>50</v>
      </c>
      <c r="L426" s="15" t="s">
        <v>31</v>
      </c>
      <c r="M426" s="15" t="s">
        <v>22</v>
      </c>
      <c r="N426" s="15" t="s">
        <v>23</v>
      </c>
      <c r="O426" s="15" t="s">
        <v>39</v>
      </c>
      <c r="P426" s="15" t="s">
        <v>25</v>
      </c>
      <c r="Q426" s="27">
        <v>53.04</v>
      </c>
      <c r="R426" s="27">
        <v>9.5472000000000001</v>
      </c>
      <c r="S426" s="31">
        <v>43.492800000000003</v>
      </c>
    </row>
    <row r="427" spans="1:19" x14ac:dyDescent="0.25">
      <c r="A427" s="20">
        <v>45685</v>
      </c>
      <c r="B427" s="15" t="s">
        <v>414</v>
      </c>
      <c r="C427" s="15">
        <v>62339</v>
      </c>
      <c r="D427" s="15" t="s">
        <v>75</v>
      </c>
      <c r="E427" s="15">
        <v>3</v>
      </c>
      <c r="F427" s="27">
        <v>53</v>
      </c>
      <c r="G427" s="15" t="s">
        <v>52</v>
      </c>
      <c r="H427" s="35">
        <v>0.02</v>
      </c>
      <c r="I427" s="15" t="s">
        <v>29</v>
      </c>
      <c r="J427" s="27">
        <v>23.73</v>
      </c>
      <c r="K427" s="15" t="s">
        <v>37</v>
      </c>
      <c r="L427" s="15" t="s">
        <v>31</v>
      </c>
      <c r="M427" s="15" t="s">
        <v>22</v>
      </c>
      <c r="N427" s="15" t="s">
        <v>53</v>
      </c>
      <c r="O427" s="15" t="s">
        <v>33</v>
      </c>
      <c r="P427" s="15" t="s">
        <v>34</v>
      </c>
      <c r="Q427" s="27">
        <v>159</v>
      </c>
      <c r="R427" s="27">
        <v>3.18</v>
      </c>
      <c r="S427" s="31">
        <v>155.82</v>
      </c>
    </row>
    <row r="428" spans="1:19" x14ac:dyDescent="0.25">
      <c r="A428" s="20">
        <v>45685</v>
      </c>
      <c r="B428" s="15" t="s">
        <v>417</v>
      </c>
      <c r="C428" s="15">
        <v>24006</v>
      </c>
      <c r="D428" s="15" t="s">
        <v>42</v>
      </c>
      <c r="E428" s="15">
        <v>44</v>
      </c>
      <c r="F428" s="27">
        <v>66.83</v>
      </c>
      <c r="G428" s="15" t="s">
        <v>36</v>
      </c>
      <c r="H428" s="35">
        <v>0</v>
      </c>
      <c r="I428" s="15" t="s">
        <v>29</v>
      </c>
      <c r="J428" s="27">
        <v>9.5299999999999994</v>
      </c>
      <c r="K428" s="15" t="s">
        <v>44</v>
      </c>
      <c r="L428" s="15" t="s">
        <v>31</v>
      </c>
      <c r="M428" s="15" t="s">
        <v>22</v>
      </c>
      <c r="N428" s="15" t="s">
        <v>38</v>
      </c>
      <c r="O428" s="15" t="s">
        <v>81</v>
      </c>
      <c r="P428" s="15" t="s">
        <v>25</v>
      </c>
      <c r="Q428" s="27">
        <v>2940.52</v>
      </c>
      <c r="R428" s="27">
        <v>0</v>
      </c>
      <c r="S428" s="31">
        <v>2940.52</v>
      </c>
    </row>
    <row r="429" spans="1:19" x14ac:dyDescent="0.25">
      <c r="A429" s="20">
        <v>45685</v>
      </c>
      <c r="B429" s="15" t="s">
        <v>135</v>
      </c>
      <c r="C429" s="15">
        <v>36914</v>
      </c>
      <c r="D429" s="15" t="s">
        <v>46</v>
      </c>
      <c r="E429" s="15">
        <v>42</v>
      </c>
      <c r="F429" s="27">
        <v>17.05</v>
      </c>
      <c r="G429" s="15" t="s">
        <v>76</v>
      </c>
      <c r="H429" s="35">
        <v>0.01</v>
      </c>
      <c r="I429" s="15" t="s">
        <v>29</v>
      </c>
      <c r="J429" s="27">
        <v>29.41</v>
      </c>
      <c r="K429" s="15" t="s">
        <v>50</v>
      </c>
      <c r="L429" s="15" t="s">
        <v>31</v>
      </c>
      <c r="M429" s="15" t="s">
        <v>22</v>
      </c>
      <c r="N429" s="15" t="s">
        <v>53</v>
      </c>
      <c r="O429" s="15" t="s">
        <v>33</v>
      </c>
      <c r="P429" s="15" t="s">
        <v>25</v>
      </c>
      <c r="Q429" s="27">
        <v>716.1</v>
      </c>
      <c r="R429" s="27">
        <v>7.1610000000000005</v>
      </c>
      <c r="S429" s="31">
        <v>708.93900000000008</v>
      </c>
    </row>
    <row r="430" spans="1:19" x14ac:dyDescent="0.25">
      <c r="A430" s="20">
        <v>45685</v>
      </c>
      <c r="B430" s="15" t="s">
        <v>218</v>
      </c>
      <c r="C430" s="15">
        <v>81604</v>
      </c>
      <c r="D430" s="15" t="s">
        <v>46</v>
      </c>
      <c r="E430" s="15">
        <v>37</v>
      </c>
      <c r="F430" s="27">
        <v>2.42</v>
      </c>
      <c r="G430" s="15" t="s">
        <v>18</v>
      </c>
      <c r="H430" s="35">
        <v>0.02</v>
      </c>
      <c r="I430" s="15" t="s">
        <v>29</v>
      </c>
      <c r="J430" s="27">
        <v>14.69</v>
      </c>
      <c r="K430" s="15" t="s">
        <v>20</v>
      </c>
      <c r="L430" s="15" t="s">
        <v>31</v>
      </c>
      <c r="M430" s="15" t="s">
        <v>111</v>
      </c>
      <c r="N430" s="15" t="s">
        <v>53</v>
      </c>
      <c r="O430" s="15" t="s">
        <v>33</v>
      </c>
      <c r="P430" s="15" t="s">
        <v>34</v>
      </c>
      <c r="Q430" s="27">
        <v>89.539999999999992</v>
      </c>
      <c r="R430" s="27">
        <v>1.7907999999999999</v>
      </c>
      <c r="S430" s="31">
        <v>87.749199999999988</v>
      </c>
    </row>
    <row r="431" spans="1:19" x14ac:dyDescent="0.25">
      <c r="A431" s="20">
        <v>45685</v>
      </c>
      <c r="B431" s="15" t="s">
        <v>328</v>
      </c>
      <c r="C431" s="15">
        <v>91629</v>
      </c>
      <c r="D431" s="15" t="s">
        <v>68</v>
      </c>
      <c r="E431" s="15">
        <v>49</v>
      </c>
      <c r="F431" s="27">
        <v>55.96</v>
      </c>
      <c r="G431" s="15" t="s">
        <v>72</v>
      </c>
      <c r="H431" s="35">
        <v>0.39</v>
      </c>
      <c r="I431" s="15" t="s">
        <v>29</v>
      </c>
      <c r="J431" s="27">
        <v>22.96</v>
      </c>
      <c r="K431" s="15" t="s">
        <v>50</v>
      </c>
      <c r="L431" s="15" t="s">
        <v>31</v>
      </c>
      <c r="M431" s="15" t="s">
        <v>22</v>
      </c>
      <c r="N431" s="15" t="s">
        <v>32</v>
      </c>
      <c r="O431" s="15" t="s">
        <v>24</v>
      </c>
      <c r="P431" s="15" t="s">
        <v>25</v>
      </c>
      <c r="Q431" s="27">
        <v>2742.04</v>
      </c>
      <c r="R431" s="27">
        <v>1069.3956000000001</v>
      </c>
      <c r="S431" s="31">
        <v>1672.6443999999999</v>
      </c>
    </row>
    <row r="432" spans="1:19" x14ac:dyDescent="0.25">
      <c r="A432" s="20">
        <v>45685</v>
      </c>
      <c r="B432" s="15" t="s">
        <v>418</v>
      </c>
      <c r="C432" s="15">
        <v>92920</v>
      </c>
      <c r="D432" s="15" t="s">
        <v>57</v>
      </c>
      <c r="E432" s="15">
        <v>23</v>
      </c>
      <c r="F432" s="27">
        <v>53.54</v>
      </c>
      <c r="G432" s="15" t="s">
        <v>43</v>
      </c>
      <c r="H432" s="35">
        <v>0.34</v>
      </c>
      <c r="I432" s="15" t="s">
        <v>19</v>
      </c>
      <c r="J432" s="27">
        <v>10.56</v>
      </c>
      <c r="K432" s="15" t="s">
        <v>50</v>
      </c>
      <c r="L432" s="15" t="s">
        <v>31</v>
      </c>
      <c r="M432" s="15" t="s">
        <v>22</v>
      </c>
      <c r="N432" s="15" t="s">
        <v>23</v>
      </c>
      <c r="O432" s="15" t="s">
        <v>24</v>
      </c>
      <c r="P432" s="15" t="s">
        <v>40</v>
      </c>
      <c r="Q432" s="27">
        <v>1231.42</v>
      </c>
      <c r="R432" s="27">
        <v>418.68280000000004</v>
      </c>
      <c r="S432" s="31">
        <v>812.73720000000003</v>
      </c>
    </row>
    <row r="433" spans="1:19" x14ac:dyDescent="0.25">
      <c r="A433" s="20">
        <v>45685</v>
      </c>
      <c r="B433" s="15" t="s">
        <v>124</v>
      </c>
      <c r="C433" s="15">
        <v>79524</v>
      </c>
      <c r="D433" s="15" t="s">
        <v>57</v>
      </c>
      <c r="E433" s="15">
        <v>27</v>
      </c>
      <c r="F433" s="27">
        <v>66.599999999999994</v>
      </c>
      <c r="G433" s="15" t="s">
        <v>43</v>
      </c>
      <c r="H433" s="35">
        <v>0.48</v>
      </c>
      <c r="I433" s="15" t="s">
        <v>19</v>
      </c>
      <c r="J433" s="27">
        <v>21.49</v>
      </c>
      <c r="K433" s="15" t="s">
        <v>37</v>
      </c>
      <c r="L433" s="15" t="s">
        <v>31</v>
      </c>
      <c r="M433" s="15" t="s">
        <v>22</v>
      </c>
      <c r="N433" s="15" t="s">
        <v>32</v>
      </c>
      <c r="O433" s="15" t="s">
        <v>81</v>
      </c>
      <c r="P433" s="15" t="s">
        <v>25</v>
      </c>
      <c r="Q433" s="27">
        <v>1798.1999999999998</v>
      </c>
      <c r="R433" s="27">
        <v>863.13599999999985</v>
      </c>
      <c r="S433" s="31">
        <v>935.06399999999996</v>
      </c>
    </row>
    <row r="434" spans="1:19" x14ac:dyDescent="0.25">
      <c r="A434" s="20">
        <v>45685</v>
      </c>
      <c r="B434" s="15" t="s">
        <v>391</v>
      </c>
      <c r="C434" s="15">
        <v>19766</v>
      </c>
      <c r="D434" s="15" t="s">
        <v>66</v>
      </c>
      <c r="E434" s="15">
        <v>7</v>
      </c>
      <c r="F434" s="27">
        <v>54.12</v>
      </c>
      <c r="G434" s="15" t="s">
        <v>55</v>
      </c>
      <c r="H434" s="35">
        <v>0.11</v>
      </c>
      <c r="I434" s="15" t="s">
        <v>734</v>
      </c>
      <c r="J434" s="27">
        <v>22.51</v>
      </c>
      <c r="K434" s="15" t="s">
        <v>37</v>
      </c>
      <c r="L434" s="15" t="s">
        <v>21</v>
      </c>
      <c r="M434" s="15" t="s">
        <v>22</v>
      </c>
      <c r="N434" s="15" t="s">
        <v>38</v>
      </c>
      <c r="O434" s="15" t="s">
        <v>59</v>
      </c>
      <c r="P434" s="15" t="s">
        <v>34</v>
      </c>
      <c r="Q434" s="27">
        <v>378.84</v>
      </c>
      <c r="R434" s="27">
        <v>41.672399999999996</v>
      </c>
      <c r="S434" s="31">
        <v>337.16759999999999</v>
      </c>
    </row>
    <row r="435" spans="1:19" x14ac:dyDescent="0.25">
      <c r="A435" s="20">
        <v>45685</v>
      </c>
      <c r="B435" s="15" t="s">
        <v>419</v>
      </c>
      <c r="C435" s="15">
        <v>52499</v>
      </c>
      <c r="D435" s="15" t="s">
        <v>27</v>
      </c>
      <c r="E435" s="15">
        <v>2</v>
      </c>
      <c r="F435" s="27">
        <v>12.1</v>
      </c>
      <c r="G435" s="15" t="s">
        <v>55</v>
      </c>
      <c r="H435" s="35">
        <v>0.14000000000000001</v>
      </c>
      <c r="I435" s="15" t="s">
        <v>29</v>
      </c>
      <c r="J435" s="27">
        <v>18.27</v>
      </c>
      <c r="K435" s="15" t="s">
        <v>30</v>
      </c>
      <c r="L435" s="15" t="s">
        <v>31</v>
      </c>
      <c r="M435" s="15" t="s">
        <v>22</v>
      </c>
      <c r="N435" s="15" t="s">
        <v>23</v>
      </c>
      <c r="O435" s="15" t="s">
        <v>33</v>
      </c>
      <c r="P435" s="15" t="s">
        <v>25</v>
      </c>
      <c r="Q435" s="27">
        <v>24.2</v>
      </c>
      <c r="R435" s="27">
        <v>3.3880000000000003</v>
      </c>
      <c r="S435" s="31">
        <v>20.811999999999998</v>
      </c>
    </row>
    <row r="436" spans="1:19" x14ac:dyDescent="0.25">
      <c r="A436" s="20">
        <v>45685</v>
      </c>
      <c r="B436" s="15" t="s">
        <v>178</v>
      </c>
      <c r="C436" s="15">
        <v>70987</v>
      </c>
      <c r="D436" s="15" t="s">
        <v>89</v>
      </c>
      <c r="E436" s="15">
        <v>4</v>
      </c>
      <c r="F436" s="27">
        <v>65.64</v>
      </c>
      <c r="G436" s="15" t="s">
        <v>47</v>
      </c>
      <c r="H436" s="35">
        <v>0.23</v>
      </c>
      <c r="I436" s="15" t="s">
        <v>734</v>
      </c>
      <c r="J436" s="27">
        <v>26.94</v>
      </c>
      <c r="K436" s="15" t="s">
        <v>50</v>
      </c>
      <c r="L436" s="15" t="s">
        <v>21</v>
      </c>
      <c r="M436" s="15" t="s">
        <v>22</v>
      </c>
      <c r="N436" s="15" t="s">
        <v>23</v>
      </c>
      <c r="O436" s="15" t="s">
        <v>33</v>
      </c>
      <c r="P436" s="15" t="s">
        <v>25</v>
      </c>
      <c r="Q436" s="27">
        <v>262.56</v>
      </c>
      <c r="R436" s="27">
        <v>60.388800000000003</v>
      </c>
      <c r="S436" s="31">
        <v>202.1712</v>
      </c>
    </row>
    <row r="437" spans="1:19" x14ac:dyDescent="0.25">
      <c r="A437" s="20">
        <v>45685</v>
      </c>
      <c r="B437" s="15" t="s">
        <v>420</v>
      </c>
      <c r="C437" s="15">
        <v>28665</v>
      </c>
      <c r="D437" s="15" t="s">
        <v>49</v>
      </c>
      <c r="E437" s="15">
        <v>10</v>
      </c>
      <c r="F437" s="27">
        <v>94.31</v>
      </c>
      <c r="G437" s="15" t="s">
        <v>36</v>
      </c>
      <c r="H437" s="35">
        <v>0.28000000000000003</v>
      </c>
      <c r="I437" s="15" t="s">
        <v>734</v>
      </c>
      <c r="J437" s="27">
        <v>21.1</v>
      </c>
      <c r="K437" s="15" t="s">
        <v>37</v>
      </c>
      <c r="L437" s="15" t="s">
        <v>21</v>
      </c>
      <c r="M437" s="15" t="s">
        <v>22</v>
      </c>
      <c r="N437" s="15" t="s">
        <v>38</v>
      </c>
      <c r="O437" s="15" t="s">
        <v>81</v>
      </c>
      <c r="P437" s="15" t="s">
        <v>40</v>
      </c>
      <c r="Q437" s="27">
        <v>943.1</v>
      </c>
      <c r="R437" s="27">
        <v>264.06800000000004</v>
      </c>
      <c r="S437" s="31">
        <v>679.03199999999993</v>
      </c>
    </row>
    <row r="438" spans="1:19" x14ac:dyDescent="0.25">
      <c r="A438" s="20">
        <v>45685</v>
      </c>
      <c r="B438" s="15" t="s">
        <v>391</v>
      </c>
      <c r="C438" s="15">
        <v>89484</v>
      </c>
      <c r="D438" s="15" t="s">
        <v>57</v>
      </c>
      <c r="E438" s="15">
        <v>24</v>
      </c>
      <c r="F438" s="27">
        <v>71.25</v>
      </c>
      <c r="G438" s="15" t="s">
        <v>58</v>
      </c>
      <c r="H438" s="35">
        <v>0.35</v>
      </c>
      <c r="I438" s="15" t="s">
        <v>19</v>
      </c>
      <c r="J438" s="27">
        <v>5.84</v>
      </c>
      <c r="K438" s="15" t="s">
        <v>50</v>
      </c>
      <c r="L438" s="15" t="s">
        <v>31</v>
      </c>
      <c r="M438" s="15" t="s">
        <v>22</v>
      </c>
      <c r="N438" s="15" t="s">
        <v>53</v>
      </c>
      <c r="O438" s="15" t="s">
        <v>24</v>
      </c>
      <c r="P438" s="15" t="s">
        <v>40</v>
      </c>
      <c r="Q438" s="27">
        <v>1710</v>
      </c>
      <c r="R438" s="27">
        <v>598.5</v>
      </c>
      <c r="S438" s="31">
        <v>1111.5</v>
      </c>
    </row>
    <row r="439" spans="1:19" x14ac:dyDescent="0.25">
      <c r="A439" s="20">
        <v>45685</v>
      </c>
      <c r="B439" s="15" t="s">
        <v>110</v>
      </c>
      <c r="C439" s="15">
        <v>70273</v>
      </c>
      <c r="D439" s="15" t="s">
        <v>17</v>
      </c>
      <c r="E439" s="15">
        <v>28</v>
      </c>
      <c r="F439" s="27">
        <v>63.09</v>
      </c>
      <c r="G439" s="15" t="s">
        <v>76</v>
      </c>
      <c r="H439" s="35">
        <v>0.28000000000000003</v>
      </c>
      <c r="I439" s="15" t="s">
        <v>734</v>
      </c>
      <c r="J439" s="27">
        <v>8.83</v>
      </c>
      <c r="K439" s="15" t="s">
        <v>37</v>
      </c>
      <c r="L439" s="15" t="s">
        <v>31</v>
      </c>
      <c r="M439" s="15" t="s">
        <v>22</v>
      </c>
      <c r="N439" s="15" t="s">
        <v>32</v>
      </c>
      <c r="O439" s="15" t="s">
        <v>59</v>
      </c>
      <c r="P439" s="15" t="s">
        <v>40</v>
      </c>
      <c r="Q439" s="27">
        <v>1766.52</v>
      </c>
      <c r="R439" s="27">
        <v>494.62560000000002</v>
      </c>
      <c r="S439" s="31">
        <v>1271.8943999999999</v>
      </c>
    </row>
    <row r="440" spans="1:19" x14ac:dyDescent="0.25">
      <c r="A440" s="20">
        <v>45685</v>
      </c>
      <c r="B440" s="15" t="s">
        <v>421</v>
      </c>
      <c r="C440" s="15">
        <v>61730</v>
      </c>
      <c r="D440" s="15" t="s">
        <v>68</v>
      </c>
      <c r="E440" s="15">
        <v>19</v>
      </c>
      <c r="F440" s="27">
        <v>96.2</v>
      </c>
      <c r="G440" s="15" t="s">
        <v>72</v>
      </c>
      <c r="H440" s="35">
        <v>0.25</v>
      </c>
      <c r="I440" s="15" t="s">
        <v>29</v>
      </c>
      <c r="J440" s="27">
        <v>13.2</v>
      </c>
      <c r="K440" s="15" t="s">
        <v>20</v>
      </c>
      <c r="L440" s="15" t="s">
        <v>31</v>
      </c>
      <c r="M440" s="15" t="s">
        <v>22</v>
      </c>
      <c r="N440" s="15" t="s">
        <v>53</v>
      </c>
      <c r="O440" s="15" t="s">
        <v>24</v>
      </c>
      <c r="P440" s="15" t="s">
        <v>25</v>
      </c>
      <c r="Q440" s="27">
        <v>1827.8</v>
      </c>
      <c r="R440" s="27">
        <v>456.95</v>
      </c>
      <c r="S440" s="31">
        <v>1370.85</v>
      </c>
    </row>
    <row r="441" spans="1:19" x14ac:dyDescent="0.25">
      <c r="A441" s="20">
        <v>45685</v>
      </c>
      <c r="B441" s="15" t="s">
        <v>422</v>
      </c>
      <c r="C441" s="15">
        <v>71254</v>
      </c>
      <c r="D441" s="15" t="s">
        <v>89</v>
      </c>
      <c r="E441" s="15">
        <v>19</v>
      </c>
      <c r="F441" s="27">
        <v>96.5</v>
      </c>
      <c r="G441" s="15" t="s">
        <v>76</v>
      </c>
      <c r="H441" s="35">
        <v>0.37</v>
      </c>
      <c r="I441" s="15" t="s">
        <v>734</v>
      </c>
      <c r="J441" s="27">
        <v>29.41</v>
      </c>
      <c r="K441" s="15" t="s">
        <v>44</v>
      </c>
      <c r="L441" s="15" t="s">
        <v>21</v>
      </c>
      <c r="M441" s="15" t="s">
        <v>22</v>
      </c>
      <c r="N441" s="15" t="s">
        <v>32</v>
      </c>
      <c r="O441" s="15" t="s">
        <v>33</v>
      </c>
      <c r="P441" s="15" t="s">
        <v>40</v>
      </c>
      <c r="Q441" s="27">
        <v>1833.5</v>
      </c>
      <c r="R441" s="27">
        <v>678.39499999999998</v>
      </c>
      <c r="S441" s="31">
        <v>1155.105</v>
      </c>
    </row>
    <row r="442" spans="1:19" x14ac:dyDescent="0.25">
      <c r="A442" s="20">
        <v>45685</v>
      </c>
      <c r="B442" s="15" t="s">
        <v>358</v>
      </c>
      <c r="C442" s="15">
        <v>86877</v>
      </c>
      <c r="D442" s="15" t="s">
        <v>66</v>
      </c>
      <c r="E442" s="15">
        <v>44</v>
      </c>
      <c r="F442" s="27">
        <v>72.16</v>
      </c>
      <c r="G442" s="15" t="s">
        <v>36</v>
      </c>
      <c r="H442" s="35">
        <v>0.46</v>
      </c>
      <c r="I442" s="15" t="s">
        <v>29</v>
      </c>
      <c r="J442" s="27">
        <v>9.66</v>
      </c>
      <c r="K442" s="15" t="s">
        <v>50</v>
      </c>
      <c r="L442" s="15" t="s">
        <v>31</v>
      </c>
      <c r="M442" s="15" t="s">
        <v>22</v>
      </c>
      <c r="N442" s="15" t="s">
        <v>23</v>
      </c>
      <c r="O442" s="15" t="s">
        <v>39</v>
      </c>
      <c r="P442" s="15" t="s">
        <v>40</v>
      </c>
      <c r="Q442" s="27">
        <v>3175.04</v>
      </c>
      <c r="R442" s="27">
        <v>1460.5184000000002</v>
      </c>
      <c r="S442" s="31">
        <v>1714.5215999999998</v>
      </c>
    </row>
    <row r="443" spans="1:19" x14ac:dyDescent="0.25">
      <c r="A443" s="20">
        <v>45685</v>
      </c>
      <c r="B443" s="15" t="s">
        <v>359</v>
      </c>
      <c r="C443" s="15">
        <v>87913</v>
      </c>
      <c r="D443" s="15" t="s">
        <v>89</v>
      </c>
      <c r="E443" s="15">
        <v>26</v>
      </c>
      <c r="F443" s="27">
        <v>78.81</v>
      </c>
      <c r="G443" s="15" t="s">
        <v>58</v>
      </c>
      <c r="H443" s="35">
        <v>0.14000000000000001</v>
      </c>
      <c r="I443" s="15" t="s">
        <v>19</v>
      </c>
      <c r="J443" s="27">
        <v>28.97</v>
      </c>
      <c r="K443" s="15" t="s">
        <v>30</v>
      </c>
      <c r="L443" s="15" t="s">
        <v>31</v>
      </c>
      <c r="M443" s="15" t="s">
        <v>22</v>
      </c>
      <c r="N443" s="15" t="s">
        <v>38</v>
      </c>
      <c r="O443" s="15" t="s">
        <v>81</v>
      </c>
      <c r="P443" s="15" t="s">
        <v>34</v>
      </c>
      <c r="Q443" s="27">
        <v>2049.06</v>
      </c>
      <c r="R443" s="27">
        <v>286.86840000000001</v>
      </c>
      <c r="S443" s="31">
        <v>1762.1915999999999</v>
      </c>
    </row>
    <row r="444" spans="1:19" x14ac:dyDescent="0.25">
      <c r="A444" s="20">
        <v>45686</v>
      </c>
      <c r="B444" s="15" t="s">
        <v>423</v>
      </c>
      <c r="C444" s="15">
        <v>74130</v>
      </c>
      <c r="D444" s="15" t="s">
        <v>68</v>
      </c>
      <c r="E444" s="15">
        <v>40</v>
      </c>
      <c r="F444" s="27">
        <v>87.93</v>
      </c>
      <c r="G444" s="15" t="s">
        <v>99</v>
      </c>
      <c r="H444" s="35">
        <v>7.0000000000000007E-2</v>
      </c>
      <c r="I444" s="15" t="s">
        <v>734</v>
      </c>
      <c r="J444" s="27">
        <v>24.33</v>
      </c>
      <c r="K444" s="15" t="s">
        <v>44</v>
      </c>
      <c r="L444" s="15" t="s">
        <v>31</v>
      </c>
      <c r="M444" s="15" t="s">
        <v>22</v>
      </c>
      <c r="N444" s="15" t="s">
        <v>32</v>
      </c>
      <c r="O444" s="15" t="s">
        <v>59</v>
      </c>
      <c r="P444" s="15" t="s">
        <v>34</v>
      </c>
      <c r="Q444" s="27">
        <v>3517.2000000000003</v>
      </c>
      <c r="R444" s="27">
        <v>246.20400000000004</v>
      </c>
      <c r="S444" s="31">
        <v>3270.9960000000001</v>
      </c>
    </row>
    <row r="445" spans="1:19" x14ac:dyDescent="0.25">
      <c r="A445" s="20">
        <v>45686</v>
      </c>
      <c r="B445" s="15" t="s">
        <v>424</v>
      </c>
      <c r="C445" s="15">
        <v>89061</v>
      </c>
      <c r="D445" s="15" t="s">
        <v>42</v>
      </c>
      <c r="E445" s="15">
        <v>21</v>
      </c>
      <c r="F445" s="27">
        <v>90.85</v>
      </c>
      <c r="G445" s="15" t="s">
        <v>18</v>
      </c>
      <c r="H445" s="35">
        <v>0.4</v>
      </c>
      <c r="I445" s="15" t="s">
        <v>29</v>
      </c>
      <c r="J445" s="27">
        <v>16.41</v>
      </c>
      <c r="K445" s="15" t="s">
        <v>44</v>
      </c>
      <c r="L445" s="15" t="s">
        <v>21</v>
      </c>
      <c r="M445" s="15" t="s">
        <v>22</v>
      </c>
      <c r="N445" s="15" t="s">
        <v>38</v>
      </c>
      <c r="O445" s="15" t="s">
        <v>59</v>
      </c>
      <c r="P445" s="15" t="s">
        <v>25</v>
      </c>
      <c r="Q445" s="27">
        <v>1907.85</v>
      </c>
      <c r="R445" s="27">
        <v>763.14</v>
      </c>
      <c r="S445" s="31">
        <v>1144.71</v>
      </c>
    </row>
    <row r="446" spans="1:19" x14ac:dyDescent="0.25">
      <c r="A446" s="20">
        <v>45686</v>
      </c>
      <c r="B446" s="15" t="s">
        <v>425</v>
      </c>
      <c r="C446" s="15">
        <v>24369</v>
      </c>
      <c r="D446" s="15" t="s">
        <v>57</v>
      </c>
      <c r="E446" s="15">
        <v>47</v>
      </c>
      <c r="F446" s="27">
        <v>38.04</v>
      </c>
      <c r="G446" s="15" t="s">
        <v>58</v>
      </c>
      <c r="H446" s="35">
        <v>0.11</v>
      </c>
      <c r="I446" s="15" t="s">
        <v>734</v>
      </c>
      <c r="J446" s="27">
        <v>28.24</v>
      </c>
      <c r="K446" s="15" t="s">
        <v>50</v>
      </c>
      <c r="L446" s="15" t="s">
        <v>31</v>
      </c>
      <c r="M446" s="15" t="s">
        <v>22</v>
      </c>
      <c r="N446" s="15" t="s">
        <v>23</v>
      </c>
      <c r="O446" s="15" t="s">
        <v>81</v>
      </c>
      <c r="P446" s="15" t="s">
        <v>34</v>
      </c>
      <c r="Q446" s="27">
        <v>1787.8799999999999</v>
      </c>
      <c r="R446" s="27">
        <v>196.66679999999999</v>
      </c>
      <c r="S446" s="31">
        <v>1591.2131999999999</v>
      </c>
    </row>
    <row r="447" spans="1:19" x14ac:dyDescent="0.25">
      <c r="A447" s="20">
        <v>45686</v>
      </c>
      <c r="B447" s="15" t="s">
        <v>400</v>
      </c>
      <c r="C447" s="15">
        <v>36620</v>
      </c>
      <c r="D447" s="15" t="s">
        <v>75</v>
      </c>
      <c r="E447" s="15">
        <v>22</v>
      </c>
      <c r="F447" s="27">
        <v>80.38</v>
      </c>
      <c r="G447" s="15" t="s">
        <v>43</v>
      </c>
      <c r="H447" s="35">
        <v>0.08</v>
      </c>
      <c r="I447" s="15" t="s">
        <v>29</v>
      </c>
      <c r="J447" s="27">
        <v>6.84</v>
      </c>
      <c r="K447" s="15" t="s">
        <v>37</v>
      </c>
      <c r="L447" s="15" t="s">
        <v>21</v>
      </c>
      <c r="M447" s="15" t="s">
        <v>22</v>
      </c>
      <c r="N447" s="15" t="s">
        <v>23</v>
      </c>
      <c r="O447" s="15" t="s">
        <v>59</v>
      </c>
      <c r="P447" s="15" t="s">
        <v>25</v>
      </c>
      <c r="Q447" s="27">
        <v>1768.36</v>
      </c>
      <c r="R447" s="27">
        <v>141.46879999999999</v>
      </c>
      <c r="S447" s="31">
        <v>1626.8912</v>
      </c>
    </row>
    <row r="448" spans="1:19" x14ac:dyDescent="0.25">
      <c r="A448" s="20">
        <v>45686</v>
      </c>
      <c r="B448" s="15" t="s">
        <v>426</v>
      </c>
      <c r="C448" s="15">
        <v>93742</v>
      </c>
      <c r="D448" s="15" t="s">
        <v>70</v>
      </c>
      <c r="E448" s="15">
        <v>40</v>
      </c>
      <c r="F448" s="27">
        <v>23.38</v>
      </c>
      <c r="G448" s="15" t="s">
        <v>47</v>
      </c>
      <c r="H448" s="35">
        <v>0.4</v>
      </c>
      <c r="I448" s="15" t="s">
        <v>29</v>
      </c>
      <c r="J448" s="27">
        <v>7.75</v>
      </c>
      <c r="K448" s="15" t="s">
        <v>30</v>
      </c>
      <c r="L448" s="15" t="s">
        <v>21</v>
      </c>
      <c r="M448" s="15" t="s">
        <v>22</v>
      </c>
      <c r="N448" s="15" t="s">
        <v>38</v>
      </c>
      <c r="O448" s="15" t="s">
        <v>59</v>
      </c>
      <c r="P448" s="15" t="s">
        <v>25</v>
      </c>
      <c r="Q448" s="27">
        <v>935.19999999999993</v>
      </c>
      <c r="R448" s="27">
        <v>374.08</v>
      </c>
      <c r="S448" s="31">
        <v>561.11999999999989</v>
      </c>
    </row>
    <row r="449" spans="1:19" x14ac:dyDescent="0.25">
      <c r="A449" s="20">
        <v>45686</v>
      </c>
      <c r="B449" s="15" t="s">
        <v>427</v>
      </c>
      <c r="C449" s="15">
        <v>28063</v>
      </c>
      <c r="D449" s="15" t="s">
        <v>68</v>
      </c>
      <c r="E449" s="15">
        <v>15</v>
      </c>
      <c r="F449" s="27">
        <v>53</v>
      </c>
      <c r="G449" s="15" t="s">
        <v>72</v>
      </c>
      <c r="H449" s="35">
        <v>0.16</v>
      </c>
      <c r="I449" s="15" t="s">
        <v>19</v>
      </c>
      <c r="J449" s="27">
        <v>5.98</v>
      </c>
      <c r="K449" s="15" t="s">
        <v>30</v>
      </c>
      <c r="L449" s="15" t="s">
        <v>21</v>
      </c>
      <c r="M449" s="15" t="s">
        <v>22</v>
      </c>
      <c r="N449" s="15" t="s">
        <v>23</v>
      </c>
      <c r="O449" s="15" t="s">
        <v>24</v>
      </c>
      <c r="P449" s="15" t="s">
        <v>25</v>
      </c>
      <c r="Q449" s="27">
        <v>795</v>
      </c>
      <c r="R449" s="27">
        <v>127.2</v>
      </c>
      <c r="S449" s="31">
        <v>667.8</v>
      </c>
    </row>
    <row r="450" spans="1:19" x14ac:dyDescent="0.25">
      <c r="A450" s="20">
        <v>45686</v>
      </c>
      <c r="B450" s="15" t="s">
        <v>157</v>
      </c>
      <c r="C450" s="15">
        <v>87568</v>
      </c>
      <c r="D450" s="15" t="s">
        <v>27</v>
      </c>
      <c r="E450" s="15">
        <v>8</v>
      </c>
      <c r="F450" s="27">
        <v>38.450000000000003</v>
      </c>
      <c r="G450" s="15" t="s">
        <v>72</v>
      </c>
      <c r="H450" s="35">
        <v>0.32</v>
      </c>
      <c r="I450" s="15" t="s">
        <v>734</v>
      </c>
      <c r="J450" s="27">
        <v>10.25</v>
      </c>
      <c r="K450" s="15" t="s">
        <v>30</v>
      </c>
      <c r="L450" s="15" t="s">
        <v>31</v>
      </c>
      <c r="M450" s="15" t="s">
        <v>22</v>
      </c>
      <c r="N450" s="15" t="s">
        <v>38</v>
      </c>
      <c r="O450" s="15" t="s">
        <v>24</v>
      </c>
      <c r="P450" s="15" t="s">
        <v>25</v>
      </c>
      <c r="Q450" s="27">
        <v>307.60000000000002</v>
      </c>
      <c r="R450" s="27">
        <v>98.432000000000016</v>
      </c>
      <c r="S450" s="31">
        <v>209.16800000000001</v>
      </c>
    </row>
    <row r="451" spans="1:19" x14ac:dyDescent="0.25">
      <c r="A451" s="20">
        <v>45686</v>
      </c>
      <c r="B451" s="15" t="s">
        <v>428</v>
      </c>
      <c r="C451" s="15">
        <v>63650</v>
      </c>
      <c r="D451" s="15" t="s">
        <v>49</v>
      </c>
      <c r="E451" s="15">
        <v>9</v>
      </c>
      <c r="F451" s="27">
        <v>70.7</v>
      </c>
      <c r="G451" s="15" t="s">
        <v>84</v>
      </c>
      <c r="H451" s="35">
        <v>0.46</v>
      </c>
      <c r="I451" s="15" t="s">
        <v>19</v>
      </c>
      <c r="J451" s="27">
        <v>24.78</v>
      </c>
      <c r="K451" s="15" t="s">
        <v>44</v>
      </c>
      <c r="L451" s="15" t="s">
        <v>31</v>
      </c>
      <c r="M451" s="15" t="s">
        <v>22</v>
      </c>
      <c r="N451" s="15" t="s">
        <v>23</v>
      </c>
      <c r="O451" s="15" t="s">
        <v>33</v>
      </c>
      <c r="P451" s="15" t="s">
        <v>25</v>
      </c>
      <c r="Q451" s="27">
        <v>636.30000000000007</v>
      </c>
      <c r="R451" s="27">
        <v>292.69800000000004</v>
      </c>
      <c r="S451" s="31">
        <v>343.60200000000003</v>
      </c>
    </row>
    <row r="452" spans="1:19" x14ac:dyDescent="0.25">
      <c r="A452" s="20">
        <v>45686</v>
      </c>
      <c r="B452" s="15" t="s">
        <v>395</v>
      </c>
      <c r="C452" s="15">
        <v>60919</v>
      </c>
      <c r="D452" s="15" t="s">
        <v>66</v>
      </c>
      <c r="E452" s="15">
        <v>38</v>
      </c>
      <c r="F452" s="27">
        <v>81.010000000000005</v>
      </c>
      <c r="G452" s="15" t="s">
        <v>43</v>
      </c>
      <c r="H452" s="35">
        <v>0.14000000000000001</v>
      </c>
      <c r="I452" s="15" t="s">
        <v>29</v>
      </c>
      <c r="J452" s="27">
        <v>25.2</v>
      </c>
      <c r="K452" s="15" t="s">
        <v>37</v>
      </c>
      <c r="L452" s="15" t="s">
        <v>21</v>
      </c>
      <c r="M452" s="15" t="s">
        <v>22</v>
      </c>
      <c r="N452" s="15" t="s">
        <v>23</v>
      </c>
      <c r="O452" s="15" t="s">
        <v>39</v>
      </c>
      <c r="P452" s="15" t="s">
        <v>25</v>
      </c>
      <c r="Q452" s="27">
        <v>3078.38</v>
      </c>
      <c r="R452" s="27">
        <v>430.97320000000008</v>
      </c>
      <c r="S452" s="31">
        <v>2647.4068000000002</v>
      </c>
    </row>
    <row r="453" spans="1:19" x14ac:dyDescent="0.25">
      <c r="A453" s="20">
        <v>45686</v>
      </c>
      <c r="B453" s="15" t="s">
        <v>378</v>
      </c>
      <c r="C453" s="15">
        <v>30600</v>
      </c>
      <c r="D453" s="15" t="s">
        <v>46</v>
      </c>
      <c r="E453" s="15">
        <v>46</v>
      </c>
      <c r="F453" s="27">
        <v>29.69</v>
      </c>
      <c r="G453" s="15" t="s">
        <v>84</v>
      </c>
      <c r="H453" s="35">
        <v>0.04</v>
      </c>
      <c r="I453" s="15" t="s">
        <v>734</v>
      </c>
      <c r="J453" s="27">
        <v>22.81</v>
      </c>
      <c r="K453" s="15" t="s">
        <v>20</v>
      </c>
      <c r="L453" s="15" t="s">
        <v>21</v>
      </c>
      <c r="M453" s="15" t="s">
        <v>22</v>
      </c>
      <c r="N453" s="15" t="s">
        <v>53</v>
      </c>
      <c r="O453" s="15" t="s">
        <v>24</v>
      </c>
      <c r="P453" s="15" t="s">
        <v>25</v>
      </c>
      <c r="Q453" s="27">
        <v>1365.74</v>
      </c>
      <c r="R453" s="27">
        <v>54.629600000000003</v>
      </c>
      <c r="S453" s="31">
        <v>1311.1104</v>
      </c>
    </row>
    <row r="454" spans="1:19" x14ac:dyDescent="0.25">
      <c r="A454" s="20">
        <v>45686</v>
      </c>
      <c r="B454" s="15" t="s">
        <v>429</v>
      </c>
      <c r="C454" s="15">
        <v>74485</v>
      </c>
      <c r="D454" s="15" t="s">
        <v>66</v>
      </c>
      <c r="E454" s="15">
        <v>7</v>
      </c>
      <c r="F454" s="27">
        <v>84.77</v>
      </c>
      <c r="G454" s="15" t="s">
        <v>58</v>
      </c>
      <c r="H454" s="35">
        <v>0.44</v>
      </c>
      <c r="I454" s="15" t="s">
        <v>734</v>
      </c>
      <c r="J454" s="27">
        <v>10.33</v>
      </c>
      <c r="K454" s="15" t="s">
        <v>37</v>
      </c>
      <c r="L454" s="15" t="s">
        <v>21</v>
      </c>
      <c r="M454" s="15" t="s">
        <v>22</v>
      </c>
      <c r="N454" s="15" t="s">
        <v>23</v>
      </c>
      <c r="O454" s="15" t="s">
        <v>33</v>
      </c>
      <c r="P454" s="15" t="s">
        <v>40</v>
      </c>
      <c r="Q454" s="27">
        <v>593.39</v>
      </c>
      <c r="R454" s="27">
        <v>261.09159999999997</v>
      </c>
      <c r="S454" s="31">
        <v>332.29840000000002</v>
      </c>
    </row>
    <row r="455" spans="1:19" x14ac:dyDescent="0.25">
      <c r="A455" s="20">
        <v>45686</v>
      </c>
      <c r="B455" s="15" t="s">
        <v>430</v>
      </c>
      <c r="C455" s="15">
        <v>94787</v>
      </c>
      <c r="D455" s="15" t="s">
        <v>68</v>
      </c>
      <c r="E455" s="15">
        <v>3</v>
      </c>
      <c r="F455" s="27">
        <v>45.21</v>
      </c>
      <c r="G455" s="15" t="s">
        <v>36</v>
      </c>
      <c r="H455" s="35">
        <v>0</v>
      </c>
      <c r="I455" s="15" t="s">
        <v>19</v>
      </c>
      <c r="J455" s="27">
        <v>22.86</v>
      </c>
      <c r="K455" s="15" t="s">
        <v>44</v>
      </c>
      <c r="L455" s="15" t="s">
        <v>21</v>
      </c>
      <c r="M455" s="15" t="s">
        <v>22</v>
      </c>
      <c r="N455" s="15" t="s">
        <v>32</v>
      </c>
      <c r="O455" s="15" t="s">
        <v>24</v>
      </c>
      <c r="P455" s="15" t="s">
        <v>40</v>
      </c>
      <c r="Q455" s="27">
        <v>135.63</v>
      </c>
      <c r="R455" s="27">
        <v>0</v>
      </c>
      <c r="S455" s="31">
        <v>135.63</v>
      </c>
    </row>
    <row r="456" spans="1:19" x14ac:dyDescent="0.25">
      <c r="A456" s="20">
        <v>45686</v>
      </c>
      <c r="B456" s="15" t="s">
        <v>336</v>
      </c>
      <c r="C456" s="15">
        <v>79717</v>
      </c>
      <c r="D456" s="15" t="s">
        <v>17</v>
      </c>
      <c r="E456" s="15">
        <v>49</v>
      </c>
      <c r="F456" s="27">
        <v>17.03</v>
      </c>
      <c r="G456" s="15" t="s">
        <v>84</v>
      </c>
      <c r="H456" s="35">
        <v>0.1</v>
      </c>
      <c r="I456" s="15" t="s">
        <v>19</v>
      </c>
      <c r="J456" s="27">
        <v>17.45</v>
      </c>
      <c r="K456" s="15" t="s">
        <v>44</v>
      </c>
      <c r="L456" s="15" t="s">
        <v>31</v>
      </c>
      <c r="M456" s="15" t="s">
        <v>22</v>
      </c>
      <c r="N456" s="15" t="s">
        <v>32</v>
      </c>
      <c r="O456" s="15" t="s">
        <v>81</v>
      </c>
      <c r="P456" s="15" t="s">
        <v>25</v>
      </c>
      <c r="Q456" s="27">
        <v>834.47</v>
      </c>
      <c r="R456" s="27">
        <v>83.447000000000003</v>
      </c>
      <c r="S456" s="31">
        <v>751.02300000000002</v>
      </c>
    </row>
    <row r="457" spans="1:19" x14ac:dyDescent="0.25">
      <c r="A457" s="20">
        <v>45686</v>
      </c>
      <c r="B457" s="15" t="s">
        <v>431</v>
      </c>
      <c r="C457" s="15">
        <v>74734</v>
      </c>
      <c r="D457" s="15" t="s">
        <v>42</v>
      </c>
      <c r="E457" s="15">
        <v>49</v>
      </c>
      <c r="F457" s="27">
        <v>49.05</v>
      </c>
      <c r="G457" s="15" t="s">
        <v>72</v>
      </c>
      <c r="H457" s="35">
        <v>0.28999999999999998</v>
      </c>
      <c r="I457" s="15" t="s">
        <v>734</v>
      </c>
      <c r="J457" s="27">
        <v>18.47</v>
      </c>
      <c r="K457" s="15" t="s">
        <v>37</v>
      </c>
      <c r="L457" s="15" t="s">
        <v>31</v>
      </c>
      <c r="M457" s="15" t="s">
        <v>22</v>
      </c>
      <c r="N457" s="15" t="s">
        <v>23</v>
      </c>
      <c r="O457" s="15" t="s">
        <v>59</v>
      </c>
      <c r="P457" s="15" t="s">
        <v>34</v>
      </c>
      <c r="Q457" s="27">
        <v>2403.4499999999998</v>
      </c>
      <c r="R457" s="27">
        <v>697.00049999999987</v>
      </c>
      <c r="S457" s="31">
        <v>1706.4494999999999</v>
      </c>
    </row>
    <row r="458" spans="1:19" x14ac:dyDescent="0.25">
      <c r="A458" s="20">
        <v>45686</v>
      </c>
      <c r="B458" s="15" t="s">
        <v>119</v>
      </c>
      <c r="C458" s="15">
        <v>64424</v>
      </c>
      <c r="D458" s="15" t="s">
        <v>49</v>
      </c>
      <c r="E458" s="15">
        <v>8</v>
      </c>
      <c r="F458" s="27">
        <v>96.98</v>
      </c>
      <c r="G458" s="15" t="s">
        <v>36</v>
      </c>
      <c r="H458" s="35">
        <v>0.3</v>
      </c>
      <c r="I458" s="15" t="s">
        <v>19</v>
      </c>
      <c r="J458" s="27">
        <v>16.59</v>
      </c>
      <c r="K458" s="15" t="s">
        <v>37</v>
      </c>
      <c r="L458" s="15" t="s">
        <v>21</v>
      </c>
      <c r="M458" s="15" t="s">
        <v>22</v>
      </c>
      <c r="N458" s="15" t="s">
        <v>23</v>
      </c>
      <c r="O458" s="15" t="s">
        <v>39</v>
      </c>
      <c r="P458" s="15" t="s">
        <v>25</v>
      </c>
      <c r="Q458" s="27">
        <v>775.84</v>
      </c>
      <c r="R458" s="27">
        <v>232.75200000000001</v>
      </c>
      <c r="S458" s="31">
        <v>543.08799999999997</v>
      </c>
    </row>
    <row r="459" spans="1:19" x14ac:dyDescent="0.25">
      <c r="A459" s="20">
        <v>45686</v>
      </c>
      <c r="B459" s="15" t="s">
        <v>138</v>
      </c>
      <c r="C459" s="15">
        <v>39111</v>
      </c>
      <c r="D459" s="15" t="s">
        <v>27</v>
      </c>
      <c r="E459" s="15">
        <v>23</v>
      </c>
      <c r="F459" s="27">
        <v>64.84</v>
      </c>
      <c r="G459" s="15" t="s">
        <v>47</v>
      </c>
      <c r="H459" s="35">
        <v>0.49</v>
      </c>
      <c r="I459" s="15" t="s">
        <v>734</v>
      </c>
      <c r="J459" s="27">
        <v>14.39</v>
      </c>
      <c r="K459" s="15" t="s">
        <v>37</v>
      </c>
      <c r="L459" s="15" t="s">
        <v>31</v>
      </c>
      <c r="M459" s="15" t="s">
        <v>22</v>
      </c>
      <c r="N459" s="15" t="s">
        <v>53</v>
      </c>
      <c r="O459" s="15" t="s">
        <v>59</v>
      </c>
      <c r="P459" s="15" t="s">
        <v>25</v>
      </c>
      <c r="Q459" s="27">
        <v>1491.3200000000002</v>
      </c>
      <c r="R459" s="27">
        <v>730.74680000000012</v>
      </c>
      <c r="S459" s="31">
        <v>760.57320000000004</v>
      </c>
    </row>
    <row r="460" spans="1:19" x14ac:dyDescent="0.25">
      <c r="A460" s="20">
        <v>45686</v>
      </c>
      <c r="B460" s="15" t="s">
        <v>432</v>
      </c>
      <c r="C460" s="15">
        <v>82168</v>
      </c>
      <c r="D460" s="15" t="s">
        <v>70</v>
      </c>
      <c r="E460" s="15">
        <v>22</v>
      </c>
      <c r="F460" s="27">
        <v>33.36</v>
      </c>
      <c r="G460" s="15" t="s">
        <v>18</v>
      </c>
      <c r="H460" s="35">
        <v>0.34</v>
      </c>
      <c r="I460" s="15" t="s">
        <v>19</v>
      </c>
      <c r="J460" s="27">
        <v>27.82</v>
      </c>
      <c r="K460" s="15" t="s">
        <v>37</v>
      </c>
      <c r="L460" s="15" t="s">
        <v>31</v>
      </c>
      <c r="M460" s="15" t="s">
        <v>22</v>
      </c>
      <c r="N460" s="15" t="s">
        <v>32</v>
      </c>
      <c r="O460" s="15" t="s">
        <v>59</v>
      </c>
      <c r="P460" s="15" t="s">
        <v>34</v>
      </c>
      <c r="Q460" s="27">
        <v>733.92</v>
      </c>
      <c r="R460" s="27">
        <v>249.53280000000001</v>
      </c>
      <c r="S460" s="31">
        <v>484.38719999999995</v>
      </c>
    </row>
    <row r="461" spans="1:19" x14ac:dyDescent="0.25">
      <c r="A461" s="20">
        <v>45686</v>
      </c>
      <c r="B461" s="15" t="s">
        <v>433</v>
      </c>
      <c r="C461" s="15">
        <v>51083</v>
      </c>
      <c r="D461" s="15" t="s">
        <v>42</v>
      </c>
      <c r="E461" s="15">
        <v>20</v>
      </c>
      <c r="F461" s="27">
        <v>27.62</v>
      </c>
      <c r="G461" s="15" t="s">
        <v>43</v>
      </c>
      <c r="H461" s="35">
        <v>0.12</v>
      </c>
      <c r="I461" s="15" t="s">
        <v>19</v>
      </c>
      <c r="J461" s="27">
        <v>12.7</v>
      </c>
      <c r="K461" s="15" t="s">
        <v>44</v>
      </c>
      <c r="L461" s="15" t="s">
        <v>21</v>
      </c>
      <c r="M461" s="15" t="s">
        <v>22</v>
      </c>
      <c r="N461" s="15" t="s">
        <v>23</v>
      </c>
      <c r="O461" s="15" t="s">
        <v>33</v>
      </c>
      <c r="P461" s="15" t="s">
        <v>34</v>
      </c>
      <c r="Q461" s="27">
        <v>552.4</v>
      </c>
      <c r="R461" s="27">
        <v>66.287999999999997</v>
      </c>
      <c r="S461" s="31">
        <v>486.11199999999997</v>
      </c>
    </row>
    <row r="462" spans="1:19" x14ac:dyDescent="0.25">
      <c r="A462" s="20">
        <v>45686</v>
      </c>
      <c r="B462" s="15" t="s">
        <v>434</v>
      </c>
      <c r="C462" s="15">
        <v>26801</v>
      </c>
      <c r="D462" s="15" t="s">
        <v>89</v>
      </c>
      <c r="E462" s="15">
        <v>3</v>
      </c>
      <c r="F462" s="27">
        <v>44.82</v>
      </c>
      <c r="G462" s="15" t="s">
        <v>72</v>
      </c>
      <c r="H462" s="35">
        <v>0.31</v>
      </c>
      <c r="I462" s="15" t="s">
        <v>734</v>
      </c>
      <c r="J462" s="27">
        <v>9.4</v>
      </c>
      <c r="K462" s="15" t="s">
        <v>37</v>
      </c>
      <c r="L462" s="15" t="s">
        <v>21</v>
      </c>
      <c r="M462" s="15" t="s">
        <v>22</v>
      </c>
      <c r="N462" s="15" t="s">
        <v>23</v>
      </c>
      <c r="O462" s="15" t="s">
        <v>33</v>
      </c>
      <c r="P462" s="15" t="s">
        <v>40</v>
      </c>
      <c r="Q462" s="27">
        <v>134.46</v>
      </c>
      <c r="R462" s="27">
        <v>41.682600000000001</v>
      </c>
      <c r="S462" s="31">
        <v>92.7774</v>
      </c>
    </row>
    <row r="463" spans="1:19" x14ac:dyDescent="0.25">
      <c r="A463" s="20">
        <v>45686</v>
      </c>
      <c r="B463" s="15" t="s">
        <v>435</v>
      </c>
      <c r="C463" s="15">
        <v>13903</v>
      </c>
      <c r="D463" s="15" t="s">
        <v>46</v>
      </c>
      <c r="E463" s="15">
        <v>22</v>
      </c>
      <c r="F463" s="27">
        <v>63.3</v>
      </c>
      <c r="G463" s="15" t="s">
        <v>18</v>
      </c>
      <c r="H463" s="35">
        <v>0.42</v>
      </c>
      <c r="I463" s="15" t="s">
        <v>19</v>
      </c>
      <c r="J463" s="27">
        <v>13.22</v>
      </c>
      <c r="K463" s="15" t="s">
        <v>44</v>
      </c>
      <c r="L463" s="15" t="s">
        <v>21</v>
      </c>
      <c r="M463" s="15" t="s">
        <v>22</v>
      </c>
      <c r="N463" s="15" t="s">
        <v>53</v>
      </c>
      <c r="O463" s="15" t="s">
        <v>33</v>
      </c>
      <c r="P463" s="15" t="s">
        <v>40</v>
      </c>
      <c r="Q463" s="27">
        <v>1392.6</v>
      </c>
      <c r="R463" s="27">
        <v>584.89199999999994</v>
      </c>
      <c r="S463" s="31">
        <v>807.70799999999997</v>
      </c>
    </row>
    <row r="464" spans="1:19" x14ac:dyDescent="0.25">
      <c r="A464" s="20">
        <v>45686</v>
      </c>
      <c r="B464" s="15" t="s">
        <v>436</v>
      </c>
      <c r="C464" s="15">
        <v>66129</v>
      </c>
      <c r="D464" s="15" t="s">
        <v>17</v>
      </c>
      <c r="E464" s="15">
        <v>49</v>
      </c>
      <c r="F464" s="27">
        <v>34.47</v>
      </c>
      <c r="G464" s="15" t="s">
        <v>58</v>
      </c>
      <c r="H464" s="35">
        <v>0.42</v>
      </c>
      <c r="I464" s="15" t="s">
        <v>19</v>
      </c>
      <c r="J464" s="27">
        <v>8.0500000000000007</v>
      </c>
      <c r="K464" s="15" t="s">
        <v>37</v>
      </c>
      <c r="L464" s="15" t="s">
        <v>21</v>
      </c>
      <c r="M464" s="15" t="s">
        <v>22</v>
      </c>
      <c r="N464" s="15" t="s">
        <v>23</v>
      </c>
      <c r="O464" s="15" t="s">
        <v>39</v>
      </c>
      <c r="P464" s="15" t="s">
        <v>40</v>
      </c>
      <c r="Q464" s="27">
        <v>1689.03</v>
      </c>
      <c r="R464" s="27">
        <v>709.39260000000002</v>
      </c>
      <c r="S464" s="31">
        <v>979.63739999999996</v>
      </c>
    </row>
    <row r="465" spans="1:19" x14ac:dyDescent="0.25">
      <c r="A465" s="20">
        <v>45686</v>
      </c>
      <c r="B465" s="15" t="s">
        <v>410</v>
      </c>
      <c r="C465" s="15">
        <v>47577</v>
      </c>
      <c r="D465" s="15" t="s">
        <v>46</v>
      </c>
      <c r="E465" s="15">
        <v>48</v>
      </c>
      <c r="F465" s="27">
        <v>19.61</v>
      </c>
      <c r="G465" s="15" t="s">
        <v>99</v>
      </c>
      <c r="H465" s="35">
        <v>0.37</v>
      </c>
      <c r="I465" s="15" t="s">
        <v>734</v>
      </c>
      <c r="J465" s="27">
        <v>27.94</v>
      </c>
      <c r="K465" s="15" t="s">
        <v>44</v>
      </c>
      <c r="L465" s="15" t="s">
        <v>31</v>
      </c>
      <c r="M465" s="15" t="s">
        <v>22</v>
      </c>
      <c r="N465" s="15" t="s">
        <v>32</v>
      </c>
      <c r="O465" s="15" t="s">
        <v>24</v>
      </c>
      <c r="P465" s="15" t="s">
        <v>25</v>
      </c>
      <c r="Q465" s="27">
        <v>941.28</v>
      </c>
      <c r="R465" s="27">
        <v>348.27359999999999</v>
      </c>
      <c r="S465" s="31">
        <v>593.00639999999999</v>
      </c>
    </row>
    <row r="466" spans="1:19" x14ac:dyDescent="0.25">
      <c r="A466" s="20">
        <v>45687</v>
      </c>
      <c r="B466" s="15" t="s">
        <v>437</v>
      </c>
      <c r="C466" s="15">
        <v>88842</v>
      </c>
      <c r="D466" s="15" t="s">
        <v>57</v>
      </c>
      <c r="E466" s="15">
        <v>38</v>
      </c>
      <c r="F466" s="27">
        <v>2.63</v>
      </c>
      <c r="G466" s="15" t="s">
        <v>43</v>
      </c>
      <c r="H466" s="35">
        <v>0.28000000000000003</v>
      </c>
      <c r="I466" s="15" t="s">
        <v>19</v>
      </c>
      <c r="J466" s="27">
        <v>14.29</v>
      </c>
      <c r="K466" s="15" t="s">
        <v>20</v>
      </c>
      <c r="L466" s="15" t="s">
        <v>31</v>
      </c>
      <c r="M466" s="15" t="s">
        <v>22</v>
      </c>
      <c r="N466" s="15" t="s">
        <v>38</v>
      </c>
      <c r="O466" s="15" t="s">
        <v>39</v>
      </c>
      <c r="P466" s="15" t="s">
        <v>25</v>
      </c>
      <c r="Q466" s="27">
        <v>99.94</v>
      </c>
      <c r="R466" s="27">
        <v>27.983200000000004</v>
      </c>
      <c r="S466" s="31">
        <v>71.956799999999987</v>
      </c>
    </row>
    <row r="467" spans="1:19" x14ac:dyDescent="0.25">
      <c r="A467" s="20">
        <v>45687</v>
      </c>
      <c r="B467" s="15" t="s">
        <v>438</v>
      </c>
      <c r="C467" s="15">
        <v>42831</v>
      </c>
      <c r="D467" s="15" t="s">
        <v>46</v>
      </c>
      <c r="E467" s="15">
        <v>38</v>
      </c>
      <c r="F467" s="27">
        <v>10.16</v>
      </c>
      <c r="G467" s="15" t="s">
        <v>18</v>
      </c>
      <c r="H467" s="35">
        <v>0.02</v>
      </c>
      <c r="I467" s="15" t="s">
        <v>19</v>
      </c>
      <c r="J467" s="27">
        <v>28.25</v>
      </c>
      <c r="K467" s="15" t="s">
        <v>20</v>
      </c>
      <c r="L467" s="15" t="s">
        <v>21</v>
      </c>
      <c r="M467" s="15" t="s">
        <v>22</v>
      </c>
      <c r="N467" s="15" t="s">
        <v>23</v>
      </c>
      <c r="O467" s="15" t="s">
        <v>33</v>
      </c>
      <c r="P467" s="15" t="s">
        <v>34</v>
      </c>
      <c r="Q467" s="27">
        <v>386.08</v>
      </c>
      <c r="R467" s="27">
        <v>7.7215999999999996</v>
      </c>
      <c r="S467" s="31">
        <v>378.35839999999996</v>
      </c>
    </row>
    <row r="468" spans="1:19" x14ac:dyDescent="0.25">
      <c r="A468" s="20">
        <v>45687</v>
      </c>
      <c r="B468" s="15" t="s">
        <v>439</v>
      </c>
      <c r="C468" s="15">
        <v>99032</v>
      </c>
      <c r="D468" s="15" t="s">
        <v>17</v>
      </c>
      <c r="E468" s="15">
        <v>19</v>
      </c>
      <c r="F468" s="27">
        <v>41.94</v>
      </c>
      <c r="G468" s="15" t="s">
        <v>72</v>
      </c>
      <c r="H468" s="35">
        <v>0.4</v>
      </c>
      <c r="I468" s="15" t="s">
        <v>734</v>
      </c>
      <c r="J468" s="27">
        <v>13.29</v>
      </c>
      <c r="K468" s="15" t="s">
        <v>44</v>
      </c>
      <c r="L468" s="15" t="s">
        <v>31</v>
      </c>
      <c r="M468" s="15" t="s">
        <v>22</v>
      </c>
      <c r="N468" s="15" t="s">
        <v>32</v>
      </c>
      <c r="O468" s="15" t="s">
        <v>81</v>
      </c>
      <c r="P468" s="15" t="s">
        <v>40</v>
      </c>
      <c r="Q468" s="27">
        <v>796.8599999999999</v>
      </c>
      <c r="R468" s="27">
        <v>318.74399999999997</v>
      </c>
      <c r="S468" s="31">
        <v>478.11599999999993</v>
      </c>
    </row>
    <row r="469" spans="1:19" x14ac:dyDescent="0.25">
      <c r="A469" s="20">
        <v>45687</v>
      </c>
      <c r="B469" s="15" t="s">
        <v>440</v>
      </c>
      <c r="C469" s="15">
        <v>51623</v>
      </c>
      <c r="D469" s="15" t="s">
        <v>46</v>
      </c>
      <c r="E469" s="15">
        <v>29</v>
      </c>
      <c r="F469" s="27">
        <v>87.3</v>
      </c>
      <c r="G469" s="15" t="s">
        <v>99</v>
      </c>
      <c r="H469" s="35">
        <v>0.19</v>
      </c>
      <c r="I469" s="15" t="s">
        <v>734</v>
      </c>
      <c r="J469" s="27">
        <v>8.7799999999999994</v>
      </c>
      <c r="K469" s="15" t="s">
        <v>50</v>
      </c>
      <c r="L469" s="15" t="s">
        <v>21</v>
      </c>
      <c r="M469" s="15" t="s">
        <v>22</v>
      </c>
      <c r="N469" s="15" t="s">
        <v>32</v>
      </c>
      <c r="O469" s="15" t="s">
        <v>33</v>
      </c>
      <c r="P469" s="15" t="s">
        <v>25</v>
      </c>
      <c r="Q469" s="27">
        <v>2531.6999999999998</v>
      </c>
      <c r="R469" s="27">
        <v>481.02299999999997</v>
      </c>
      <c r="S469" s="31">
        <v>2050.6769999999997</v>
      </c>
    </row>
    <row r="470" spans="1:19" x14ac:dyDescent="0.25">
      <c r="A470" s="20">
        <v>45687</v>
      </c>
      <c r="B470" s="15" t="s">
        <v>361</v>
      </c>
      <c r="C470" s="15">
        <v>17881</v>
      </c>
      <c r="D470" s="15" t="s">
        <v>42</v>
      </c>
      <c r="E470" s="15">
        <v>17</v>
      </c>
      <c r="F470" s="27">
        <v>16.22</v>
      </c>
      <c r="G470" s="15" t="s">
        <v>76</v>
      </c>
      <c r="H470" s="35">
        <v>0.31</v>
      </c>
      <c r="I470" s="15" t="s">
        <v>734</v>
      </c>
      <c r="J470" s="27">
        <v>10.11</v>
      </c>
      <c r="K470" s="15" t="s">
        <v>44</v>
      </c>
      <c r="L470" s="15" t="s">
        <v>31</v>
      </c>
      <c r="M470" s="15" t="s">
        <v>22</v>
      </c>
      <c r="N470" s="15" t="s">
        <v>53</v>
      </c>
      <c r="O470" s="15" t="s">
        <v>59</v>
      </c>
      <c r="P470" s="15" t="s">
        <v>25</v>
      </c>
      <c r="Q470" s="27">
        <v>275.74</v>
      </c>
      <c r="R470" s="27">
        <v>85.479399999999998</v>
      </c>
      <c r="S470" s="31">
        <v>190.26060000000001</v>
      </c>
    </row>
    <row r="471" spans="1:19" x14ac:dyDescent="0.25">
      <c r="A471" s="20">
        <v>45687</v>
      </c>
      <c r="B471" s="15" t="s">
        <v>336</v>
      </c>
      <c r="C471" s="15">
        <v>83705</v>
      </c>
      <c r="D471" s="15" t="s">
        <v>75</v>
      </c>
      <c r="E471" s="15">
        <v>12</v>
      </c>
      <c r="F471" s="27">
        <v>37.729999999999997</v>
      </c>
      <c r="G471" s="15" t="s">
        <v>43</v>
      </c>
      <c r="H471" s="35">
        <v>0.04</v>
      </c>
      <c r="I471" s="15" t="s">
        <v>19</v>
      </c>
      <c r="J471" s="27">
        <v>14.67</v>
      </c>
      <c r="K471" s="15" t="s">
        <v>37</v>
      </c>
      <c r="L471" s="15" t="s">
        <v>31</v>
      </c>
      <c r="M471" s="15" t="s">
        <v>22</v>
      </c>
      <c r="N471" s="15" t="s">
        <v>32</v>
      </c>
      <c r="O471" s="15" t="s">
        <v>24</v>
      </c>
      <c r="P471" s="15" t="s">
        <v>34</v>
      </c>
      <c r="Q471" s="27">
        <v>452.76</v>
      </c>
      <c r="R471" s="27">
        <v>18.110399999999998</v>
      </c>
      <c r="S471" s="31">
        <v>434.64959999999996</v>
      </c>
    </row>
    <row r="472" spans="1:19" x14ac:dyDescent="0.25">
      <c r="A472" s="20">
        <v>45687</v>
      </c>
      <c r="B472" s="15" t="s">
        <v>441</v>
      </c>
      <c r="C472" s="15">
        <v>39138</v>
      </c>
      <c r="D472" s="15" t="s">
        <v>27</v>
      </c>
      <c r="E472" s="15">
        <v>14</v>
      </c>
      <c r="F472" s="27">
        <v>58.94</v>
      </c>
      <c r="G472" s="15" t="s">
        <v>72</v>
      </c>
      <c r="H472" s="35">
        <v>0.19</v>
      </c>
      <c r="I472" s="15" t="s">
        <v>29</v>
      </c>
      <c r="J472" s="27">
        <v>10.61</v>
      </c>
      <c r="K472" s="15" t="s">
        <v>50</v>
      </c>
      <c r="L472" s="15" t="s">
        <v>21</v>
      </c>
      <c r="M472" s="15" t="s">
        <v>111</v>
      </c>
      <c r="N472" s="15" t="s">
        <v>38</v>
      </c>
      <c r="O472" s="15" t="s">
        <v>59</v>
      </c>
      <c r="P472" s="15" t="s">
        <v>25</v>
      </c>
      <c r="Q472" s="27">
        <v>825.16</v>
      </c>
      <c r="R472" s="27">
        <v>156.78039999999999</v>
      </c>
      <c r="S472" s="31">
        <v>668.37959999999998</v>
      </c>
    </row>
    <row r="473" spans="1:19" x14ac:dyDescent="0.25">
      <c r="A473" s="20">
        <v>45687</v>
      </c>
      <c r="B473" s="15" t="s">
        <v>153</v>
      </c>
      <c r="C473" s="15">
        <v>78003</v>
      </c>
      <c r="D473" s="15" t="s">
        <v>49</v>
      </c>
      <c r="E473" s="15">
        <v>48</v>
      </c>
      <c r="F473" s="27">
        <v>36.04</v>
      </c>
      <c r="G473" s="15" t="s">
        <v>47</v>
      </c>
      <c r="H473" s="35">
        <v>0.15</v>
      </c>
      <c r="I473" s="15" t="s">
        <v>29</v>
      </c>
      <c r="J473" s="27">
        <v>6.19</v>
      </c>
      <c r="K473" s="15" t="s">
        <v>30</v>
      </c>
      <c r="L473" s="15" t="s">
        <v>31</v>
      </c>
      <c r="M473" s="15" t="s">
        <v>22</v>
      </c>
      <c r="N473" s="15" t="s">
        <v>53</v>
      </c>
      <c r="O473" s="15" t="s">
        <v>39</v>
      </c>
      <c r="P473" s="15" t="s">
        <v>25</v>
      </c>
      <c r="Q473" s="27">
        <v>1729.92</v>
      </c>
      <c r="R473" s="27">
        <v>259.488</v>
      </c>
      <c r="S473" s="31">
        <v>1470.432</v>
      </c>
    </row>
    <row r="474" spans="1:19" x14ac:dyDescent="0.25">
      <c r="A474" s="20">
        <v>45687</v>
      </c>
      <c r="B474" s="15" t="s">
        <v>442</v>
      </c>
      <c r="C474" s="15">
        <v>52229</v>
      </c>
      <c r="D474" s="15" t="s">
        <v>17</v>
      </c>
      <c r="E474" s="15">
        <v>42</v>
      </c>
      <c r="F474" s="27">
        <v>37.64</v>
      </c>
      <c r="G474" s="15" t="s">
        <v>76</v>
      </c>
      <c r="H474" s="35">
        <v>0.37</v>
      </c>
      <c r="I474" s="15" t="s">
        <v>734</v>
      </c>
      <c r="J474" s="27">
        <v>23.83</v>
      </c>
      <c r="K474" s="15" t="s">
        <v>37</v>
      </c>
      <c r="L474" s="15" t="s">
        <v>31</v>
      </c>
      <c r="M474" s="15" t="s">
        <v>111</v>
      </c>
      <c r="N474" s="15" t="s">
        <v>53</v>
      </c>
      <c r="O474" s="15" t="s">
        <v>24</v>
      </c>
      <c r="P474" s="15" t="s">
        <v>25</v>
      </c>
      <c r="Q474" s="27">
        <v>1580.88</v>
      </c>
      <c r="R474" s="27">
        <v>584.92560000000003</v>
      </c>
      <c r="S474" s="31">
        <v>995.95440000000008</v>
      </c>
    </row>
    <row r="475" spans="1:19" x14ac:dyDescent="0.25">
      <c r="A475" s="20">
        <v>45687</v>
      </c>
      <c r="B475" s="15" t="s">
        <v>443</v>
      </c>
      <c r="C475" s="15">
        <v>58109</v>
      </c>
      <c r="D475" s="15" t="s">
        <v>89</v>
      </c>
      <c r="E475" s="15">
        <v>18</v>
      </c>
      <c r="F475" s="27">
        <v>47.6</v>
      </c>
      <c r="G475" s="15" t="s">
        <v>58</v>
      </c>
      <c r="H475" s="35">
        <v>0.19</v>
      </c>
      <c r="I475" s="15" t="s">
        <v>19</v>
      </c>
      <c r="J475" s="27">
        <v>27.3</v>
      </c>
      <c r="K475" s="15" t="s">
        <v>30</v>
      </c>
      <c r="L475" s="15" t="s">
        <v>21</v>
      </c>
      <c r="M475" s="15" t="s">
        <v>22</v>
      </c>
      <c r="N475" s="15" t="s">
        <v>32</v>
      </c>
      <c r="O475" s="15" t="s">
        <v>59</v>
      </c>
      <c r="P475" s="15" t="s">
        <v>40</v>
      </c>
      <c r="Q475" s="27">
        <v>856.80000000000007</v>
      </c>
      <c r="R475" s="27">
        <v>162.792</v>
      </c>
      <c r="S475" s="31">
        <v>694.00800000000004</v>
      </c>
    </row>
    <row r="476" spans="1:19" x14ac:dyDescent="0.25">
      <c r="A476" s="20">
        <v>45687</v>
      </c>
      <c r="B476" s="15" t="s">
        <v>444</v>
      </c>
      <c r="C476" s="15">
        <v>72136</v>
      </c>
      <c r="D476" s="15" t="s">
        <v>42</v>
      </c>
      <c r="E476" s="15">
        <v>23</v>
      </c>
      <c r="F476" s="27">
        <v>70.55</v>
      </c>
      <c r="G476" s="15" t="s">
        <v>55</v>
      </c>
      <c r="H476" s="35">
        <v>0.32</v>
      </c>
      <c r="I476" s="15" t="s">
        <v>19</v>
      </c>
      <c r="J476" s="27">
        <v>27.54</v>
      </c>
      <c r="K476" s="15" t="s">
        <v>37</v>
      </c>
      <c r="L476" s="15" t="s">
        <v>31</v>
      </c>
      <c r="M476" s="15" t="s">
        <v>22</v>
      </c>
      <c r="N476" s="15" t="s">
        <v>38</v>
      </c>
      <c r="O476" s="15" t="s">
        <v>24</v>
      </c>
      <c r="P476" s="15" t="s">
        <v>25</v>
      </c>
      <c r="Q476" s="27">
        <v>1622.6499999999999</v>
      </c>
      <c r="R476" s="27">
        <v>519.24799999999993</v>
      </c>
      <c r="S476" s="31">
        <v>1103.402</v>
      </c>
    </row>
    <row r="477" spans="1:19" x14ac:dyDescent="0.25">
      <c r="A477" s="20">
        <v>45687</v>
      </c>
      <c r="B477" s="15" t="s">
        <v>323</v>
      </c>
      <c r="C477" s="15">
        <v>54840</v>
      </c>
      <c r="D477" s="15" t="s">
        <v>57</v>
      </c>
      <c r="E477" s="15">
        <v>44</v>
      </c>
      <c r="F477" s="27">
        <v>86.03</v>
      </c>
      <c r="G477" s="15" t="s">
        <v>47</v>
      </c>
      <c r="H477" s="35">
        <v>0.26</v>
      </c>
      <c r="I477" s="15" t="s">
        <v>734</v>
      </c>
      <c r="J477" s="27">
        <v>24.22</v>
      </c>
      <c r="K477" s="15" t="s">
        <v>50</v>
      </c>
      <c r="L477" s="15" t="s">
        <v>31</v>
      </c>
      <c r="M477" s="15" t="s">
        <v>22</v>
      </c>
      <c r="N477" s="15" t="s">
        <v>53</v>
      </c>
      <c r="O477" s="15" t="s">
        <v>24</v>
      </c>
      <c r="P477" s="15" t="s">
        <v>34</v>
      </c>
      <c r="Q477" s="27">
        <v>3785.32</v>
      </c>
      <c r="R477" s="27">
        <v>984.18320000000006</v>
      </c>
      <c r="S477" s="31">
        <v>2801.1368000000002</v>
      </c>
    </row>
    <row r="478" spans="1:19" x14ac:dyDescent="0.25">
      <c r="A478" s="20">
        <v>45687</v>
      </c>
      <c r="B478" s="15" t="s">
        <v>445</v>
      </c>
      <c r="C478" s="15">
        <v>12896</v>
      </c>
      <c r="D478" s="15" t="s">
        <v>27</v>
      </c>
      <c r="E478" s="15">
        <v>31</v>
      </c>
      <c r="F478" s="27">
        <v>50.91</v>
      </c>
      <c r="G478" s="15" t="s">
        <v>72</v>
      </c>
      <c r="H478" s="35">
        <v>0.01</v>
      </c>
      <c r="I478" s="15" t="s">
        <v>19</v>
      </c>
      <c r="J478" s="27">
        <v>15.4</v>
      </c>
      <c r="K478" s="15" t="s">
        <v>20</v>
      </c>
      <c r="L478" s="15" t="s">
        <v>31</v>
      </c>
      <c r="M478" s="15" t="s">
        <v>22</v>
      </c>
      <c r="N478" s="15" t="s">
        <v>53</v>
      </c>
      <c r="O478" s="15" t="s">
        <v>24</v>
      </c>
      <c r="P478" s="15" t="s">
        <v>40</v>
      </c>
      <c r="Q478" s="27">
        <v>1578.2099999999998</v>
      </c>
      <c r="R478" s="27">
        <v>15.782099999999998</v>
      </c>
      <c r="S478" s="31">
        <v>1562.4278999999999</v>
      </c>
    </row>
    <row r="479" spans="1:19" x14ac:dyDescent="0.25">
      <c r="A479" s="20">
        <v>45687</v>
      </c>
      <c r="B479" s="15" t="s">
        <v>446</v>
      </c>
      <c r="C479" s="15">
        <v>71015</v>
      </c>
      <c r="D479" s="15" t="s">
        <v>49</v>
      </c>
      <c r="E479" s="15">
        <v>13</v>
      </c>
      <c r="F479" s="27">
        <v>49.05</v>
      </c>
      <c r="G479" s="15" t="s">
        <v>99</v>
      </c>
      <c r="H479" s="35">
        <v>0.05</v>
      </c>
      <c r="I479" s="15" t="s">
        <v>734</v>
      </c>
      <c r="J479" s="27">
        <v>19.5</v>
      </c>
      <c r="K479" s="15" t="s">
        <v>50</v>
      </c>
      <c r="L479" s="15" t="s">
        <v>21</v>
      </c>
      <c r="M479" s="15" t="s">
        <v>22</v>
      </c>
      <c r="N479" s="15" t="s">
        <v>32</v>
      </c>
      <c r="O479" s="15" t="s">
        <v>81</v>
      </c>
      <c r="P479" s="15" t="s">
        <v>25</v>
      </c>
      <c r="Q479" s="27">
        <v>637.65</v>
      </c>
      <c r="R479" s="27">
        <v>31.8825</v>
      </c>
      <c r="S479" s="31">
        <v>605.76749999999993</v>
      </c>
    </row>
    <row r="480" spans="1:19" x14ac:dyDescent="0.25">
      <c r="A480" s="20">
        <v>45687</v>
      </c>
      <c r="B480" s="15" t="s">
        <v>98</v>
      </c>
      <c r="C480" s="15">
        <v>29526</v>
      </c>
      <c r="D480" s="15" t="s">
        <v>89</v>
      </c>
      <c r="E480" s="15">
        <v>1</v>
      </c>
      <c r="F480" s="27">
        <v>74.2</v>
      </c>
      <c r="G480" s="15" t="s">
        <v>52</v>
      </c>
      <c r="H480" s="35">
        <v>0.2</v>
      </c>
      <c r="I480" s="15" t="s">
        <v>29</v>
      </c>
      <c r="J480" s="27">
        <v>10.17</v>
      </c>
      <c r="K480" s="15" t="s">
        <v>50</v>
      </c>
      <c r="L480" s="15" t="s">
        <v>21</v>
      </c>
      <c r="M480" s="15" t="s">
        <v>22</v>
      </c>
      <c r="N480" s="15" t="s">
        <v>23</v>
      </c>
      <c r="O480" s="15" t="s">
        <v>24</v>
      </c>
      <c r="P480" s="15" t="s">
        <v>25</v>
      </c>
      <c r="Q480" s="27">
        <v>74.2</v>
      </c>
      <c r="R480" s="27">
        <v>14.840000000000002</v>
      </c>
      <c r="S480" s="31">
        <v>59.36</v>
      </c>
    </row>
    <row r="481" spans="1:19" x14ac:dyDescent="0.25">
      <c r="A481" s="20">
        <v>45687</v>
      </c>
      <c r="B481" s="15" t="s">
        <v>218</v>
      </c>
      <c r="C481" s="15">
        <v>15626</v>
      </c>
      <c r="D481" s="15" t="s">
        <v>27</v>
      </c>
      <c r="E481" s="15">
        <v>24</v>
      </c>
      <c r="F481" s="27">
        <v>76.8</v>
      </c>
      <c r="G481" s="15" t="s">
        <v>99</v>
      </c>
      <c r="H481" s="35">
        <v>0.15</v>
      </c>
      <c r="I481" s="15" t="s">
        <v>29</v>
      </c>
      <c r="J481" s="27">
        <v>23.64</v>
      </c>
      <c r="K481" s="15" t="s">
        <v>20</v>
      </c>
      <c r="L481" s="15" t="s">
        <v>31</v>
      </c>
      <c r="M481" s="15" t="s">
        <v>22</v>
      </c>
      <c r="N481" s="15" t="s">
        <v>32</v>
      </c>
      <c r="O481" s="15" t="s">
        <v>81</v>
      </c>
      <c r="P481" s="15" t="s">
        <v>25</v>
      </c>
      <c r="Q481" s="27">
        <v>1843.1999999999998</v>
      </c>
      <c r="R481" s="27">
        <v>276.47999999999996</v>
      </c>
      <c r="S481" s="31">
        <v>1566.7199999999998</v>
      </c>
    </row>
    <row r="482" spans="1:19" x14ac:dyDescent="0.25">
      <c r="A482" s="20">
        <v>45687</v>
      </c>
      <c r="B482" s="15" t="s">
        <v>447</v>
      </c>
      <c r="C482" s="15">
        <v>45031</v>
      </c>
      <c r="D482" s="15" t="s">
        <v>75</v>
      </c>
      <c r="E482" s="15">
        <v>4</v>
      </c>
      <c r="F482" s="27">
        <v>5.37</v>
      </c>
      <c r="G482" s="15" t="s">
        <v>72</v>
      </c>
      <c r="H482" s="35">
        <v>0.03</v>
      </c>
      <c r="I482" s="15" t="s">
        <v>29</v>
      </c>
      <c r="J482" s="27">
        <v>10.58</v>
      </c>
      <c r="K482" s="15" t="s">
        <v>37</v>
      </c>
      <c r="L482" s="15" t="s">
        <v>21</v>
      </c>
      <c r="M482" s="15" t="s">
        <v>22</v>
      </c>
      <c r="N482" s="15" t="s">
        <v>23</v>
      </c>
      <c r="O482" s="15" t="s">
        <v>59</v>
      </c>
      <c r="P482" s="15" t="s">
        <v>25</v>
      </c>
      <c r="Q482" s="27">
        <v>21.48</v>
      </c>
      <c r="R482" s="27">
        <v>0.64439999999999997</v>
      </c>
      <c r="S482" s="31">
        <v>20.835599999999999</v>
      </c>
    </row>
    <row r="483" spans="1:19" x14ac:dyDescent="0.25">
      <c r="A483" s="20">
        <v>45687</v>
      </c>
      <c r="B483" s="15" t="s">
        <v>448</v>
      </c>
      <c r="C483" s="15">
        <v>19222</v>
      </c>
      <c r="D483" s="15" t="s">
        <v>68</v>
      </c>
      <c r="E483" s="15">
        <v>29</v>
      </c>
      <c r="F483" s="27">
        <v>26.6</v>
      </c>
      <c r="G483" s="15" t="s">
        <v>52</v>
      </c>
      <c r="H483" s="35">
        <v>0.2</v>
      </c>
      <c r="I483" s="15" t="s">
        <v>19</v>
      </c>
      <c r="J483" s="27">
        <v>6.51</v>
      </c>
      <c r="K483" s="15" t="s">
        <v>44</v>
      </c>
      <c r="L483" s="15" t="s">
        <v>31</v>
      </c>
      <c r="M483" s="15" t="s">
        <v>22</v>
      </c>
      <c r="N483" s="15" t="s">
        <v>38</v>
      </c>
      <c r="O483" s="15" t="s">
        <v>81</v>
      </c>
      <c r="P483" s="15" t="s">
        <v>34</v>
      </c>
      <c r="Q483" s="27">
        <v>771.40000000000009</v>
      </c>
      <c r="R483" s="27">
        <v>154.28000000000003</v>
      </c>
      <c r="S483" s="31">
        <v>617.12000000000012</v>
      </c>
    </row>
    <row r="484" spans="1:19" x14ac:dyDescent="0.25">
      <c r="A484" s="20">
        <v>45687</v>
      </c>
      <c r="B484" s="15" t="s">
        <v>449</v>
      </c>
      <c r="C484" s="15">
        <v>12954</v>
      </c>
      <c r="D484" s="15" t="s">
        <v>17</v>
      </c>
      <c r="E484" s="15">
        <v>34</v>
      </c>
      <c r="F484" s="27">
        <v>41.27</v>
      </c>
      <c r="G484" s="15" t="s">
        <v>55</v>
      </c>
      <c r="H484" s="35">
        <v>0.31</v>
      </c>
      <c r="I484" s="15" t="s">
        <v>19</v>
      </c>
      <c r="J484" s="27">
        <v>12.09</v>
      </c>
      <c r="K484" s="15" t="s">
        <v>20</v>
      </c>
      <c r="L484" s="15" t="s">
        <v>21</v>
      </c>
      <c r="M484" s="15" t="s">
        <v>22</v>
      </c>
      <c r="N484" s="15" t="s">
        <v>38</v>
      </c>
      <c r="O484" s="15" t="s">
        <v>24</v>
      </c>
      <c r="P484" s="15" t="s">
        <v>34</v>
      </c>
      <c r="Q484" s="27">
        <v>1403.18</v>
      </c>
      <c r="R484" s="27">
        <v>434.98580000000004</v>
      </c>
      <c r="S484" s="31">
        <v>968.19420000000002</v>
      </c>
    </row>
    <row r="485" spans="1:19" x14ac:dyDescent="0.25">
      <c r="A485" s="20">
        <v>45687</v>
      </c>
      <c r="B485" s="15" t="s">
        <v>333</v>
      </c>
      <c r="C485" s="15">
        <v>33183</v>
      </c>
      <c r="D485" s="15" t="s">
        <v>46</v>
      </c>
      <c r="E485" s="15">
        <v>16</v>
      </c>
      <c r="F485" s="27">
        <v>15.33</v>
      </c>
      <c r="G485" s="15" t="s">
        <v>52</v>
      </c>
      <c r="H485" s="35">
        <v>0.31</v>
      </c>
      <c r="I485" s="15" t="s">
        <v>19</v>
      </c>
      <c r="J485" s="27">
        <v>26.89</v>
      </c>
      <c r="K485" s="15" t="s">
        <v>20</v>
      </c>
      <c r="L485" s="15" t="s">
        <v>21</v>
      </c>
      <c r="M485" s="15" t="s">
        <v>22</v>
      </c>
      <c r="N485" s="15" t="s">
        <v>23</v>
      </c>
      <c r="O485" s="15" t="s">
        <v>59</v>
      </c>
      <c r="P485" s="15" t="s">
        <v>34</v>
      </c>
      <c r="Q485" s="27">
        <v>245.28</v>
      </c>
      <c r="R485" s="27">
        <v>76.036799999999999</v>
      </c>
      <c r="S485" s="31">
        <v>169.2432</v>
      </c>
    </row>
    <row r="486" spans="1:19" x14ac:dyDescent="0.25">
      <c r="A486" s="20">
        <v>45688</v>
      </c>
      <c r="B486" s="15" t="s">
        <v>74</v>
      </c>
      <c r="C486" s="15">
        <v>16212</v>
      </c>
      <c r="D486" s="15" t="s">
        <v>17</v>
      </c>
      <c r="E486" s="15">
        <v>5</v>
      </c>
      <c r="F486" s="27">
        <v>61.83</v>
      </c>
      <c r="G486" s="15" t="s">
        <v>47</v>
      </c>
      <c r="H486" s="35">
        <v>0.34</v>
      </c>
      <c r="I486" s="15" t="s">
        <v>29</v>
      </c>
      <c r="J486" s="27">
        <v>28.89</v>
      </c>
      <c r="K486" s="15" t="s">
        <v>20</v>
      </c>
      <c r="L486" s="15" t="s">
        <v>21</v>
      </c>
      <c r="M486" s="15" t="s">
        <v>22</v>
      </c>
      <c r="N486" s="15" t="s">
        <v>32</v>
      </c>
      <c r="O486" s="15" t="s">
        <v>81</v>
      </c>
      <c r="P486" s="15" t="s">
        <v>40</v>
      </c>
      <c r="Q486" s="27">
        <v>309.14999999999998</v>
      </c>
      <c r="R486" s="27">
        <v>105.111</v>
      </c>
      <c r="S486" s="31">
        <v>204.03899999999999</v>
      </c>
    </row>
    <row r="487" spans="1:19" x14ac:dyDescent="0.25">
      <c r="A487" s="20">
        <v>45688</v>
      </c>
      <c r="B487" s="15" t="s">
        <v>450</v>
      </c>
      <c r="C487" s="15">
        <v>41919</v>
      </c>
      <c r="D487" s="15" t="s">
        <v>68</v>
      </c>
      <c r="E487" s="15">
        <v>17</v>
      </c>
      <c r="F487" s="27">
        <v>52.21</v>
      </c>
      <c r="G487" s="15" t="s">
        <v>52</v>
      </c>
      <c r="H487" s="35">
        <v>0.48</v>
      </c>
      <c r="I487" s="15" t="s">
        <v>734</v>
      </c>
      <c r="J487" s="27">
        <v>6.84</v>
      </c>
      <c r="K487" s="15" t="s">
        <v>50</v>
      </c>
      <c r="L487" s="15" t="s">
        <v>31</v>
      </c>
      <c r="M487" s="15" t="s">
        <v>22</v>
      </c>
      <c r="N487" s="15" t="s">
        <v>32</v>
      </c>
      <c r="O487" s="15" t="s">
        <v>39</v>
      </c>
      <c r="P487" s="15" t="s">
        <v>25</v>
      </c>
      <c r="Q487" s="27">
        <v>887.57</v>
      </c>
      <c r="R487" s="27">
        <v>426.03360000000004</v>
      </c>
      <c r="S487" s="31">
        <v>461.53640000000001</v>
      </c>
    </row>
    <row r="488" spans="1:19" x14ac:dyDescent="0.25">
      <c r="A488" s="20">
        <v>45688</v>
      </c>
      <c r="B488" s="15" t="s">
        <v>451</v>
      </c>
      <c r="C488" s="15">
        <v>24020</v>
      </c>
      <c r="D488" s="15" t="s">
        <v>70</v>
      </c>
      <c r="E488" s="15">
        <v>16</v>
      </c>
      <c r="F488" s="27">
        <v>9.5299999999999994</v>
      </c>
      <c r="G488" s="15" t="s">
        <v>55</v>
      </c>
      <c r="H488" s="35">
        <v>0.39</v>
      </c>
      <c r="I488" s="15" t="s">
        <v>29</v>
      </c>
      <c r="J488" s="27">
        <v>13.89</v>
      </c>
      <c r="K488" s="15" t="s">
        <v>50</v>
      </c>
      <c r="L488" s="15" t="s">
        <v>31</v>
      </c>
      <c r="M488" s="15" t="s">
        <v>22</v>
      </c>
      <c r="N488" s="15" t="s">
        <v>23</v>
      </c>
      <c r="O488" s="15" t="s">
        <v>24</v>
      </c>
      <c r="P488" s="15" t="s">
        <v>25</v>
      </c>
      <c r="Q488" s="27">
        <v>152.47999999999999</v>
      </c>
      <c r="R488" s="27">
        <v>59.467199999999998</v>
      </c>
      <c r="S488" s="31">
        <v>93.012799999999999</v>
      </c>
    </row>
    <row r="489" spans="1:19" x14ac:dyDescent="0.25">
      <c r="A489" s="20">
        <v>45688</v>
      </c>
      <c r="B489" s="15" t="s">
        <v>248</v>
      </c>
      <c r="C489" s="15">
        <v>94747</v>
      </c>
      <c r="D489" s="15" t="s">
        <v>75</v>
      </c>
      <c r="E489" s="15">
        <v>25</v>
      </c>
      <c r="F489" s="27">
        <v>83.03</v>
      </c>
      <c r="G489" s="15" t="s">
        <v>72</v>
      </c>
      <c r="H489" s="35">
        <v>0.14000000000000001</v>
      </c>
      <c r="I489" s="15" t="s">
        <v>29</v>
      </c>
      <c r="J489" s="27">
        <v>5.46</v>
      </c>
      <c r="K489" s="15" t="s">
        <v>30</v>
      </c>
      <c r="L489" s="15" t="s">
        <v>31</v>
      </c>
      <c r="M489" s="15" t="s">
        <v>22</v>
      </c>
      <c r="N489" s="15" t="s">
        <v>32</v>
      </c>
      <c r="O489" s="15" t="s">
        <v>39</v>
      </c>
      <c r="P489" s="15" t="s">
        <v>40</v>
      </c>
      <c r="Q489" s="27">
        <v>2075.75</v>
      </c>
      <c r="R489" s="27">
        <v>290.60500000000002</v>
      </c>
      <c r="S489" s="31">
        <v>1785.145</v>
      </c>
    </row>
    <row r="490" spans="1:19" x14ac:dyDescent="0.25">
      <c r="A490" s="20">
        <v>45688</v>
      </c>
      <c r="B490" s="15" t="s">
        <v>452</v>
      </c>
      <c r="C490" s="15">
        <v>73454</v>
      </c>
      <c r="D490" s="15" t="s">
        <v>75</v>
      </c>
      <c r="E490" s="15">
        <v>31</v>
      </c>
      <c r="F490" s="27">
        <v>54.61</v>
      </c>
      <c r="G490" s="15" t="s">
        <v>52</v>
      </c>
      <c r="H490" s="35">
        <v>0.33</v>
      </c>
      <c r="I490" s="15" t="s">
        <v>734</v>
      </c>
      <c r="J490" s="27">
        <v>11.85</v>
      </c>
      <c r="K490" s="15" t="s">
        <v>30</v>
      </c>
      <c r="L490" s="15" t="s">
        <v>21</v>
      </c>
      <c r="M490" s="15" t="s">
        <v>22</v>
      </c>
      <c r="N490" s="15" t="s">
        <v>53</v>
      </c>
      <c r="O490" s="15" t="s">
        <v>24</v>
      </c>
      <c r="P490" s="15" t="s">
        <v>25</v>
      </c>
      <c r="Q490" s="27">
        <v>1692.91</v>
      </c>
      <c r="R490" s="27">
        <v>558.66030000000001</v>
      </c>
      <c r="S490" s="31">
        <v>1134.2497000000001</v>
      </c>
    </row>
    <row r="491" spans="1:19" x14ac:dyDescent="0.25">
      <c r="A491" s="20">
        <v>45688</v>
      </c>
      <c r="B491" s="15" t="s">
        <v>453</v>
      </c>
      <c r="C491" s="15">
        <v>85667</v>
      </c>
      <c r="D491" s="15" t="s">
        <v>49</v>
      </c>
      <c r="E491" s="15">
        <v>26</v>
      </c>
      <c r="F491" s="27">
        <v>54.36</v>
      </c>
      <c r="G491" s="15" t="s">
        <v>58</v>
      </c>
      <c r="H491" s="35">
        <v>0.01</v>
      </c>
      <c r="I491" s="15" t="s">
        <v>734</v>
      </c>
      <c r="J491" s="27">
        <v>9.61</v>
      </c>
      <c r="K491" s="15" t="s">
        <v>37</v>
      </c>
      <c r="L491" s="15" t="s">
        <v>21</v>
      </c>
      <c r="M491" s="15" t="s">
        <v>22</v>
      </c>
      <c r="N491" s="15" t="s">
        <v>23</v>
      </c>
      <c r="O491" s="15" t="s">
        <v>81</v>
      </c>
      <c r="P491" s="15" t="s">
        <v>34</v>
      </c>
      <c r="Q491" s="27">
        <v>1413.36</v>
      </c>
      <c r="R491" s="27">
        <v>14.133599999999999</v>
      </c>
      <c r="S491" s="31">
        <v>1399.2264</v>
      </c>
    </row>
    <row r="492" spans="1:19" x14ac:dyDescent="0.25">
      <c r="A492" s="20">
        <v>45688</v>
      </c>
      <c r="B492" s="15" t="s">
        <v>178</v>
      </c>
      <c r="C492" s="15">
        <v>69187</v>
      </c>
      <c r="D492" s="15" t="s">
        <v>66</v>
      </c>
      <c r="E492" s="15">
        <v>24</v>
      </c>
      <c r="F492" s="27">
        <v>2.21</v>
      </c>
      <c r="G492" s="15" t="s">
        <v>99</v>
      </c>
      <c r="H492" s="35">
        <v>0.28000000000000003</v>
      </c>
      <c r="I492" s="15" t="s">
        <v>734</v>
      </c>
      <c r="J492" s="27">
        <v>17.670000000000002</v>
      </c>
      <c r="K492" s="15" t="s">
        <v>44</v>
      </c>
      <c r="L492" s="15" t="s">
        <v>31</v>
      </c>
      <c r="M492" s="15" t="s">
        <v>22</v>
      </c>
      <c r="N492" s="15" t="s">
        <v>23</v>
      </c>
      <c r="O492" s="15" t="s">
        <v>59</v>
      </c>
      <c r="P492" s="15" t="s">
        <v>25</v>
      </c>
      <c r="Q492" s="27">
        <v>53.04</v>
      </c>
      <c r="R492" s="27">
        <v>14.8512</v>
      </c>
      <c r="S492" s="31">
        <v>38.188800000000001</v>
      </c>
    </row>
    <row r="493" spans="1:19" x14ac:dyDescent="0.25">
      <c r="A493" s="20">
        <v>45688</v>
      </c>
      <c r="B493" s="15" t="s">
        <v>181</v>
      </c>
      <c r="C493" s="15">
        <v>51259</v>
      </c>
      <c r="D493" s="15" t="s">
        <v>17</v>
      </c>
      <c r="E493" s="15">
        <v>36</v>
      </c>
      <c r="F493" s="27">
        <v>29.42</v>
      </c>
      <c r="G493" s="15" t="s">
        <v>18</v>
      </c>
      <c r="H493" s="35">
        <v>0.38</v>
      </c>
      <c r="I493" s="15" t="s">
        <v>734</v>
      </c>
      <c r="J493" s="27">
        <v>6.73</v>
      </c>
      <c r="K493" s="15" t="s">
        <v>50</v>
      </c>
      <c r="L493" s="15" t="s">
        <v>31</v>
      </c>
      <c r="M493" s="15" t="s">
        <v>22</v>
      </c>
      <c r="N493" s="15" t="s">
        <v>38</v>
      </c>
      <c r="O493" s="15" t="s">
        <v>59</v>
      </c>
      <c r="P493" s="15" t="s">
        <v>25</v>
      </c>
      <c r="Q493" s="27">
        <v>1059.1200000000001</v>
      </c>
      <c r="R493" s="27">
        <v>402.46560000000005</v>
      </c>
      <c r="S493" s="31">
        <v>656.65440000000012</v>
      </c>
    </row>
    <row r="494" spans="1:19" x14ac:dyDescent="0.25">
      <c r="A494" s="20">
        <v>45688</v>
      </c>
      <c r="B494" s="15" t="s">
        <v>454</v>
      </c>
      <c r="C494" s="15">
        <v>30694</v>
      </c>
      <c r="D494" s="15" t="s">
        <v>57</v>
      </c>
      <c r="E494" s="15">
        <v>35</v>
      </c>
      <c r="F494" s="27">
        <v>1.31</v>
      </c>
      <c r="G494" s="15" t="s">
        <v>43</v>
      </c>
      <c r="H494" s="35">
        <v>0.31</v>
      </c>
      <c r="I494" s="15" t="s">
        <v>734</v>
      </c>
      <c r="J494" s="27">
        <v>29.32</v>
      </c>
      <c r="K494" s="15" t="s">
        <v>37</v>
      </c>
      <c r="L494" s="15" t="s">
        <v>31</v>
      </c>
      <c r="M494" s="15" t="s">
        <v>22</v>
      </c>
      <c r="N494" s="15" t="s">
        <v>23</v>
      </c>
      <c r="O494" s="15" t="s">
        <v>24</v>
      </c>
      <c r="P494" s="15" t="s">
        <v>40</v>
      </c>
      <c r="Q494" s="27">
        <v>45.85</v>
      </c>
      <c r="R494" s="27">
        <v>14.2135</v>
      </c>
      <c r="S494" s="31">
        <v>31.636500000000002</v>
      </c>
    </row>
    <row r="495" spans="1:19" x14ac:dyDescent="0.25">
      <c r="A495" s="20">
        <v>45688</v>
      </c>
      <c r="B495" s="15" t="s">
        <v>455</v>
      </c>
      <c r="C495" s="15">
        <v>93259</v>
      </c>
      <c r="D495" s="15" t="s">
        <v>70</v>
      </c>
      <c r="E495" s="15">
        <v>21</v>
      </c>
      <c r="F495" s="27">
        <v>28.27</v>
      </c>
      <c r="G495" s="15" t="s">
        <v>43</v>
      </c>
      <c r="H495" s="35">
        <v>0.27</v>
      </c>
      <c r="I495" s="15" t="s">
        <v>29</v>
      </c>
      <c r="J495" s="27">
        <v>13.09</v>
      </c>
      <c r="K495" s="15" t="s">
        <v>30</v>
      </c>
      <c r="L495" s="15" t="s">
        <v>31</v>
      </c>
      <c r="M495" s="15" t="s">
        <v>22</v>
      </c>
      <c r="N495" s="15" t="s">
        <v>38</v>
      </c>
      <c r="O495" s="15" t="s">
        <v>59</v>
      </c>
      <c r="P495" s="15" t="s">
        <v>40</v>
      </c>
      <c r="Q495" s="27">
        <v>593.66999999999996</v>
      </c>
      <c r="R495" s="27">
        <v>160.29089999999999</v>
      </c>
      <c r="S495" s="31">
        <v>433.37909999999999</v>
      </c>
    </row>
    <row r="496" spans="1:19" x14ac:dyDescent="0.25">
      <c r="A496" s="20">
        <v>45688</v>
      </c>
      <c r="B496" s="15" t="s">
        <v>247</v>
      </c>
      <c r="C496" s="15">
        <v>49695</v>
      </c>
      <c r="D496" s="15" t="s">
        <v>68</v>
      </c>
      <c r="E496" s="15">
        <v>5</v>
      </c>
      <c r="F496" s="27">
        <v>57.05</v>
      </c>
      <c r="G496" s="15" t="s">
        <v>58</v>
      </c>
      <c r="H496" s="35">
        <v>0.46</v>
      </c>
      <c r="I496" s="15" t="s">
        <v>29</v>
      </c>
      <c r="J496" s="27">
        <v>16.43</v>
      </c>
      <c r="K496" s="15" t="s">
        <v>30</v>
      </c>
      <c r="L496" s="15" t="s">
        <v>31</v>
      </c>
      <c r="M496" s="15" t="s">
        <v>22</v>
      </c>
      <c r="N496" s="15" t="s">
        <v>23</v>
      </c>
      <c r="O496" s="15" t="s">
        <v>33</v>
      </c>
      <c r="P496" s="15" t="s">
        <v>25</v>
      </c>
      <c r="Q496" s="27">
        <v>285.25</v>
      </c>
      <c r="R496" s="27">
        <v>131.215</v>
      </c>
      <c r="S496" s="31">
        <v>154.035</v>
      </c>
    </row>
    <row r="497" spans="1:19" x14ac:dyDescent="0.25">
      <c r="A497" s="20">
        <v>45688</v>
      </c>
      <c r="B497" s="15" t="s">
        <v>456</v>
      </c>
      <c r="C497" s="15">
        <v>55708</v>
      </c>
      <c r="D497" s="15" t="s">
        <v>68</v>
      </c>
      <c r="E497" s="15">
        <v>28</v>
      </c>
      <c r="F497" s="27">
        <v>40.479999999999997</v>
      </c>
      <c r="G497" s="15" t="s">
        <v>18</v>
      </c>
      <c r="H497" s="35">
        <v>0.45</v>
      </c>
      <c r="I497" s="15" t="s">
        <v>19</v>
      </c>
      <c r="J497" s="27">
        <v>8.0399999999999991</v>
      </c>
      <c r="K497" s="15" t="s">
        <v>44</v>
      </c>
      <c r="L497" s="15" t="s">
        <v>31</v>
      </c>
      <c r="M497" s="15" t="s">
        <v>111</v>
      </c>
      <c r="N497" s="15" t="s">
        <v>32</v>
      </c>
      <c r="O497" s="15" t="s">
        <v>33</v>
      </c>
      <c r="P497" s="15" t="s">
        <v>40</v>
      </c>
      <c r="Q497" s="27">
        <v>1133.4399999999998</v>
      </c>
      <c r="R497" s="27">
        <v>510.04799999999994</v>
      </c>
      <c r="S497" s="31">
        <v>623.39199999999983</v>
      </c>
    </row>
    <row r="498" spans="1:19" x14ac:dyDescent="0.25">
      <c r="A498" s="20">
        <v>45688</v>
      </c>
      <c r="B498" s="15" t="s">
        <v>457</v>
      </c>
      <c r="C498" s="15">
        <v>21426</v>
      </c>
      <c r="D498" s="15" t="s">
        <v>75</v>
      </c>
      <c r="E498" s="15">
        <v>15</v>
      </c>
      <c r="F498" s="27">
        <v>87.4</v>
      </c>
      <c r="G498" s="15" t="s">
        <v>84</v>
      </c>
      <c r="H498" s="35">
        <v>0.28999999999999998</v>
      </c>
      <c r="I498" s="15" t="s">
        <v>734</v>
      </c>
      <c r="J498" s="27">
        <v>21.6</v>
      </c>
      <c r="K498" s="15" t="s">
        <v>50</v>
      </c>
      <c r="L498" s="15" t="s">
        <v>31</v>
      </c>
      <c r="M498" s="15" t="s">
        <v>22</v>
      </c>
      <c r="N498" s="15" t="s">
        <v>32</v>
      </c>
      <c r="O498" s="15" t="s">
        <v>59</v>
      </c>
      <c r="P498" s="15" t="s">
        <v>40</v>
      </c>
      <c r="Q498" s="27">
        <v>1311</v>
      </c>
      <c r="R498" s="27">
        <v>380.19</v>
      </c>
      <c r="S498" s="31">
        <v>930.81</v>
      </c>
    </row>
    <row r="499" spans="1:19" x14ac:dyDescent="0.25">
      <c r="A499" s="20">
        <v>45688</v>
      </c>
      <c r="B499" s="15" t="s">
        <v>458</v>
      </c>
      <c r="C499" s="15">
        <v>48634</v>
      </c>
      <c r="D499" s="15" t="s">
        <v>66</v>
      </c>
      <c r="E499" s="15">
        <v>35</v>
      </c>
      <c r="F499" s="27">
        <v>57.97</v>
      </c>
      <c r="G499" s="15" t="s">
        <v>76</v>
      </c>
      <c r="H499" s="35">
        <v>0.4</v>
      </c>
      <c r="I499" s="15" t="s">
        <v>734</v>
      </c>
      <c r="J499" s="27">
        <v>6.26</v>
      </c>
      <c r="K499" s="15" t="s">
        <v>44</v>
      </c>
      <c r="L499" s="15" t="s">
        <v>21</v>
      </c>
      <c r="M499" s="15" t="s">
        <v>22</v>
      </c>
      <c r="N499" s="15" t="s">
        <v>32</v>
      </c>
      <c r="O499" s="15" t="s">
        <v>33</v>
      </c>
      <c r="P499" s="15" t="s">
        <v>40</v>
      </c>
      <c r="Q499" s="27">
        <v>2028.95</v>
      </c>
      <c r="R499" s="27">
        <v>811.58</v>
      </c>
      <c r="S499" s="31">
        <v>1217.3699999999999</v>
      </c>
    </row>
    <row r="500" spans="1:19" x14ac:dyDescent="0.25">
      <c r="A500" s="20">
        <v>45688</v>
      </c>
      <c r="B500" s="15" t="s">
        <v>459</v>
      </c>
      <c r="C500" s="15">
        <v>20255</v>
      </c>
      <c r="D500" s="15" t="s">
        <v>68</v>
      </c>
      <c r="E500" s="15">
        <v>17</v>
      </c>
      <c r="F500" s="27">
        <v>30.82</v>
      </c>
      <c r="G500" s="15" t="s">
        <v>43</v>
      </c>
      <c r="H500" s="35">
        <v>0.31</v>
      </c>
      <c r="I500" s="15" t="s">
        <v>19</v>
      </c>
      <c r="J500" s="27">
        <v>18.78</v>
      </c>
      <c r="K500" s="15" t="s">
        <v>50</v>
      </c>
      <c r="L500" s="15" t="s">
        <v>31</v>
      </c>
      <c r="M500" s="15" t="s">
        <v>22</v>
      </c>
      <c r="N500" s="15" t="s">
        <v>32</v>
      </c>
      <c r="O500" s="15" t="s">
        <v>59</v>
      </c>
      <c r="P500" s="15" t="s">
        <v>34</v>
      </c>
      <c r="Q500" s="27">
        <v>523.94000000000005</v>
      </c>
      <c r="R500" s="27">
        <v>162.42140000000001</v>
      </c>
      <c r="S500" s="31">
        <v>361.51860000000005</v>
      </c>
    </row>
    <row r="501" spans="1:19" x14ac:dyDescent="0.25">
      <c r="A501" s="20">
        <v>45688</v>
      </c>
      <c r="B501" s="15" t="s">
        <v>460</v>
      </c>
      <c r="C501" s="15">
        <v>81608</v>
      </c>
      <c r="D501" s="15" t="s">
        <v>17</v>
      </c>
      <c r="E501" s="15">
        <v>31</v>
      </c>
      <c r="F501" s="27">
        <v>33.020000000000003</v>
      </c>
      <c r="G501" s="15" t="s">
        <v>55</v>
      </c>
      <c r="H501" s="35">
        <v>0</v>
      </c>
      <c r="I501" s="15" t="s">
        <v>19</v>
      </c>
      <c r="J501" s="27">
        <v>8.4499999999999993</v>
      </c>
      <c r="K501" s="15" t="s">
        <v>20</v>
      </c>
      <c r="L501" s="15" t="s">
        <v>31</v>
      </c>
      <c r="M501" s="15" t="s">
        <v>22</v>
      </c>
      <c r="N501" s="15" t="s">
        <v>38</v>
      </c>
      <c r="O501" s="15" t="s">
        <v>59</v>
      </c>
      <c r="P501" s="15" t="s">
        <v>40</v>
      </c>
      <c r="Q501" s="27">
        <v>1023.6200000000001</v>
      </c>
      <c r="R501" s="27">
        <v>0</v>
      </c>
      <c r="S501" s="31">
        <v>1023.6200000000001</v>
      </c>
    </row>
    <row r="502" spans="1:19" x14ac:dyDescent="0.25">
      <c r="A502" s="20">
        <v>45688</v>
      </c>
      <c r="B502" s="15" t="s">
        <v>461</v>
      </c>
      <c r="C502" s="15">
        <v>35856</v>
      </c>
      <c r="D502" s="15" t="s">
        <v>27</v>
      </c>
      <c r="E502" s="15">
        <v>40</v>
      </c>
      <c r="F502" s="27">
        <v>13.84</v>
      </c>
      <c r="G502" s="15" t="s">
        <v>76</v>
      </c>
      <c r="H502" s="35">
        <v>0.5</v>
      </c>
      <c r="I502" s="15" t="s">
        <v>29</v>
      </c>
      <c r="J502" s="27">
        <v>8.6199999999999992</v>
      </c>
      <c r="K502" s="15" t="s">
        <v>30</v>
      </c>
      <c r="L502" s="15" t="s">
        <v>21</v>
      </c>
      <c r="M502" s="15" t="s">
        <v>22</v>
      </c>
      <c r="N502" s="15" t="s">
        <v>53</v>
      </c>
      <c r="O502" s="15" t="s">
        <v>24</v>
      </c>
      <c r="P502" s="15" t="s">
        <v>34</v>
      </c>
      <c r="Q502" s="27">
        <v>553.6</v>
      </c>
      <c r="R502" s="27">
        <v>276.8</v>
      </c>
      <c r="S502" s="31">
        <v>276.8</v>
      </c>
    </row>
    <row r="503" spans="1:19" x14ac:dyDescent="0.25">
      <c r="A503" s="20">
        <v>45688</v>
      </c>
      <c r="B503" s="15" t="s">
        <v>462</v>
      </c>
      <c r="C503" s="15">
        <v>47083</v>
      </c>
      <c r="D503" s="15" t="s">
        <v>70</v>
      </c>
      <c r="E503" s="15">
        <v>44</v>
      </c>
      <c r="F503" s="27">
        <v>33.229999999999997</v>
      </c>
      <c r="G503" s="15" t="s">
        <v>76</v>
      </c>
      <c r="H503" s="35">
        <v>0.12</v>
      </c>
      <c r="I503" s="15" t="s">
        <v>734</v>
      </c>
      <c r="J503" s="27">
        <v>5.69</v>
      </c>
      <c r="K503" s="15" t="s">
        <v>50</v>
      </c>
      <c r="L503" s="15" t="s">
        <v>21</v>
      </c>
      <c r="M503" s="15" t="s">
        <v>22</v>
      </c>
      <c r="N503" s="15" t="s">
        <v>53</v>
      </c>
      <c r="O503" s="15" t="s">
        <v>33</v>
      </c>
      <c r="P503" s="15" t="s">
        <v>34</v>
      </c>
      <c r="Q503" s="27">
        <v>1462.12</v>
      </c>
      <c r="R503" s="27">
        <v>175.45439999999999</v>
      </c>
      <c r="S503" s="31">
        <v>1286.6655999999998</v>
      </c>
    </row>
    <row r="504" spans="1:19" x14ac:dyDescent="0.25">
      <c r="A504" s="20">
        <v>45689</v>
      </c>
      <c r="B504" s="15" t="s">
        <v>463</v>
      </c>
      <c r="C504" s="15">
        <v>90287</v>
      </c>
      <c r="D504" s="15" t="s">
        <v>57</v>
      </c>
      <c r="E504" s="15">
        <v>14</v>
      </c>
      <c r="F504" s="27">
        <v>74.97</v>
      </c>
      <c r="G504" s="15" t="s">
        <v>55</v>
      </c>
      <c r="H504" s="35">
        <v>0.1</v>
      </c>
      <c r="I504" s="15" t="s">
        <v>29</v>
      </c>
      <c r="J504" s="27">
        <v>22.26</v>
      </c>
      <c r="K504" s="15" t="s">
        <v>44</v>
      </c>
      <c r="L504" s="15" t="s">
        <v>31</v>
      </c>
      <c r="M504" s="15" t="s">
        <v>22</v>
      </c>
      <c r="N504" s="15" t="s">
        <v>53</v>
      </c>
      <c r="O504" s="15" t="s">
        <v>24</v>
      </c>
      <c r="P504" s="15" t="s">
        <v>40</v>
      </c>
      <c r="Q504" s="27">
        <v>1049.58</v>
      </c>
      <c r="R504" s="27">
        <v>104.958</v>
      </c>
      <c r="S504" s="31">
        <v>944.62199999999996</v>
      </c>
    </row>
    <row r="505" spans="1:19" x14ac:dyDescent="0.25">
      <c r="A505" s="20">
        <v>45689</v>
      </c>
      <c r="B505" s="15" t="s">
        <v>259</v>
      </c>
      <c r="C505" s="15">
        <v>72856</v>
      </c>
      <c r="D505" s="15" t="s">
        <v>66</v>
      </c>
      <c r="E505" s="15">
        <v>12</v>
      </c>
      <c r="F505" s="27">
        <v>44.34</v>
      </c>
      <c r="G505" s="15" t="s">
        <v>47</v>
      </c>
      <c r="H505" s="35">
        <v>0.14000000000000001</v>
      </c>
      <c r="I505" s="15" t="s">
        <v>29</v>
      </c>
      <c r="J505" s="27">
        <v>28.2</v>
      </c>
      <c r="K505" s="15" t="s">
        <v>44</v>
      </c>
      <c r="L505" s="15" t="s">
        <v>21</v>
      </c>
      <c r="M505" s="15" t="s">
        <v>22</v>
      </c>
      <c r="N505" s="15" t="s">
        <v>53</v>
      </c>
      <c r="O505" s="15" t="s">
        <v>59</v>
      </c>
      <c r="P505" s="15" t="s">
        <v>40</v>
      </c>
      <c r="Q505" s="27">
        <v>532.08000000000004</v>
      </c>
      <c r="R505" s="27">
        <v>74.491200000000006</v>
      </c>
      <c r="S505" s="31">
        <v>457.58880000000005</v>
      </c>
    </row>
    <row r="506" spans="1:19" x14ac:dyDescent="0.25">
      <c r="A506" s="20">
        <v>45689</v>
      </c>
      <c r="B506" s="15" t="s">
        <v>464</v>
      </c>
      <c r="C506" s="15">
        <v>78662</v>
      </c>
      <c r="D506" s="15" t="s">
        <v>46</v>
      </c>
      <c r="E506" s="15">
        <v>5</v>
      </c>
      <c r="F506" s="27">
        <v>11.92</v>
      </c>
      <c r="G506" s="15" t="s">
        <v>76</v>
      </c>
      <c r="H506" s="35">
        <v>0.08</v>
      </c>
      <c r="I506" s="15" t="s">
        <v>19</v>
      </c>
      <c r="J506" s="27">
        <v>27.12</v>
      </c>
      <c r="K506" s="15" t="s">
        <v>44</v>
      </c>
      <c r="L506" s="15" t="s">
        <v>21</v>
      </c>
      <c r="M506" s="15" t="s">
        <v>22</v>
      </c>
      <c r="N506" s="15" t="s">
        <v>53</v>
      </c>
      <c r="O506" s="15" t="s">
        <v>33</v>
      </c>
      <c r="P506" s="15" t="s">
        <v>25</v>
      </c>
      <c r="Q506" s="27">
        <v>59.6</v>
      </c>
      <c r="R506" s="27">
        <v>4.7679999999999998</v>
      </c>
      <c r="S506" s="31">
        <v>54.832000000000001</v>
      </c>
    </row>
    <row r="507" spans="1:19" x14ac:dyDescent="0.25">
      <c r="A507" s="20">
        <v>45689</v>
      </c>
      <c r="B507" s="15" t="s">
        <v>465</v>
      </c>
      <c r="C507" s="15">
        <v>99791</v>
      </c>
      <c r="D507" s="15" t="s">
        <v>49</v>
      </c>
      <c r="E507" s="15">
        <v>10</v>
      </c>
      <c r="F507" s="27">
        <v>76.69</v>
      </c>
      <c r="G507" s="15" t="s">
        <v>47</v>
      </c>
      <c r="H507" s="35">
        <v>0.35</v>
      </c>
      <c r="I507" s="15" t="s">
        <v>19</v>
      </c>
      <c r="J507" s="27">
        <v>21.65</v>
      </c>
      <c r="K507" s="15" t="s">
        <v>30</v>
      </c>
      <c r="L507" s="15" t="s">
        <v>21</v>
      </c>
      <c r="M507" s="15" t="s">
        <v>22</v>
      </c>
      <c r="N507" s="15" t="s">
        <v>53</v>
      </c>
      <c r="O507" s="15" t="s">
        <v>33</v>
      </c>
      <c r="P507" s="15" t="s">
        <v>40</v>
      </c>
      <c r="Q507" s="27">
        <v>766.9</v>
      </c>
      <c r="R507" s="27">
        <v>268.41499999999996</v>
      </c>
      <c r="S507" s="31">
        <v>498.48500000000001</v>
      </c>
    </row>
    <row r="508" spans="1:19" x14ac:dyDescent="0.25">
      <c r="A508" s="20">
        <v>45689</v>
      </c>
      <c r="B508" s="15" t="s">
        <v>466</v>
      </c>
      <c r="C508" s="15">
        <v>66548</v>
      </c>
      <c r="D508" s="15" t="s">
        <v>57</v>
      </c>
      <c r="E508" s="15">
        <v>38</v>
      </c>
      <c r="F508" s="27">
        <v>19.420000000000002</v>
      </c>
      <c r="G508" s="15" t="s">
        <v>28</v>
      </c>
      <c r="H508" s="35">
        <v>0.22</v>
      </c>
      <c r="I508" s="15" t="s">
        <v>19</v>
      </c>
      <c r="J508" s="27">
        <v>22.84</v>
      </c>
      <c r="K508" s="15" t="s">
        <v>20</v>
      </c>
      <c r="L508" s="15" t="s">
        <v>31</v>
      </c>
      <c r="M508" s="15" t="s">
        <v>22</v>
      </c>
      <c r="N508" s="15" t="s">
        <v>23</v>
      </c>
      <c r="O508" s="15" t="s">
        <v>39</v>
      </c>
      <c r="P508" s="15" t="s">
        <v>25</v>
      </c>
      <c r="Q508" s="27">
        <v>737.96</v>
      </c>
      <c r="R508" s="27">
        <v>162.35120000000001</v>
      </c>
      <c r="S508" s="31">
        <v>575.60879999999997</v>
      </c>
    </row>
    <row r="509" spans="1:19" x14ac:dyDescent="0.25">
      <c r="A509" s="20">
        <v>45689</v>
      </c>
      <c r="B509" s="15" t="s">
        <v>467</v>
      </c>
      <c r="C509" s="15">
        <v>48871</v>
      </c>
      <c r="D509" s="15" t="s">
        <v>57</v>
      </c>
      <c r="E509" s="15">
        <v>17</v>
      </c>
      <c r="F509" s="27">
        <v>61.08</v>
      </c>
      <c r="G509" s="15" t="s">
        <v>55</v>
      </c>
      <c r="H509" s="35">
        <v>0.48</v>
      </c>
      <c r="I509" s="15" t="s">
        <v>734</v>
      </c>
      <c r="J509" s="27">
        <v>12.5</v>
      </c>
      <c r="K509" s="15" t="s">
        <v>30</v>
      </c>
      <c r="L509" s="15" t="s">
        <v>31</v>
      </c>
      <c r="M509" s="15" t="s">
        <v>22</v>
      </c>
      <c r="N509" s="15" t="s">
        <v>38</v>
      </c>
      <c r="O509" s="15" t="s">
        <v>39</v>
      </c>
      <c r="P509" s="15" t="s">
        <v>40</v>
      </c>
      <c r="Q509" s="27">
        <v>1038.3599999999999</v>
      </c>
      <c r="R509" s="27">
        <v>498.41279999999995</v>
      </c>
      <c r="S509" s="31">
        <v>539.94719999999995</v>
      </c>
    </row>
    <row r="510" spans="1:19" x14ac:dyDescent="0.25">
      <c r="A510" s="20">
        <v>45689</v>
      </c>
      <c r="B510" s="15" t="s">
        <v>271</v>
      </c>
      <c r="C510" s="15">
        <v>75189</v>
      </c>
      <c r="D510" s="15" t="s">
        <v>89</v>
      </c>
      <c r="E510" s="15">
        <v>49</v>
      </c>
      <c r="F510" s="27">
        <v>3.51</v>
      </c>
      <c r="G510" s="15" t="s">
        <v>28</v>
      </c>
      <c r="H510" s="35">
        <v>0.49</v>
      </c>
      <c r="I510" s="15" t="s">
        <v>734</v>
      </c>
      <c r="J510" s="27">
        <v>6.16</v>
      </c>
      <c r="K510" s="15" t="s">
        <v>37</v>
      </c>
      <c r="L510" s="15" t="s">
        <v>31</v>
      </c>
      <c r="M510" s="15" t="s">
        <v>22</v>
      </c>
      <c r="N510" s="15" t="s">
        <v>38</v>
      </c>
      <c r="O510" s="15" t="s">
        <v>39</v>
      </c>
      <c r="P510" s="15" t="s">
        <v>25</v>
      </c>
      <c r="Q510" s="27">
        <v>171.98999999999998</v>
      </c>
      <c r="R510" s="27">
        <v>84.275099999999995</v>
      </c>
      <c r="S510" s="31">
        <v>87.714899999999986</v>
      </c>
    </row>
    <row r="511" spans="1:19" x14ac:dyDescent="0.25">
      <c r="A511" s="20">
        <v>45689</v>
      </c>
      <c r="B511" s="15" t="s">
        <v>468</v>
      </c>
      <c r="C511" s="15">
        <v>39420</v>
      </c>
      <c r="D511" s="15" t="s">
        <v>66</v>
      </c>
      <c r="E511" s="15">
        <v>42</v>
      </c>
      <c r="F511" s="27">
        <v>55.62</v>
      </c>
      <c r="G511" s="15" t="s">
        <v>47</v>
      </c>
      <c r="H511" s="35">
        <v>0.12</v>
      </c>
      <c r="I511" s="15" t="s">
        <v>29</v>
      </c>
      <c r="J511" s="27">
        <v>9.2899999999999991</v>
      </c>
      <c r="K511" s="15" t="s">
        <v>37</v>
      </c>
      <c r="L511" s="15" t="s">
        <v>31</v>
      </c>
      <c r="M511" s="15" t="s">
        <v>22</v>
      </c>
      <c r="N511" s="15" t="s">
        <v>53</v>
      </c>
      <c r="O511" s="15" t="s">
        <v>24</v>
      </c>
      <c r="P511" s="15" t="s">
        <v>34</v>
      </c>
      <c r="Q511" s="27">
        <v>2336.04</v>
      </c>
      <c r="R511" s="27">
        <v>280.32479999999998</v>
      </c>
      <c r="S511" s="31">
        <v>2055.7152000000001</v>
      </c>
    </row>
    <row r="512" spans="1:19" x14ac:dyDescent="0.25">
      <c r="A512" s="20">
        <v>45689</v>
      </c>
      <c r="B512" s="15" t="s">
        <v>469</v>
      </c>
      <c r="C512" s="15">
        <v>72684</v>
      </c>
      <c r="D512" s="15" t="s">
        <v>17</v>
      </c>
      <c r="E512" s="15">
        <v>29</v>
      </c>
      <c r="F512" s="27">
        <v>3.82</v>
      </c>
      <c r="G512" s="15" t="s">
        <v>36</v>
      </c>
      <c r="H512" s="35">
        <v>0.03</v>
      </c>
      <c r="I512" s="15" t="s">
        <v>29</v>
      </c>
      <c r="J512" s="27">
        <v>17.05</v>
      </c>
      <c r="K512" s="15" t="s">
        <v>50</v>
      </c>
      <c r="L512" s="15" t="s">
        <v>31</v>
      </c>
      <c r="M512" s="15" t="s">
        <v>22</v>
      </c>
      <c r="N512" s="15" t="s">
        <v>32</v>
      </c>
      <c r="O512" s="15" t="s">
        <v>33</v>
      </c>
      <c r="P512" s="15" t="s">
        <v>40</v>
      </c>
      <c r="Q512" s="27">
        <v>110.78</v>
      </c>
      <c r="R512" s="27">
        <v>3.3233999999999999</v>
      </c>
      <c r="S512" s="31">
        <v>107.45659999999999</v>
      </c>
    </row>
    <row r="513" spans="1:19" x14ac:dyDescent="0.25">
      <c r="A513" s="20">
        <v>45689</v>
      </c>
      <c r="B513" s="15" t="s">
        <v>470</v>
      </c>
      <c r="C513" s="15">
        <v>99178</v>
      </c>
      <c r="D513" s="15" t="s">
        <v>89</v>
      </c>
      <c r="E513" s="15">
        <v>48</v>
      </c>
      <c r="F513" s="27">
        <v>53.96</v>
      </c>
      <c r="G513" s="15" t="s">
        <v>47</v>
      </c>
      <c r="H513" s="35">
        <v>0.25</v>
      </c>
      <c r="I513" s="15" t="s">
        <v>734</v>
      </c>
      <c r="J513" s="27">
        <v>26.89</v>
      </c>
      <c r="K513" s="15" t="s">
        <v>37</v>
      </c>
      <c r="L513" s="15" t="s">
        <v>21</v>
      </c>
      <c r="M513" s="15" t="s">
        <v>22</v>
      </c>
      <c r="N513" s="15" t="s">
        <v>32</v>
      </c>
      <c r="O513" s="15" t="s">
        <v>81</v>
      </c>
      <c r="P513" s="15" t="s">
        <v>40</v>
      </c>
      <c r="Q513" s="27">
        <v>2590.08</v>
      </c>
      <c r="R513" s="27">
        <v>647.52</v>
      </c>
      <c r="S513" s="31">
        <v>1942.56</v>
      </c>
    </row>
    <row r="514" spans="1:19" x14ac:dyDescent="0.25">
      <c r="A514" s="20">
        <v>45689</v>
      </c>
      <c r="B514" s="15" t="s">
        <v>471</v>
      </c>
      <c r="C514" s="15">
        <v>75311</v>
      </c>
      <c r="D514" s="15" t="s">
        <v>66</v>
      </c>
      <c r="E514" s="15">
        <v>21</v>
      </c>
      <c r="F514" s="27">
        <v>89.01</v>
      </c>
      <c r="G514" s="15" t="s">
        <v>55</v>
      </c>
      <c r="H514" s="35">
        <v>0.08</v>
      </c>
      <c r="I514" s="15" t="s">
        <v>19</v>
      </c>
      <c r="J514" s="27">
        <v>25.01</v>
      </c>
      <c r="K514" s="15" t="s">
        <v>30</v>
      </c>
      <c r="L514" s="15" t="s">
        <v>31</v>
      </c>
      <c r="M514" s="15" t="s">
        <v>111</v>
      </c>
      <c r="N514" s="15" t="s">
        <v>32</v>
      </c>
      <c r="O514" s="15" t="s">
        <v>39</v>
      </c>
      <c r="P514" s="15" t="s">
        <v>40</v>
      </c>
      <c r="Q514" s="27">
        <v>1869.21</v>
      </c>
      <c r="R514" s="27">
        <v>149.5368</v>
      </c>
      <c r="S514" s="31">
        <v>1719.6732</v>
      </c>
    </row>
    <row r="515" spans="1:19" x14ac:dyDescent="0.25">
      <c r="A515" s="20">
        <v>45689</v>
      </c>
      <c r="B515" s="15" t="s">
        <v>472</v>
      </c>
      <c r="C515" s="15">
        <v>91026</v>
      </c>
      <c r="D515" s="15" t="s">
        <v>42</v>
      </c>
      <c r="E515" s="15">
        <v>47</v>
      </c>
      <c r="F515" s="27">
        <v>33.94</v>
      </c>
      <c r="G515" s="15" t="s">
        <v>47</v>
      </c>
      <c r="H515" s="35">
        <v>0.21</v>
      </c>
      <c r="I515" s="15" t="s">
        <v>734</v>
      </c>
      <c r="J515" s="27">
        <v>12.42</v>
      </c>
      <c r="K515" s="15" t="s">
        <v>44</v>
      </c>
      <c r="L515" s="15" t="s">
        <v>21</v>
      </c>
      <c r="M515" s="15" t="s">
        <v>22</v>
      </c>
      <c r="N515" s="15" t="s">
        <v>38</v>
      </c>
      <c r="O515" s="15" t="s">
        <v>59</v>
      </c>
      <c r="P515" s="15" t="s">
        <v>40</v>
      </c>
      <c r="Q515" s="27">
        <v>1595.1799999999998</v>
      </c>
      <c r="R515" s="27">
        <v>334.98779999999994</v>
      </c>
      <c r="S515" s="31">
        <v>1260.1922</v>
      </c>
    </row>
    <row r="516" spans="1:19" x14ac:dyDescent="0.25">
      <c r="A516" s="20">
        <v>45689</v>
      </c>
      <c r="B516" s="15" t="s">
        <v>212</v>
      </c>
      <c r="C516" s="15">
        <v>47634</v>
      </c>
      <c r="D516" s="15" t="s">
        <v>66</v>
      </c>
      <c r="E516" s="15">
        <v>2</v>
      </c>
      <c r="F516" s="27">
        <v>72.84</v>
      </c>
      <c r="G516" s="15" t="s">
        <v>76</v>
      </c>
      <c r="H516" s="35">
        <v>0.13</v>
      </c>
      <c r="I516" s="15" t="s">
        <v>29</v>
      </c>
      <c r="J516" s="27">
        <v>22.76</v>
      </c>
      <c r="K516" s="15" t="s">
        <v>20</v>
      </c>
      <c r="L516" s="15" t="s">
        <v>21</v>
      </c>
      <c r="M516" s="15" t="s">
        <v>22</v>
      </c>
      <c r="N516" s="15" t="s">
        <v>53</v>
      </c>
      <c r="O516" s="15" t="s">
        <v>81</v>
      </c>
      <c r="P516" s="15" t="s">
        <v>25</v>
      </c>
      <c r="Q516" s="27">
        <v>145.68</v>
      </c>
      <c r="R516" s="27">
        <v>18.938400000000001</v>
      </c>
      <c r="S516" s="31">
        <v>126.74160000000001</v>
      </c>
    </row>
    <row r="517" spans="1:19" x14ac:dyDescent="0.25">
      <c r="A517" s="20">
        <v>45689</v>
      </c>
      <c r="B517" s="15" t="s">
        <v>473</v>
      </c>
      <c r="C517" s="15">
        <v>44879</v>
      </c>
      <c r="D517" s="15" t="s">
        <v>68</v>
      </c>
      <c r="E517" s="15">
        <v>22</v>
      </c>
      <c r="F517" s="27">
        <v>45.43</v>
      </c>
      <c r="G517" s="15" t="s">
        <v>52</v>
      </c>
      <c r="H517" s="35">
        <v>0.46</v>
      </c>
      <c r="I517" s="15" t="s">
        <v>734</v>
      </c>
      <c r="J517" s="27">
        <v>26.5</v>
      </c>
      <c r="K517" s="15" t="s">
        <v>30</v>
      </c>
      <c r="L517" s="15" t="s">
        <v>31</v>
      </c>
      <c r="M517" s="15" t="s">
        <v>22</v>
      </c>
      <c r="N517" s="15" t="s">
        <v>53</v>
      </c>
      <c r="O517" s="15" t="s">
        <v>33</v>
      </c>
      <c r="P517" s="15" t="s">
        <v>40</v>
      </c>
      <c r="Q517" s="27">
        <v>999.46</v>
      </c>
      <c r="R517" s="27">
        <v>459.75160000000005</v>
      </c>
      <c r="S517" s="31">
        <v>539.70839999999998</v>
      </c>
    </row>
    <row r="518" spans="1:19" x14ac:dyDescent="0.25">
      <c r="A518" s="20">
        <v>45689</v>
      </c>
      <c r="B518" s="15" t="s">
        <v>474</v>
      </c>
      <c r="C518" s="15">
        <v>43382</v>
      </c>
      <c r="D518" s="15" t="s">
        <v>70</v>
      </c>
      <c r="E518" s="15">
        <v>12</v>
      </c>
      <c r="F518" s="27">
        <v>36.85</v>
      </c>
      <c r="G518" s="15" t="s">
        <v>43</v>
      </c>
      <c r="H518" s="35">
        <v>0.3</v>
      </c>
      <c r="I518" s="15" t="s">
        <v>734</v>
      </c>
      <c r="J518" s="27">
        <v>8.31</v>
      </c>
      <c r="K518" s="15" t="s">
        <v>44</v>
      </c>
      <c r="L518" s="15" t="s">
        <v>31</v>
      </c>
      <c r="M518" s="15" t="s">
        <v>22</v>
      </c>
      <c r="N518" s="15" t="s">
        <v>32</v>
      </c>
      <c r="O518" s="15" t="s">
        <v>33</v>
      </c>
      <c r="P518" s="15" t="s">
        <v>34</v>
      </c>
      <c r="Q518" s="27">
        <v>442.20000000000005</v>
      </c>
      <c r="R518" s="27">
        <v>132.66</v>
      </c>
      <c r="S518" s="31">
        <v>309.54000000000008</v>
      </c>
    </row>
    <row r="519" spans="1:19" x14ac:dyDescent="0.25">
      <c r="A519" s="20">
        <v>45689</v>
      </c>
      <c r="B519" s="15" t="s">
        <v>475</v>
      </c>
      <c r="C519" s="15">
        <v>13934</v>
      </c>
      <c r="D519" s="15" t="s">
        <v>66</v>
      </c>
      <c r="E519" s="15">
        <v>26</v>
      </c>
      <c r="F519" s="27">
        <v>58.36</v>
      </c>
      <c r="G519" s="15" t="s">
        <v>47</v>
      </c>
      <c r="H519" s="35">
        <v>0.44</v>
      </c>
      <c r="I519" s="15" t="s">
        <v>734</v>
      </c>
      <c r="J519" s="27">
        <v>27.43</v>
      </c>
      <c r="K519" s="15" t="s">
        <v>50</v>
      </c>
      <c r="L519" s="15" t="s">
        <v>21</v>
      </c>
      <c r="M519" s="15" t="s">
        <v>22</v>
      </c>
      <c r="N519" s="15" t="s">
        <v>23</v>
      </c>
      <c r="O519" s="15" t="s">
        <v>33</v>
      </c>
      <c r="P519" s="15" t="s">
        <v>25</v>
      </c>
      <c r="Q519" s="27">
        <v>1517.36</v>
      </c>
      <c r="R519" s="27">
        <v>667.63839999999993</v>
      </c>
      <c r="S519" s="31">
        <v>849.72159999999997</v>
      </c>
    </row>
    <row r="520" spans="1:19" x14ac:dyDescent="0.25">
      <c r="A520" s="20">
        <v>45689</v>
      </c>
      <c r="B520" s="15" t="s">
        <v>385</v>
      </c>
      <c r="C520" s="15">
        <v>95183</v>
      </c>
      <c r="D520" s="15" t="s">
        <v>70</v>
      </c>
      <c r="E520" s="15">
        <v>5</v>
      </c>
      <c r="F520" s="27">
        <v>28.61</v>
      </c>
      <c r="G520" s="15" t="s">
        <v>84</v>
      </c>
      <c r="H520" s="35">
        <v>0.03</v>
      </c>
      <c r="I520" s="15" t="s">
        <v>734</v>
      </c>
      <c r="J520" s="27">
        <v>16.420000000000002</v>
      </c>
      <c r="K520" s="15" t="s">
        <v>50</v>
      </c>
      <c r="L520" s="15" t="s">
        <v>31</v>
      </c>
      <c r="M520" s="15" t="s">
        <v>111</v>
      </c>
      <c r="N520" s="15" t="s">
        <v>23</v>
      </c>
      <c r="O520" s="15" t="s">
        <v>59</v>
      </c>
      <c r="P520" s="15" t="s">
        <v>25</v>
      </c>
      <c r="Q520" s="27">
        <v>143.05000000000001</v>
      </c>
      <c r="R520" s="27">
        <v>4.2915000000000001</v>
      </c>
      <c r="S520" s="31">
        <v>138.7585</v>
      </c>
    </row>
    <row r="521" spans="1:19" x14ac:dyDescent="0.25">
      <c r="A521" s="20">
        <v>45689</v>
      </c>
      <c r="B521" s="15" t="s">
        <v>103</v>
      </c>
      <c r="C521" s="15">
        <v>27348</v>
      </c>
      <c r="D521" s="15" t="s">
        <v>17</v>
      </c>
      <c r="E521" s="15">
        <v>29</v>
      </c>
      <c r="F521" s="27">
        <v>81.08</v>
      </c>
      <c r="G521" s="15" t="s">
        <v>84</v>
      </c>
      <c r="H521" s="35">
        <v>0.28999999999999998</v>
      </c>
      <c r="I521" s="15" t="s">
        <v>29</v>
      </c>
      <c r="J521" s="27">
        <v>14.61</v>
      </c>
      <c r="K521" s="15" t="s">
        <v>30</v>
      </c>
      <c r="L521" s="15" t="s">
        <v>21</v>
      </c>
      <c r="M521" s="15" t="s">
        <v>22</v>
      </c>
      <c r="N521" s="15" t="s">
        <v>53</v>
      </c>
      <c r="O521" s="15" t="s">
        <v>81</v>
      </c>
      <c r="P521" s="15" t="s">
        <v>25</v>
      </c>
      <c r="Q521" s="27">
        <v>2351.3200000000002</v>
      </c>
      <c r="R521" s="27">
        <v>681.88279999999997</v>
      </c>
      <c r="S521" s="31">
        <v>1669.4372000000003</v>
      </c>
    </row>
    <row r="522" spans="1:19" x14ac:dyDescent="0.25">
      <c r="A522" s="20">
        <v>45689</v>
      </c>
      <c r="B522" s="15" t="s">
        <v>476</v>
      </c>
      <c r="C522" s="15">
        <v>20188</v>
      </c>
      <c r="D522" s="15" t="s">
        <v>17</v>
      </c>
      <c r="E522" s="15">
        <v>1</v>
      </c>
      <c r="F522" s="27">
        <v>89.58</v>
      </c>
      <c r="G522" s="15" t="s">
        <v>43</v>
      </c>
      <c r="H522" s="35">
        <v>0.47</v>
      </c>
      <c r="I522" s="15" t="s">
        <v>19</v>
      </c>
      <c r="J522" s="27">
        <v>20.440000000000001</v>
      </c>
      <c r="K522" s="15" t="s">
        <v>50</v>
      </c>
      <c r="L522" s="15" t="s">
        <v>21</v>
      </c>
      <c r="M522" s="15" t="s">
        <v>22</v>
      </c>
      <c r="N522" s="15" t="s">
        <v>38</v>
      </c>
      <c r="O522" s="15" t="s">
        <v>39</v>
      </c>
      <c r="P522" s="15" t="s">
        <v>25</v>
      </c>
      <c r="Q522" s="27">
        <v>89.58</v>
      </c>
      <c r="R522" s="27">
        <v>42.102599999999995</v>
      </c>
      <c r="S522" s="31">
        <v>47.477400000000003</v>
      </c>
    </row>
    <row r="523" spans="1:19" x14ac:dyDescent="0.25">
      <c r="A523" s="20">
        <v>45689</v>
      </c>
      <c r="B523" s="15" t="s">
        <v>477</v>
      </c>
      <c r="C523" s="15">
        <v>49448</v>
      </c>
      <c r="D523" s="15" t="s">
        <v>68</v>
      </c>
      <c r="E523" s="15">
        <v>32</v>
      </c>
      <c r="F523" s="27">
        <v>18.98</v>
      </c>
      <c r="G523" s="15" t="s">
        <v>52</v>
      </c>
      <c r="H523" s="35">
        <v>0.47</v>
      </c>
      <c r="I523" s="15" t="s">
        <v>734</v>
      </c>
      <c r="J523" s="27">
        <v>27.35</v>
      </c>
      <c r="K523" s="15" t="s">
        <v>30</v>
      </c>
      <c r="L523" s="15" t="s">
        <v>31</v>
      </c>
      <c r="M523" s="15" t="s">
        <v>22</v>
      </c>
      <c r="N523" s="15" t="s">
        <v>53</v>
      </c>
      <c r="O523" s="15" t="s">
        <v>59</v>
      </c>
      <c r="P523" s="15" t="s">
        <v>34</v>
      </c>
      <c r="Q523" s="27">
        <v>607.36</v>
      </c>
      <c r="R523" s="27">
        <v>285.45920000000001</v>
      </c>
      <c r="S523" s="31">
        <v>321.9008</v>
      </c>
    </row>
    <row r="524" spans="1:19" x14ac:dyDescent="0.25">
      <c r="A524" s="20">
        <v>45689</v>
      </c>
      <c r="B524" s="15" t="s">
        <v>342</v>
      </c>
      <c r="C524" s="15">
        <v>71256</v>
      </c>
      <c r="D524" s="15" t="s">
        <v>75</v>
      </c>
      <c r="E524" s="15">
        <v>34</v>
      </c>
      <c r="F524" s="27">
        <v>88.22</v>
      </c>
      <c r="G524" s="15" t="s">
        <v>36</v>
      </c>
      <c r="H524" s="35">
        <v>0.38</v>
      </c>
      <c r="I524" s="15" t="s">
        <v>29</v>
      </c>
      <c r="J524" s="27">
        <v>13.93</v>
      </c>
      <c r="K524" s="15" t="s">
        <v>44</v>
      </c>
      <c r="L524" s="15" t="s">
        <v>31</v>
      </c>
      <c r="M524" s="15" t="s">
        <v>22</v>
      </c>
      <c r="N524" s="15" t="s">
        <v>38</v>
      </c>
      <c r="O524" s="15" t="s">
        <v>81</v>
      </c>
      <c r="P524" s="15" t="s">
        <v>34</v>
      </c>
      <c r="Q524" s="27">
        <v>2999.48</v>
      </c>
      <c r="R524" s="27">
        <v>1139.8024</v>
      </c>
      <c r="S524" s="31">
        <v>1859.6776</v>
      </c>
    </row>
    <row r="525" spans="1:19" x14ac:dyDescent="0.25">
      <c r="A525" s="20">
        <v>45690</v>
      </c>
      <c r="B525" s="15" t="s">
        <v>102</v>
      </c>
      <c r="C525" s="15">
        <v>20138</v>
      </c>
      <c r="D525" s="15" t="s">
        <v>70</v>
      </c>
      <c r="E525" s="15">
        <v>17</v>
      </c>
      <c r="F525" s="27">
        <v>60.47</v>
      </c>
      <c r="G525" s="15" t="s">
        <v>52</v>
      </c>
      <c r="H525" s="35">
        <v>0.21</v>
      </c>
      <c r="I525" s="15" t="s">
        <v>29</v>
      </c>
      <c r="J525" s="27">
        <v>11.15</v>
      </c>
      <c r="K525" s="15" t="s">
        <v>50</v>
      </c>
      <c r="L525" s="15" t="s">
        <v>21</v>
      </c>
      <c r="M525" s="15" t="s">
        <v>22</v>
      </c>
      <c r="N525" s="15" t="s">
        <v>53</v>
      </c>
      <c r="O525" s="15" t="s">
        <v>81</v>
      </c>
      <c r="P525" s="15" t="s">
        <v>25</v>
      </c>
      <c r="Q525" s="27">
        <v>1027.99</v>
      </c>
      <c r="R525" s="27">
        <v>215.87789999999998</v>
      </c>
      <c r="S525" s="31">
        <v>812.11210000000005</v>
      </c>
    </row>
    <row r="526" spans="1:19" x14ac:dyDescent="0.25">
      <c r="A526" s="20">
        <v>45690</v>
      </c>
      <c r="B526" s="15" t="s">
        <v>120</v>
      </c>
      <c r="C526" s="15">
        <v>18753</v>
      </c>
      <c r="D526" s="15" t="s">
        <v>42</v>
      </c>
      <c r="E526" s="15">
        <v>27</v>
      </c>
      <c r="F526" s="27">
        <v>19.18</v>
      </c>
      <c r="G526" s="15" t="s">
        <v>55</v>
      </c>
      <c r="H526" s="35">
        <v>0.38</v>
      </c>
      <c r="I526" s="15" t="s">
        <v>19</v>
      </c>
      <c r="J526" s="27">
        <v>7.21</v>
      </c>
      <c r="K526" s="15" t="s">
        <v>44</v>
      </c>
      <c r="L526" s="15" t="s">
        <v>21</v>
      </c>
      <c r="M526" s="15" t="s">
        <v>22</v>
      </c>
      <c r="N526" s="15" t="s">
        <v>23</v>
      </c>
      <c r="O526" s="15" t="s">
        <v>24</v>
      </c>
      <c r="P526" s="15" t="s">
        <v>40</v>
      </c>
      <c r="Q526" s="27">
        <v>517.86</v>
      </c>
      <c r="R526" s="27">
        <v>196.7868</v>
      </c>
      <c r="S526" s="31">
        <v>321.07320000000004</v>
      </c>
    </row>
    <row r="527" spans="1:19" x14ac:dyDescent="0.25">
      <c r="A527" s="20">
        <v>45690</v>
      </c>
      <c r="B527" s="15" t="s">
        <v>478</v>
      </c>
      <c r="C527" s="15">
        <v>28433</v>
      </c>
      <c r="D527" s="15" t="s">
        <v>57</v>
      </c>
      <c r="E527" s="15">
        <v>15</v>
      </c>
      <c r="F527" s="27">
        <v>24.66</v>
      </c>
      <c r="G527" s="15" t="s">
        <v>52</v>
      </c>
      <c r="H527" s="35">
        <v>0.42</v>
      </c>
      <c r="I527" s="15" t="s">
        <v>19</v>
      </c>
      <c r="J527" s="27">
        <v>7.31</v>
      </c>
      <c r="K527" s="15" t="s">
        <v>37</v>
      </c>
      <c r="L527" s="15" t="s">
        <v>31</v>
      </c>
      <c r="M527" s="15" t="s">
        <v>111</v>
      </c>
      <c r="N527" s="15" t="s">
        <v>53</v>
      </c>
      <c r="O527" s="15" t="s">
        <v>24</v>
      </c>
      <c r="P527" s="15" t="s">
        <v>34</v>
      </c>
      <c r="Q527" s="27">
        <v>369.9</v>
      </c>
      <c r="R527" s="27">
        <v>155.35799999999998</v>
      </c>
      <c r="S527" s="31">
        <v>214.542</v>
      </c>
    </row>
    <row r="528" spans="1:19" x14ac:dyDescent="0.25">
      <c r="A528" s="20">
        <v>45690</v>
      </c>
      <c r="B528" s="15" t="s">
        <v>479</v>
      </c>
      <c r="C528" s="15">
        <v>79445</v>
      </c>
      <c r="D528" s="15" t="s">
        <v>75</v>
      </c>
      <c r="E528" s="15">
        <v>13</v>
      </c>
      <c r="F528" s="27">
        <v>22.52</v>
      </c>
      <c r="G528" s="15" t="s">
        <v>99</v>
      </c>
      <c r="H528" s="35">
        <v>0.14000000000000001</v>
      </c>
      <c r="I528" s="15" t="s">
        <v>19</v>
      </c>
      <c r="J528" s="27">
        <v>16.55</v>
      </c>
      <c r="K528" s="15" t="s">
        <v>50</v>
      </c>
      <c r="L528" s="15" t="s">
        <v>21</v>
      </c>
      <c r="M528" s="15" t="s">
        <v>22</v>
      </c>
      <c r="N528" s="15" t="s">
        <v>23</v>
      </c>
      <c r="O528" s="15" t="s">
        <v>24</v>
      </c>
      <c r="P528" s="15" t="s">
        <v>34</v>
      </c>
      <c r="Q528" s="27">
        <v>292.76</v>
      </c>
      <c r="R528" s="27">
        <v>40.986400000000003</v>
      </c>
      <c r="S528" s="31">
        <v>251.77359999999999</v>
      </c>
    </row>
    <row r="529" spans="1:19" x14ac:dyDescent="0.25">
      <c r="A529" s="20">
        <v>45690</v>
      </c>
      <c r="B529" s="15" t="s">
        <v>257</v>
      </c>
      <c r="C529" s="15">
        <v>10600</v>
      </c>
      <c r="D529" s="15" t="s">
        <v>70</v>
      </c>
      <c r="E529" s="15">
        <v>14</v>
      </c>
      <c r="F529" s="27">
        <v>27.22</v>
      </c>
      <c r="G529" s="15" t="s">
        <v>58</v>
      </c>
      <c r="H529" s="35">
        <v>0.28999999999999998</v>
      </c>
      <c r="I529" s="15" t="s">
        <v>734</v>
      </c>
      <c r="J529" s="27">
        <v>9.3800000000000008</v>
      </c>
      <c r="K529" s="15" t="s">
        <v>30</v>
      </c>
      <c r="L529" s="15" t="s">
        <v>21</v>
      </c>
      <c r="M529" s="15" t="s">
        <v>22</v>
      </c>
      <c r="N529" s="15" t="s">
        <v>23</v>
      </c>
      <c r="O529" s="15" t="s">
        <v>33</v>
      </c>
      <c r="P529" s="15" t="s">
        <v>34</v>
      </c>
      <c r="Q529" s="27">
        <v>381.08</v>
      </c>
      <c r="R529" s="27">
        <v>110.51319999999998</v>
      </c>
      <c r="S529" s="31">
        <v>270.5668</v>
      </c>
    </row>
    <row r="530" spans="1:19" x14ac:dyDescent="0.25">
      <c r="A530" s="20">
        <v>45690</v>
      </c>
      <c r="B530" s="15" t="s">
        <v>282</v>
      </c>
      <c r="C530" s="15">
        <v>42695</v>
      </c>
      <c r="D530" s="15" t="s">
        <v>17</v>
      </c>
      <c r="E530" s="15">
        <v>42</v>
      </c>
      <c r="F530" s="27">
        <v>75.62</v>
      </c>
      <c r="G530" s="15" t="s">
        <v>72</v>
      </c>
      <c r="H530" s="35">
        <v>0</v>
      </c>
      <c r="I530" s="15" t="s">
        <v>19</v>
      </c>
      <c r="J530" s="27">
        <v>20.66</v>
      </c>
      <c r="K530" s="15" t="s">
        <v>44</v>
      </c>
      <c r="L530" s="15" t="s">
        <v>21</v>
      </c>
      <c r="M530" s="15" t="s">
        <v>22</v>
      </c>
      <c r="N530" s="15" t="s">
        <v>23</v>
      </c>
      <c r="O530" s="15" t="s">
        <v>24</v>
      </c>
      <c r="P530" s="15" t="s">
        <v>40</v>
      </c>
      <c r="Q530" s="27">
        <v>3176.04</v>
      </c>
      <c r="R530" s="27">
        <v>0</v>
      </c>
      <c r="S530" s="31">
        <v>3176.04</v>
      </c>
    </row>
    <row r="531" spans="1:19" x14ac:dyDescent="0.25">
      <c r="A531" s="20">
        <v>45690</v>
      </c>
      <c r="B531" s="15" t="s">
        <v>128</v>
      </c>
      <c r="C531" s="15">
        <v>90316</v>
      </c>
      <c r="D531" s="15" t="s">
        <v>70</v>
      </c>
      <c r="E531" s="15">
        <v>43</v>
      </c>
      <c r="F531" s="27">
        <v>71.900000000000006</v>
      </c>
      <c r="G531" s="15" t="s">
        <v>99</v>
      </c>
      <c r="H531" s="35">
        <v>0.01</v>
      </c>
      <c r="I531" s="15" t="s">
        <v>734</v>
      </c>
      <c r="J531" s="27">
        <v>9.68</v>
      </c>
      <c r="K531" s="15" t="s">
        <v>37</v>
      </c>
      <c r="L531" s="15" t="s">
        <v>31</v>
      </c>
      <c r="M531" s="15" t="s">
        <v>22</v>
      </c>
      <c r="N531" s="15" t="s">
        <v>38</v>
      </c>
      <c r="O531" s="15" t="s">
        <v>24</v>
      </c>
      <c r="P531" s="15" t="s">
        <v>40</v>
      </c>
      <c r="Q531" s="27">
        <v>3091.7000000000003</v>
      </c>
      <c r="R531" s="27">
        <v>30.917000000000005</v>
      </c>
      <c r="S531" s="31">
        <v>3060.7830000000004</v>
      </c>
    </row>
    <row r="532" spans="1:19" x14ac:dyDescent="0.25">
      <c r="A532" s="20">
        <v>45690</v>
      </c>
      <c r="B532" s="15" t="s">
        <v>480</v>
      </c>
      <c r="C532" s="15">
        <v>53924</v>
      </c>
      <c r="D532" s="15" t="s">
        <v>27</v>
      </c>
      <c r="E532" s="15">
        <v>44</v>
      </c>
      <c r="F532" s="27">
        <v>55.51</v>
      </c>
      <c r="G532" s="15" t="s">
        <v>43</v>
      </c>
      <c r="H532" s="35">
        <v>0.23</v>
      </c>
      <c r="I532" s="15" t="s">
        <v>19</v>
      </c>
      <c r="J532" s="27">
        <v>27.66</v>
      </c>
      <c r="K532" s="15" t="s">
        <v>20</v>
      </c>
      <c r="L532" s="15" t="s">
        <v>31</v>
      </c>
      <c r="M532" s="15" t="s">
        <v>22</v>
      </c>
      <c r="N532" s="15" t="s">
        <v>23</v>
      </c>
      <c r="O532" s="15" t="s">
        <v>33</v>
      </c>
      <c r="P532" s="15" t="s">
        <v>40</v>
      </c>
      <c r="Q532" s="27">
        <v>2442.44</v>
      </c>
      <c r="R532" s="27">
        <v>561.76120000000003</v>
      </c>
      <c r="S532" s="31">
        <v>1880.6788000000001</v>
      </c>
    </row>
    <row r="533" spans="1:19" x14ac:dyDescent="0.25">
      <c r="A533" s="20">
        <v>45690</v>
      </c>
      <c r="B533" s="15" t="s">
        <v>481</v>
      </c>
      <c r="C533" s="15">
        <v>38356</v>
      </c>
      <c r="D533" s="15" t="s">
        <v>66</v>
      </c>
      <c r="E533" s="15">
        <v>33</v>
      </c>
      <c r="F533" s="27">
        <v>53.49</v>
      </c>
      <c r="G533" s="15" t="s">
        <v>84</v>
      </c>
      <c r="H533" s="35">
        <v>0.42</v>
      </c>
      <c r="I533" s="15" t="s">
        <v>734</v>
      </c>
      <c r="J533" s="27">
        <v>5.64</v>
      </c>
      <c r="K533" s="15" t="s">
        <v>30</v>
      </c>
      <c r="L533" s="15" t="s">
        <v>21</v>
      </c>
      <c r="M533" s="15" t="s">
        <v>22</v>
      </c>
      <c r="N533" s="15" t="s">
        <v>23</v>
      </c>
      <c r="O533" s="15" t="s">
        <v>33</v>
      </c>
      <c r="P533" s="15" t="s">
        <v>40</v>
      </c>
      <c r="Q533" s="27">
        <v>1765.17</v>
      </c>
      <c r="R533" s="27">
        <v>741.37139999999999</v>
      </c>
      <c r="S533" s="31">
        <v>1023.7986000000001</v>
      </c>
    </row>
    <row r="534" spans="1:19" x14ac:dyDescent="0.25">
      <c r="A534" s="20">
        <v>45690</v>
      </c>
      <c r="B534" s="15" t="s">
        <v>482</v>
      </c>
      <c r="C534" s="15">
        <v>24551</v>
      </c>
      <c r="D534" s="15" t="s">
        <v>42</v>
      </c>
      <c r="E534" s="15">
        <v>37</v>
      </c>
      <c r="F534" s="27">
        <v>2.66</v>
      </c>
      <c r="G534" s="15" t="s">
        <v>47</v>
      </c>
      <c r="H534" s="35">
        <v>0.46</v>
      </c>
      <c r="I534" s="15" t="s">
        <v>734</v>
      </c>
      <c r="J534" s="27">
        <v>27.47</v>
      </c>
      <c r="K534" s="15" t="s">
        <v>50</v>
      </c>
      <c r="L534" s="15" t="s">
        <v>31</v>
      </c>
      <c r="M534" s="15" t="s">
        <v>22</v>
      </c>
      <c r="N534" s="15" t="s">
        <v>32</v>
      </c>
      <c r="O534" s="15" t="s">
        <v>59</v>
      </c>
      <c r="P534" s="15" t="s">
        <v>25</v>
      </c>
      <c r="Q534" s="27">
        <v>98.42</v>
      </c>
      <c r="R534" s="27">
        <v>45.273200000000003</v>
      </c>
      <c r="S534" s="31">
        <v>53.146799999999999</v>
      </c>
    </row>
    <row r="535" spans="1:19" x14ac:dyDescent="0.25">
      <c r="A535" s="20">
        <v>45690</v>
      </c>
      <c r="B535" s="15" t="s">
        <v>483</v>
      </c>
      <c r="C535" s="15">
        <v>57003</v>
      </c>
      <c r="D535" s="15" t="s">
        <v>57</v>
      </c>
      <c r="E535" s="15">
        <v>29</v>
      </c>
      <c r="F535" s="27">
        <v>7.42</v>
      </c>
      <c r="G535" s="15" t="s">
        <v>76</v>
      </c>
      <c r="H535" s="35">
        <v>0.22</v>
      </c>
      <c r="I535" s="15" t="s">
        <v>19</v>
      </c>
      <c r="J535" s="27">
        <v>14.92</v>
      </c>
      <c r="K535" s="15" t="s">
        <v>30</v>
      </c>
      <c r="L535" s="15" t="s">
        <v>31</v>
      </c>
      <c r="M535" s="15" t="s">
        <v>22</v>
      </c>
      <c r="N535" s="15" t="s">
        <v>38</v>
      </c>
      <c r="O535" s="15" t="s">
        <v>59</v>
      </c>
      <c r="P535" s="15" t="s">
        <v>40</v>
      </c>
      <c r="Q535" s="27">
        <v>215.18</v>
      </c>
      <c r="R535" s="27">
        <v>47.339600000000004</v>
      </c>
      <c r="S535" s="31">
        <v>167.84039999999999</v>
      </c>
    </row>
    <row r="536" spans="1:19" x14ac:dyDescent="0.25">
      <c r="A536" s="20">
        <v>45690</v>
      </c>
      <c r="B536" s="15" t="s">
        <v>419</v>
      </c>
      <c r="C536" s="15">
        <v>19012</v>
      </c>
      <c r="D536" s="15" t="s">
        <v>57</v>
      </c>
      <c r="E536" s="15">
        <v>18</v>
      </c>
      <c r="F536" s="27">
        <v>84.2</v>
      </c>
      <c r="G536" s="15" t="s">
        <v>47</v>
      </c>
      <c r="H536" s="35">
        <v>0.33</v>
      </c>
      <c r="I536" s="15" t="s">
        <v>19</v>
      </c>
      <c r="J536" s="27">
        <v>22.18</v>
      </c>
      <c r="K536" s="15" t="s">
        <v>44</v>
      </c>
      <c r="L536" s="15" t="s">
        <v>31</v>
      </c>
      <c r="M536" s="15" t="s">
        <v>22</v>
      </c>
      <c r="N536" s="15" t="s">
        <v>38</v>
      </c>
      <c r="O536" s="15" t="s">
        <v>39</v>
      </c>
      <c r="P536" s="15" t="s">
        <v>25</v>
      </c>
      <c r="Q536" s="27">
        <v>1515.6000000000001</v>
      </c>
      <c r="R536" s="27">
        <v>500.14800000000008</v>
      </c>
      <c r="S536" s="31">
        <v>1015.452</v>
      </c>
    </row>
    <row r="537" spans="1:19" x14ac:dyDescent="0.25">
      <c r="A537" s="20">
        <v>45690</v>
      </c>
      <c r="B537" s="15" t="s">
        <v>327</v>
      </c>
      <c r="C537" s="15">
        <v>57214</v>
      </c>
      <c r="D537" s="15" t="s">
        <v>75</v>
      </c>
      <c r="E537" s="15">
        <v>32</v>
      </c>
      <c r="F537" s="27">
        <v>89.09</v>
      </c>
      <c r="G537" s="15" t="s">
        <v>52</v>
      </c>
      <c r="H537" s="35">
        <v>0.08</v>
      </c>
      <c r="I537" s="15" t="s">
        <v>19</v>
      </c>
      <c r="J537" s="27">
        <v>16.940000000000001</v>
      </c>
      <c r="K537" s="15" t="s">
        <v>44</v>
      </c>
      <c r="L537" s="15" t="s">
        <v>21</v>
      </c>
      <c r="M537" s="15" t="s">
        <v>22</v>
      </c>
      <c r="N537" s="15" t="s">
        <v>38</v>
      </c>
      <c r="O537" s="15" t="s">
        <v>39</v>
      </c>
      <c r="P537" s="15" t="s">
        <v>34</v>
      </c>
      <c r="Q537" s="27">
        <v>2850.88</v>
      </c>
      <c r="R537" s="27">
        <v>228.07040000000001</v>
      </c>
      <c r="S537" s="31">
        <v>2622.8096</v>
      </c>
    </row>
    <row r="538" spans="1:19" x14ac:dyDescent="0.25">
      <c r="A538" s="20">
        <v>45690</v>
      </c>
      <c r="B538" s="15" t="s">
        <v>130</v>
      </c>
      <c r="C538" s="15">
        <v>73186</v>
      </c>
      <c r="D538" s="15" t="s">
        <v>46</v>
      </c>
      <c r="E538" s="15">
        <v>17</v>
      </c>
      <c r="F538" s="27">
        <v>65.66</v>
      </c>
      <c r="G538" s="15" t="s">
        <v>58</v>
      </c>
      <c r="H538" s="35">
        <v>7.0000000000000007E-2</v>
      </c>
      <c r="I538" s="15" t="s">
        <v>734</v>
      </c>
      <c r="J538" s="27">
        <v>18.079999999999998</v>
      </c>
      <c r="K538" s="15" t="s">
        <v>20</v>
      </c>
      <c r="L538" s="15" t="s">
        <v>31</v>
      </c>
      <c r="M538" s="15" t="s">
        <v>22</v>
      </c>
      <c r="N538" s="15" t="s">
        <v>38</v>
      </c>
      <c r="O538" s="15" t="s">
        <v>39</v>
      </c>
      <c r="P538" s="15" t="s">
        <v>40</v>
      </c>
      <c r="Q538" s="27">
        <v>1116.22</v>
      </c>
      <c r="R538" s="27">
        <v>78.135400000000004</v>
      </c>
      <c r="S538" s="31">
        <v>1038.0846000000001</v>
      </c>
    </row>
    <row r="539" spans="1:19" x14ac:dyDescent="0.25">
      <c r="A539" s="20">
        <v>45690</v>
      </c>
      <c r="B539" s="15" t="s">
        <v>484</v>
      </c>
      <c r="C539" s="15">
        <v>41312</v>
      </c>
      <c r="D539" s="15" t="s">
        <v>66</v>
      </c>
      <c r="E539" s="15">
        <v>1</v>
      </c>
      <c r="F539" s="27">
        <v>79.09</v>
      </c>
      <c r="G539" s="15" t="s">
        <v>76</v>
      </c>
      <c r="H539" s="35">
        <v>0.31</v>
      </c>
      <c r="I539" s="15" t="s">
        <v>19</v>
      </c>
      <c r="J539" s="27">
        <v>17.04</v>
      </c>
      <c r="K539" s="15" t="s">
        <v>20</v>
      </c>
      <c r="L539" s="15" t="s">
        <v>21</v>
      </c>
      <c r="M539" s="15" t="s">
        <v>22</v>
      </c>
      <c r="N539" s="15" t="s">
        <v>32</v>
      </c>
      <c r="O539" s="15" t="s">
        <v>24</v>
      </c>
      <c r="P539" s="15" t="s">
        <v>34</v>
      </c>
      <c r="Q539" s="27">
        <v>79.09</v>
      </c>
      <c r="R539" s="27">
        <v>24.517900000000001</v>
      </c>
      <c r="S539" s="31">
        <v>54.572100000000006</v>
      </c>
    </row>
    <row r="540" spans="1:19" x14ac:dyDescent="0.25">
      <c r="A540" s="20">
        <v>45690</v>
      </c>
      <c r="B540" s="15" t="s">
        <v>485</v>
      </c>
      <c r="C540" s="15">
        <v>17350</v>
      </c>
      <c r="D540" s="15" t="s">
        <v>46</v>
      </c>
      <c r="E540" s="15">
        <v>3</v>
      </c>
      <c r="F540" s="27">
        <v>81.94</v>
      </c>
      <c r="G540" s="15" t="s">
        <v>76</v>
      </c>
      <c r="H540" s="35">
        <v>0.16</v>
      </c>
      <c r="I540" s="15" t="s">
        <v>29</v>
      </c>
      <c r="J540" s="27">
        <v>25.75</v>
      </c>
      <c r="K540" s="15" t="s">
        <v>20</v>
      </c>
      <c r="L540" s="15" t="s">
        <v>31</v>
      </c>
      <c r="M540" s="15" t="s">
        <v>22</v>
      </c>
      <c r="N540" s="15" t="s">
        <v>32</v>
      </c>
      <c r="O540" s="15" t="s">
        <v>81</v>
      </c>
      <c r="P540" s="15" t="s">
        <v>34</v>
      </c>
      <c r="Q540" s="27">
        <v>245.82</v>
      </c>
      <c r="R540" s="27">
        <v>39.331200000000003</v>
      </c>
      <c r="S540" s="31">
        <v>206.4888</v>
      </c>
    </row>
    <row r="541" spans="1:19" x14ac:dyDescent="0.25">
      <c r="A541" s="20">
        <v>45690</v>
      </c>
      <c r="B541" s="15" t="s">
        <v>203</v>
      </c>
      <c r="C541" s="15">
        <v>84172</v>
      </c>
      <c r="D541" s="15" t="s">
        <v>75</v>
      </c>
      <c r="E541" s="15">
        <v>29</v>
      </c>
      <c r="F541" s="27">
        <v>58.15</v>
      </c>
      <c r="G541" s="15" t="s">
        <v>76</v>
      </c>
      <c r="H541" s="35">
        <v>0.37</v>
      </c>
      <c r="I541" s="15" t="s">
        <v>19</v>
      </c>
      <c r="J541" s="27">
        <v>12.39</v>
      </c>
      <c r="K541" s="15" t="s">
        <v>30</v>
      </c>
      <c r="L541" s="15" t="s">
        <v>21</v>
      </c>
      <c r="M541" s="15" t="s">
        <v>22</v>
      </c>
      <c r="N541" s="15" t="s">
        <v>53</v>
      </c>
      <c r="O541" s="15" t="s">
        <v>81</v>
      </c>
      <c r="P541" s="15" t="s">
        <v>40</v>
      </c>
      <c r="Q541" s="27">
        <v>1686.35</v>
      </c>
      <c r="R541" s="27">
        <v>623.94949999999994</v>
      </c>
      <c r="S541" s="31">
        <v>1062.4005</v>
      </c>
    </row>
    <row r="542" spans="1:19" x14ac:dyDescent="0.25">
      <c r="A542" s="20">
        <v>45690</v>
      </c>
      <c r="B542" s="15" t="s">
        <v>429</v>
      </c>
      <c r="C542" s="15">
        <v>36463</v>
      </c>
      <c r="D542" s="15" t="s">
        <v>68</v>
      </c>
      <c r="E542" s="15">
        <v>45</v>
      </c>
      <c r="F542" s="27">
        <v>35.97</v>
      </c>
      <c r="G542" s="15" t="s">
        <v>28</v>
      </c>
      <c r="H542" s="35">
        <v>0.47</v>
      </c>
      <c r="I542" s="15" t="s">
        <v>734</v>
      </c>
      <c r="J542" s="27">
        <v>21.85</v>
      </c>
      <c r="K542" s="15" t="s">
        <v>50</v>
      </c>
      <c r="L542" s="15" t="s">
        <v>31</v>
      </c>
      <c r="M542" s="15" t="s">
        <v>22</v>
      </c>
      <c r="N542" s="15" t="s">
        <v>23</v>
      </c>
      <c r="O542" s="15" t="s">
        <v>81</v>
      </c>
      <c r="P542" s="15" t="s">
        <v>40</v>
      </c>
      <c r="Q542" s="27">
        <v>1618.6499999999999</v>
      </c>
      <c r="R542" s="27">
        <v>760.76549999999986</v>
      </c>
      <c r="S542" s="31">
        <v>857.8845</v>
      </c>
    </row>
    <row r="543" spans="1:19" x14ac:dyDescent="0.25">
      <c r="A543" s="20">
        <v>45690</v>
      </c>
      <c r="B543" s="15" t="s">
        <v>277</v>
      </c>
      <c r="C543" s="15">
        <v>83959</v>
      </c>
      <c r="D543" s="15" t="s">
        <v>66</v>
      </c>
      <c r="E543" s="15">
        <v>38</v>
      </c>
      <c r="F543" s="27">
        <v>36.86</v>
      </c>
      <c r="G543" s="15" t="s">
        <v>28</v>
      </c>
      <c r="H543" s="35">
        <v>0.08</v>
      </c>
      <c r="I543" s="15" t="s">
        <v>29</v>
      </c>
      <c r="J543" s="27">
        <v>11.28</v>
      </c>
      <c r="K543" s="15" t="s">
        <v>20</v>
      </c>
      <c r="L543" s="15" t="s">
        <v>31</v>
      </c>
      <c r="M543" s="15" t="s">
        <v>22</v>
      </c>
      <c r="N543" s="15" t="s">
        <v>23</v>
      </c>
      <c r="O543" s="15" t="s">
        <v>81</v>
      </c>
      <c r="P543" s="15" t="s">
        <v>34</v>
      </c>
      <c r="Q543" s="27">
        <v>1400.68</v>
      </c>
      <c r="R543" s="27">
        <v>112.0544</v>
      </c>
      <c r="S543" s="31">
        <v>1288.6256000000001</v>
      </c>
    </row>
    <row r="544" spans="1:19" x14ac:dyDescent="0.25">
      <c r="A544" s="20">
        <v>45690</v>
      </c>
      <c r="B544" s="15" t="s">
        <v>486</v>
      </c>
      <c r="C544" s="15">
        <v>43559</v>
      </c>
      <c r="D544" s="15" t="s">
        <v>75</v>
      </c>
      <c r="E544" s="15">
        <v>30</v>
      </c>
      <c r="F544" s="27">
        <v>94.84</v>
      </c>
      <c r="G544" s="15" t="s">
        <v>47</v>
      </c>
      <c r="H544" s="35">
        <v>0.14000000000000001</v>
      </c>
      <c r="I544" s="15" t="s">
        <v>19</v>
      </c>
      <c r="J544" s="27">
        <v>11.13</v>
      </c>
      <c r="K544" s="15" t="s">
        <v>37</v>
      </c>
      <c r="L544" s="15" t="s">
        <v>31</v>
      </c>
      <c r="M544" s="15" t="s">
        <v>22</v>
      </c>
      <c r="N544" s="15" t="s">
        <v>53</v>
      </c>
      <c r="O544" s="15" t="s">
        <v>81</v>
      </c>
      <c r="P544" s="15" t="s">
        <v>40</v>
      </c>
      <c r="Q544" s="27">
        <v>2845.2000000000003</v>
      </c>
      <c r="R544" s="27">
        <v>398.32800000000009</v>
      </c>
      <c r="S544" s="31">
        <v>2446.8720000000003</v>
      </c>
    </row>
    <row r="545" spans="1:19" x14ac:dyDescent="0.25">
      <c r="A545" s="20">
        <v>45691</v>
      </c>
      <c r="B545" s="15" t="s">
        <v>121</v>
      </c>
      <c r="C545" s="15">
        <v>37686</v>
      </c>
      <c r="D545" s="15" t="s">
        <v>46</v>
      </c>
      <c r="E545" s="15">
        <v>8</v>
      </c>
      <c r="F545" s="27">
        <v>69.989999999999995</v>
      </c>
      <c r="G545" s="15" t="s">
        <v>84</v>
      </c>
      <c r="H545" s="35">
        <v>0.05</v>
      </c>
      <c r="I545" s="15" t="s">
        <v>734</v>
      </c>
      <c r="J545" s="27">
        <v>12.86</v>
      </c>
      <c r="K545" s="15" t="s">
        <v>20</v>
      </c>
      <c r="L545" s="15" t="s">
        <v>31</v>
      </c>
      <c r="M545" s="15" t="s">
        <v>22</v>
      </c>
      <c r="N545" s="15" t="s">
        <v>38</v>
      </c>
      <c r="O545" s="15" t="s">
        <v>81</v>
      </c>
      <c r="P545" s="15" t="s">
        <v>40</v>
      </c>
      <c r="Q545" s="27">
        <v>559.91999999999996</v>
      </c>
      <c r="R545" s="27">
        <v>27.995999999999999</v>
      </c>
      <c r="S545" s="31">
        <v>531.92399999999998</v>
      </c>
    </row>
    <row r="546" spans="1:19" x14ac:dyDescent="0.25">
      <c r="A546" s="20">
        <v>45691</v>
      </c>
      <c r="B546" s="15" t="s">
        <v>487</v>
      </c>
      <c r="C546" s="15">
        <v>96702</v>
      </c>
      <c r="D546" s="15" t="s">
        <v>17</v>
      </c>
      <c r="E546" s="15">
        <v>35</v>
      </c>
      <c r="F546" s="27">
        <v>79.62</v>
      </c>
      <c r="G546" s="15" t="s">
        <v>43</v>
      </c>
      <c r="H546" s="35">
        <v>0.49</v>
      </c>
      <c r="I546" s="15" t="s">
        <v>734</v>
      </c>
      <c r="J546" s="27">
        <v>5.35</v>
      </c>
      <c r="K546" s="15" t="s">
        <v>44</v>
      </c>
      <c r="L546" s="15" t="s">
        <v>31</v>
      </c>
      <c r="M546" s="15" t="s">
        <v>111</v>
      </c>
      <c r="N546" s="15" t="s">
        <v>32</v>
      </c>
      <c r="O546" s="15" t="s">
        <v>59</v>
      </c>
      <c r="P546" s="15" t="s">
        <v>40</v>
      </c>
      <c r="Q546" s="27">
        <v>2786.7000000000003</v>
      </c>
      <c r="R546" s="27">
        <v>1365.4830000000002</v>
      </c>
      <c r="S546" s="31">
        <v>1421.2170000000001</v>
      </c>
    </row>
    <row r="547" spans="1:19" x14ac:dyDescent="0.25">
      <c r="A547" s="20">
        <v>45691</v>
      </c>
      <c r="B547" s="15" t="s">
        <v>26</v>
      </c>
      <c r="C547" s="15">
        <v>92781</v>
      </c>
      <c r="D547" s="15" t="s">
        <v>89</v>
      </c>
      <c r="E547" s="15">
        <v>3</v>
      </c>
      <c r="F547" s="27">
        <v>75.099999999999994</v>
      </c>
      <c r="G547" s="15" t="s">
        <v>55</v>
      </c>
      <c r="H547" s="35">
        <v>0.28000000000000003</v>
      </c>
      <c r="I547" s="15" t="s">
        <v>19</v>
      </c>
      <c r="J547" s="27">
        <v>16.72</v>
      </c>
      <c r="K547" s="15" t="s">
        <v>50</v>
      </c>
      <c r="L547" s="15" t="s">
        <v>31</v>
      </c>
      <c r="M547" s="15" t="s">
        <v>22</v>
      </c>
      <c r="N547" s="15" t="s">
        <v>53</v>
      </c>
      <c r="O547" s="15" t="s">
        <v>39</v>
      </c>
      <c r="P547" s="15" t="s">
        <v>34</v>
      </c>
      <c r="Q547" s="27">
        <v>225.29999999999998</v>
      </c>
      <c r="R547" s="27">
        <v>63.084000000000003</v>
      </c>
      <c r="S547" s="31">
        <v>162.21599999999998</v>
      </c>
    </row>
    <row r="548" spans="1:19" x14ac:dyDescent="0.25">
      <c r="A548" s="20">
        <v>45691</v>
      </c>
      <c r="B548" s="15" t="s">
        <v>488</v>
      </c>
      <c r="C548" s="15">
        <v>27312</v>
      </c>
      <c r="D548" s="15" t="s">
        <v>42</v>
      </c>
      <c r="E548" s="15">
        <v>9</v>
      </c>
      <c r="F548" s="27">
        <v>78.25</v>
      </c>
      <c r="G548" s="15" t="s">
        <v>36</v>
      </c>
      <c r="H548" s="35">
        <v>0.28999999999999998</v>
      </c>
      <c r="I548" s="15" t="s">
        <v>29</v>
      </c>
      <c r="J548" s="27">
        <v>13.52</v>
      </c>
      <c r="K548" s="15" t="s">
        <v>50</v>
      </c>
      <c r="L548" s="15" t="s">
        <v>21</v>
      </c>
      <c r="M548" s="15" t="s">
        <v>22</v>
      </c>
      <c r="N548" s="15" t="s">
        <v>32</v>
      </c>
      <c r="O548" s="15" t="s">
        <v>33</v>
      </c>
      <c r="P548" s="15" t="s">
        <v>40</v>
      </c>
      <c r="Q548" s="27">
        <v>704.25</v>
      </c>
      <c r="R548" s="27">
        <v>204.23249999999999</v>
      </c>
      <c r="S548" s="31">
        <v>500.01750000000004</v>
      </c>
    </row>
    <row r="549" spans="1:19" x14ac:dyDescent="0.25">
      <c r="A549" s="20">
        <v>45691</v>
      </c>
      <c r="B549" s="15" t="s">
        <v>489</v>
      </c>
      <c r="C549" s="15">
        <v>30419</v>
      </c>
      <c r="D549" s="15" t="s">
        <v>46</v>
      </c>
      <c r="E549" s="15">
        <v>1</v>
      </c>
      <c r="F549" s="27">
        <v>71.78</v>
      </c>
      <c r="G549" s="15" t="s">
        <v>76</v>
      </c>
      <c r="H549" s="35">
        <v>0.12</v>
      </c>
      <c r="I549" s="15" t="s">
        <v>29</v>
      </c>
      <c r="J549" s="27">
        <v>17.82</v>
      </c>
      <c r="K549" s="15" t="s">
        <v>20</v>
      </c>
      <c r="L549" s="15" t="s">
        <v>21</v>
      </c>
      <c r="M549" s="15" t="s">
        <v>22</v>
      </c>
      <c r="N549" s="15" t="s">
        <v>38</v>
      </c>
      <c r="O549" s="15" t="s">
        <v>39</v>
      </c>
      <c r="P549" s="15" t="s">
        <v>40</v>
      </c>
      <c r="Q549" s="27">
        <v>71.78</v>
      </c>
      <c r="R549" s="27">
        <v>8.6135999999999999</v>
      </c>
      <c r="S549" s="31">
        <v>63.166400000000003</v>
      </c>
    </row>
    <row r="550" spans="1:19" x14ac:dyDescent="0.25">
      <c r="A550" s="20">
        <v>45691</v>
      </c>
      <c r="B550" s="15" t="s">
        <v>490</v>
      </c>
      <c r="C550" s="15">
        <v>93033</v>
      </c>
      <c r="D550" s="15" t="s">
        <v>49</v>
      </c>
      <c r="E550" s="15">
        <v>33</v>
      </c>
      <c r="F550" s="27">
        <v>8.31</v>
      </c>
      <c r="G550" s="15" t="s">
        <v>43</v>
      </c>
      <c r="H550" s="35">
        <v>0.06</v>
      </c>
      <c r="I550" s="15" t="s">
        <v>734</v>
      </c>
      <c r="J550" s="27">
        <v>11.42</v>
      </c>
      <c r="K550" s="15" t="s">
        <v>44</v>
      </c>
      <c r="L550" s="15" t="s">
        <v>31</v>
      </c>
      <c r="M550" s="15" t="s">
        <v>22</v>
      </c>
      <c r="N550" s="15" t="s">
        <v>53</v>
      </c>
      <c r="O550" s="15" t="s">
        <v>33</v>
      </c>
      <c r="P550" s="15" t="s">
        <v>40</v>
      </c>
      <c r="Q550" s="27">
        <v>274.23</v>
      </c>
      <c r="R550" s="27">
        <v>16.453800000000001</v>
      </c>
      <c r="S550" s="31">
        <v>257.77620000000002</v>
      </c>
    </row>
    <row r="551" spans="1:19" x14ac:dyDescent="0.25">
      <c r="A551" s="20">
        <v>45691</v>
      </c>
      <c r="B551" s="15" t="s">
        <v>491</v>
      </c>
      <c r="C551" s="15">
        <v>63148</v>
      </c>
      <c r="D551" s="15" t="s">
        <v>42</v>
      </c>
      <c r="E551" s="15">
        <v>4</v>
      </c>
      <c r="F551" s="27">
        <v>63.04</v>
      </c>
      <c r="G551" s="15" t="s">
        <v>76</v>
      </c>
      <c r="H551" s="35">
        <v>0.33</v>
      </c>
      <c r="I551" s="15" t="s">
        <v>29</v>
      </c>
      <c r="J551" s="27">
        <v>23.72</v>
      </c>
      <c r="K551" s="15" t="s">
        <v>30</v>
      </c>
      <c r="L551" s="15" t="s">
        <v>21</v>
      </c>
      <c r="M551" s="15" t="s">
        <v>22</v>
      </c>
      <c r="N551" s="15" t="s">
        <v>23</v>
      </c>
      <c r="O551" s="15" t="s">
        <v>24</v>
      </c>
      <c r="P551" s="15" t="s">
        <v>34</v>
      </c>
      <c r="Q551" s="27">
        <v>252.16</v>
      </c>
      <c r="R551" s="27">
        <v>83.212800000000001</v>
      </c>
      <c r="S551" s="31">
        <v>168.94720000000001</v>
      </c>
    </row>
    <row r="552" spans="1:19" x14ac:dyDescent="0.25">
      <c r="A552" s="20">
        <v>45691</v>
      </c>
      <c r="B552" s="15" t="s">
        <v>492</v>
      </c>
      <c r="C552" s="15">
        <v>39245</v>
      </c>
      <c r="D552" s="15" t="s">
        <v>66</v>
      </c>
      <c r="E552" s="15">
        <v>15</v>
      </c>
      <c r="F552" s="27">
        <v>25.82</v>
      </c>
      <c r="G552" s="15" t="s">
        <v>52</v>
      </c>
      <c r="H552" s="35">
        <v>0.04</v>
      </c>
      <c r="I552" s="15" t="s">
        <v>19</v>
      </c>
      <c r="J552" s="27">
        <v>16.38</v>
      </c>
      <c r="K552" s="15" t="s">
        <v>44</v>
      </c>
      <c r="L552" s="15" t="s">
        <v>21</v>
      </c>
      <c r="M552" s="15" t="s">
        <v>22</v>
      </c>
      <c r="N552" s="15" t="s">
        <v>23</v>
      </c>
      <c r="O552" s="15" t="s">
        <v>59</v>
      </c>
      <c r="P552" s="15" t="s">
        <v>25</v>
      </c>
      <c r="Q552" s="27">
        <v>387.3</v>
      </c>
      <c r="R552" s="27">
        <v>15.492000000000001</v>
      </c>
      <c r="S552" s="31">
        <v>371.80799999999999</v>
      </c>
    </row>
    <row r="553" spans="1:19" x14ac:dyDescent="0.25">
      <c r="A553" s="20">
        <v>45691</v>
      </c>
      <c r="B553" s="15" t="s">
        <v>381</v>
      </c>
      <c r="C553" s="15">
        <v>85491</v>
      </c>
      <c r="D553" s="15" t="s">
        <v>27</v>
      </c>
      <c r="E553" s="15">
        <v>6</v>
      </c>
      <c r="F553" s="27">
        <v>1.17</v>
      </c>
      <c r="G553" s="15" t="s">
        <v>36</v>
      </c>
      <c r="H553" s="35">
        <v>7.0000000000000007E-2</v>
      </c>
      <c r="I553" s="15" t="s">
        <v>734</v>
      </c>
      <c r="J553" s="27">
        <v>5.55</v>
      </c>
      <c r="K553" s="15" t="s">
        <v>37</v>
      </c>
      <c r="L553" s="15" t="s">
        <v>21</v>
      </c>
      <c r="M553" s="15" t="s">
        <v>111</v>
      </c>
      <c r="N553" s="15" t="s">
        <v>32</v>
      </c>
      <c r="O553" s="15" t="s">
        <v>81</v>
      </c>
      <c r="P553" s="15" t="s">
        <v>25</v>
      </c>
      <c r="Q553" s="27">
        <v>7.02</v>
      </c>
      <c r="R553" s="27">
        <v>0.4914</v>
      </c>
      <c r="S553" s="31">
        <v>6.5286</v>
      </c>
    </row>
    <row r="554" spans="1:19" x14ac:dyDescent="0.25">
      <c r="A554" s="20">
        <v>45691</v>
      </c>
      <c r="B554" s="15" t="s">
        <v>117</v>
      </c>
      <c r="C554" s="15">
        <v>31179</v>
      </c>
      <c r="D554" s="15" t="s">
        <v>46</v>
      </c>
      <c r="E554" s="15">
        <v>42</v>
      </c>
      <c r="F554" s="27">
        <v>48.88</v>
      </c>
      <c r="G554" s="15" t="s">
        <v>43</v>
      </c>
      <c r="H554" s="35">
        <v>0.31</v>
      </c>
      <c r="I554" s="15" t="s">
        <v>734</v>
      </c>
      <c r="J554" s="27">
        <v>21.91</v>
      </c>
      <c r="K554" s="15" t="s">
        <v>20</v>
      </c>
      <c r="L554" s="15" t="s">
        <v>21</v>
      </c>
      <c r="M554" s="15" t="s">
        <v>22</v>
      </c>
      <c r="N554" s="15" t="s">
        <v>32</v>
      </c>
      <c r="O554" s="15" t="s">
        <v>81</v>
      </c>
      <c r="P554" s="15" t="s">
        <v>34</v>
      </c>
      <c r="Q554" s="27">
        <v>2052.96</v>
      </c>
      <c r="R554" s="27">
        <v>636.41759999999999</v>
      </c>
      <c r="S554" s="31">
        <v>1416.5424</v>
      </c>
    </row>
    <row r="555" spans="1:19" x14ac:dyDescent="0.25">
      <c r="A555" s="20">
        <v>45691</v>
      </c>
      <c r="B555" s="15" t="s">
        <v>493</v>
      </c>
      <c r="C555" s="15">
        <v>73916</v>
      </c>
      <c r="D555" s="15" t="s">
        <v>57</v>
      </c>
      <c r="E555" s="15">
        <v>35</v>
      </c>
      <c r="F555" s="27">
        <v>8.9</v>
      </c>
      <c r="G555" s="15" t="s">
        <v>99</v>
      </c>
      <c r="H555" s="35">
        <v>0.09</v>
      </c>
      <c r="I555" s="15" t="s">
        <v>734</v>
      </c>
      <c r="J555" s="27">
        <v>21.9</v>
      </c>
      <c r="K555" s="15" t="s">
        <v>50</v>
      </c>
      <c r="L555" s="15" t="s">
        <v>21</v>
      </c>
      <c r="M555" s="15" t="s">
        <v>22</v>
      </c>
      <c r="N555" s="15" t="s">
        <v>38</v>
      </c>
      <c r="O555" s="15" t="s">
        <v>81</v>
      </c>
      <c r="P555" s="15" t="s">
        <v>34</v>
      </c>
      <c r="Q555" s="27">
        <v>311.5</v>
      </c>
      <c r="R555" s="27">
        <v>28.035</v>
      </c>
      <c r="S555" s="31">
        <v>283.46499999999997</v>
      </c>
    </row>
    <row r="556" spans="1:19" x14ac:dyDescent="0.25">
      <c r="A556" s="20">
        <v>45691</v>
      </c>
      <c r="B556" s="15" t="s">
        <v>494</v>
      </c>
      <c r="C556" s="15">
        <v>73797</v>
      </c>
      <c r="D556" s="15" t="s">
        <v>66</v>
      </c>
      <c r="E556" s="15">
        <v>34</v>
      </c>
      <c r="F556" s="27">
        <v>10.119999999999999</v>
      </c>
      <c r="G556" s="15" t="s">
        <v>76</v>
      </c>
      <c r="H556" s="35">
        <v>0.19</v>
      </c>
      <c r="I556" s="15" t="s">
        <v>734</v>
      </c>
      <c r="J556" s="27">
        <v>12.73</v>
      </c>
      <c r="K556" s="15" t="s">
        <v>30</v>
      </c>
      <c r="L556" s="15" t="s">
        <v>21</v>
      </c>
      <c r="M556" s="15" t="s">
        <v>22</v>
      </c>
      <c r="N556" s="15" t="s">
        <v>23</v>
      </c>
      <c r="O556" s="15" t="s">
        <v>39</v>
      </c>
      <c r="P556" s="15" t="s">
        <v>25</v>
      </c>
      <c r="Q556" s="27">
        <v>344.08</v>
      </c>
      <c r="R556" s="27">
        <v>65.375199999999992</v>
      </c>
      <c r="S556" s="31">
        <v>278.70479999999998</v>
      </c>
    </row>
    <row r="557" spans="1:19" x14ac:dyDescent="0.25">
      <c r="A557" s="20">
        <v>45691</v>
      </c>
      <c r="B557" s="15" t="s">
        <v>495</v>
      </c>
      <c r="C557" s="15">
        <v>13255</v>
      </c>
      <c r="D557" s="15" t="s">
        <v>75</v>
      </c>
      <c r="E557" s="15">
        <v>27</v>
      </c>
      <c r="F557" s="27">
        <v>50.55</v>
      </c>
      <c r="G557" s="15" t="s">
        <v>43</v>
      </c>
      <c r="H557" s="35">
        <v>0.4</v>
      </c>
      <c r="I557" s="15" t="s">
        <v>29</v>
      </c>
      <c r="J557" s="27">
        <v>28.95</v>
      </c>
      <c r="K557" s="15" t="s">
        <v>20</v>
      </c>
      <c r="L557" s="15" t="s">
        <v>21</v>
      </c>
      <c r="M557" s="15" t="s">
        <v>22</v>
      </c>
      <c r="N557" s="15" t="s">
        <v>32</v>
      </c>
      <c r="O557" s="15" t="s">
        <v>59</v>
      </c>
      <c r="P557" s="15" t="s">
        <v>25</v>
      </c>
      <c r="Q557" s="27">
        <v>1364.85</v>
      </c>
      <c r="R557" s="27">
        <v>545.93999999999994</v>
      </c>
      <c r="S557" s="31">
        <v>818.91</v>
      </c>
    </row>
    <row r="558" spans="1:19" x14ac:dyDescent="0.25">
      <c r="A558" s="20">
        <v>45691</v>
      </c>
      <c r="B558" s="15" t="s">
        <v>496</v>
      </c>
      <c r="C558" s="15">
        <v>45043</v>
      </c>
      <c r="D558" s="15" t="s">
        <v>27</v>
      </c>
      <c r="E558" s="15">
        <v>42</v>
      </c>
      <c r="F558" s="27">
        <v>71.37</v>
      </c>
      <c r="G558" s="15" t="s">
        <v>76</v>
      </c>
      <c r="H558" s="35">
        <v>0.2</v>
      </c>
      <c r="I558" s="15" t="s">
        <v>734</v>
      </c>
      <c r="J558" s="27">
        <v>24.06</v>
      </c>
      <c r="K558" s="15" t="s">
        <v>50</v>
      </c>
      <c r="L558" s="15" t="s">
        <v>21</v>
      </c>
      <c r="M558" s="15" t="s">
        <v>22</v>
      </c>
      <c r="N558" s="15" t="s">
        <v>53</v>
      </c>
      <c r="O558" s="15" t="s">
        <v>39</v>
      </c>
      <c r="P558" s="15" t="s">
        <v>34</v>
      </c>
      <c r="Q558" s="27">
        <v>2997.54</v>
      </c>
      <c r="R558" s="27">
        <v>599.50800000000004</v>
      </c>
      <c r="S558" s="31">
        <v>2398.0320000000002</v>
      </c>
    </row>
    <row r="559" spans="1:19" x14ac:dyDescent="0.25">
      <c r="A559" s="20">
        <v>45691</v>
      </c>
      <c r="B559" s="15" t="s">
        <v>497</v>
      </c>
      <c r="C559" s="15">
        <v>42906</v>
      </c>
      <c r="D559" s="15" t="s">
        <v>49</v>
      </c>
      <c r="E559" s="15">
        <v>13</v>
      </c>
      <c r="F559" s="27">
        <v>53.36</v>
      </c>
      <c r="G559" s="15" t="s">
        <v>84</v>
      </c>
      <c r="H559" s="35">
        <v>0.19</v>
      </c>
      <c r="I559" s="15" t="s">
        <v>29</v>
      </c>
      <c r="J559" s="27">
        <v>10.44</v>
      </c>
      <c r="K559" s="15" t="s">
        <v>20</v>
      </c>
      <c r="L559" s="15" t="s">
        <v>31</v>
      </c>
      <c r="M559" s="15" t="s">
        <v>22</v>
      </c>
      <c r="N559" s="15" t="s">
        <v>38</v>
      </c>
      <c r="O559" s="15" t="s">
        <v>33</v>
      </c>
      <c r="P559" s="15" t="s">
        <v>25</v>
      </c>
      <c r="Q559" s="27">
        <v>693.68</v>
      </c>
      <c r="R559" s="27">
        <v>131.79919999999998</v>
      </c>
      <c r="S559" s="31">
        <v>561.88079999999991</v>
      </c>
    </row>
    <row r="560" spans="1:19" x14ac:dyDescent="0.25">
      <c r="A560" s="20">
        <v>45691</v>
      </c>
      <c r="B560" s="15" t="s">
        <v>498</v>
      </c>
      <c r="C560" s="15">
        <v>30788</v>
      </c>
      <c r="D560" s="15" t="s">
        <v>70</v>
      </c>
      <c r="E560" s="15">
        <v>41</v>
      </c>
      <c r="F560" s="27">
        <v>52.83</v>
      </c>
      <c r="G560" s="15" t="s">
        <v>36</v>
      </c>
      <c r="H560" s="35">
        <v>0.12</v>
      </c>
      <c r="I560" s="15" t="s">
        <v>734</v>
      </c>
      <c r="J560" s="27">
        <v>23.27</v>
      </c>
      <c r="K560" s="15" t="s">
        <v>20</v>
      </c>
      <c r="L560" s="15" t="s">
        <v>31</v>
      </c>
      <c r="M560" s="15" t="s">
        <v>22</v>
      </c>
      <c r="N560" s="15" t="s">
        <v>23</v>
      </c>
      <c r="O560" s="15" t="s">
        <v>59</v>
      </c>
      <c r="P560" s="15" t="s">
        <v>40</v>
      </c>
      <c r="Q560" s="27">
        <v>2166.0299999999997</v>
      </c>
      <c r="R560" s="27">
        <v>259.92359999999996</v>
      </c>
      <c r="S560" s="31">
        <v>1906.1063999999997</v>
      </c>
    </row>
    <row r="561" spans="1:19" x14ac:dyDescent="0.25">
      <c r="A561" s="20">
        <v>45691</v>
      </c>
      <c r="B561" s="15" t="s">
        <v>499</v>
      </c>
      <c r="C561" s="15">
        <v>24559</v>
      </c>
      <c r="D561" s="15" t="s">
        <v>68</v>
      </c>
      <c r="E561" s="15">
        <v>22</v>
      </c>
      <c r="F561" s="27">
        <v>8.6199999999999992</v>
      </c>
      <c r="G561" s="15" t="s">
        <v>72</v>
      </c>
      <c r="H561" s="35">
        <v>7.0000000000000007E-2</v>
      </c>
      <c r="I561" s="15" t="s">
        <v>734</v>
      </c>
      <c r="J561" s="27">
        <v>18.03</v>
      </c>
      <c r="K561" s="15" t="s">
        <v>44</v>
      </c>
      <c r="L561" s="15" t="s">
        <v>21</v>
      </c>
      <c r="M561" s="15" t="s">
        <v>22</v>
      </c>
      <c r="N561" s="15" t="s">
        <v>53</v>
      </c>
      <c r="O561" s="15" t="s">
        <v>39</v>
      </c>
      <c r="P561" s="15" t="s">
        <v>25</v>
      </c>
      <c r="Q561" s="27">
        <v>189.64</v>
      </c>
      <c r="R561" s="27">
        <v>13.274800000000001</v>
      </c>
      <c r="S561" s="31">
        <v>176.36519999999999</v>
      </c>
    </row>
    <row r="562" spans="1:19" x14ac:dyDescent="0.25">
      <c r="A562" s="20">
        <v>45691</v>
      </c>
      <c r="B562" s="15" t="s">
        <v>500</v>
      </c>
      <c r="C562" s="15">
        <v>94647</v>
      </c>
      <c r="D562" s="15" t="s">
        <v>75</v>
      </c>
      <c r="E562" s="15">
        <v>40</v>
      </c>
      <c r="F562" s="27">
        <v>71.47</v>
      </c>
      <c r="G562" s="15" t="s">
        <v>36</v>
      </c>
      <c r="H562" s="35">
        <v>0.17</v>
      </c>
      <c r="I562" s="15" t="s">
        <v>29</v>
      </c>
      <c r="J562" s="27">
        <v>27.75</v>
      </c>
      <c r="K562" s="15" t="s">
        <v>20</v>
      </c>
      <c r="L562" s="15" t="s">
        <v>21</v>
      </c>
      <c r="M562" s="15" t="s">
        <v>22</v>
      </c>
      <c r="N562" s="15" t="s">
        <v>23</v>
      </c>
      <c r="O562" s="15" t="s">
        <v>24</v>
      </c>
      <c r="P562" s="15" t="s">
        <v>25</v>
      </c>
      <c r="Q562" s="27">
        <v>2858.8</v>
      </c>
      <c r="R562" s="27">
        <v>485.99600000000004</v>
      </c>
      <c r="S562" s="31">
        <v>2372.8040000000001</v>
      </c>
    </row>
    <row r="563" spans="1:19" x14ac:dyDescent="0.25">
      <c r="A563" s="20">
        <v>45691</v>
      </c>
      <c r="B563" s="15" t="s">
        <v>501</v>
      </c>
      <c r="C563" s="15">
        <v>77015</v>
      </c>
      <c r="D563" s="15" t="s">
        <v>68</v>
      </c>
      <c r="E563" s="15">
        <v>29</v>
      </c>
      <c r="F563" s="27">
        <v>19.86</v>
      </c>
      <c r="G563" s="15" t="s">
        <v>43</v>
      </c>
      <c r="H563" s="35">
        <v>0.31</v>
      </c>
      <c r="I563" s="15" t="s">
        <v>29</v>
      </c>
      <c r="J563" s="27">
        <v>23.32</v>
      </c>
      <c r="K563" s="15" t="s">
        <v>30</v>
      </c>
      <c r="L563" s="15" t="s">
        <v>21</v>
      </c>
      <c r="M563" s="15" t="s">
        <v>22</v>
      </c>
      <c r="N563" s="15" t="s">
        <v>23</v>
      </c>
      <c r="O563" s="15" t="s">
        <v>59</v>
      </c>
      <c r="P563" s="15" t="s">
        <v>25</v>
      </c>
      <c r="Q563" s="27">
        <v>575.93999999999994</v>
      </c>
      <c r="R563" s="27">
        <v>178.54139999999998</v>
      </c>
      <c r="S563" s="31">
        <v>397.39859999999999</v>
      </c>
    </row>
    <row r="564" spans="1:19" x14ac:dyDescent="0.25">
      <c r="A564" s="20">
        <v>45691</v>
      </c>
      <c r="B564" s="15" t="s">
        <v>226</v>
      </c>
      <c r="C564" s="15">
        <v>10043</v>
      </c>
      <c r="D564" s="15" t="s">
        <v>27</v>
      </c>
      <c r="E564" s="15">
        <v>37</v>
      </c>
      <c r="F564" s="27">
        <v>43.68</v>
      </c>
      <c r="G564" s="15" t="s">
        <v>99</v>
      </c>
      <c r="H564" s="35">
        <v>0.06</v>
      </c>
      <c r="I564" s="15" t="s">
        <v>29</v>
      </c>
      <c r="J564" s="27">
        <v>20.86</v>
      </c>
      <c r="K564" s="15" t="s">
        <v>20</v>
      </c>
      <c r="L564" s="15" t="s">
        <v>31</v>
      </c>
      <c r="M564" s="15" t="s">
        <v>22</v>
      </c>
      <c r="N564" s="15" t="s">
        <v>38</v>
      </c>
      <c r="O564" s="15" t="s">
        <v>81</v>
      </c>
      <c r="P564" s="15" t="s">
        <v>34</v>
      </c>
      <c r="Q564" s="27">
        <v>1616.16</v>
      </c>
      <c r="R564" s="27">
        <v>96.9696</v>
      </c>
      <c r="S564" s="31">
        <v>1519.1904000000002</v>
      </c>
    </row>
    <row r="565" spans="1:19" x14ac:dyDescent="0.25">
      <c r="A565" s="20">
        <v>45692</v>
      </c>
      <c r="B565" s="15" t="s">
        <v>502</v>
      </c>
      <c r="C565" s="15">
        <v>31126</v>
      </c>
      <c r="D565" s="15" t="s">
        <v>66</v>
      </c>
      <c r="E565" s="15">
        <v>43</v>
      </c>
      <c r="F565" s="27">
        <v>80.34</v>
      </c>
      <c r="G565" s="15" t="s">
        <v>18</v>
      </c>
      <c r="H565" s="35">
        <v>0.27</v>
      </c>
      <c r="I565" s="15" t="s">
        <v>19</v>
      </c>
      <c r="J565" s="27">
        <v>29.93</v>
      </c>
      <c r="K565" s="15" t="s">
        <v>30</v>
      </c>
      <c r="L565" s="15" t="s">
        <v>31</v>
      </c>
      <c r="M565" s="15" t="s">
        <v>22</v>
      </c>
      <c r="N565" s="15" t="s">
        <v>32</v>
      </c>
      <c r="O565" s="15" t="s">
        <v>81</v>
      </c>
      <c r="P565" s="15" t="s">
        <v>40</v>
      </c>
      <c r="Q565" s="27">
        <v>3454.6200000000003</v>
      </c>
      <c r="R565" s="27">
        <v>932.7474000000002</v>
      </c>
      <c r="S565" s="31">
        <v>2521.8726000000001</v>
      </c>
    </row>
    <row r="566" spans="1:19" x14ac:dyDescent="0.25">
      <c r="A566" s="20">
        <v>45692</v>
      </c>
      <c r="B566" s="15" t="s">
        <v>502</v>
      </c>
      <c r="C566" s="15">
        <v>14961</v>
      </c>
      <c r="D566" s="15" t="s">
        <v>42</v>
      </c>
      <c r="E566" s="15">
        <v>45</v>
      </c>
      <c r="F566" s="27">
        <v>97.53</v>
      </c>
      <c r="G566" s="15" t="s">
        <v>72</v>
      </c>
      <c r="H566" s="35">
        <v>0.18</v>
      </c>
      <c r="I566" s="15" t="s">
        <v>29</v>
      </c>
      <c r="J566" s="27">
        <v>5.65</v>
      </c>
      <c r="K566" s="15" t="s">
        <v>37</v>
      </c>
      <c r="L566" s="15" t="s">
        <v>31</v>
      </c>
      <c r="M566" s="15" t="s">
        <v>22</v>
      </c>
      <c r="N566" s="15" t="s">
        <v>32</v>
      </c>
      <c r="O566" s="15" t="s">
        <v>81</v>
      </c>
      <c r="P566" s="15" t="s">
        <v>34</v>
      </c>
      <c r="Q566" s="27">
        <v>4388.8500000000004</v>
      </c>
      <c r="R566" s="27">
        <v>789.99300000000005</v>
      </c>
      <c r="S566" s="31">
        <v>3598.8570000000004</v>
      </c>
    </row>
    <row r="567" spans="1:19" x14ac:dyDescent="0.25">
      <c r="A567" s="20">
        <v>45692</v>
      </c>
      <c r="B567" s="15" t="s">
        <v>314</v>
      </c>
      <c r="C567" s="15">
        <v>94944</v>
      </c>
      <c r="D567" s="15" t="s">
        <v>68</v>
      </c>
      <c r="E567" s="15">
        <v>12</v>
      </c>
      <c r="F567" s="27">
        <v>63.64</v>
      </c>
      <c r="G567" s="15" t="s">
        <v>72</v>
      </c>
      <c r="H567" s="35">
        <v>7.0000000000000007E-2</v>
      </c>
      <c r="I567" s="15" t="s">
        <v>19</v>
      </c>
      <c r="J567" s="27">
        <v>15.36</v>
      </c>
      <c r="K567" s="15" t="s">
        <v>20</v>
      </c>
      <c r="L567" s="15" t="s">
        <v>21</v>
      </c>
      <c r="M567" s="15" t="s">
        <v>22</v>
      </c>
      <c r="N567" s="15" t="s">
        <v>23</v>
      </c>
      <c r="O567" s="15" t="s">
        <v>24</v>
      </c>
      <c r="P567" s="15" t="s">
        <v>40</v>
      </c>
      <c r="Q567" s="27">
        <v>763.68000000000006</v>
      </c>
      <c r="R567" s="27">
        <v>53.457600000000006</v>
      </c>
      <c r="S567" s="31">
        <v>710.22240000000011</v>
      </c>
    </row>
    <row r="568" spans="1:19" x14ac:dyDescent="0.25">
      <c r="A568" s="20">
        <v>45692</v>
      </c>
      <c r="B568" s="15" t="s">
        <v>215</v>
      </c>
      <c r="C568" s="15">
        <v>80865</v>
      </c>
      <c r="D568" s="15" t="s">
        <v>49</v>
      </c>
      <c r="E568" s="15">
        <v>41</v>
      </c>
      <c r="F568" s="27">
        <v>54.41</v>
      </c>
      <c r="G568" s="15" t="s">
        <v>55</v>
      </c>
      <c r="H568" s="35">
        <v>0.41</v>
      </c>
      <c r="I568" s="15" t="s">
        <v>19</v>
      </c>
      <c r="J568" s="27">
        <v>20.79</v>
      </c>
      <c r="K568" s="15" t="s">
        <v>50</v>
      </c>
      <c r="L568" s="15" t="s">
        <v>31</v>
      </c>
      <c r="M568" s="15" t="s">
        <v>22</v>
      </c>
      <c r="N568" s="15" t="s">
        <v>38</v>
      </c>
      <c r="O568" s="15" t="s">
        <v>81</v>
      </c>
      <c r="P568" s="15" t="s">
        <v>25</v>
      </c>
      <c r="Q568" s="27">
        <v>2230.81</v>
      </c>
      <c r="R568" s="27">
        <v>914.63209999999992</v>
      </c>
      <c r="S568" s="31">
        <v>1316.1779000000001</v>
      </c>
    </row>
    <row r="569" spans="1:19" x14ac:dyDescent="0.25">
      <c r="A569" s="20">
        <v>45692</v>
      </c>
      <c r="B569" s="15" t="s">
        <v>503</v>
      </c>
      <c r="C569" s="15">
        <v>34336</v>
      </c>
      <c r="D569" s="15" t="s">
        <v>42</v>
      </c>
      <c r="E569" s="15">
        <v>5</v>
      </c>
      <c r="F569" s="27">
        <v>65.31</v>
      </c>
      <c r="G569" s="15" t="s">
        <v>52</v>
      </c>
      <c r="H569" s="35">
        <v>0.23</v>
      </c>
      <c r="I569" s="15" t="s">
        <v>734</v>
      </c>
      <c r="J569" s="27">
        <v>29.78</v>
      </c>
      <c r="K569" s="15" t="s">
        <v>50</v>
      </c>
      <c r="L569" s="15" t="s">
        <v>21</v>
      </c>
      <c r="M569" s="15" t="s">
        <v>22</v>
      </c>
      <c r="N569" s="15" t="s">
        <v>23</v>
      </c>
      <c r="O569" s="15" t="s">
        <v>81</v>
      </c>
      <c r="P569" s="15" t="s">
        <v>25</v>
      </c>
      <c r="Q569" s="27">
        <v>326.55</v>
      </c>
      <c r="R569" s="27">
        <v>75.106500000000011</v>
      </c>
      <c r="S569" s="31">
        <v>251.4435</v>
      </c>
    </row>
    <row r="570" spans="1:19" x14ac:dyDescent="0.25">
      <c r="A570" s="20">
        <v>45692</v>
      </c>
      <c r="B570" s="15" t="s">
        <v>439</v>
      </c>
      <c r="C570" s="15">
        <v>26003</v>
      </c>
      <c r="D570" s="15" t="s">
        <v>46</v>
      </c>
      <c r="E570" s="15">
        <v>5</v>
      </c>
      <c r="F570" s="27">
        <v>59.92</v>
      </c>
      <c r="G570" s="15" t="s">
        <v>58</v>
      </c>
      <c r="H570" s="35">
        <v>0.11</v>
      </c>
      <c r="I570" s="15" t="s">
        <v>19</v>
      </c>
      <c r="J570" s="27">
        <v>8.52</v>
      </c>
      <c r="K570" s="15" t="s">
        <v>44</v>
      </c>
      <c r="L570" s="15" t="s">
        <v>21</v>
      </c>
      <c r="M570" s="15" t="s">
        <v>22</v>
      </c>
      <c r="N570" s="15" t="s">
        <v>53</v>
      </c>
      <c r="O570" s="15" t="s">
        <v>24</v>
      </c>
      <c r="P570" s="15" t="s">
        <v>25</v>
      </c>
      <c r="Q570" s="27">
        <v>299.60000000000002</v>
      </c>
      <c r="R570" s="27">
        <v>32.956000000000003</v>
      </c>
      <c r="S570" s="31">
        <v>266.64400000000001</v>
      </c>
    </row>
    <row r="571" spans="1:19" x14ac:dyDescent="0.25">
      <c r="A571" s="20">
        <v>45692</v>
      </c>
      <c r="B571" s="15" t="s">
        <v>504</v>
      </c>
      <c r="C571" s="15">
        <v>57523</v>
      </c>
      <c r="D571" s="15" t="s">
        <v>75</v>
      </c>
      <c r="E571" s="15">
        <v>26</v>
      </c>
      <c r="F571" s="27">
        <v>81.98</v>
      </c>
      <c r="G571" s="15" t="s">
        <v>36</v>
      </c>
      <c r="H571" s="35">
        <v>0.21</v>
      </c>
      <c r="I571" s="15" t="s">
        <v>29</v>
      </c>
      <c r="J571" s="27">
        <v>22.38</v>
      </c>
      <c r="K571" s="15" t="s">
        <v>50</v>
      </c>
      <c r="L571" s="15" t="s">
        <v>31</v>
      </c>
      <c r="M571" s="15" t="s">
        <v>22</v>
      </c>
      <c r="N571" s="15" t="s">
        <v>38</v>
      </c>
      <c r="O571" s="15" t="s">
        <v>24</v>
      </c>
      <c r="P571" s="15" t="s">
        <v>34</v>
      </c>
      <c r="Q571" s="27">
        <v>2131.48</v>
      </c>
      <c r="R571" s="27">
        <v>447.61079999999998</v>
      </c>
      <c r="S571" s="31">
        <v>1683.8692000000001</v>
      </c>
    </row>
    <row r="572" spans="1:19" x14ac:dyDescent="0.25">
      <c r="A572" s="20">
        <v>45692</v>
      </c>
      <c r="B572" s="15" t="s">
        <v>505</v>
      </c>
      <c r="C572" s="15">
        <v>11103</v>
      </c>
      <c r="D572" s="15" t="s">
        <v>27</v>
      </c>
      <c r="E572" s="15">
        <v>26</v>
      </c>
      <c r="F572" s="27">
        <v>93.44</v>
      </c>
      <c r="G572" s="15" t="s">
        <v>28</v>
      </c>
      <c r="H572" s="35">
        <v>0.4</v>
      </c>
      <c r="I572" s="15" t="s">
        <v>19</v>
      </c>
      <c r="J572" s="27">
        <v>11.59</v>
      </c>
      <c r="K572" s="15" t="s">
        <v>30</v>
      </c>
      <c r="L572" s="15" t="s">
        <v>21</v>
      </c>
      <c r="M572" s="15" t="s">
        <v>22</v>
      </c>
      <c r="N572" s="15" t="s">
        <v>23</v>
      </c>
      <c r="O572" s="15" t="s">
        <v>33</v>
      </c>
      <c r="P572" s="15" t="s">
        <v>40</v>
      </c>
      <c r="Q572" s="27">
        <v>2429.44</v>
      </c>
      <c r="R572" s="27">
        <v>971.77600000000007</v>
      </c>
      <c r="S572" s="31">
        <v>1457.664</v>
      </c>
    </row>
    <row r="573" spans="1:19" x14ac:dyDescent="0.25">
      <c r="A573" s="20">
        <v>45692</v>
      </c>
      <c r="B573" s="15" t="s">
        <v>506</v>
      </c>
      <c r="C573" s="15">
        <v>24516</v>
      </c>
      <c r="D573" s="15" t="s">
        <v>89</v>
      </c>
      <c r="E573" s="15">
        <v>10</v>
      </c>
      <c r="F573" s="27">
        <v>24.49</v>
      </c>
      <c r="G573" s="15" t="s">
        <v>76</v>
      </c>
      <c r="H573" s="35">
        <v>0.1</v>
      </c>
      <c r="I573" s="15" t="s">
        <v>29</v>
      </c>
      <c r="J573" s="27">
        <v>20.399999999999999</v>
      </c>
      <c r="K573" s="15" t="s">
        <v>37</v>
      </c>
      <c r="L573" s="15" t="s">
        <v>31</v>
      </c>
      <c r="M573" s="15" t="s">
        <v>22</v>
      </c>
      <c r="N573" s="15" t="s">
        <v>53</v>
      </c>
      <c r="O573" s="15" t="s">
        <v>39</v>
      </c>
      <c r="P573" s="15" t="s">
        <v>25</v>
      </c>
      <c r="Q573" s="27">
        <v>244.89999999999998</v>
      </c>
      <c r="R573" s="27">
        <v>24.49</v>
      </c>
      <c r="S573" s="31">
        <v>220.40999999999997</v>
      </c>
    </row>
    <row r="574" spans="1:19" x14ac:dyDescent="0.25">
      <c r="A574" s="20">
        <v>45692</v>
      </c>
      <c r="B574" s="15" t="s">
        <v>482</v>
      </c>
      <c r="C574" s="15">
        <v>29249</v>
      </c>
      <c r="D574" s="15" t="s">
        <v>57</v>
      </c>
      <c r="E574" s="15">
        <v>49</v>
      </c>
      <c r="F574" s="27">
        <v>24.56</v>
      </c>
      <c r="G574" s="15" t="s">
        <v>43</v>
      </c>
      <c r="H574" s="35">
        <v>0.04</v>
      </c>
      <c r="I574" s="15" t="s">
        <v>734</v>
      </c>
      <c r="J574" s="27">
        <v>13</v>
      </c>
      <c r="K574" s="15" t="s">
        <v>50</v>
      </c>
      <c r="L574" s="15" t="s">
        <v>31</v>
      </c>
      <c r="M574" s="15" t="s">
        <v>22</v>
      </c>
      <c r="N574" s="15" t="s">
        <v>23</v>
      </c>
      <c r="O574" s="15" t="s">
        <v>24</v>
      </c>
      <c r="P574" s="15" t="s">
        <v>40</v>
      </c>
      <c r="Q574" s="27">
        <v>1203.4399999999998</v>
      </c>
      <c r="R574" s="27">
        <v>48.137599999999992</v>
      </c>
      <c r="S574" s="31">
        <v>1155.3023999999998</v>
      </c>
    </row>
    <row r="575" spans="1:19" x14ac:dyDescent="0.25">
      <c r="A575" s="20">
        <v>45692</v>
      </c>
      <c r="B575" s="15" t="s">
        <v>252</v>
      </c>
      <c r="C575" s="15">
        <v>63133</v>
      </c>
      <c r="D575" s="15" t="s">
        <v>66</v>
      </c>
      <c r="E575" s="15">
        <v>7</v>
      </c>
      <c r="F575" s="27">
        <v>48.27</v>
      </c>
      <c r="G575" s="15" t="s">
        <v>47</v>
      </c>
      <c r="H575" s="35">
        <v>0.21</v>
      </c>
      <c r="I575" s="15" t="s">
        <v>29</v>
      </c>
      <c r="J575" s="27">
        <v>21.11</v>
      </c>
      <c r="K575" s="15" t="s">
        <v>44</v>
      </c>
      <c r="L575" s="15" t="s">
        <v>21</v>
      </c>
      <c r="M575" s="15" t="s">
        <v>22</v>
      </c>
      <c r="N575" s="15" t="s">
        <v>38</v>
      </c>
      <c r="O575" s="15" t="s">
        <v>59</v>
      </c>
      <c r="P575" s="15" t="s">
        <v>25</v>
      </c>
      <c r="Q575" s="27">
        <v>337.89000000000004</v>
      </c>
      <c r="R575" s="27">
        <v>70.956900000000005</v>
      </c>
      <c r="S575" s="31">
        <v>266.93310000000002</v>
      </c>
    </row>
    <row r="576" spans="1:19" x14ac:dyDescent="0.25">
      <c r="A576" s="20">
        <v>45692</v>
      </c>
      <c r="B576" s="15" t="s">
        <v>507</v>
      </c>
      <c r="C576" s="15">
        <v>59865</v>
      </c>
      <c r="D576" s="15" t="s">
        <v>89</v>
      </c>
      <c r="E576" s="15">
        <v>6</v>
      </c>
      <c r="F576" s="27">
        <v>75.989999999999995</v>
      </c>
      <c r="G576" s="15" t="s">
        <v>99</v>
      </c>
      <c r="H576" s="35">
        <v>0.41</v>
      </c>
      <c r="I576" s="15" t="s">
        <v>29</v>
      </c>
      <c r="J576" s="27">
        <v>17.170000000000002</v>
      </c>
      <c r="K576" s="15" t="s">
        <v>44</v>
      </c>
      <c r="L576" s="15" t="s">
        <v>21</v>
      </c>
      <c r="M576" s="15" t="s">
        <v>22</v>
      </c>
      <c r="N576" s="15" t="s">
        <v>23</v>
      </c>
      <c r="O576" s="15" t="s">
        <v>81</v>
      </c>
      <c r="P576" s="15" t="s">
        <v>25</v>
      </c>
      <c r="Q576" s="27">
        <v>455.93999999999994</v>
      </c>
      <c r="R576" s="27">
        <v>186.93539999999996</v>
      </c>
      <c r="S576" s="31">
        <v>269.00459999999998</v>
      </c>
    </row>
    <row r="577" spans="1:19" x14ac:dyDescent="0.25">
      <c r="A577" s="20">
        <v>45692</v>
      </c>
      <c r="B577" s="15" t="s">
        <v>508</v>
      </c>
      <c r="C577" s="15">
        <v>20551</v>
      </c>
      <c r="D577" s="15" t="s">
        <v>68</v>
      </c>
      <c r="E577" s="15">
        <v>2</v>
      </c>
      <c r="F577" s="27">
        <v>42.98</v>
      </c>
      <c r="G577" s="15" t="s">
        <v>58</v>
      </c>
      <c r="H577" s="35">
        <v>0.27</v>
      </c>
      <c r="I577" s="15" t="s">
        <v>19</v>
      </c>
      <c r="J577" s="27">
        <v>16.329999999999998</v>
      </c>
      <c r="K577" s="15" t="s">
        <v>37</v>
      </c>
      <c r="L577" s="15" t="s">
        <v>21</v>
      </c>
      <c r="M577" s="15" t="s">
        <v>22</v>
      </c>
      <c r="N577" s="15" t="s">
        <v>32</v>
      </c>
      <c r="O577" s="15" t="s">
        <v>81</v>
      </c>
      <c r="P577" s="15" t="s">
        <v>25</v>
      </c>
      <c r="Q577" s="27">
        <v>85.96</v>
      </c>
      <c r="R577" s="27">
        <v>23.209199999999999</v>
      </c>
      <c r="S577" s="31">
        <v>62.750799999999998</v>
      </c>
    </row>
    <row r="578" spans="1:19" x14ac:dyDescent="0.25">
      <c r="A578" s="20">
        <v>45692</v>
      </c>
      <c r="B578" s="15" t="s">
        <v>509</v>
      </c>
      <c r="C578" s="15">
        <v>37049</v>
      </c>
      <c r="D578" s="15" t="s">
        <v>46</v>
      </c>
      <c r="E578" s="15">
        <v>15</v>
      </c>
      <c r="F578" s="27">
        <v>78.98</v>
      </c>
      <c r="G578" s="15" t="s">
        <v>47</v>
      </c>
      <c r="H578" s="35">
        <v>0.42</v>
      </c>
      <c r="I578" s="15" t="s">
        <v>19</v>
      </c>
      <c r="J578" s="27">
        <v>11.33</v>
      </c>
      <c r="K578" s="15" t="s">
        <v>50</v>
      </c>
      <c r="L578" s="15" t="s">
        <v>21</v>
      </c>
      <c r="M578" s="15" t="s">
        <v>22</v>
      </c>
      <c r="N578" s="15" t="s">
        <v>38</v>
      </c>
      <c r="O578" s="15" t="s">
        <v>24</v>
      </c>
      <c r="P578" s="15" t="s">
        <v>40</v>
      </c>
      <c r="Q578" s="27">
        <v>1184.7</v>
      </c>
      <c r="R578" s="27">
        <v>497.57400000000001</v>
      </c>
      <c r="S578" s="31">
        <v>687.12599999999998</v>
      </c>
    </row>
    <row r="579" spans="1:19" x14ac:dyDescent="0.25">
      <c r="A579" s="20">
        <v>45692</v>
      </c>
      <c r="B579" s="15" t="s">
        <v>319</v>
      </c>
      <c r="C579" s="15">
        <v>19890</v>
      </c>
      <c r="D579" s="15" t="s">
        <v>49</v>
      </c>
      <c r="E579" s="15">
        <v>32</v>
      </c>
      <c r="F579" s="27">
        <v>11.83</v>
      </c>
      <c r="G579" s="15" t="s">
        <v>99</v>
      </c>
      <c r="H579" s="35">
        <v>0.08</v>
      </c>
      <c r="I579" s="15" t="s">
        <v>29</v>
      </c>
      <c r="J579" s="27">
        <v>10.68</v>
      </c>
      <c r="K579" s="15" t="s">
        <v>30</v>
      </c>
      <c r="L579" s="15" t="s">
        <v>31</v>
      </c>
      <c r="M579" s="15" t="s">
        <v>111</v>
      </c>
      <c r="N579" s="15" t="s">
        <v>53</v>
      </c>
      <c r="O579" s="15" t="s">
        <v>39</v>
      </c>
      <c r="P579" s="15" t="s">
        <v>34</v>
      </c>
      <c r="Q579" s="27">
        <v>378.56</v>
      </c>
      <c r="R579" s="27">
        <v>30.284800000000001</v>
      </c>
      <c r="S579" s="31">
        <v>348.27519999999998</v>
      </c>
    </row>
    <row r="580" spans="1:19" x14ac:dyDescent="0.25">
      <c r="A580" s="20">
        <v>45692</v>
      </c>
      <c r="B580" s="15" t="s">
        <v>510</v>
      </c>
      <c r="C580" s="15">
        <v>55268</v>
      </c>
      <c r="D580" s="15" t="s">
        <v>70</v>
      </c>
      <c r="E580" s="15">
        <v>2</v>
      </c>
      <c r="F580" s="27">
        <v>2.13</v>
      </c>
      <c r="G580" s="15" t="s">
        <v>18</v>
      </c>
      <c r="H580" s="35">
        <v>0.06</v>
      </c>
      <c r="I580" s="15" t="s">
        <v>29</v>
      </c>
      <c r="J580" s="27">
        <v>14.09</v>
      </c>
      <c r="K580" s="15" t="s">
        <v>37</v>
      </c>
      <c r="L580" s="15" t="s">
        <v>31</v>
      </c>
      <c r="M580" s="15" t="s">
        <v>22</v>
      </c>
      <c r="N580" s="15" t="s">
        <v>32</v>
      </c>
      <c r="O580" s="15" t="s">
        <v>39</v>
      </c>
      <c r="P580" s="15" t="s">
        <v>40</v>
      </c>
      <c r="Q580" s="27">
        <v>4.26</v>
      </c>
      <c r="R580" s="27">
        <v>0.25559999999999999</v>
      </c>
      <c r="S580" s="31">
        <v>4.0043999999999995</v>
      </c>
    </row>
    <row r="581" spans="1:19" x14ac:dyDescent="0.25">
      <c r="A581" s="20">
        <v>45692</v>
      </c>
      <c r="B581" s="15" t="s">
        <v>511</v>
      </c>
      <c r="C581" s="15">
        <v>73676</v>
      </c>
      <c r="D581" s="15" t="s">
        <v>66</v>
      </c>
      <c r="E581" s="15">
        <v>31</v>
      </c>
      <c r="F581" s="27">
        <v>45.03</v>
      </c>
      <c r="G581" s="15" t="s">
        <v>18</v>
      </c>
      <c r="H581" s="35">
        <v>0.36</v>
      </c>
      <c r="I581" s="15" t="s">
        <v>734</v>
      </c>
      <c r="J581" s="27">
        <v>24.01</v>
      </c>
      <c r="K581" s="15" t="s">
        <v>44</v>
      </c>
      <c r="L581" s="15" t="s">
        <v>21</v>
      </c>
      <c r="M581" s="15" t="s">
        <v>22</v>
      </c>
      <c r="N581" s="15" t="s">
        <v>38</v>
      </c>
      <c r="O581" s="15" t="s">
        <v>24</v>
      </c>
      <c r="P581" s="15" t="s">
        <v>40</v>
      </c>
      <c r="Q581" s="27">
        <v>1395.93</v>
      </c>
      <c r="R581" s="27">
        <v>502.53480000000002</v>
      </c>
      <c r="S581" s="31">
        <v>893.39520000000005</v>
      </c>
    </row>
    <row r="582" spans="1:19" x14ac:dyDescent="0.25">
      <c r="A582" s="20">
        <v>45692</v>
      </c>
      <c r="B582" s="15" t="s">
        <v>319</v>
      </c>
      <c r="C582" s="15">
        <v>98499</v>
      </c>
      <c r="D582" s="15" t="s">
        <v>42</v>
      </c>
      <c r="E582" s="15">
        <v>43</v>
      </c>
      <c r="F582" s="27">
        <v>8.77</v>
      </c>
      <c r="G582" s="15" t="s">
        <v>36</v>
      </c>
      <c r="H582" s="35">
        <v>7.0000000000000007E-2</v>
      </c>
      <c r="I582" s="15" t="s">
        <v>734</v>
      </c>
      <c r="J582" s="27">
        <v>7.89</v>
      </c>
      <c r="K582" s="15" t="s">
        <v>30</v>
      </c>
      <c r="L582" s="15" t="s">
        <v>21</v>
      </c>
      <c r="M582" s="15" t="s">
        <v>22</v>
      </c>
      <c r="N582" s="15" t="s">
        <v>38</v>
      </c>
      <c r="O582" s="15" t="s">
        <v>24</v>
      </c>
      <c r="P582" s="15" t="s">
        <v>40</v>
      </c>
      <c r="Q582" s="27">
        <v>377.10999999999996</v>
      </c>
      <c r="R582" s="27">
        <v>26.3977</v>
      </c>
      <c r="S582" s="31">
        <v>350.71229999999997</v>
      </c>
    </row>
    <row r="583" spans="1:19" x14ac:dyDescent="0.25">
      <c r="A583" s="20">
        <v>45692</v>
      </c>
      <c r="B583" s="15" t="s">
        <v>512</v>
      </c>
      <c r="C583" s="15">
        <v>22173</v>
      </c>
      <c r="D583" s="15" t="s">
        <v>17</v>
      </c>
      <c r="E583" s="15">
        <v>1</v>
      </c>
      <c r="F583" s="27">
        <v>99.65</v>
      </c>
      <c r="G583" s="15" t="s">
        <v>84</v>
      </c>
      <c r="H583" s="35">
        <v>0.23</v>
      </c>
      <c r="I583" s="15" t="s">
        <v>734</v>
      </c>
      <c r="J583" s="27">
        <v>25.65</v>
      </c>
      <c r="K583" s="15" t="s">
        <v>37</v>
      </c>
      <c r="L583" s="15" t="s">
        <v>31</v>
      </c>
      <c r="M583" s="15" t="s">
        <v>22</v>
      </c>
      <c r="N583" s="15" t="s">
        <v>38</v>
      </c>
      <c r="O583" s="15" t="s">
        <v>39</v>
      </c>
      <c r="P583" s="15" t="s">
        <v>25</v>
      </c>
      <c r="Q583" s="27">
        <v>99.65</v>
      </c>
      <c r="R583" s="27">
        <v>22.919500000000003</v>
      </c>
      <c r="S583" s="31">
        <v>76.730500000000006</v>
      </c>
    </row>
    <row r="584" spans="1:19" x14ac:dyDescent="0.25">
      <c r="A584" s="20">
        <v>45692</v>
      </c>
      <c r="B584" s="15" t="s">
        <v>156</v>
      </c>
      <c r="C584" s="15">
        <v>28355</v>
      </c>
      <c r="D584" s="15" t="s">
        <v>46</v>
      </c>
      <c r="E584" s="15">
        <v>11</v>
      </c>
      <c r="F584" s="27">
        <v>47.27</v>
      </c>
      <c r="G584" s="15" t="s">
        <v>52</v>
      </c>
      <c r="H584" s="35">
        <v>0.38</v>
      </c>
      <c r="I584" s="15" t="s">
        <v>19</v>
      </c>
      <c r="J584" s="27">
        <v>20.94</v>
      </c>
      <c r="K584" s="15" t="s">
        <v>44</v>
      </c>
      <c r="L584" s="15" t="s">
        <v>31</v>
      </c>
      <c r="M584" s="15" t="s">
        <v>22</v>
      </c>
      <c r="N584" s="15" t="s">
        <v>23</v>
      </c>
      <c r="O584" s="15" t="s">
        <v>59</v>
      </c>
      <c r="P584" s="15" t="s">
        <v>40</v>
      </c>
      <c r="Q584" s="27">
        <v>519.97</v>
      </c>
      <c r="R584" s="27">
        <v>197.58860000000001</v>
      </c>
      <c r="S584" s="31">
        <v>322.38139999999999</v>
      </c>
    </row>
    <row r="585" spans="1:19" x14ac:dyDescent="0.25">
      <c r="A585" s="20">
        <v>45692</v>
      </c>
      <c r="B585" s="15" t="s">
        <v>513</v>
      </c>
      <c r="C585" s="15">
        <v>52915</v>
      </c>
      <c r="D585" s="15" t="s">
        <v>70</v>
      </c>
      <c r="E585" s="15">
        <v>18</v>
      </c>
      <c r="F585" s="27">
        <v>20.96</v>
      </c>
      <c r="G585" s="15" t="s">
        <v>72</v>
      </c>
      <c r="H585" s="35">
        <v>0.28000000000000003</v>
      </c>
      <c r="I585" s="15" t="s">
        <v>734</v>
      </c>
      <c r="J585" s="27">
        <v>28.07</v>
      </c>
      <c r="K585" s="15" t="s">
        <v>20</v>
      </c>
      <c r="L585" s="15" t="s">
        <v>21</v>
      </c>
      <c r="M585" s="15" t="s">
        <v>22</v>
      </c>
      <c r="N585" s="15" t="s">
        <v>53</v>
      </c>
      <c r="O585" s="15" t="s">
        <v>81</v>
      </c>
      <c r="P585" s="15" t="s">
        <v>34</v>
      </c>
      <c r="Q585" s="27">
        <v>377.28000000000003</v>
      </c>
      <c r="R585" s="27">
        <v>105.63840000000002</v>
      </c>
      <c r="S585" s="31">
        <v>271.64160000000004</v>
      </c>
    </row>
    <row r="586" spans="1:19" x14ac:dyDescent="0.25">
      <c r="A586" s="20">
        <v>45692</v>
      </c>
      <c r="B586" s="15" t="s">
        <v>131</v>
      </c>
      <c r="C586" s="15">
        <v>50662</v>
      </c>
      <c r="D586" s="15" t="s">
        <v>66</v>
      </c>
      <c r="E586" s="15">
        <v>39</v>
      </c>
      <c r="F586" s="27">
        <v>90.04</v>
      </c>
      <c r="G586" s="15" t="s">
        <v>58</v>
      </c>
      <c r="H586" s="35">
        <v>0.25</v>
      </c>
      <c r="I586" s="15" t="s">
        <v>29</v>
      </c>
      <c r="J586" s="27">
        <v>23.77</v>
      </c>
      <c r="K586" s="15" t="s">
        <v>20</v>
      </c>
      <c r="L586" s="15" t="s">
        <v>21</v>
      </c>
      <c r="M586" s="15" t="s">
        <v>22</v>
      </c>
      <c r="N586" s="15" t="s">
        <v>23</v>
      </c>
      <c r="O586" s="15" t="s">
        <v>39</v>
      </c>
      <c r="P586" s="15" t="s">
        <v>40</v>
      </c>
      <c r="Q586" s="27">
        <v>3511.5600000000004</v>
      </c>
      <c r="R586" s="27">
        <v>877.8900000000001</v>
      </c>
      <c r="S586" s="31">
        <v>2633.67</v>
      </c>
    </row>
    <row r="587" spans="1:19" x14ac:dyDescent="0.25">
      <c r="A587" s="20">
        <v>45692</v>
      </c>
      <c r="B587" s="15" t="s">
        <v>336</v>
      </c>
      <c r="C587" s="15">
        <v>28363</v>
      </c>
      <c r="D587" s="15" t="s">
        <v>27</v>
      </c>
      <c r="E587" s="15">
        <v>1</v>
      </c>
      <c r="F587" s="27">
        <v>82.94</v>
      </c>
      <c r="G587" s="15" t="s">
        <v>99</v>
      </c>
      <c r="H587" s="35">
        <v>0.14000000000000001</v>
      </c>
      <c r="I587" s="15" t="s">
        <v>29</v>
      </c>
      <c r="J587" s="27">
        <v>15.71</v>
      </c>
      <c r="K587" s="15" t="s">
        <v>30</v>
      </c>
      <c r="L587" s="15" t="s">
        <v>21</v>
      </c>
      <c r="M587" s="15" t="s">
        <v>22</v>
      </c>
      <c r="N587" s="15" t="s">
        <v>38</v>
      </c>
      <c r="O587" s="15" t="s">
        <v>33</v>
      </c>
      <c r="P587" s="15" t="s">
        <v>34</v>
      </c>
      <c r="Q587" s="27">
        <v>82.94</v>
      </c>
      <c r="R587" s="27">
        <v>11.611600000000001</v>
      </c>
      <c r="S587" s="31">
        <v>71.328400000000002</v>
      </c>
    </row>
    <row r="588" spans="1:19" x14ac:dyDescent="0.25">
      <c r="A588" s="20">
        <v>45693</v>
      </c>
      <c r="B588" s="15" t="s">
        <v>514</v>
      </c>
      <c r="C588" s="15">
        <v>59152</v>
      </c>
      <c r="D588" s="15" t="s">
        <v>68</v>
      </c>
      <c r="E588" s="15">
        <v>25</v>
      </c>
      <c r="F588" s="27">
        <v>81.92</v>
      </c>
      <c r="G588" s="15" t="s">
        <v>52</v>
      </c>
      <c r="H588" s="35">
        <v>0.27</v>
      </c>
      <c r="I588" s="15" t="s">
        <v>19</v>
      </c>
      <c r="J588" s="27">
        <v>13.95</v>
      </c>
      <c r="K588" s="15" t="s">
        <v>20</v>
      </c>
      <c r="L588" s="15" t="s">
        <v>31</v>
      </c>
      <c r="M588" s="15" t="s">
        <v>22</v>
      </c>
      <c r="N588" s="15" t="s">
        <v>53</v>
      </c>
      <c r="O588" s="15" t="s">
        <v>81</v>
      </c>
      <c r="P588" s="15" t="s">
        <v>34</v>
      </c>
      <c r="Q588" s="27">
        <v>2048</v>
      </c>
      <c r="R588" s="27">
        <v>552.96</v>
      </c>
      <c r="S588" s="31">
        <v>1495.04</v>
      </c>
    </row>
    <row r="589" spans="1:19" x14ac:dyDescent="0.25">
      <c r="A589" s="20">
        <v>45693</v>
      </c>
      <c r="B589" s="15" t="s">
        <v>515</v>
      </c>
      <c r="C589" s="15">
        <v>55469</v>
      </c>
      <c r="D589" s="15" t="s">
        <v>42</v>
      </c>
      <c r="E589" s="15">
        <v>34</v>
      </c>
      <c r="F589" s="27">
        <v>20.48</v>
      </c>
      <c r="G589" s="15" t="s">
        <v>55</v>
      </c>
      <c r="H589" s="35">
        <v>0.34</v>
      </c>
      <c r="I589" s="15" t="s">
        <v>734</v>
      </c>
      <c r="J589" s="27">
        <v>26.14</v>
      </c>
      <c r="K589" s="15" t="s">
        <v>30</v>
      </c>
      <c r="L589" s="15" t="s">
        <v>21</v>
      </c>
      <c r="M589" s="15" t="s">
        <v>22</v>
      </c>
      <c r="N589" s="15" t="s">
        <v>53</v>
      </c>
      <c r="O589" s="15" t="s">
        <v>33</v>
      </c>
      <c r="P589" s="15" t="s">
        <v>40</v>
      </c>
      <c r="Q589" s="27">
        <v>696.32</v>
      </c>
      <c r="R589" s="27">
        <v>236.74880000000005</v>
      </c>
      <c r="S589" s="31">
        <v>459.57119999999998</v>
      </c>
    </row>
    <row r="590" spans="1:19" x14ac:dyDescent="0.25">
      <c r="A590" s="20">
        <v>45693</v>
      </c>
      <c r="B590" s="15" t="s">
        <v>516</v>
      </c>
      <c r="C590" s="15">
        <v>58882</v>
      </c>
      <c r="D590" s="15" t="s">
        <v>42</v>
      </c>
      <c r="E590" s="15">
        <v>3</v>
      </c>
      <c r="F590" s="27">
        <v>95.41</v>
      </c>
      <c r="G590" s="15" t="s">
        <v>28</v>
      </c>
      <c r="H590" s="35">
        <v>0.01</v>
      </c>
      <c r="I590" s="15" t="s">
        <v>734</v>
      </c>
      <c r="J590" s="27">
        <v>15.39</v>
      </c>
      <c r="K590" s="15" t="s">
        <v>30</v>
      </c>
      <c r="L590" s="15" t="s">
        <v>31</v>
      </c>
      <c r="M590" s="15" t="s">
        <v>22</v>
      </c>
      <c r="N590" s="15" t="s">
        <v>32</v>
      </c>
      <c r="O590" s="15" t="s">
        <v>81</v>
      </c>
      <c r="P590" s="15" t="s">
        <v>40</v>
      </c>
      <c r="Q590" s="27">
        <v>286.23</v>
      </c>
      <c r="R590" s="27">
        <v>2.8623000000000003</v>
      </c>
      <c r="S590" s="31">
        <v>283.36770000000001</v>
      </c>
    </row>
    <row r="591" spans="1:19" x14ac:dyDescent="0.25">
      <c r="A591" s="20">
        <v>45693</v>
      </c>
      <c r="B591" s="15" t="s">
        <v>517</v>
      </c>
      <c r="C591" s="15">
        <v>83310</v>
      </c>
      <c r="D591" s="15" t="s">
        <v>42</v>
      </c>
      <c r="E591" s="15">
        <v>39</v>
      </c>
      <c r="F591" s="27">
        <v>26.06</v>
      </c>
      <c r="G591" s="15" t="s">
        <v>58</v>
      </c>
      <c r="H591" s="35">
        <v>0.25</v>
      </c>
      <c r="I591" s="15" t="s">
        <v>734</v>
      </c>
      <c r="J591" s="27">
        <v>8.7200000000000006</v>
      </c>
      <c r="K591" s="15" t="s">
        <v>44</v>
      </c>
      <c r="L591" s="15" t="s">
        <v>31</v>
      </c>
      <c r="M591" s="15" t="s">
        <v>22</v>
      </c>
      <c r="N591" s="15" t="s">
        <v>53</v>
      </c>
      <c r="O591" s="15" t="s">
        <v>59</v>
      </c>
      <c r="P591" s="15" t="s">
        <v>34</v>
      </c>
      <c r="Q591" s="27">
        <v>1016.3399999999999</v>
      </c>
      <c r="R591" s="27">
        <v>254.08499999999998</v>
      </c>
      <c r="S591" s="31">
        <v>762.25499999999988</v>
      </c>
    </row>
    <row r="592" spans="1:19" x14ac:dyDescent="0.25">
      <c r="A592" s="20">
        <v>45693</v>
      </c>
      <c r="B592" s="15" t="s">
        <v>518</v>
      </c>
      <c r="C592" s="15">
        <v>85818</v>
      </c>
      <c r="D592" s="15" t="s">
        <v>42</v>
      </c>
      <c r="E592" s="15">
        <v>41</v>
      </c>
      <c r="F592" s="27">
        <v>38.75</v>
      </c>
      <c r="G592" s="15" t="s">
        <v>76</v>
      </c>
      <c r="H592" s="35">
        <v>0.48</v>
      </c>
      <c r="I592" s="15" t="s">
        <v>19</v>
      </c>
      <c r="J592" s="27">
        <v>19.18</v>
      </c>
      <c r="K592" s="15" t="s">
        <v>20</v>
      </c>
      <c r="L592" s="15" t="s">
        <v>21</v>
      </c>
      <c r="M592" s="15" t="s">
        <v>22</v>
      </c>
      <c r="N592" s="15" t="s">
        <v>53</v>
      </c>
      <c r="O592" s="15" t="s">
        <v>59</v>
      </c>
      <c r="P592" s="15" t="s">
        <v>34</v>
      </c>
      <c r="Q592" s="27">
        <v>1588.75</v>
      </c>
      <c r="R592" s="27">
        <v>762.6</v>
      </c>
      <c r="S592" s="31">
        <v>826.15</v>
      </c>
    </row>
    <row r="593" spans="1:19" x14ac:dyDescent="0.25">
      <c r="A593" s="20">
        <v>45693</v>
      </c>
      <c r="B593" s="15" t="s">
        <v>472</v>
      </c>
      <c r="C593" s="15">
        <v>18541</v>
      </c>
      <c r="D593" s="15" t="s">
        <v>70</v>
      </c>
      <c r="E593" s="15">
        <v>31</v>
      </c>
      <c r="F593" s="27">
        <v>78.98</v>
      </c>
      <c r="G593" s="15" t="s">
        <v>76</v>
      </c>
      <c r="H593" s="35">
        <v>0.48</v>
      </c>
      <c r="I593" s="15" t="s">
        <v>19</v>
      </c>
      <c r="J593" s="27">
        <v>11.83</v>
      </c>
      <c r="K593" s="15" t="s">
        <v>20</v>
      </c>
      <c r="L593" s="15" t="s">
        <v>31</v>
      </c>
      <c r="M593" s="15" t="s">
        <v>22</v>
      </c>
      <c r="N593" s="15" t="s">
        <v>32</v>
      </c>
      <c r="O593" s="15" t="s">
        <v>24</v>
      </c>
      <c r="P593" s="15" t="s">
        <v>25</v>
      </c>
      <c r="Q593" s="27">
        <v>2448.38</v>
      </c>
      <c r="R593" s="27">
        <v>1175.2224000000001</v>
      </c>
      <c r="S593" s="31">
        <v>1273.1576</v>
      </c>
    </row>
    <row r="594" spans="1:19" x14ac:dyDescent="0.25">
      <c r="A594" s="20">
        <v>45693</v>
      </c>
      <c r="B594" s="15" t="s">
        <v>180</v>
      </c>
      <c r="C594" s="15">
        <v>36373</v>
      </c>
      <c r="D594" s="15" t="s">
        <v>27</v>
      </c>
      <c r="E594" s="15">
        <v>34</v>
      </c>
      <c r="F594" s="27">
        <v>23.71</v>
      </c>
      <c r="G594" s="15" t="s">
        <v>76</v>
      </c>
      <c r="H594" s="35">
        <v>0.5</v>
      </c>
      <c r="I594" s="15" t="s">
        <v>19</v>
      </c>
      <c r="J594" s="27">
        <v>18.55</v>
      </c>
      <c r="K594" s="15" t="s">
        <v>50</v>
      </c>
      <c r="L594" s="15" t="s">
        <v>31</v>
      </c>
      <c r="M594" s="15" t="s">
        <v>22</v>
      </c>
      <c r="N594" s="15" t="s">
        <v>23</v>
      </c>
      <c r="O594" s="15" t="s">
        <v>39</v>
      </c>
      <c r="P594" s="15" t="s">
        <v>34</v>
      </c>
      <c r="Q594" s="27">
        <v>806.14</v>
      </c>
      <c r="R594" s="27">
        <v>403.07</v>
      </c>
      <c r="S594" s="31">
        <v>403.07</v>
      </c>
    </row>
    <row r="595" spans="1:19" x14ac:dyDescent="0.25">
      <c r="A595" s="20">
        <v>45693</v>
      </c>
      <c r="B595" s="15" t="s">
        <v>519</v>
      </c>
      <c r="C595" s="15">
        <v>36092</v>
      </c>
      <c r="D595" s="15" t="s">
        <v>57</v>
      </c>
      <c r="E595" s="15">
        <v>19</v>
      </c>
      <c r="F595" s="27">
        <v>89.18</v>
      </c>
      <c r="G595" s="15" t="s">
        <v>18</v>
      </c>
      <c r="H595" s="35">
        <v>7.0000000000000007E-2</v>
      </c>
      <c r="I595" s="15" t="s">
        <v>734</v>
      </c>
      <c r="J595" s="27">
        <v>8.9499999999999993</v>
      </c>
      <c r="K595" s="15" t="s">
        <v>37</v>
      </c>
      <c r="L595" s="15" t="s">
        <v>31</v>
      </c>
      <c r="M595" s="15" t="s">
        <v>22</v>
      </c>
      <c r="N595" s="15" t="s">
        <v>23</v>
      </c>
      <c r="O595" s="15" t="s">
        <v>59</v>
      </c>
      <c r="P595" s="15" t="s">
        <v>34</v>
      </c>
      <c r="Q595" s="27">
        <v>1694.42</v>
      </c>
      <c r="R595" s="27">
        <v>118.60940000000002</v>
      </c>
      <c r="S595" s="31">
        <v>1575.8106</v>
      </c>
    </row>
    <row r="596" spans="1:19" x14ac:dyDescent="0.25">
      <c r="A596" s="20">
        <v>45693</v>
      </c>
      <c r="B596" s="15" t="s">
        <v>54</v>
      </c>
      <c r="C596" s="15">
        <v>26380</v>
      </c>
      <c r="D596" s="15" t="s">
        <v>89</v>
      </c>
      <c r="E596" s="15">
        <v>48</v>
      </c>
      <c r="F596" s="27">
        <v>9.94</v>
      </c>
      <c r="G596" s="15" t="s">
        <v>28</v>
      </c>
      <c r="H596" s="35">
        <v>0.17</v>
      </c>
      <c r="I596" s="15" t="s">
        <v>19</v>
      </c>
      <c r="J596" s="27">
        <v>19.18</v>
      </c>
      <c r="K596" s="15" t="s">
        <v>44</v>
      </c>
      <c r="L596" s="15" t="s">
        <v>31</v>
      </c>
      <c r="M596" s="15" t="s">
        <v>22</v>
      </c>
      <c r="N596" s="15" t="s">
        <v>38</v>
      </c>
      <c r="O596" s="15" t="s">
        <v>59</v>
      </c>
      <c r="P596" s="15" t="s">
        <v>40</v>
      </c>
      <c r="Q596" s="27">
        <v>477.12</v>
      </c>
      <c r="R596" s="27">
        <v>81.110400000000013</v>
      </c>
      <c r="S596" s="31">
        <v>396.00959999999998</v>
      </c>
    </row>
    <row r="597" spans="1:19" x14ac:dyDescent="0.25">
      <c r="A597" s="20">
        <v>45693</v>
      </c>
      <c r="B597" s="15" t="s">
        <v>290</v>
      </c>
      <c r="C597" s="15">
        <v>11132</v>
      </c>
      <c r="D597" s="15" t="s">
        <v>75</v>
      </c>
      <c r="E597" s="15">
        <v>30</v>
      </c>
      <c r="F597" s="27">
        <v>98.89</v>
      </c>
      <c r="G597" s="15" t="s">
        <v>72</v>
      </c>
      <c r="H597" s="35">
        <v>0.2</v>
      </c>
      <c r="I597" s="15" t="s">
        <v>19</v>
      </c>
      <c r="J597" s="27">
        <v>6.59</v>
      </c>
      <c r="K597" s="15" t="s">
        <v>30</v>
      </c>
      <c r="L597" s="15" t="s">
        <v>31</v>
      </c>
      <c r="M597" s="15" t="s">
        <v>22</v>
      </c>
      <c r="N597" s="15" t="s">
        <v>53</v>
      </c>
      <c r="O597" s="15" t="s">
        <v>33</v>
      </c>
      <c r="P597" s="15" t="s">
        <v>25</v>
      </c>
      <c r="Q597" s="27">
        <v>2966.7</v>
      </c>
      <c r="R597" s="27">
        <v>593.34</v>
      </c>
      <c r="S597" s="31">
        <v>2373.3599999999997</v>
      </c>
    </row>
    <row r="598" spans="1:19" x14ac:dyDescent="0.25">
      <c r="A598" s="20">
        <v>45693</v>
      </c>
      <c r="B598" s="15" t="s">
        <v>372</v>
      </c>
      <c r="C598" s="15">
        <v>16699</v>
      </c>
      <c r="D598" s="15" t="s">
        <v>46</v>
      </c>
      <c r="E598" s="15">
        <v>28</v>
      </c>
      <c r="F598" s="27">
        <v>96.04</v>
      </c>
      <c r="G598" s="15" t="s">
        <v>84</v>
      </c>
      <c r="H598" s="35">
        <v>0.38</v>
      </c>
      <c r="I598" s="15" t="s">
        <v>29</v>
      </c>
      <c r="J598" s="27">
        <v>14.98</v>
      </c>
      <c r="K598" s="15" t="s">
        <v>50</v>
      </c>
      <c r="L598" s="15" t="s">
        <v>21</v>
      </c>
      <c r="M598" s="15" t="s">
        <v>22</v>
      </c>
      <c r="N598" s="15" t="s">
        <v>38</v>
      </c>
      <c r="O598" s="15" t="s">
        <v>39</v>
      </c>
      <c r="P598" s="15" t="s">
        <v>40</v>
      </c>
      <c r="Q598" s="27">
        <v>2689.1200000000003</v>
      </c>
      <c r="R598" s="27">
        <v>1021.8656000000002</v>
      </c>
      <c r="S598" s="31">
        <v>1667.2544000000003</v>
      </c>
    </row>
    <row r="599" spans="1:19" x14ac:dyDescent="0.25">
      <c r="A599" s="20">
        <v>45693</v>
      </c>
      <c r="B599" s="15" t="s">
        <v>520</v>
      </c>
      <c r="C599" s="15">
        <v>56585</v>
      </c>
      <c r="D599" s="15" t="s">
        <v>42</v>
      </c>
      <c r="E599" s="15">
        <v>42</v>
      </c>
      <c r="F599" s="27">
        <v>39.18</v>
      </c>
      <c r="G599" s="15" t="s">
        <v>47</v>
      </c>
      <c r="H599" s="35">
        <v>0.18</v>
      </c>
      <c r="I599" s="15" t="s">
        <v>734</v>
      </c>
      <c r="J599" s="27">
        <v>17.510000000000002</v>
      </c>
      <c r="K599" s="15" t="s">
        <v>20</v>
      </c>
      <c r="L599" s="15" t="s">
        <v>21</v>
      </c>
      <c r="M599" s="15" t="s">
        <v>22</v>
      </c>
      <c r="N599" s="15" t="s">
        <v>38</v>
      </c>
      <c r="O599" s="15" t="s">
        <v>24</v>
      </c>
      <c r="P599" s="15" t="s">
        <v>40</v>
      </c>
      <c r="Q599" s="27">
        <v>1645.56</v>
      </c>
      <c r="R599" s="27">
        <v>296.20079999999996</v>
      </c>
      <c r="S599" s="31">
        <v>1349.3591999999999</v>
      </c>
    </row>
    <row r="600" spans="1:19" x14ac:dyDescent="0.25">
      <c r="A600" s="20">
        <v>45693</v>
      </c>
      <c r="B600" s="15" t="s">
        <v>521</v>
      </c>
      <c r="C600" s="15">
        <v>92154</v>
      </c>
      <c r="D600" s="15" t="s">
        <v>46</v>
      </c>
      <c r="E600" s="15">
        <v>35</v>
      </c>
      <c r="F600" s="27">
        <v>87.14</v>
      </c>
      <c r="G600" s="15" t="s">
        <v>99</v>
      </c>
      <c r="H600" s="35">
        <v>0.46</v>
      </c>
      <c r="I600" s="15" t="s">
        <v>734</v>
      </c>
      <c r="J600" s="27">
        <v>17.149999999999999</v>
      </c>
      <c r="K600" s="15" t="s">
        <v>50</v>
      </c>
      <c r="L600" s="15" t="s">
        <v>31</v>
      </c>
      <c r="M600" s="15" t="s">
        <v>22</v>
      </c>
      <c r="N600" s="15" t="s">
        <v>23</v>
      </c>
      <c r="O600" s="15" t="s">
        <v>24</v>
      </c>
      <c r="P600" s="15" t="s">
        <v>25</v>
      </c>
      <c r="Q600" s="27">
        <v>3049.9</v>
      </c>
      <c r="R600" s="27">
        <v>1402.9540000000002</v>
      </c>
      <c r="S600" s="31">
        <v>1646.9459999999999</v>
      </c>
    </row>
    <row r="601" spans="1:19" x14ac:dyDescent="0.25">
      <c r="A601" s="20">
        <v>45693</v>
      </c>
      <c r="B601" s="15" t="s">
        <v>522</v>
      </c>
      <c r="C601" s="15">
        <v>70039</v>
      </c>
      <c r="D601" s="15" t="s">
        <v>89</v>
      </c>
      <c r="E601" s="15">
        <v>36</v>
      </c>
      <c r="F601" s="27">
        <v>84.19</v>
      </c>
      <c r="G601" s="15" t="s">
        <v>72</v>
      </c>
      <c r="H601" s="35">
        <v>0.38</v>
      </c>
      <c r="I601" s="15" t="s">
        <v>19</v>
      </c>
      <c r="J601" s="27">
        <v>25.7</v>
      </c>
      <c r="K601" s="15" t="s">
        <v>50</v>
      </c>
      <c r="L601" s="15" t="s">
        <v>21</v>
      </c>
      <c r="M601" s="15" t="s">
        <v>22</v>
      </c>
      <c r="N601" s="15" t="s">
        <v>23</v>
      </c>
      <c r="O601" s="15" t="s">
        <v>24</v>
      </c>
      <c r="P601" s="15" t="s">
        <v>40</v>
      </c>
      <c r="Q601" s="27">
        <v>3030.84</v>
      </c>
      <c r="R601" s="27">
        <v>1151.7192</v>
      </c>
      <c r="S601" s="31">
        <v>1879.1208000000001</v>
      </c>
    </row>
    <row r="602" spans="1:19" x14ac:dyDescent="0.25">
      <c r="A602" s="20">
        <v>45693</v>
      </c>
      <c r="B602" s="15" t="s">
        <v>467</v>
      </c>
      <c r="C602" s="15">
        <v>70716</v>
      </c>
      <c r="D602" s="15" t="s">
        <v>49</v>
      </c>
      <c r="E602" s="15">
        <v>1</v>
      </c>
      <c r="F602" s="27">
        <v>74.209999999999994</v>
      </c>
      <c r="G602" s="15" t="s">
        <v>72</v>
      </c>
      <c r="H602" s="35">
        <v>0.41</v>
      </c>
      <c r="I602" s="15" t="s">
        <v>29</v>
      </c>
      <c r="J602" s="27">
        <v>22.48</v>
      </c>
      <c r="K602" s="15" t="s">
        <v>30</v>
      </c>
      <c r="L602" s="15" t="s">
        <v>21</v>
      </c>
      <c r="M602" s="15" t="s">
        <v>22</v>
      </c>
      <c r="N602" s="15" t="s">
        <v>32</v>
      </c>
      <c r="O602" s="15" t="s">
        <v>59</v>
      </c>
      <c r="P602" s="15" t="s">
        <v>34</v>
      </c>
      <c r="Q602" s="27">
        <v>74.209999999999994</v>
      </c>
      <c r="R602" s="27">
        <v>30.426099999999995</v>
      </c>
      <c r="S602" s="31">
        <v>43.783900000000003</v>
      </c>
    </row>
    <row r="603" spans="1:19" x14ac:dyDescent="0.25">
      <c r="A603" s="20">
        <v>45693</v>
      </c>
      <c r="B603" s="15" t="s">
        <v>523</v>
      </c>
      <c r="C603" s="15">
        <v>24646</v>
      </c>
      <c r="D603" s="15" t="s">
        <v>89</v>
      </c>
      <c r="E603" s="15">
        <v>35</v>
      </c>
      <c r="F603" s="27">
        <v>89.87</v>
      </c>
      <c r="G603" s="15" t="s">
        <v>43</v>
      </c>
      <c r="H603" s="35">
        <v>0.34</v>
      </c>
      <c r="I603" s="15" t="s">
        <v>29</v>
      </c>
      <c r="J603" s="27">
        <v>28.76</v>
      </c>
      <c r="K603" s="15" t="s">
        <v>37</v>
      </c>
      <c r="L603" s="15" t="s">
        <v>31</v>
      </c>
      <c r="M603" s="15" t="s">
        <v>22</v>
      </c>
      <c r="N603" s="15" t="s">
        <v>32</v>
      </c>
      <c r="O603" s="15" t="s">
        <v>81</v>
      </c>
      <c r="P603" s="15" t="s">
        <v>25</v>
      </c>
      <c r="Q603" s="27">
        <v>3145.4500000000003</v>
      </c>
      <c r="R603" s="27">
        <v>1069.4530000000002</v>
      </c>
      <c r="S603" s="31">
        <v>2075.9970000000003</v>
      </c>
    </row>
    <row r="604" spans="1:19" x14ac:dyDescent="0.25">
      <c r="A604" s="20">
        <v>45693</v>
      </c>
      <c r="B604" s="15" t="s">
        <v>402</v>
      </c>
      <c r="C604" s="15">
        <v>99450</v>
      </c>
      <c r="D604" s="15" t="s">
        <v>89</v>
      </c>
      <c r="E604" s="15">
        <v>12</v>
      </c>
      <c r="F604" s="27">
        <v>65.069999999999993</v>
      </c>
      <c r="G604" s="15" t="s">
        <v>36</v>
      </c>
      <c r="H604" s="35">
        <v>0.3</v>
      </c>
      <c r="I604" s="15" t="s">
        <v>29</v>
      </c>
      <c r="J604" s="27">
        <v>28.44</v>
      </c>
      <c r="K604" s="15" t="s">
        <v>37</v>
      </c>
      <c r="L604" s="15" t="s">
        <v>31</v>
      </c>
      <c r="M604" s="15" t="s">
        <v>111</v>
      </c>
      <c r="N604" s="15" t="s">
        <v>53</v>
      </c>
      <c r="O604" s="15" t="s">
        <v>59</v>
      </c>
      <c r="P604" s="15" t="s">
        <v>40</v>
      </c>
      <c r="Q604" s="27">
        <v>780.83999999999992</v>
      </c>
      <c r="R604" s="27">
        <v>234.25199999999995</v>
      </c>
      <c r="S604" s="31">
        <v>546.58799999999997</v>
      </c>
    </row>
    <row r="605" spans="1:19" x14ac:dyDescent="0.25">
      <c r="A605" s="20">
        <v>45693</v>
      </c>
      <c r="B605" s="15" t="s">
        <v>524</v>
      </c>
      <c r="C605" s="15">
        <v>47492</v>
      </c>
      <c r="D605" s="15" t="s">
        <v>27</v>
      </c>
      <c r="E605" s="15">
        <v>9</v>
      </c>
      <c r="F605" s="27">
        <v>20.76</v>
      </c>
      <c r="G605" s="15" t="s">
        <v>52</v>
      </c>
      <c r="H605" s="35">
        <v>0.41</v>
      </c>
      <c r="I605" s="15" t="s">
        <v>29</v>
      </c>
      <c r="J605" s="27">
        <v>25.13</v>
      </c>
      <c r="K605" s="15" t="s">
        <v>50</v>
      </c>
      <c r="L605" s="15" t="s">
        <v>31</v>
      </c>
      <c r="M605" s="15" t="s">
        <v>22</v>
      </c>
      <c r="N605" s="15" t="s">
        <v>53</v>
      </c>
      <c r="O605" s="15" t="s">
        <v>33</v>
      </c>
      <c r="P605" s="15" t="s">
        <v>40</v>
      </c>
      <c r="Q605" s="27">
        <v>186.84</v>
      </c>
      <c r="R605" s="27">
        <v>76.604399999999998</v>
      </c>
      <c r="S605" s="31">
        <v>110.23560000000001</v>
      </c>
    </row>
    <row r="606" spans="1:19" x14ac:dyDescent="0.25">
      <c r="A606" s="20">
        <v>45693</v>
      </c>
      <c r="B606" s="15" t="s">
        <v>525</v>
      </c>
      <c r="C606" s="15">
        <v>10675</v>
      </c>
      <c r="D606" s="15" t="s">
        <v>42</v>
      </c>
      <c r="E606" s="15">
        <v>19</v>
      </c>
      <c r="F606" s="27">
        <v>47.87</v>
      </c>
      <c r="G606" s="15" t="s">
        <v>84</v>
      </c>
      <c r="H606" s="35">
        <v>0.01</v>
      </c>
      <c r="I606" s="15" t="s">
        <v>19</v>
      </c>
      <c r="J606" s="27">
        <v>20.2</v>
      </c>
      <c r="K606" s="15" t="s">
        <v>44</v>
      </c>
      <c r="L606" s="15" t="s">
        <v>21</v>
      </c>
      <c r="M606" s="15" t="s">
        <v>22</v>
      </c>
      <c r="N606" s="15" t="s">
        <v>23</v>
      </c>
      <c r="O606" s="15" t="s">
        <v>39</v>
      </c>
      <c r="P606" s="15" t="s">
        <v>25</v>
      </c>
      <c r="Q606" s="27">
        <v>909.53</v>
      </c>
      <c r="R606" s="27">
        <v>9.0952999999999999</v>
      </c>
      <c r="S606" s="31">
        <v>900.43470000000002</v>
      </c>
    </row>
    <row r="607" spans="1:19" x14ac:dyDescent="0.25">
      <c r="A607" s="20">
        <v>45693</v>
      </c>
      <c r="B607" s="15" t="s">
        <v>408</v>
      </c>
      <c r="C607" s="15">
        <v>21500</v>
      </c>
      <c r="D607" s="15" t="s">
        <v>46</v>
      </c>
      <c r="E607" s="15">
        <v>29</v>
      </c>
      <c r="F607" s="27">
        <v>3.49</v>
      </c>
      <c r="G607" s="15" t="s">
        <v>52</v>
      </c>
      <c r="H607" s="35">
        <v>0.2</v>
      </c>
      <c r="I607" s="15" t="s">
        <v>734</v>
      </c>
      <c r="J607" s="27">
        <v>26.95</v>
      </c>
      <c r="K607" s="15" t="s">
        <v>37</v>
      </c>
      <c r="L607" s="15" t="s">
        <v>31</v>
      </c>
      <c r="M607" s="15" t="s">
        <v>22</v>
      </c>
      <c r="N607" s="15" t="s">
        <v>53</v>
      </c>
      <c r="O607" s="15" t="s">
        <v>81</v>
      </c>
      <c r="P607" s="15" t="s">
        <v>25</v>
      </c>
      <c r="Q607" s="27">
        <v>101.21000000000001</v>
      </c>
      <c r="R607" s="27">
        <v>20.242000000000004</v>
      </c>
      <c r="S607" s="31">
        <v>80.968000000000004</v>
      </c>
    </row>
    <row r="608" spans="1:19" x14ac:dyDescent="0.25">
      <c r="A608" s="20">
        <v>45693</v>
      </c>
      <c r="B608" s="15" t="s">
        <v>115</v>
      </c>
      <c r="C608" s="15">
        <v>11200</v>
      </c>
      <c r="D608" s="15" t="s">
        <v>17</v>
      </c>
      <c r="E608" s="15">
        <v>6</v>
      </c>
      <c r="F608" s="27">
        <v>13.89</v>
      </c>
      <c r="G608" s="15" t="s">
        <v>18</v>
      </c>
      <c r="H608" s="35">
        <v>0.24</v>
      </c>
      <c r="I608" s="15" t="s">
        <v>19</v>
      </c>
      <c r="J608" s="27">
        <v>10.16</v>
      </c>
      <c r="K608" s="15" t="s">
        <v>20</v>
      </c>
      <c r="L608" s="15" t="s">
        <v>21</v>
      </c>
      <c r="M608" s="15" t="s">
        <v>22</v>
      </c>
      <c r="N608" s="15" t="s">
        <v>23</v>
      </c>
      <c r="O608" s="15" t="s">
        <v>24</v>
      </c>
      <c r="P608" s="15" t="s">
        <v>40</v>
      </c>
      <c r="Q608" s="27">
        <v>83.34</v>
      </c>
      <c r="R608" s="27">
        <v>20.0016</v>
      </c>
      <c r="S608" s="31">
        <v>63.338400000000007</v>
      </c>
    </row>
    <row r="609" spans="1:19" x14ac:dyDescent="0.25">
      <c r="A609" s="20">
        <v>45694</v>
      </c>
      <c r="B609" s="15" t="s">
        <v>526</v>
      </c>
      <c r="C609" s="15">
        <v>85899</v>
      </c>
      <c r="D609" s="15" t="s">
        <v>57</v>
      </c>
      <c r="E609" s="15">
        <v>24</v>
      </c>
      <c r="F609" s="27">
        <v>61.03</v>
      </c>
      <c r="G609" s="15" t="s">
        <v>36</v>
      </c>
      <c r="H609" s="35">
        <v>0.09</v>
      </c>
      <c r="I609" s="15" t="s">
        <v>734</v>
      </c>
      <c r="J609" s="27">
        <v>27.14</v>
      </c>
      <c r="K609" s="15" t="s">
        <v>37</v>
      </c>
      <c r="L609" s="15" t="s">
        <v>31</v>
      </c>
      <c r="M609" s="15" t="s">
        <v>22</v>
      </c>
      <c r="N609" s="15" t="s">
        <v>23</v>
      </c>
      <c r="O609" s="15" t="s">
        <v>59</v>
      </c>
      <c r="P609" s="15" t="s">
        <v>25</v>
      </c>
      <c r="Q609" s="27">
        <v>1464.72</v>
      </c>
      <c r="R609" s="27">
        <v>131.82480000000001</v>
      </c>
      <c r="S609" s="31">
        <v>1332.8951999999999</v>
      </c>
    </row>
    <row r="610" spans="1:19" x14ac:dyDescent="0.25">
      <c r="A610" s="20">
        <v>45694</v>
      </c>
      <c r="B610" s="15" t="s">
        <v>184</v>
      </c>
      <c r="C610" s="15">
        <v>18404</v>
      </c>
      <c r="D610" s="15" t="s">
        <v>49</v>
      </c>
      <c r="E610" s="15">
        <v>47</v>
      </c>
      <c r="F610" s="27">
        <v>13.89</v>
      </c>
      <c r="G610" s="15" t="s">
        <v>28</v>
      </c>
      <c r="H610" s="35">
        <v>0.46</v>
      </c>
      <c r="I610" s="15" t="s">
        <v>734</v>
      </c>
      <c r="J610" s="27">
        <v>20.97</v>
      </c>
      <c r="K610" s="15" t="s">
        <v>37</v>
      </c>
      <c r="L610" s="15" t="s">
        <v>21</v>
      </c>
      <c r="M610" s="15" t="s">
        <v>22</v>
      </c>
      <c r="N610" s="15" t="s">
        <v>23</v>
      </c>
      <c r="O610" s="15" t="s">
        <v>39</v>
      </c>
      <c r="P610" s="15" t="s">
        <v>25</v>
      </c>
      <c r="Q610" s="27">
        <v>652.83000000000004</v>
      </c>
      <c r="R610" s="27">
        <v>300.30180000000001</v>
      </c>
      <c r="S610" s="31">
        <v>352.52820000000003</v>
      </c>
    </row>
    <row r="611" spans="1:19" x14ac:dyDescent="0.25">
      <c r="A611" s="20">
        <v>45694</v>
      </c>
      <c r="B611" s="15" t="s">
        <v>527</v>
      </c>
      <c r="C611" s="15">
        <v>39619</v>
      </c>
      <c r="D611" s="15" t="s">
        <v>89</v>
      </c>
      <c r="E611" s="15">
        <v>22</v>
      </c>
      <c r="F611" s="27">
        <v>81.12</v>
      </c>
      <c r="G611" s="15" t="s">
        <v>52</v>
      </c>
      <c r="H611" s="35">
        <v>0.02</v>
      </c>
      <c r="I611" s="15" t="s">
        <v>29</v>
      </c>
      <c r="J611" s="27">
        <v>28.54</v>
      </c>
      <c r="K611" s="15" t="s">
        <v>50</v>
      </c>
      <c r="L611" s="15" t="s">
        <v>21</v>
      </c>
      <c r="M611" s="15" t="s">
        <v>22</v>
      </c>
      <c r="N611" s="15" t="s">
        <v>23</v>
      </c>
      <c r="O611" s="15" t="s">
        <v>24</v>
      </c>
      <c r="P611" s="15" t="s">
        <v>25</v>
      </c>
      <c r="Q611" s="27">
        <v>1784.64</v>
      </c>
      <c r="R611" s="27">
        <v>35.692800000000005</v>
      </c>
      <c r="S611" s="31">
        <v>1748.9472000000001</v>
      </c>
    </row>
    <row r="612" spans="1:19" x14ac:dyDescent="0.25">
      <c r="A612" s="20">
        <v>45694</v>
      </c>
      <c r="B612" s="15" t="s">
        <v>98</v>
      </c>
      <c r="C612" s="15">
        <v>44085</v>
      </c>
      <c r="D612" s="15" t="s">
        <v>57</v>
      </c>
      <c r="E612" s="15">
        <v>32</v>
      </c>
      <c r="F612" s="27">
        <v>30.18</v>
      </c>
      <c r="G612" s="15" t="s">
        <v>99</v>
      </c>
      <c r="H612" s="35">
        <v>0.01</v>
      </c>
      <c r="I612" s="15" t="s">
        <v>19</v>
      </c>
      <c r="J612" s="27">
        <v>17.82</v>
      </c>
      <c r="K612" s="15" t="s">
        <v>37</v>
      </c>
      <c r="L612" s="15" t="s">
        <v>21</v>
      </c>
      <c r="M612" s="15" t="s">
        <v>22</v>
      </c>
      <c r="N612" s="15" t="s">
        <v>23</v>
      </c>
      <c r="O612" s="15" t="s">
        <v>59</v>
      </c>
      <c r="P612" s="15" t="s">
        <v>40</v>
      </c>
      <c r="Q612" s="27">
        <v>965.76</v>
      </c>
      <c r="R612" s="27">
        <v>9.6576000000000004</v>
      </c>
      <c r="S612" s="31">
        <v>956.10239999999999</v>
      </c>
    </row>
    <row r="613" spans="1:19" x14ac:dyDescent="0.25">
      <c r="A613" s="20">
        <v>45694</v>
      </c>
      <c r="B613" s="15" t="s">
        <v>114</v>
      </c>
      <c r="C613" s="15">
        <v>17800</v>
      </c>
      <c r="D613" s="15" t="s">
        <v>27</v>
      </c>
      <c r="E613" s="15">
        <v>4</v>
      </c>
      <c r="F613" s="27">
        <v>79.959999999999994</v>
      </c>
      <c r="G613" s="15" t="s">
        <v>47</v>
      </c>
      <c r="H613" s="35">
        <v>0.46</v>
      </c>
      <c r="I613" s="15" t="s">
        <v>734</v>
      </c>
      <c r="J613" s="27">
        <v>8.6300000000000008</v>
      </c>
      <c r="K613" s="15" t="s">
        <v>37</v>
      </c>
      <c r="L613" s="15" t="s">
        <v>21</v>
      </c>
      <c r="M613" s="15" t="s">
        <v>22</v>
      </c>
      <c r="N613" s="15" t="s">
        <v>38</v>
      </c>
      <c r="O613" s="15" t="s">
        <v>24</v>
      </c>
      <c r="P613" s="15" t="s">
        <v>40</v>
      </c>
      <c r="Q613" s="27">
        <v>319.83999999999997</v>
      </c>
      <c r="R613" s="27">
        <v>147.12639999999999</v>
      </c>
      <c r="S613" s="31">
        <v>172.71359999999999</v>
      </c>
    </row>
    <row r="614" spans="1:19" x14ac:dyDescent="0.25">
      <c r="A614" s="20">
        <v>45694</v>
      </c>
      <c r="B614" s="15" t="s">
        <v>528</v>
      </c>
      <c r="C614" s="15">
        <v>48793</v>
      </c>
      <c r="D614" s="15" t="s">
        <v>27</v>
      </c>
      <c r="E614" s="15">
        <v>13</v>
      </c>
      <c r="F614" s="27">
        <v>46.33</v>
      </c>
      <c r="G614" s="15" t="s">
        <v>55</v>
      </c>
      <c r="H614" s="35">
        <v>0.06</v>
      </c>
      <c r="I614" s="15" t="s">
        <v>19</v>
      </c>
      <c r="J614" s="27">
        <v>13.4</v>
      </c>
      <c r="K614" s="15" t="s">
        <v>44</v>
      </c>
      <c r="L614" s="15" t="s">
        <v>31</v>
      </c>
      <c r="M614" s="15" t="s">
        <v>22</v>
      </c>
      <c r="N614" s="15" t="s">
        <v>38</v>
      </c>
      <c r="O614" s="15" t="s">
        <v>33</v>
      </c>
      <c r="P614" s="15" t="s">
        <v>34</v>
      </c>
      <c r="Q614" s="27">
        <v>602.29</v>
      </c>
      <c r="R614" s="27">
        <v>36.1374</v>
      </c>
      <c r="S614" s="31">
        <v>566.15260000000001</v>
      </c>
    </row>
    <row r="615" spans="1:19" x14ac:dyDescent="0.25">
      <c r="A615" s="20">
        <v>45694</v>
      </c>
      <c r="B615" s="15" t="s">
        <v>329</v>
      </c>
      <c r="C615" s="15">
        <v>17717</v>
      </c>
      <c r="D615" s="15" t="s">
        <v>57</v>
      </c>
      <c r="E615" s="15">
        <v>31</v>
      </c>
      <c r="F615" s="27">
        <v>36.96</v>
      </c>
      <c r="G615" s="15" t="s">
        <v>18</v>
      </c>
      <c r="H615" s="35">
        <v>0.14000000000000001</v>
      </c>
      <c r="I615" s="15" t="s">
        <v>734</v>
      </c>
      <c r="J615" s="27">
        <v>17.920000000000002</v>
      </c>
      <c r="K615" s="15" t="s">
        <v>20</v>
      </c>
      <c r="L615" s="15" t="s">
        <v>21</v>
      </c>
      <c r="M615" s="15" t="s">
        <v>22</v>
      </c>
      <c r="N615" s="15" t="s">
        <v>32</v>
      </c>
      <c r="O615" s="15" t="s">
        <v>39</v>
      </c>
      <c r="P615" s="15" t="s">
        <v>40</v>
      </c>
      <c r="Q615" s="27">
        <v>1145.76</v>
      </c>
      <c r="R615" s="27">
        <v>160.40640000000002</v>
      </c>
      <c r="S615" s="31">
        <v>985.35359999999991</v>
      </c>
    </row>
    <row r="616" spans="1:19" x14ac:dyDescent="0.25">
      <c r="A616" s="20">
        <v>45694</v>
      </c>
      <c r="B616" s="15" t="s">
        <v>318</v>
      </c>
      <c r="C616" s="15">
        <v>24001</v>
      </c>
      <c r="D616" s="15" t="s">
        <v>17</v>
      </c>
      <c r="E616" s="15">
        <v>39</v>
      </c>
      <c r="F616" s="27">
        <v>60.61</v>
      </c>
      <c r="G616" s="15" t="s">
        <v>18</v>
      </c>
      <c r="H616" s="35">
        <v>0.26</v>
      </c>
      <c r="I616" s="15" t="s">
        <v>29</v>
      </c>
      <c r="J616" s="27">
        <v>10.3</v>
      </c>
      <c r="K616" s="15" t="s">
        <v>37</v>
      </c>
      <c r="L616" s="15" t="s">
        <v>31</v>
      </c>
      <c r="M616" s="15" t="s">
        <v>22</v>
      </c>
      <c r="N616" s="15" t="s">
        <v>53</v>
      </c>
      <c r="O616" s="15" t="s">
        <v>81</v>
      </c>
      <c r="P616" s="15" t="s">
        <v>25</v>
      </c>
      <c r="Q616" s="27">
        <v>2363.79</v>
      </c>
      <c r="R616" s="27">
        <v>614.58540000000005</v>
      </c>
      <c r="S616" s="31">
        <v>1749.2046</v>
      </c>
    </row>
    <row r="617" spans="1:19" x14ac:dyDescent="0.25">
      <c r="A617" s="20">
        <v>45694</v>
      </c>
      <c r="B617" s="15" t="s">
        <v>371</v>
      </c>
      <c r="C617" s="15">
        <v>95187</v>
      </c>
      <c r="D617" s="15" t="s">
        <v>89</v>
      </c>
      <c r="E617" s="15">
        <v>19</v>
      </c>
      <c r="F617" s="27">
        <v>43.54</v>
      </c>
      <c r="G617" s="15" t="s">
        <v>18</v>
      </c>
      <c r="H617" s="35">
        <v>0.09</v>
      </c>
      <c r="I617" s="15" t="s">
        <v>19</v>
      </c>
      <c r="J617" s="27">
        <v>15.22</v>
      </c>
      <c r="K617" s="15" t="s">
        <v>20</v>
      </c>
      <c r="L617" s="15" t="s">
        <v>21</v>
      </c>
      <c r="M617" s="15" t="s">
        <v>22</v>
      </c>
      <c r="N617" s="15" t="s">
        <v>38</v>
      </c>
      <c r="O617" s="15" t="s">
        <v>33</v>
      </c>
      <c r="P617" s="15" t="s">
        <v>25</v>
      </c>
      <c r="Q617" s="27">
        <v>827.26</v>
      </c>
      <c r="R617" s="27">
        <v>74.453400000000002</v>
      </c>
      <c r="S617" s="31">
        <v>752.8066</v>
      </c>
    </row>
    <row r="618" spans="1:19" x14ac:dyDescent="0.25">
      <c r="A618" s="20">
        <v>45694</v>
      </c>
      <c r="B618" s="15" t="s">
        <v>529</v>
      </c>
      <c r="C618" s="15">
        <v>30705</v>
      </c>
      <c r="D618" s="15" t="s">
        <v>46</v>
      </c>
      <c r="E618" s="15">
        <v>28</v>
      </c>
      <c r="F618" s="27">
        <v>88.15</v>
      </c>
      <c r="G618" s="15" t="s">
        <v>99</v>
      </c>
      <c r="H618" s="35">
        <v>0.32</v>
      </c>
      <c r="I618" s="15" t="s">
        <v>19</v>
      </c>
      <c r="J618" s="27">
        <v>23.25</v>
      </c>
      <c r="K618" s="15" t="s">
        <v>44</v>
      </c>
      <c r="L618" s="15" t="s">
        <v>31</v>
      </c>
      <c r="M618" s="15" t="s">
        <v>22</v>
      </c>
      <c r="N618" s="15" t="s">
        <v>53</v>
      </c>
      <c r="O618" s="15" t="s">
        <v>33</v>
      </c>
      <c r="P618" s="15" t="s">
        <v>25</v>
      </c>
      <c r="Q618" s="27">
        <v>2468.2000000000003</v>
      </c>
      <c r="R618" s="27">
        <v>789.82400000000007</v>
      </c>
      <c r="S618" s="31">
        <v>1678.3760000000002</v>
      </c>
    </row>
    <row r="619" spans="1:19" x14ac:dyDescent="0.25">
      <c r="A619" s="20">
        <v>45694</v>
      </c>
      <c r="B619" s="15" t="s">
        <v>530</v>
      </c>
      <c r="C619" s="15">
        <v>90270</v>
      </c>
      <c r="D619" s="15" t="s">
        <v>17</v>
      </c>
      <c r="E619" s="15">
        <v>13</v>
      </c>
      <c r="F619" s="27">
        <v>13.43</v>
      </c>
      <c r="G619" s="15" t="s">
        <v>84</v>
      </c>
      <c r="H619" s="35">
        <v>0.36</v>
      </c>
      <c r="I619" s="15" t="s">
        <v>29</v>
      </c>
      <c r="J619" s="27">
        <v>9.9600000000000009</v>
      </c>
      <c r="K619" s="15" t="s">
        <v>50</v>
      </c>
      <c r="L619" s="15" t="s">
        <v>21</v>
      </c>
      <c r="M619" s="15" t="s">
        <v>22</v>
      </c>
      <c r="N619" s="15" t="s">
        <v>23</v>
      </c>
      <c r="O619" s="15" t="s">
        <v>33</v>
      </c>
      <c r="P619" s="15" t="s">
        <v>25</v>
      </c>
      <c r="Q619" s="27">
        <v>174.59</v>
      </c>
      <c r="R619" s="27">
        <v>62.852399999999996</v>
      </c>
      <c r="S619" s="31">
        <v>111.73760000000001</v>
      </c>
    </row>
    <row r="620" spans="1:19" x14ac:dyDescent="0.25">
      <c r="A620" s="20">
        <v>45694</v>
      </c>
      <c r="B620" s="15" t="s">
        <v>148</v>
      </c>
      <c r="C620" s="15">
        <v>28572</v>
      </c>
      <c r="D620" s="15" t="s">
        <v>27</v>
      </c>
      <c r="E620" s="15">
        <v>44</v>
      </c>
      <c r="F620" s="27">
        <v>1.07</v>
      </c>
      <c r="G620" s="15" t="s">
        <v>28</v>
      </c>
      <c r="H620" s="35">
        <v>0.34</v>
      </c>
      <c r="I620" s="15" t="s">
        <v>19</v>
      </c>
      <c r="J620" s="27">
        <v>8.31</v>
      </c>
      <c r="K620" s="15" t="s">
        <v>50</v>
      </c>
      <c r="L620" s="15" t="s">
        <v>31</v>
      </c>
      <c r="M620" s="15" t="s">
        <v>22</v>
      </c>
      <c r="N620" s="15" t="s">
        <v>53</v>
      </c>
      <c r="O620" s="15" t="s">
        <v>39</v>
      </c>
      <c r="P620" s="15" t="s">
        <v>40</v>
      </c>
      <c r="Q620" s="27">
        <v>47.080000000000005</v>
      </c>
      <c r="R620" s="27">
        <v>16.007200000000005</v>
      </c>
      <c r="S620" s="31">
        <v>31.072800000000001</v>
      </c>
    </row>
    <row r="621" spans="1:19" x14ac:dyDescent="0.25">
      <c r="A621" s="20">
        <v>45694</v>
      </c>
      <c r="B621" s="15" t="s">
        <v>531</v>
      </c>
      <c r="C621" s="15">
        <v>57779</v>
      </c>
      <c r="D621" s="15" t="s">
        <v>89</v>
      </c>
      <c r="E621" s="15">
        <v>24</v>
      </c>
      <c r="F621" s="27">
        <v>99.99</v>
      </c>
      <c r="G621" s="15" t="s">
        <v>52</v>
      </c>
      <c r="H621" s="35">
        <v>0.1</v>
      </c>
      <c r="I621" s="15" t="s">
        <v>29</v>
      </c>
      <c r="J621" s="27">
        <v>28.49</v>
      </c>
      <c r="K621" s="15" t="s">
        <v>50</v>
      </c>
      <c r="L621" s="15" t="s">
        <v>21</v>
      </c>
      <c r="M621" s="15" t="s">
        <v>22</v>
      </c>
      <c r="N621" s="15" t="s">
        <v>23</v>
      </c>
      <c r="O621" s="15" t="s">
        <v>33</v>
      </c>
      <c r="P621" s="15" t="s">
        <v>25</v>
      </c>
      <c r="Q621" s="27">
        <v>2399.7599999999998</v>
      </c>
      <c r="R621" s="27">
        <v>239.976</v>
      </c>
      <c r="S621" s="31">
        <v>2159.7839999999997</v>
      </c>
    </row>
    <row r="622" spans="1:19" x14ac:dyDescent="0.25">
      <c r="A622" s="20">
        <v>45694</v>
      </c>
      <c r="B622" s="15" t="s">
        <v>402</v>
      </c>
      <c r="C622" s="15">
        <v>72345</v>
      </c>
      <c r="D622" s="15" t="s">
        <v>17</v>
      </c>
      <c r="E622" s="15">
        <v>40</v>
      </c>
      <c r="F622" s="27">
        <v>88.28</v>
      </c>
      <c r="G622" s="15" t="s">
        <v>52</v>
      </c>
      <c r="H622" s="35">
        <v>0.16</v>
      </c>
      <c r="I622" s="15" t="s">
        <v>19</v>
      </c>
      <c r="J622" s="27">
        <v>25.53</v>
      </c>
      <c r="K622" s="15" t="s">
        <v>44</v>
      </c>
      <c r="L622" s="15" t="s">
        <v>31</v>
      </c>
      <c r="M622" s="15" t="s">
        <v>22</v>
      </c>
      <c r="N622" s="15" t="s">
        <v>32</v>
      </c>
      <c r="O622" s="15" t="s">
        <v>24</v>
      </c>
      <c r="P622" s="15" t="s">
        <v>40</v>
      </c>
      <c r="Q622" s="27">
        <v>3531.2</v>
      </c>
      <c r="R622" s="27">
        <v>564.99199999999996</v>
      </c>
      <c r="S622" s="31">
        <v>2966.2079999999996</v>
      </c>
    </row>
    <row r="623" spans="1:19" x14ac:dyDescent="0.25">
      <c r="A623" s="20">
        <v>45694</v>
      </c>
      <c r="B623" s="15" t="s">
        <v>532</v>
      </c>
      <c r="C623" s="15">
        <v>15847</v>
      </c>
      <c r="D623" s="15" t="s">
        <v>70</v>
      </c>
      <c r="E623" s="15">
        <v>15</v>
      </c>
      <c r="F623" s="27">
        <v>57.79</v>
      </c>
      <c r="G623" s="15" t="s">
        <v>28</v>
      </c>
      <c r="H623" s="35">
        <v>0.43</v>
      </c>
      <c r="I623" s="15" t="s">
        <v>734</v>
      </c>
      <c r="J623" s="27">
        <v>23.42</v>
      </c>
      <c r="K623" s="15" t="s">
        <v>50</v>
      </c>
      <c r="L623" s="15" t="s">
        <v>21</v>
      </c>
      <c r="M623" s="15" t="s">
        <v>22</v>
      </c>
      <c r="N623" s="15" t="s">
        <v>38</v>
      </c>
      <c r="O623" s="15" t="s">
        <v>81</v>
      </c>
      <c r="P623" s="15" t="s">
        <v>25</v>
      </c>
      <c r="Q623" s="27">
        <v>866.85</v>
      </c>
      <c r="R623" s="27">
        <v>372.74549999999999</v>
      </c>
      <c r="S623" s="31">
        <v>494.10450000000003</v>
      </c>
    </row>
    <row r="624" spans="1:19" x14ac:dyDescent="0.25">
      <c r="A624" s="20">
        <v>45694</v>
      </c>
      <c r="B624" s="15" t="s">
        <v>533</v>
      </c>
      <c r="C624" s="15">
        <v>34384</v>
      </c>
      <c r="D624" s="15" t="s">
        <v>68</v>
      </c>
      <c r="E624" s="15">
        <v>21</v>
      </c>
      <c r="F624" s="27">
        <v>32.49</v>
      </c>
      <c r="G624" s="15" t="s">
        <v>72</v>
      </c>
      <c r="H624" s="35">
        <v>0.32</v>
      </c>
      <c r="I624" s="15" t="s">
        <v>19</v>
      </c>
      <c r="J624" s="27">
        <v>16.43</v>
      </c>
      <c r="K624" s="15" t="s">
        <v>37</v>
      </c>
      <c r="L624" s="15" t="s">
        <v>21</v>
      </c>
      <c r="M624" s="15" t="s">
        <v>22</v>
      </c>
      <c r="N624" s="15" t="s">
        <v>53</v>
      </c>
      <c r="O624" s="15" t="s">
        <v>39</v>
      </c>
      <c r="P624" s="15" t="s">
        <v>34</v>
      </c>
      <c r="Q624" s="27">
        <v>682.29000000000008</v>
      </c>
      <c r="R624" s="27">
        <v>218.33280000000002</v>
      </c>
      <c r="S624" s="31">
        <v>463.95720000000006</v>
      </c>
    </row>
    <row r="625" spans="1:19" x14ac:dyDescent="0.25">
      <c r="A625" s="20">
        <v>45694</v>
      </c>
      <c r="B625" s="15" t="s">
        <v>534</v>
      </c>
      <c r="C625" s="15">
        <v>90255</v>
      </c>
      <c r="D625" s="15" t="s">
        <v>68</v>
      </c>
      <c r="E625" s="15">
        <v>15</v>
      </c>
      <c r="F625" s="27">
        <v>67.67</v>
      </c>
      <c r="G625" s="15" t="s">
        <v>18</v>
      </c>
      <c r="H625" s="35">
        <v>0.05</v>
      </c>
      <c r="I625" s="15" t="s">
        <v>29</v>
      </c>
      <c r="J625" s="27">
        <v>22.92</v>
      </c>
      <c r="K625" s="15" t="s">
        <v>30</v>
      </c>
      <c r="L625" s="15" t="s">
        <v>31</v>
      </c>
      <c r="M625" s="15" t="s">
        <v>22</v>
      </c>
      <c r="N625" s="15" t="s">
        <v>32</v>
      </c>
      <c r="O625" s="15" t="s">
        <v>81</v>
      </c>
      <c r="P625" s="15" t="s">
        <v>25</v>
      </c>
      <c r="Q625" s="27">
        <v>1015.0500000000001</v>
      </c>
      <c r="R625" s="27">
        <v>50.752500000000005</v>
      </c>
      <c r="S625" s="31">
        <v>964.29750000000001</v>
      </c>
    </row>
    <row r="626" spans="1:19" x14ac:dyDescent="0.25">
      <c r="A626" s="20">
        <v>45695</v>
      </c>
      <c r="B626" s="15" t="s">
        <v>534</v>
      </c>
      <c r="C626" s="15">
        <v>91738</v>
      </c>
      <c r="D626" s="15" t="s">
        <v>17</v>
      </c>
      <c r="E626" s="15">
        <v>5</v>
      </c>
      <c r="F626" s="27">
        <v>98.58</v>
      </c>
      <c r="G626" s="15" t="s">
        <v>52</v>
      </c>
      <c r="H626" s="35">
        <v>0.22</v>
      </c>
      <c r="I626" s="15" t="s">
        <v>29</v>
      </c>
      <c r="J626" s="27">
        <v>18.23</v>
      </c>
      <c r="K626" s="15" t="s">
        <v>30</v>
      </c>
      <c r="L626" s="15" t="s">
        <v>21</v>
      </c>
      <c r="M626" s="15" t="s">
        <v>22</v>
      </c>
      <c r="N626" s="15" t="s">
        <v>23</v>
      </c>
      <c r="O626" s="15" t="s">
        <v>81</v>
      </c>
      <c r="P626" s="15" t="s">
        <v>40</v>
      </c>
      <c r="Q626" s="27">
        <v>492.9</v>
      </c>
      <c r="R626" s="27">
        <v>108.438</v>
      </c>
      <c r="S626" s="31">
        <v>384.46199999999999</v>
      </c>
    </row>
    <row r="627" spans="1:19" x14ac:dyDescent="0.25">
      <c r="A627" s="20">
        <v>45695</v>
      </c>
      <c r="B627" s="15" t="s">
        <v>129</v>
      </c>
      <c r="C627" s="15">
        <v>56533</v>
      </c>
      <c r="D627" s="15" t="s">
        <v>27</v>
      </c>
      <c r="E627" s="15">
        <v>39</v>
      </c>
      <c r="F627" s="27">
        <v>38.450000000000003</v>
      </c>
      <c r="G627" s="15" t="s">
        <v>58</v>
      </c>
      <c r="H627" s="35">
        <v>0.04</v>
      </c>
      <c r="I627" s="15" t="s">
        <v>19</v>
      </c>
      <c r="J627" s="27">
        <v>26.38</v>
      </c>
      <c r="K627" s="15" t="s">
        <v>37</v>
      </c>
      <c r="L627" s="15" t="s">
        <v>21</v>
      </c>
      <c r="M627" s="15" t="s">
        <v>22</v>
      </c>
      <c r="N627" s="15" t="s">
        <v>53</v>
      </c>
      <c r="O627" s="15" t="s">
        <v>33</v>
      </c>
      <c r="P627" s="15" t="s">
        <v>34</v>
      </c>
      <c r="Q627" s="27">
        <v>1499.5500000000002</v>
      </c>
      <c r="R627" s="27">
        <v>59.982000000000006</v>
      </c>
      <c r="S627" s="31">
        <v>1439.5680000000002</v>
      </c>
    </row>
    <row r="628" spans="1:19" x14ac:dyDescent="0.25">
      <c r="A628" s="20">
        <v>45695</v>
      </c>
      <c r="B628" s="15" t="s">
        <v>435</v>
      </c>
      <c r="C628" s="15">
        <v>99551</v>
      </c>
      <c r="D628" s="15" t="s">
        <v>49</v>
      </c>
      <c r="E628" s="15">
        <v>45</v>
      </c>
      <c r="F628" s="27">
        <v>53</v>
      </c>
      <c r="G628" s="15" t="s">
        <v>18</v>
      </c>
      <c r="H628" s="35">
        <v>0.4</v>
      </c>
      <c r="I628" s="15" t="s">
        <v>734</v>
      </c>
      <c r="J628" s="27">
        <v>16.3</v>
      </c>
      <c r="K628" s="15" t="s">
        <v>50</v>
      </c>
      <c r="L628" s="15" t="s">
        <v>21</v>
      </c>
      <c r="M628" s="15" t="s">
        <v>22</v>
      </c>
      <c r="N628" s="15" t="s">
        <v>32</v>
      </c>
      <c r="O628" s="15" t="s">
        <v>33</v>
      </c>
      <c r="P628" s="15" t="s">
        <v>40</v>
      </c>
      <c r="Q628" s="27">
        <v>2385</v>
      </c>
      <c r="R628" s="27">
        <v>954</v>
      </c>
      <c r="S628" s="31">
        <v>1431</v>
      </c>
    </row>
    <row r="629" spans="1:19" x14ac:dyDescent="0.25">
      <c r="A629" s="20">
        <v>45695</v>
      </c>
      <c r="B629" s="15" t="s">
        <v>392</v>
      </c>
      <c r="C629" s="15">
        <v>93520</v>
      </c>
      <c r="D629" s="15" t="s">
        <v>17</v>
      </c>
      <c r="E629" s="15">
        <v>8</v>
      </c>
      <c r="F629" s="27">
        <v>36.270000000000003</v>
      </c>
      <c r="G629" s="15" t="s">
        <v>76</v>
      </c>
      <c r="H629" s="35">
        <v>0.26</v>
      </c>
      <c r="I629" s="15" t="s">
        <v>29</v>
      </c>
      <c r="J629" s="27">
        <v>15.04</v>
      </c>
      <c r="K629" s="15" t="s">
        <v>37</v>
      </c>
      <c r="L629" s="15" t="s">
        <v>31</v>
      </c>
      <c r="M629" s="15" t="s">
        <v>22</v>
      </c>
      <c r="N629" s="15" t="s">
        <v>53</v>
      </c>
      <c r="O629" s="15" t="s">
        <v>59</v>
      </c>
      <c r="P629" s="15" t="s">
        <v>40</v>
      </c>
      <c r="Q629" s="27">
        <v>290.16000000000003</v>
      </c>
      <c r="R629" s="27">
        <v>75.441600000000008</v>
      </c>
      <c r="S629" s="31">
        <v>214.71840000000003</v>
      </c>
    </row>
    <row r="630" spans="1:19" x14ac:dyDescent="0.25">
      <c r="A630" s="20">
        <v>45695</v>
      </c>
      <c r="B630" s="15" t="s">
        <v>535</v>
      </c>
      <c r="C630" s="15">
        <v>38910</v>
      </c>
      <c r="D630" s="15" t="s">
        <v>49</v>
      </c>
      <c r="E630" s="15">
        <v>12</v>
      </c>
      <c r="F630" s="27">
        <v>72.680000000000007</v>
      </c>
      <c r="G630" s="15" t="s">
        <v>18</v>
      </c>
      <c r="H630" s="35">
        <v>0.09</v>
      </c>
      <c r="I630" s="15" t="s">
        <v>734</v>
      </c>
      <c r="J630" s="27">
        <v>11.12</v>
      </c>
      <c r="K630" s="15" t="s">
        <v>50</v>
      </c>
      <c r="L630" s="15" t="s">
        <v>21</v>
      </c>
      <c r="M630" s="15" t="s">
        <v>22</v>
      </c>
      <c r="N630" s="15" t="s">
        <v>32</v>
      </c>
      <c r="O630" s="15" t="s">
        <v>59</v>
      </c>
      <c r="P630" s="15" t="s">
        <v>34</v>
      </c>
      <c r="Q630" s="27">
        <v>872.16000000000008</v>
      </c>
      <c r="R630" s="27">
        <v>78.494399999999999</v>
      </c>
      <c r="S630" s="31">
        <v>793.66560000000004</v>
      </c>
    </row>
    <row r="631" spans="1:19" x14ac:dyDescent="0.25">
      <c r="A631" s="20">
        <v>45695</v>
      </c>
      <c r="B631" s="15" t="s">
        <v>536</v>
      </c>
      <c r="C631" s="15">
        <v>67711</v>
      </c>
      <c r="D631" s="15" t="s">
        <v>89</v>
      </c>
      <c r="E631" s="15">
        <v>1</v>
      </c>
      <c r="F631" s="27">
        <v>22.84</v>
      </c>
      <c r="G631" s="15" t="s">
        <v>84</v>
      </c>
      <c r="H631" s="35">
        <v>0.4</v>
      </c>
      <c r="I631" s="15" t="s">
        <v>19</v>
      </c>
      <c r="J631" s="27">
        <v>9.86</v>
      </c>
      <c r="K631" s="15" t="s">
        <v>30</v>
      </c>
      <c r="L631" s="15" t="s">
        <v>31</v>
      </c>
      <c r="M631" s="15" t="s">
        <v>22</v>
      </c>
      <c r="N631" s="15" t="s">
        <v>53</v>
      </c>
      <c r="O631" s="15" t="s">
        <v>81</v>
      </c>
      <c r="P631" s="15" t="s">
        <v>25</v>
      </c>
      <c r="Q631" s="27">
        <v>22.84</v>
      </c>
      <c r="R631" s="27">
        <v>9.136000000000001</v>
      </c>
      <c r="S631" s="31">
        <v>13.703999999999999</v>
      </c>
    </row>
    <row r="632" spans="1:19" x14ac:dyDescent="0.25">
      <c r="A632" s="20">
        <v>45695</v>
      </c>
      <c r="B632" s="15" t="s">
        <v>537</v>
      </c>
      <c r="C632" s="15">
        <v>82747</v>
      </c>
      <c r="D632" s="15" t="s">
        <v>66</v>
      </c>
      <c r="E632" s="15">
        <v>20</v>
      </c>
      <c r="F632" s="27">
        <v>3.97</v>
      </c>
      <c r="G632" s="15" t="s">
        <v>52</v>
      </c>
      <c r="H632" s="35">
        <v>0.06</v>
      </c>
      <c r="I632" s="15" t="s">
        <v>29</v>
      </c>
      <c r="J632" s="27">
        <v>21.64</v>
      </c>
      <c r="K632" s="15" t="s">
        <v>30</v>
      </c>
      <c r="L632" s="15" t="s">
        <v>21</v>
      </c>
      <c r="M632" s="15" t="s">
        <v>22</v>
      </c>
      <c r="N632" s="15" t="s">
        <v>38</v>
      </c>
      <c r="O632" s="15" t="s">
        <v>81</v>
      </c>
      <c r="P632" s="15" t="s">
        <v>25</v>
      </c>
      <c r="Q632" s="27">
        <v>79.400000000000006</v>
      </c>
      <c r="R632" s="27">
        <v>4.7640000000000002</v>
      </c>
      <c r="S632" s="31">
        <v>74.63600000000001</v>
      </c>
    </row>
    <row r="633" spans="1:19" x14ac:dyDescent="0.25">
      <c r="A633" s="20">
        <v>45695</v>
      </c>
      <c r="B633" s="15" t="s">
        <v>538</v>
      </c>
      <c r="C633" s="15">
        <v>74290</v>
      </c>
      <c r="D633" s="15" t="s">
        <v>89</v>
      </c>
      <c r="E633" s="15">
        <v>5</v>
      </c>
      <c r="F633" s="27">
        <v>26.35</v>
      </c>
      <c r="G633" s="15" t="s">
        <v>52</v>
      </c>
      <c r="H633" s="35">
        <v>0.23</v>
      </c>
      <c r="I633" s="15" t="s">
        <v>29</v>
      </c>
      <c r="J633" s="27">
        <v>10.51</v>
      </c>
      <c r="K633" s="15" t="s">
        <v>37</v>
      </c>
      <c r="L633" s="15" t="s">
        <v>31</v>
      </c>
      <c r="M633" s="15" t="s">
        <v>22</v>
      </c>
      <c r="N633" s="15" t="s">
        <v>32</v>
      </c>
      <c r="O633" s="15" t="s">
        <v>59</v>
      </c>
      <c r="P633" s="15" t="s">
        <v>40</v>
      </c>
      <c r="Q633" s="27">
        <v>131.75</v>
      </c>
      <c r="R633" s="27">
        <v>30.302500000000002</v>
      </c>
      <c r="S633" s="31">
        <v>101.44749999999999</v>
      </c>
    </row>
    <row r="634" spans="1:19" x14ac:dyDescent="0.25">
      <c r="A634" s="20">
        <v>45695</v>
      </c>
      <c r="B634" s="15" t="s">
        <v>319</v>
      </c>
      <c r="C634" s="15">
        <v>70391</v>
      </c>
      <c r="D634" s="15" t="s">
        <v>70</v>
      </c>
      <c r="E634" s="15">
        <v>28</v>
      </c>
      <c r="F634" s="27">
        <v>82.63</v>
      </c>
      <c r="G634" s="15" t="s">
        <v>99</v>
      </c>
      <c r="H634" s="35">
        <v>0.06</v>
      </c>
      <c r="I634" s="15" t="s">
        <v>19</v>
      </c>
      <c r="J634" s="27">
        <v>25.15</v>
      </c>
      <c r="K634" s="15" t="s">
        <v>37</v>
      </c>
      <c r="L634" s="15" t="s">
        <v>21</v>
      </c>
      <c r="M634" s="15" t="s">
        <v>22</v>
      </c>
      <c r="N634" s="15" t="s">
        <v>38</v>
      </c>
      <c r="O634" s="15" t="s">
        <v>81</v>
      </c>
      <c r="P634" s="15" t="s">
        <v>40</v>
      </c>
      <c r="Q634" s="27">
        <v>2313.64</v>
      </c>
      <c r="R634" s="27">
        <v>138.8184</v>
      </c>
      <c r="S634" s="31">
        <v>2174.8215999999998</v>
      </c>
    </row>
    <row r="635" spans="1:19" x14ac:dyDescent="0.25">
      <c r="A635" s="20">
        <v>45695</v>
      </c>
      <c r="B635" s="15" t="s">
        <v>63</v>
      </c>
      <c r="C635" s="15">
        <v>37849</v>
      </c>
      <c r="D635" s="15" t="s">
        <v>66</v>
      </c>
      <c r="E635" s="15">
        <v>28</v>
      </c>
      <c r="F635" s="27">
        <v>28.72</v>
      </c>
      <c r="G635" s="15" t="s">
        <v>43</v>
      </c>
      <c r="H635" s="35">
        <v>0.44</v>
      </c>
      <c r="I635" s="15" t="s">
        <v>734</v>
      </c>
      <c r="J635" s="27">
        <v>14.05</v>
      </c>
      <c r="K635" s="15" t="s">
        <v>44</v>
      </c>
      <c r="L635" s="15" t="s">
        <v>31</v>
      </c>
      <c r="M635" s="15" t="s">
        <v>22</v>
      </c>
      <c r="N635" s="15" t="s">
        <v>32</v>
      </c>
      <c r="O635" s="15" t="s">
        <v>39</v>
      </c>
      <c r="P635" s="15" t="s">
        <v>25</v>
      </c>
      <c r="Q635" s="27">
        <v>804.16</v>
      </c>
      <c r="R635" s="27">
        <v>353.8304</v>
      </c>
      <c r="S635" s="31">
        <v>450.32959999999997</v>
      </c>
    </row>
    <row r="636" spans="1:19" x14ac:dyDescent="0.25">
      <c r="A636" s="20">
        <v>45695</v>
      </c>
      <c r="B636" s="15" t="s">
        <v>145</v>
      </c>
      <c r="C636" s="15">
        <v>73067</v>
      </c>
      <c r="D636" s="15" t="s">
        <v>42</v>
      </c>
      <c r="E636" s="15">
        <v>26</v>
      </c>
      <c r="F636" s="27">
        <v>81.52</v>
      </c>
      <c r="G636" s="15" t="s">
        <v>52</v>
      </c>
      <c r="H636" s="35">
        <v>0.18</v>
      </c>
      <c r="I636" s="15" t="s">
        <v>29</v>
      </c>
      <c r="J636" s="27">
        <v>21.92</v>
      </c>
      <c r="K636" s="15" t="s">
        <v>50</v>
      </c>
      <c r="L636" s="15" t="s">
        <v>21</v>
      </c>
      <c r="M636" s="15" t="s">
        <v>22</v>
      </c>
      <c r="N636" s="15" t="s">
        <v>32</v>
      </c>
      <c r="O636" s="15" t="s">
        <v>81</v>
      </c>
      <c r="P636" s="15" t="s">
        <v>40</v>
      </c>
      <c r="Q636" s="27">
        <v>2119.52</v>
      </c>
      <c r="R636" s="27">
        <v>381.5136</v>
      </c>
      <c r="S636" s="31">
        <v>1738.0064</v>
      </c>
    </row>
    <row r="637" spans="1:19" x14ac:dyDescent="0.25">
      <c r="A637" s="20">
        <v>45695</v>
      </c>
      <c r="B637" s="15" t="s">
        <v>301</v>
      </c>
      <c r="C637" s="15">
        <v>72710</v>
      </c>
      <c r="D637" s="15" t="s">
        <v>75</v>
      </c>
      <c r="E637" s="15">
        <v>18</v>
      </c>
      <c r="F637" s="27">
        <v>77.650000000000006</v>
      </c>
      <c r="G637" s="15" t="s">
        <v>99</v>
      </c>
      <c r="H637" s="35">
        <v>0.43</v>
      </c>
      <c r="I637" s="15" t="s">
        <v>19</v>
      </c>
      <c r="J637" s="27">
        <v>26.19</v>
      </c>
      <c r="K637" s="15" t="s">
        <v>37</v>
      </c>
      <c r="L637" s="15" t="s">
        <v>21</v>
      </c>
      <c r="M637" s="15" t="s">
        <v>22</v>
      </c>
      <c r="N637" s="15" t="s">
        <v>32</v>
      </c>
      <c r="O637" s="15" t="s">
        <v>39</v>
      </c>
      <c r="P637" s="15" t="s">
        <v>25</v>
      </c>
      <c r="Q637" s="27">
        <v>1397.7</v>
      </c>
      <c r="R637" s="27">
        <v>601.01099999999997</v>
      </c>
      <c r="S637" s="31">
        <v>796.68900000000008</v>
      </c>
    </row>
    <row r="638" spans="1:19" x14ac:dyDescent="0.25">
      <c r="A638" s="20">
        <v>45695</v>
      </c>
      <c r="B638" s="15" t="s">
        <v>539</v>
      </c>
      <c r="C638" s="15">
        <v>93429</v>
      </c>
      <c r="D638" s="15" t="s">
        <v>57</v>
      </c>
      <c r="E638" s="15">
        <v>23</v>
      </c>
      <c r="F638" s="27">
        <v>60.94</v>
      </c>
      <c r="G638" s="15" t="s">
        <v>72</v>
      </c>
      <c r="H638" s="35">
        <v>0.16</v>
      </c>
      <c r="I638" s="15" t="s">
        <v>29</v>
      </c>
      <c r="J638" s="27">
        <v>8.5500000000000007</v>
      </c>
      <c r="K638" s="15" t="s">
        <v>37</v>
      </c>
      <c r="L638" s="15" t="s">
        <v>31</v>
      </c>
      <c r="M638" s="15" t="s">
        <v>22</v>
      </c>
      <c r="N638" s="15" t="s">
        <v>23</v>
      </c>
      <c r="O638" s="15" t="s">
        <v>24</v>
      </c>
      <c r="P638" s="15" t="s">
        <v>25</v>
      </c>
      <c r="Q638" s="27">
        <v>1401.62</v>
      </c>
      <c r="R638" s="27">
        <v>224.25919999999999</v>
      </c>
      <c r="S638" s="31">
        <v>1177.3607999999999</v>
      </c>
    </row>
    <row r="639" spans="1:19" x14ac:dyDescent="0.25">
      <c r="A639" s="20">
        <v>45695</v>
      </c>
      <c r="B639" s="15" t="s">
        <v>540</v>
      </c>
      <c r="C639" s="15">
        <v>20586</v>
      </c>
      <c r="D639" s="15" t="s">
        <v>70</v>
      </c>
      <c r="E639" s="15">
        <v>42</v>
      </c>
      <c r="F639" s="27">
        <v>18.440000000000001</v>
      </c>
      <c r="G639" s="15" t="s">
        <v>47</v>
      </c>
      <c r="H639" s="35">
        <v>0.44</v>
      </c>
      <c r="I639" s="15" t="s">
        <v>19</v>
      </c>
      <c r="J639" s="27">
        <v>8.8800000000000008</v>
      </c>
      <c r="K639" s="15" t="s">
        <v>50</v>
      </c>
      <c r="L639" s="15" t="s">
        <v>21</v>
      </c>
      <c r="M639" s="15" t="s">
        <v>22</v>
      </c>
      <c r="N639" s="15" t="s">
        <v>38</v>
      </c>
      <c r="O639" s="15" t="s">
        <v>81</v>
      </c>
      <c r="P639" s="15" t="s">
        <v>40</v>
      </c>
      <c r="Q639" s="27">
        <v>774.48</v>
      </c>
      <c r="R639" s="27">
        <v>340.77120000000002</v>
      </c>
      <c r="S639" s="31">
        <v>433.7088</v>
      </c>
    </row>
    <row r="640" spans="1:19" x14ac:dyDescent="0.25">
      <c r="A640" s="20">
        <v>45695</v>
      </c>
      <c r="B640" s="15" t="s">
        <v>541</v>
      </c>
      <c r="C640" s="15">
        <v>55360</v>
      </c>
      <c r="D640" s="15" t="s">
        <v>75</v>
      </c>
      <c r="E640" s="15">
        <v>18</v>
      </c>
      <c r="F640" s="27">
        <v>44.7</v>
      </c>
      <c r="G640" s="15" t="s">
        <v>52</v>
      </c>
      <c r="H640" s="35">
        <v>0.08</v>
      </c>
      <c r="I640" s="15" t="s">
        <v>19</v>
      </c>
      <c r="J640" s="27">
        <v>27.27</v>
      </c>
      <c r="K640" s="15" t="s">
        <v>44</v>
      </c>
      <c r="L640" s="15" t="s">
        <v>21</v>
      </c>
      <c r="M640" s="15" t="s">
        <v>22</v>
      </c>
      <c r="N640" s="15" t="s">
        <v>38</v>
      </c>
      <c r="O640" s="15" t="s">
        <v>59</v>
      </c>
      <c r="P640" s="15" t="s">
        <v>40</v>
      </c>
      <c r="Q640" s="27">
        <v>804.6</v>
      </c>
      <c r="R640" s="27">
        <v>64.368000000000009</v>
      </c>
      <c r="S640" s="31">
        <v>740.23199999999997</v>
      </c>
    </row>
    <row r="641" spans="1:19" x14ac:dyDescent="0.25">
      <c r="A641" s="20">
        <v>45695</v>
      </c>
      <c r="B641" s="15" t="s">
        <v>403</v>
      </c>
      <c r="C641" s="15">
        <v>72921</v>
      </c>
      <c r="D641" s="15" t="s">
        <v>17</v>
      </c>
      <c r="E641" s="15">
        <v>43</v>
      </c>
      <c r="F641" s="27">
        <v>79.89</v>
      </c>
      <c r="G641" s="15" t="s">
        <v>58</v>
      </c>
      <c r="H641" s="35">
        <v>0.36</v>
      </c>
      <c r="I641" s="15" t="s">
        <v>734</v>
      </c>
      <c r="J641" s="27">
        <v>24.33</v>
      </c>
      <c r="K641" s="15" t="s">
        <v>20</v>
      </c>
      <c r="L641" s="15" t="s">
        <v>31</v>
      </c>
      <c r="M641" s="15" t="s">
        <v>22</v>
      </c>
      <c r="N641" s="15" t="s">
        <v>32</v>
      </c>
      <c r="O641" s="15" t="s">
        <v>81</v>
      </c>
      <c r="P641" s="15" t="s">
        <v>34</v>
      </c>
      <c r="Q641" s="27">
        <v>3435.27</v>
      </c>
      <c r="R641" s="27">
        <v>1236.6971999999998</v>
      </c>
      <c r="S641" s="31">
        <v>2198.5727999999999</v>
      </c>
    </row>
    <row r="642" spans="1:19" x14ac:dyDescent="0.25">
      <c r="A642" s="20">
        <v>45695</v>
      </c>
      <c r="B642" s="15" t="s">
        <v>267</v>
      </c>
      <c r="C642" s="15">
        <v>70634</v>
      </c>
      <c r="D642" s="15" t="s">
        <v>70</v>
      </c>
      <c r="E642" s="15">
        <v>8</v>
      </c>
      <c r="F642" s="27">
        <v>24.76</v>
      </c>
      <c r="G642" s="15" t="s">
        <v>76</v>
      </c>
      <c r="H642" s="35">
        <v>0.2</v>
      </c>
      <c r="I642" s="15" t="s">
        <v>29</v>
      </c>
      <c r="J642" s="27">
        <v>17.34</v>
      </c>
      <c r="K642" s="15" t="s">
        <v>30</v>
      </c>
      <c r="L642" s="15" t="s">
        <v>21</v>
      </c>
      <c r="M642" s="15" t="s">
        <v>22</v>
      </c>
      <c r="N642" s="15" t="s">
        <v>32</v>
      </c>
      <c r="O642" s="15" t="s">
        <v>24</v>
      </c>
      <c r="P642" s="15" t="s">
        <v>34</v>
      </c>
      <c r="Q642" s="27">
        <v>198.08</v>
      </c>
      <c r="R642" s="27">
        <v>39.616000000000007</v>
      </c>
      <c r="S642" s="31">
        <v>158.464</v>
      </c>
    </row>
    <row r="643" spans="1:19" x14ac:dyDescent="0.25">
      <c r="A643" s="20">
        <v>45695</v>
      </c>
      <c r="B643" s="15" t="s">
        <v>127</v>
      </c>
      <c r="C643" s="15">
        <v>90417</v>
      </c>
      <c r="D643" s="15" t="s">
        <v>49</v>
      </c>
      <c r="E643" s="15">
        <v>24</v>
      </c>
      <c r="F643" s="27">
        <v>73.61</v>
      </c>
      <c r="G643" s="15" t="s">
        <v>47</v>
      </c>
      <c r="H643" s="35">
        <v>0.28000000000000003</v>
      </c>
      <c r="I643" s="15" t="s">
        <v>19</v>
      </c>
      <c r="J643" s="27">
        <v>11.41</v>
      </c>
      <c r="K643" s="15" t="s">
        <v>37</v>
      </c>
      <c r="L643" s="15" t="s">
        <v>21</v>
      </c>
      <c r="M643" s="15" t="s">
        <v>22</v>
      </c>
      <c r="N643" s="15" t="s">
        <v>32</v>
      </c>
      <c r="O643" s="15" t="s">
        <v>81</v>
      </c>
      <c r="P643" s="15" t="s">
        <v>34</v>
      </c>
      <c r="Q643" s="27">
        <v>1766.6399999999999</v>
      </c>
      <c r="R643" s="27">
        <v>494.6592</v>
      </c>
      <c r="S643" s="31">
        <v>1271.9807999999998</v>
      </c>
    </row>
    <row r="644" spans="1:19" x14ac:dyDescent="0.25">
      <c r="A644" s="20">
        <v>45695</v>
      </c>
      <c r="B644" s="15" t="s">
        <v>542</v>
      </c>
      <c r="C644" s="15">
        <v>58240</v>
      </c>
      <c r="D644" s="15" t="s">
        <v>27</v>
      </c>
      <c r="E644" s="15">
        <v>22</v>
      </c>
      <c r="F644" s="27">
        <v>95.52</v>
      </c>
      <c r="G644" s="15" t="s">
        <v>36</v>
      </c>
      <c r="H644" s="35">
        <v>0.49</v>
      </c>
      <c r="I644" s="15" t="s">
        <v>29</v>
      </c>
      <c r="J644" s="27">
        <v>28.23</v>
      </c>
      <c r="K644" s="15" t="s">
        <v>30</v>
      </c>
      <c r="L644" s="15" t="s">
        <v>21</v>
      </c>
      <c r="M644" s="15" t="s">
        <v>22</v>
      </c>
      <c r="N644" s="15" t="s">
        <v>23</v>
      </c>
      <c r="O644" s="15" t="s">
        <v>24</v>
      </c>
      <c r="P644" s="15" t="s">
        <v>25</v>
      </c>
      <c r="Q644" s="27">
        <v>2101.44</v>
      </c>
      <c r="R644" s="27">
        <v>1029.7056</v>
      </c>
      <c r="S644" s="31">
        <v>1071.7344000000001</v>
      </c>
    </row>
    <row r="645" spans="1:19" x14ac:dyDescent="0.25">
      <c r="A645" s="20">
        <v>45695</v>
      </c>
      <c r="B645" s="15" t="s">
        <v>543</v>
      </c>
      <c r="C645" s="15">
        <v>98139</v>
      </c>
      <c r="D645" s="15" t="s">
        <v>46</v>
      </c>
      <c r="E645" s="15">
        <v>20</v>
      </c>
      <c r="F645" s="27">
        <v>97.07</v>
      </c>
      <c r="G645" s="15" t="s">
        <v>28</v>
      </c>
      <c r="H645" s="35">
        <v>0.3</v>
      </c>
      <c r="I645" s="15" t="s">
        <v>734</v>
      </c>
      <c r="J645" s="27">
        <v>21.5</v>
      </c>
      <c r="K645" s="15" t="s">
        <v>20</v>
      </c>
      <c r="L645" s="15" t="s">
        <v>21</v>
      </c>
      <c r="M645" s="15" t="s">
        <v>22</v>
      </c>
      <c r="N645" s="15" t="s">
        <v>32</v>
      </c>
      <c r="O645" s="15" t="s">
        <v>59</v>
      </c>
      <c r="P645" s="15" t="s">
        <v>25</v>
      </c>
      <c r="Q645" s="27">
        <v>1941.3999999999999</v>
      </c>
      <c r="R645" s="27">
        <v>582.41999999999996</v>
      </c>
      <c r="S645" s="31">
        <v>1358.98</v>
      </c>
    </row>
    <row r="646" spans="1:19" x14ac:dyDescent="0.25">
      <c r="A646" s="20">
        <v>45695</v>
      </c>
      <c r="B646" s="15" t="s">
        <v>523</v>
      </c>
      <c r="C646" s="15">
        <v>78265</v>
      </c>
      <c r="D646" s="15" t="s">
        <v>70</v>
      </c>
      <c r="E646" s="15">
        <v>32</v>
      </c>
      <c r="F646" s="27">
        <v>69.19</v>
      </c>
      <c r="G646" s="15" t="s">
        <v>55</v>
      </c>
      <c r="H646" s="35">
        <v>0.21</v>
      </c>
      <c r="I646" s="15" t="s">
        <v>29</v>
      </c>
      <c r="J646" s="27">
        <v>8.7799999999999994</v>
      </c>
      <c r="K646" s="15" t="s">
        <v>44</v>
      </c>
      <c r="L646" s="15" t="s">
        <v>31</v>
      </c>
      <c r="M646" s="15" t="s">
        <v>22</v>
      </c>
      <c r="N646" s="15" t="s">
        <v>53</v>
      </c>
      <c r="O646" s="15" t="s">
        <v>59</v>
      </c>
      <c r="P646" s="15" t="s">
        <v>40</v>
      </c>
      <c r="Q646" s="27">
        <v>2214.08</v>
      </c>
      <c r="R646" s="27">
        <v>464.95679999999999</v>
      </c>
      <c r="S646" s="31">
        <v>1749.1232</v>
      </c>
    </row>
    <row r="647" spans="1:19" x14ac:dyDescent="0.25">
      <c r="A647" s="20">
        <v>45695</v>
      </c>
      <c r="B647" s="15" t="s">
        <v>544</v>
      </c>
      <c r="C647" s="15">
        <v>13451</v>
      </c>
      <c r="D647" s="15" t="s">
        <v>17</v>
      </c>
      <c r="E647" s="15">
        <v>37</v>
      </c>
      <c r="F647" s="27">
        <v>55.44</v>
      </c>
      <c r="G647" s="15" t="s">
        <v>43</v>
      </c>
      <c r="H647" s="35">
        <v>0.32</v>
      </c>
      <c r="I647" s="15" t="s">
        <v>734</v>
      </c>
      <c r="J647" s="27">
        <v>12.74</v>
      </c>
      <c r="K647" s="15" t="s">
        <v>20</v>
      </c>
      <c r="L647" s="15" t="s">
        <v>31</v>
      </c>
      <c r="M647" s="15" t="s">
        <v>111</v>
      </c>
      <c r="N647" s="15" t="s">
        <v>23</v>
      </c>
      <c r="O647" s="15" t="s">
        <v>33</v>
      </c>
      <c r="P647" s="15" t="s">
        <v>34</v>
      </c>
      <c r="Q647" s="27">
        <v>2051.2799999999997</v>
      </c>
      <c r="R647" s="27">
        <v>656.40959999999995</v>
      </c>
      <c r="S647" s="31">
        <v>1394.8703999999998</v>
      </c>
    </row>
    <row r="648" spans="1:19" x14ac:dyDescent="0.25">
      <c r="A648" s="20">
        <v>45696</v>
      </c>
      <c r="B648" s="15" t="s">
        <v>545</v>
      </c>
      <c r="C648" s="15">
        <v>51699</v>
      </c>
      <c r="D648" s="15" t="s">
        <v>17</v>
      </c>
      <c r="E648" s="15">
        <v>49</v>
      </c>
      <c r="F648" s="27">
        <v>69</v>
      </c>
      <c r="G648" s="15" t="s">
        <v>28</v>
      </c>
      <c r="H648" s="35">
        <v>0.41</v>
      </c>
      <c r="I648" s="15" t="s">
        <v>734</v>
      </c>
      <c r="J648" s="27">
        <v>15.01</v>
      </c>
      <c r="K648" s="15" t="s">
        <v>50</v>
      </c>
      <c r="L648" s="15" t="s">
        <v>31</v>
      </c>
      <c r="M648" s="15" t="s">
        <v>22</v>
      </c>
      <c r="N648" s="15" t="s">
        <v>32</v>
      </c>
      <c r="O648" s="15" t="s">
        <v>24</v>
      </c>
      <c r="P648" s="15" t="s">
        <v>25</v>
      </c>
      <c r="Q648" s="27">
        <v>3381</v>
      </c>
      <c r="R648" s="27">
        <v>1386.2099999999998</v>
      </c>
      <c r="S648" s="31">
        <v>1994.7900000000002</v>
      </c>
    </row>
    <row r="649" spans="1:19" x14ac:dyDescent="0.25">
      <c r="A649" s="20">
        <v>45696</v>
      </c>
      <c r="B649" s="15" t="s">
        <v>387</v>
      </c>
      <c r="C649" s="15">
        <v>89840</v>
      </c>
      <c r="D649" s="15" t="s">
        <v>17</v>
      </c>
      <c r="E649" s="15">
        <v>30</v>
      </c>
      <c r="F649" s="27">
        <v>57</v>
      </c>
      <c r="G649" s="15" t="s">
        <v>28</v>
      </c>
      <c r="H649" s="35">
        <v>0.08</v>
      </c>
      <c r="I649" s="15" t="s">
        <v>734</v>
      </c>
      <c r="J649" s="27">
        <v>18.14</v>
      </c>
      <c r="K649" s="15" t="s">
        <v>50</v>
      </c>
      <c r="L649" s="15" t="s">
        <v>31</v>
      </c>
      <c r="M649" s="15" t="s">
        <v>22</v>
      </c>
      <c r="N649" s="15" t="s">
        <v>23</v>
      </c>
      <c r="O649" s="15" t="s">
        <v>24</v>
      </c>
      <c r="P649" s="15" t="s">
        <v>34</v>
      </c>
      <c r="Q649" s="27">
        <v>1710</v>
      </c>
      <c r="R649" s="27">
        <v>136.80000000000001</v>
      </c>
      <c r="S649" s="31">
        <v>1573.2</v>
      </c>
    </row>
    <row r="650" spans="1:19" x14ac:dyDescent="0.25">
      <c r="A650" s="20">
        <v>45696</v>
      </c>
      <c r="B650" s="15" t="s">
        <v>546</v>
      </c>
      <c r="C650" s="15">
        <v>93763</v>
      </c>
      <c r="D650" s="15" t="s">
        <v>57</v>
      </c>
      <c r="E650" s="15">
        <v>48</v>
      </c>
      <c r="F650" s="27">
        <v>97.14</v>
      </c>
      <c r="G650" s="15" t="s">
        <v>55</v>
      </c>
      <c r="H650" s="35">
        <v>0.26</v>
      </c>
      <c r="I650" s="15" t="s">
        <v>29</v>
      </c>
      <c r="J650" s="27">
        <v>28.17</v>
      </c>
      <c r="K650" s="15" t="s">
        <v>37</v>
      </c>
      <c r="L650" s="15" t="s">
        <v>21</v>
      </c>
      <c r="M650" s="15" t="s">
        <v>22</v>
      </c>
      <c r="N650" s="15" t="s">
        <v>38</v>
      </c>
      <c r="O650" s="15" t="s">
        <v>81</v>
      </c>
      <c r="P650" s="15" t="s">
        <v>34</v>
      </c>
      <c r="Q650" s="27">
        <v>4662.72</v>
      </c>
      <c r="R650" s="27">
        <v>1212.3072000000002</v>
      </c>
      <c r="S650" s="31">
        <v>3450.4128000000001</v>
      </c>
    </row>
    <row r="651" spans="1:19" x14ac:dyDescent="0.25">
      <c r="A651" s="20">
        <v>45696</v>
      </c>
      <c r="B651" s="15" t="s">
        <v>547</v>
      </c>
      <c r="C651" s="15">
        <v>72262</v>
      </c>
      <c r="D651" s="15" t="s">
        <v>17</v>
      </c>
      <c r="E651" s="15">
        <v>21</v>
      </c>
      <c r="F651" s="27">
        <v>99.39</v>
      </c>
      <c r="G651" s="15" t="s">
        <v>52</v>
      </c>
      <c r="H651" s="35">
        <v>7.0000000000000007E-2</v>
      </c>
      <c r="I651" s="15" t="s">
        <v>29</v>
      </c>
      <c r="J651" s="27">
        <v>27.39</v>
      </c>
      <c r="K651" s="15" t="s">
        <v>30</v>
      </c>
      <c r="L651" s="15" t="s">
        <v>31</v>
      </c>
      <c r="M651" s="15" t="s">
        <v>111</v>
      </c>
      <c r="N651" s="15" t="s">
        <v>23</v>
      </c>
      <c r="O651" s="15" t="s">
        <v>39</v>
      </c>
      <c r="P651" s="15" t="s">
        <v>34</v>
      </c>
      <c r="Q651" s="27">
        <v>2087.19</v>
      </c>
      <c r="R651" s="27">
        <v>146.10330000000002</v>
      </c>
      <c r="S651" s="31">
        <v>1941.0867000000001</v>
      </c>
    </row>
    <row r="652" spans="1:19" x14ac:dyDescent="0.25">
      <c r="A652" s="20">
        <v>45696</v>
      </c>
      <c r="B652" s="15" t="s">
        <v>543</v>
      </c>
      <c r="C652" s="15">
        <v>32370</v>
      </c>
      <c r="D652" s="15" t="s">
        <v>66</v>
      </c>
      <c r="E652" s="15">
        <v>15</v>
      </c>
      <c r="F652" s="27">
        <v>2.71</v>
      </c>
      <c r="G652" s="15" t="s">
        <v>84</v>
      </c>
      <c r="H652" s="35">
        <v>0.19</v>
      </c>
      <c r="I652" s="15" t="s">
        <v>19</v>
      </c>
      <c r="J652" s="27">
        <v>13.01</v>
      </c>
      <c r="K652" s="15" t="s">
        <v>20</v>
      </c>
      <c r="L652" s="15" t="s">
        <v>21</v>
      </c>
      <c r="M652" s="15" t="s">
        <v>22</v>
      </c>
      <c r="N652" s="15" t="s">
        <v>32</v>
      </c>
      <c r="O652" s="15" t="s">
        <v>81</v>
      </c>
      <c r="P652" s="15" t="s">
        <v>34</v>
      </c>
      <c r="Q652" s="27">
        <v>40.65</v>
      </c>
      <c r="R652" s="27">
        <v>7.7234999999999996</v>
      </c>
      <c r="S652" s="31">
        <v>32.926499999999997</v>
      </c>
    </row>
    <row r="653" spans="1:19" x14ac:dyDescent="0.25">
      <c r="A653" s="20">
        <v>45696</v>
      </c>
      <c r="B653" s="15" t="s">
        <v>543</v>
      </c>
      <c r="C653" s="15">
        <v>82083</v>
      </c>
      <c r="D653" s="15" t="s">
        <v>17</v>
      </c>
      <c r="E653" s="15">
        <v>25</v>
      </c>
      <c r="F653" s="27">
        <v>52.02</v>
      </c>
      <c r="G653" s="15" t="s">
        <v>76</v>
      </c>
      <c r="H653" s="35">
        <v>0.17</v>
      </c>
      <c r="I653" s="15" t="s">
        <v>19</v>
      </c>
      <c r="J653" s="27">
        <v>29.18</v>
      </c>
      <c r="K653" s="15" t="s">
        <v>37</v>
      </c>
      <c r="L653" s="15" t="s">
        <v>21</v>
      </c>
      <c r="M653" s="15" t="s">
        <v>22</v>
      </c>
      <c r="N653" s="15" t="s">
        <v>38</v>
      </c>
      <c r="O653" s="15" t="s">
        <v>39</v>
      </c>
      <c r="P653" s="15" t="s">
        <v>40</v>
      </c>
      <c r="Q653" s="27">
        <v>1300.5</v>
      </c>
      <c r="R653" s="27">
        <v>221.08500000000001</v>
      </c>
      <c r="S653" s="31">
        <v>1079.415</v>
      </c>
    </row>
    <row r="654" spans="1:19" x14ac:dyDescent="0.25">
      <c r="A654" s="20">
        <v>45696</v>
      </c>
      <c r="B654" s="15" t="s">
        <v>548</v>
      </c>
      <c r="C654" s="15">
        <v>11948</v>
      </c>
      <c r="D654" s="15" t="s">
        <v>66</v>
      </c>
      <c r="E654" s="15">
        <v>7</v>
      </c>
      <c r="F654" s="27">
        <v>81.52</v>
      </c>
      <c r="G654" s="15" t="s">
        <v>36</v>
      </c>
      <c r="H654" s="35">
        <v>0.1</v>
      </c>
      <c r="I654" s="15" t="s">
        <v>29</v>
      </c>
      <c r="J654" s="27">
        <v>10.8</v>
      </c>
      <c r="K654" s="15" t="s">
        <v>37</v>
      </c>
      <c r="L654" s="15" t="s">
        <v>31</v>
      </c>
      <c r="M654" s="15" t="s">
        <v>22</v>
      </c>
      <c r="N654" s="15" t="s">
        <v>23</v>
      </c>
      <c r="O654" s="15" t="s">
        <v>24</v>
      </c>
      <c r="P654" s="15" t="s">
        <v>40</v>
      </c>
      <c r="Q654" s="27">
        <v>570.64</v>
      </c>
      <c r="R654" s="27">
        <v>57.064</v>
      </c>
      <c r="S654" s="31">
        <v>513.57600000000002</v>
      </c>
    </row>
    <row r="655" spans="1:19" x14ac:dyDescent="0.25">
      <c r="A655" s="20">
        <v>45696</v>
      </c>
      <c r="B655" s="15" t="s">
        <v>133</v>
      </c>
      <c r="C655" s="15">
        <v>43168</v>
      </c>
      <c r="D655" s="15" t="s">
        <v>57</v>
      </c>
      <c r="E655" s="15">
        <v>32</v>
      </c>
      <c r="F655" s="27">
        <v>37.08</v>
      </c>
      <c r="G655" s="15" t="s">
        <v>55</v>
      </c>
      <c r="H655" s="35">
        <v>0</v>
      </c>
      <c r="I655" s="15" t="s">
        <v>734</v>
      </c>
      <c r="J655" s="27">
        <v>19.940000000000001</v>
      </c>
      <c r="K655" s="15" t="s">
        <v>44</v>
      </c>
      <c r="L655" s="15" t="s">
        <v>31</v>
      </c>
      <c r="M655" s="15" t="s">
        <v>22</v>
      </c>
      <c r="N655" s="15" t="s">
        <v>53</v>
      </c>
      <c r="O655" s="15" t="s">
        <v>39</v>
      </c>
      <c r="P655" s="15" t="s">
        <v>40</v>
      </c>
      <c r="Q655" s="27">
        <v>1186.56</v>
      </c>
      <c r="R655" s="27">
        <v>0</v>
      </c>
      <c r="S655" s="31">
        <v>1186.56</v>
      </c>
    </row>
    <row r="656" spans="1:19" x14ac:dyDescent="0.25">
      <c r="A656" s="20">
        <v>45696</v>
      </c>
      <c r="B656" s="15" t="s">
        <v>549</v>
      </c>
      <c r="C656" s="15">
        <v>56075</v>
      </c>
      <c r="D656" s="15" t="s">
        <v>46</v>
      </c>
      <c r="E656" s="15">
        <v>23</v>
      </c>
      <c r="F656" s="27">
        <v>32.5</v>
      </c>
      <c r="G656" s="15" t="s">
        <v>58</v>
      </c>
      <c r="H656" s="35">
        <v>0.45</v>
      </c>
      <c r="I656" s="15" t="s">
        <v>734</v>
      </c>
      <c r="J656" s="27">
        <v>5.0599999999999996</v>
      </c>
      <c r="K656" s="15" t="s">
        <v>37</v>
      </c>
      <c r="L656" s="15" t="s">
        <v>31</v>
      </c>
      <c r="M656" s="15" t="s">
        <v>22</v>
      </c>
      <c r="N656" s="15" t="s">
        <v>32</v>
      </c>
      <c r="O656" s="15" t="s">
        <v>24</v>
      </c>
      <c r="P656" s="15" t="s">
        <v>25</v>
      </c>
      <c r="Q656" s="27">
        <v>747.5</v>
      </c>
      <c r="R656" s="27">
        <v>336.375</v>
      </c>
      <c r="S656" s="31">
        <v>411.125</v>
      </c>
    </row>
    <row r="657" spans="1:19" x14ac:dyDescent="0.25">
      <c r="A657" s="20">
        <v>45696</v>
      </c>
      <c r="B657" s="15" t="s">
        <v>226</v>
      </c>
      <c r="C657" s="15">
        <v>79927</v>
      </c>
      <c r="D657" s="15" t="s">
        <v>42</v>
      </c>
      <c r="E657" s="15">
        <v>47</v>
      </c>
      <c r="F657" s="27">
        <v>32.46</v>
      </c>
      <c r="G657" s="15" t="s">
        <v>76</v>
      </c>
      <c r="H657" s="35">
        <v>0.28999999999999998</v>
      </c>
      <c r="I657" s="15" t="s">
        <v>29</v>
      </c>
      <c r="J657" s="27">
        <v>22.62</v>
      </c>
      <c r="K657" s="15" t="s">
        <v>50</v>
      </c>
      <c r="L657" s="15" t="s">
        <v>21</v>
      </c>
      <c r="M657" s="15" t="s">
        <v>22</v>
      </c>
      <c r="N657" s="15" t="s">
        <v>32</v>
      </c>
      <c r="O657" s="15" t="s">
        <v>39</v>
      </c>
      <c r="P657" s="15" t="s">
        <v>34</v>
      </c>
      <c r="Q657" s="27">
        <v>1525.6200000000001</v>
      </c>
      <c r="R657" s="27">
        <v>442.4298</v>
      </c>
      <c r="S657" s="31">
        <v>1083.1902</v>
      </c>
    </row>
    <row r="658" spans="1:19" x14ac:dyDescent="0.25">
      <c r="A658" s="20">
        <v>45696</v>
      </c>
      <c r="B658" s="15" t="s">
        <v>550</v>
      </c>
      <c r="C658" s="15">
        <v>92314</v>
      </c>
      <c r="D658" s="15" t="s">
        <v>70</v>
      </c>
      <c r="E658" s="15">
        <v>42</v>
      </c>
      <c r="F658" s="27">
        <v>43.9</v>
      </c>
      <c r="G658" s="15" t="s">
        <v>58</v>
      </c>
      <c r="H658" s="35">
        <v>0.45</v>
      </c>
      <c r="I658" s="15" t="s">
        <v>19</v>
      </c>
      <c r="J658" s="27">
        <v>25.77</v>
      </c>
      <c r="K658" s="15" t="s">
        <v>20</v>
      </c>
      <c r="L658" s="15" t="s">
        <v>31</v>
      </c>
      <c r="M658" s="15" t="s">
        <v>22</v>
      </c>
      <c r="N658" s="15" t="s">
        <v>53</v>
      </c>
      <c r="O658" s="15" t="s">
        <v>81</v>
      </c>
      <c r="P658" s="15" t="s">
        <v>25</v>
      </c>
      <c r="Q658" s="27">
        <v>1843.8</v>
      </c>
      <c r="R658" s="27">
        <v>829.71</v>
      </c>
      <c r="S658" s="31">
        <v>1014.0899999999999</v>
      </c>
    </row>
    <row r="659" spans="1:19" x14ac:dyDescent="0.25">
      <c r="A659" s="20">
        <v>45696</v>
      </c>
      <c r="B659" s="15" t="s">
        <v>277</v>
      </c>
      <c r="C659" s="15">
        <v>47535</v>
      </c>
      <c r="D659" s="15" t="s">
        <v>70</v>
      </c>
      <c r="E659" s="15">
        <v>43</v>
      </c>
      <c r="F659" s="27">
        <v>78.459999999999994</v>
      </c>
      <c r="G659" s="15" t="s">
        <v>72</v>
      </c>
      <c r="H659" s="35">
        <v>0.35</v>
      </c>
      <c r="I659" s="15" t="s">
        <v>29</v>
      </c>
      <c r="J659" s="27">
        <v>10.49</v>
      </c>
      <c r="K659" s="15" t="s">
        <v>50</v>
      </c>
      <c r="L659" s="15" t="s">
        <v>31</v>
      </c>
      <c r="M659" s="15" t="s">
        <v>22</v>
      </c>
      <c r="N659" s="15" t="s">
        <v>53</v>
      </c>
      <c r="O659" s="15" t="s">
        <v>81</v>
      </c>
      <c r="P659" s="15" t="s">
        <v>25</v>
      </c>
      <c r="Q659" s="27">
        <v>3373.7799999999997</v>
      </c>
      <c r="R659" s="27">
        <v>1180.8229999999999</v>
      </c>
      <c r="S659" s="31">
        <v>2192.9569999999999</v>
      </c>
    </row>
    <row r="660" spans="1:19" x14ac:dyDescent="0.25">
      <c r="A660" s="20">
        <v>45696</v>
      </c>
      <c r="B660" s="15" t="s">
        <v>500</v>
      </c>
      <c r="C660" s="15">
        <v>69278</v>
      </c>
      <c r="D660" s="15" t="s">
        <v>70</v>
      </c>
      <c r="E660" s="15">
        <v>27</v>
      </c>
      <c r="F660" s="27">
        <v>97.42</v>
      </c>
      <c r="G660" s="15" t="s">
        <v>76</v>
      </c>
      <c r="H660" s="35">
        <v>0.31</v>
      </c>
      <c r="I660" s="15" t="s">
        <v>19</v>
      </c>
      <c r="J660" s="27">
        <v>12.27</v>
      </c>
      <c r="K660" s="15" t="s">
        <v>50</v>
      </c>
      <c r="L660" s="15" t="s">
        <v>31</v>
      </c>
      <c r="M660" s="15" t="s">
        <v>22</v>
      </c>
      <c r="N660" s="15" t="s">
        <v>53</v>
      </c>
      <c r="O660" s="15" t="s">
        <v>81</v>
      </c>
      <c r="P660" s="15" t="s">
        <v>40</v>
      </c>
      <c r="Q660" s="27">
        <v>2630.34</v>
      </c>
      <c r="R660" s="27">
        <v>815.40539999999999</v>
      </c>
      <c r="S660" s="31">
        <v>1814.9346</v>
      </c>
    </row>
    <row r="661" spans="1:19" x14ac:dyDescent="0.25">
      <c r="A661" s="20">
        <v>45696</v>
      </c>
      <c r="B661" s="15" t="s">
        <v>551</v>
      </c>
      <c r="C661" s="15">
        <v>64050</v>
      </c>
      <c r="D661" s="15" t="s">
        <v>75</v>
      </c>
      <c r="E661" s="15">
        <v>5</v>
      </c>
      <c r="F661" s="27">
        <v>51.94</v>
      </c>
      <c r="G661" s="15" t="s">
        <v>18</v>
      </c>
      <c r="H661" s="35">
        <v>0.25</v>
      </c>
      <c r="I661" s="15" t="s">
        <v>19</v>
      </c>
      <c r="J661" s="27">
        <v>8.6199999999999992</v>
      </c>
      <c r="K661" s="15" t="s">
        <v>37</v>
      </c>
      <c r="L661" s="15" t="s">
        <v>21</v>
      </c>
      <c r="M661" s="15" t="s">
        <v>22</v>
      </c>
      <c r="N661" s="15" t="s">
        <v>53</v>
      </c>
      <c r="O661" s="15" t="s">
        <v>24</v>
      </c>
      <c r="P661" s="15" t="s">
        <v>34</v>
      </c>
      <c r="Q661" s="27">
        <v>259.7</v>
      </c>
      <c r="R661" s="27">
        <v>64.924999999999997</v>
      </c>
      <c r="S661" s="31">
        <v>194.77499999999998</v>
      </c>
    </row>
    <row r="662" spans="1:19" x14ac:dyDescent="0.25">
      <c r="A662" s="20">
        <v>45696</v>
      </c>
      <c r="B662" s="15" t="s">
        <v>552</v>
      </c>
      <c r="C662" s="15">
        <v>18779</v>
      </c>
      <c r="D662" s="15" t="s">
        <v>89</v>
      </c>
      <c r="E662" s="15">
        <v>23</v>
      </c>
      <c r="F662" s="27">
        <v>86.69</v>
      </c>
      <c r="G662" s="15" t="s">
        <v>84</v>
      </c>
      <c r="H662" s="35">
        <v>0.37</v>
      </c>
      <c r="I662" s="15" t="s">
        <v>734</v>
      </c>
      <c r="J662" s="27">
        <v>25.44</v>
      </c>
      <c r="K662" s="15" t="s">
        <v>50</v>
      </c>
      <c r="L662" s="15" t="s">
        <v>21</v>
      </c>
      <c r="M662" s="15" t="s">
        <v>22</v>
      </c>
      <c r="N662" s="15" t="s">
        <v>23</v>
      </c>
      <c r="O662" s="15" t="s">
        <v>33</v>
      </c>
      <c r="P662" s="15" t="s">
        <v>34</v>
      </c>
      <c r="Q662" s="27">
        <v>1993.87</v>
      </c>
      <c r="R662" s="27">
        <v>737.7319</v>
      </c>
      <c r="S662" s="31">
        <v>1256.1380999999999</v>
      </c>
    </row>
    <row r="663" spans="1:19" x14ac:dyDescent="0.25">
      <c r="A663" s="20">
        <v>45696</v>
      </c>
      <c r="B663" s="15" t="s">
        <v>160</v>
      </c>
      <c r="C663" s="15">
        <v>43969</v>
      </c>
      <c r="D663" s="15" t="s">
        <v>68</v>
      </c>
      <c r="E663" s="15">
        <v>38</v>
      </c>
      <c r="F663" s="27">
        <v>83.81</v>
      </c>
      <c r="G663" s="15" t="s">
        <v>55</v>
      </c>
      <c r="H663" s="35">
        <v>0.4</v>
      </c>
      <c r="I663" s="15" t="s">
        <v>19</v>
      </c>
      <c r="J663" s="27">
        <v>10.64</v>
      </c>
      <c r="K663" s="15" t="s">
        <v>30</v>
      </c>
      <c r="L663" s="15" t="s">
        <v>31</v>
      </c>
      <c r="M663" s="15" t="s">
        <v>22</v>
      </c>
      <c r="N663" s="15" t="s">
        <v>23</v>
      </c>
      <c r="O663" s="15" t="s">
        <v>24</v>
      </c>
      <c r="P663" s="15" t="s">
        <v>40</v>
      </c>
      <c r="Q663" s="27">
        <v>3184.78</v>
      </c>
      <c r="R663" s="27">
        <v>1273.9120000000003</v>
      </c>
      <c r="S663" s="31">
        <v>1910.8679999999999</v>
      </c>
    </row>
    <row r="664" spans="1:19" x14ac:dyDescent="0.25">
      <c r="A664" s="20">
        <v>45696</v>
      </c>
      <c r="B664" s="15" t="s">
        <v>553</v>
      </c>
      <c r="C664" s="15">
        <v>46316</v>
      </c>
      <c r="D664" s="15" t="s">
        <v>75</v>
      </c>
      <c r="E664" s="15">
        <v>33</v>
      </c>
      <c r="F664" s="27">
        <v>58.19</v>
      </c>
      <c r="G664" s="15" t="s">
        <v>76</v>
      </c>
      <c r="H664" s="35">
        <v>0.15</v>
      </c>
      <c r="I664" s="15" t="s">
        <v>19</v>
      </c>
      <c r="J664" s="27">
        <v>26.27</v>
      </c>
      <c r="K664" s="15" t="s">
        <v>20</v>
      </c>
      <c r="L664" s="15" t="s">
        <v>21</v>
      </c>
      <c r="M664" s="15" t="s">
        <v>22</v>
      </c>
      <c r="N664" s="15" t="s">
        <v>32</v>
      </c>
      <c r="O664" s="15" t="s">
        <v>81</v>
      </c>
      <c r="P664" s="15" t="s">
        <v>34</v>
      </c>
      <c r="Q664" s="27">
        <v>1920.27</v>
      </c>
      <c r="R664" s="27">
        <v>288.04050000000001</v>
      </c>
      <c r="S664" s="31">
        <v>1632.2294999999999</v>
      </c>
    </row>
    <row r="665" spans="1:19" x14ac:dyDescent="0.25">
      <c r="A665" s="20">
        <v>45696</v>
      </c>
      <c r="B665" s="15" t="s">
        <v>54</v>
      </c>
      <c r="C665" s="15">
        <v>78364</v>
      </c>
      <c r="D665" s="15" t="s">
        <v>66</v>
      </c>
      <c r="E665" s="15">
        <v>9</v>
      </c>
      <c r="F665" s="27">
        <v>73.459999999999994</v>
      </c>
      <c r="G665" s="15" t="s">
        <v>99</v>
      </c>
      <c r="H665" s="35">
        <v>0.36</v>
      </c>
      <c r="I665" s="15" t="s">
        <v>734</v>
      </c>
      <c r="J665" s="27">
        <v>13.18</v>
      </c>
      <c r="K665" s="15" t="s">
        <v>50</v>
      </c>
      <c r="L665" s="15" t="s">
        <v>21</v>
      </c>
      <c r="M665" s="15" t="s">
        <v>22</v>
      </c>
      <c r="N665" s="15" t="s">
        <v>23</v>
      </c>
      <c r="O665" s="15" t="s">
        <v>39</v>
      </c>
      <c r="P665" s="15" t="s">
        <v>25</v>
      </c>
      <c r="Q665" s="27">
        <v>661.14</v>
      </c>
      <c r="R665" s="27">
        <v>238.01039999999998</v>
      </c>
      <c r="S665" s="31">
        <v>423.12959999999998</v>
      </c>
    </row>
    <row r="666" spans="1:19" x14ac:dyDescent="0.25">
      <c r="A666" s="20">
        <v>45696</v>
      </c>
      <c r="B666" s="15" t="s">
        <v>554</v>
      </c>
      <c r="C666" s="15">
        <v>72045</v>
      </c>
      <c r="D666" s="15" t="s">
        <v>89</v>
      </c>
      <c r="E666" s="15">
        <v>25</v>
      </c>
      <c r="F666" s="27">
        <v>51.33</v>
      </c>
      <c r="G666" s="15" t="s">
        <v>58</v>
      </c>
      <c r="H666" s="35">
        <v>0.14000000000000001</v>
      </c>
      <c r="I666" s="15" t="s">
        <v>29</v>
      </c>
      <c r="J666" s="27">
        <v>25.04</v>
      </c>
      <c r="K666" s="15" t="s">
        <v>44</v>
      </c>
      <c r="L666" s="15" t="s">
        <v>21</v>
      </c>
      <c r="M666" s="15" t="s">
        <v>22</v>
      </c>
      <c r="N666" s="15" t="s">
        <v>38</v>
      </c>
      <c r="O666" s="15" t="s">
        <v>24</v>
      </c>
      <c r="P666" s="15" t="s">
        <v>25</v>
      </c>
      <c r="Q666" s="27">
        <v>1283.25</v>
      </c>
      <c r="R666" s="27">
        <v>179.65500000000003</v>
      </c>
      <c r="S666" s="31">
        <v>1103.595</v>
      </c>
    </row>
    <row r="667" spans="1:19" x14ac:dyDescent="0.25">
      <c r="A667" s="20">
        <v>45696</v>
      </c>
      <c r="B667" s="15" t="s">
        <v>555</v>
      </c>
      <c r="C667" s="15">
        <v>59001</v>
      </c>
      <c r="D667" s="15" t="s">
        <v>70</v>
      </c>
      <c r="E667" s="15">
        <v>38</v>
      </c>
      <c r="F667" s="27">
        <v>33.909999999999997</v>
      </c>
      <c r="G667" s="15" t="s">
        <v>18</v>
      </c>
      <c r="H667" s="35">
        <v>0.36</v>
      </c>
      <c r="I667" s="15" t="s">
        <v>29</v>
      </c>
      <c r="J667" s="27">
        <v>17.14</v>
      </c>
      <c r="K667" s="15" t="s">
        <v>44</v>
      </c>
      <c r="L667" s="15" t="s">
        <v>31</v>
      </c>
      <c r="M667" s="15" t="s">
        <v>22</v>
      </c>
      <c r="N667" s="15" t="s">
        <v>23</v>
      </c>
      <c r="O667" s="15" t="s">
        <v>33</v>
      </c>
      <c r="P667" s="15" t="s">
        <v>25</v>
      </c>
      <c r="Q667" s="27">
        <v>1288.58</v>
      </c>
      <c r="R667" s="27">
        <v>463.88879999999995</v>
      </c>
      <c r="S667" s="31">
        <v>824.69119999999998</v>
      </c>
    </row>
    <row r="668" spans="1:19" x14ac:dyDescent="0.25">
      <c r="A668" s="20">
        <v>45696</v>
      </c>
      <c r="B668" s="15" t="s">
        <v>135</v>
      </c>
      <c r="C668" s="15">
        <v>23418</v>
      </c>
      <c r="D668" s="15" t="s">
        <v>17</v>
      </c>
      <c r="E668" s="15">
        <v>25</v>
      </c>
      <c r="F668" s="27">
        <v>81.09</v>
      </c>
      <c r="G668" s="15" t="s">
        <v>72</v>
      </c>
      <c r="H668" s="35">
        <v>0.49</v>
      </c>
      <c r="I668" s="15" t="s">
        <v>734</v>
      </c>
      <c r="J668" s="27">
        <v>23.79</v>
      </c>
      <c r="K668" s="15" t="s">
        <v>37</v>
      </c>
      <c r="L668" s="15" t="s">
        <v>31</v>
      </c>
      <c r="M668" s="15" t="s">
        <v>22</v>
      </c>
      <c r="N668" s="15" t="s">
        <v>53</v>
      </c>
      <c r="O668" s="15" t="s">
        <v>33</v>
      </c>
      <c r="P668" s="15" t="s">
        <v>34</v>
      </c>
      <c r="Q668" s="27">
        <v>2027.25</v>
      </c>
      <c r="R668" s="27">
        <v>993.35249999999996</v>
      </c>
      <c r="S668" s="31">
        <v>1033.8975</v>
      </c>
    </row>
    <row r="669" spans="1:19" x14ac:dyDescent="0.25">
      <c r="A669" s="20">
        <v>45697</v>
      </c>
      <c r="B669" s="15" t="s">
        <v>556</v>
      </c>
      <c r="C669" s="15">
        <v>22398</v>
      </c>
      <c r="D669" s="15" t="s">
        <v>17</v>
      </c>
      <c r="E669" s="15">
        <v>46</v>
      </c>
      <c r="F669" s="27">
        <v>9.08</v>
      </c>
      <c r="G669" s="15" t="s">
        <v>84</v>
      </c>
      <c r="H669" s="35">
        <v>0.49</v>
      </c>
      <c r="I669" s="15" t="s">
        <v>734</v>
      </c>
      <c r="J669" s="27">
        <v>19.16</v>
      </c>
      <c r="K669" s="15" t="s">
        <v>37</v>
      </c>
      <c r="L669" s="15" t="s">
        <v>31</v>
      </c>
      <c r="M669" s="15" t="s">
        <v>22</v>
      </c>
      <c r="N669" s="15" t="s">
        <v>53</v>
      </c>
      <c r="O669" s="15" t="s">
        <v>59</v>
      </c>
      <c r="P669" s="15" t="s">
        <v>25</v>
      </c>
      <c r="Q669" s="27">
        <v>417.68</v>
      </c>
      <c r="R669" s="27">
        <v>204.66319999999999</v>
      </c>
      <c r="S669" s="31">
        <v>213.01680000000002</v>
      </c>
    </row>
    <row r="670" spans="1:19" x14ac:dyDescent="0.25">
      <c r="A670" s="20">
        <v>45697</v>
      </c>
      <c r="B670" s="15" t="s">
        <v>557</v>
      </c>
      <c r="C670" s="15">
        <v>86808</v>
      </c>
      <c r="D670" s="15" t="s">
        <v>75</v>
      </c>
      <c r="E670" s="15">
        <v>19</v>
      </c>
      <c r="F670" s="27">
        <v>24.43</v>
      </c>
      <c r="G670" s="15" t="s">
        <v>52</v>
      </c>
      <c r="H670" s="35">
        <v>0.27</v>
      </c>
      <c r="I670" s="15" t="s">
        <v>19</v>
      </c>
      <c r="J670" s="27">
        <v>18.79</v>
      </c>
      <c r="K670" s="15" t="s">
        <v>20</v>
      </c>
      <c r="L670" s="15" t="s">
        <v>31</v>
      </c>
      <c r="M670" s="15" t="s">
        <v>111</v>
      </c>
      <c r="N670" s="15" t="s">
        <v>23</v>
      </c>
      <c r="O670" s="15" t="s">
        <v>39</v>
      </c>
      <c r="P670" s="15" t="s">
        <v>25</v>
      </c>
      <c r="Q670" s="27">
        <v>464.17</v>
      </c>
      <c r="R670" s="27">
        <v>125.32590000000002</v>
      </c>
      <c r="S670" s="31">
        <v>338.84410000000003</v>
      </c>
    </row>
    <row r="671" spans="1:19" x14ac:dyDescent="0.25">
      <c r="A671" s="20">
        <v>45697</v>
      </c>
      <c r="B671" s="15" t="s">
        <v>502</v>
      </c>
      <c r="C671" s="15">
        <v>59319</v>
      </c>
      <c r="D671" s="15" t="s">
        <v>66</v>
      </c>
      <c r="E671" s="15">
        <v>38</v>
      </c>
      <c r="F671" s="27">
        <v>27.85</v>
      </c>
      <c r="G671" s="15" t="s">
        <v>58</v>
      </c>
      <c r="H671" s="35">
        <v>0.5</v>
      </c>
      <c r="I671" s="15" t="s">
        <v>734</v>
      </c>
      <c r="J671" s="27">
        <v>25.27</v>
      </c>
      <c r="K671" s="15" t="s">
        <v>44</v>
      </c>
      <c r="L671" s="15" t="s">
        <v>31</v>
      </c>
      <c r="M671" s="15" t="s">
        <v>22</v>
      </c>
      <c r="N671" s="15" t="s">
        <v>23</v>
      </c>
      <c r="O671" s="15" t="s">
        <v>81</v>
      </c>
      <c r="P671" s="15" t="s">
        <v>34</v>
      </c>
      <c r="Q671" s="27">
        <v>1058.3</v>
      </c>
      <c r="R671" s="27">
        <v>529.15</v>
      </c>
      <c r="S671" s="31">
        <v>529.15</v>
      </c>
    </row>
    <row r="672" spans="1:19" x14ac:dyDescent="0.25">
      <c r="A672" s="20">
        <v>45697</v>
      </c>
      <c r="B672" s="15" t="s">
        <v>558</v>
      </c>
      <c r="C672" s="15">
        <v>59692</v>
      </c>
      <c r="D672" s="15" t="s">
        <v>27</v>
      </c>
      <c r="E672" s="15">
        <v>48</v>
      </c>
      <c r="F672" s="27">
        <v>1.83</v>
      </c>
      <c r="G672" s="15" t="s">
        <v>76</v>
      </c>
      <c r="H672" s="35">
        <v>0.02</v>
      </c>
      <c r="I672" s="15" t="s">
        <v>29</v>
      </c>
      <c r="J672" s="27">
        <v>12.94</v>
      </c>
      <c r="K672" s="15" t="s">
        <v>37</v>
      </c>
      <c r="L672" s="15" t="s">
        <v>21</v>
      </c>
      <c r="M672" s="15" t="s">
        <v>22</v>
      </c>
      <c r="N672" s="15" t="s">
        <v>32</v>
      </c>
      <c r="O672" s="15" t="s">
        <v>24</v>
      </c>
      <c r="P672" s="15" t="s">
        <v>25</v>
      </c>
      <c r="Q672" s="27">
        <v>87.84</v>
      </c>
      <c r="R672" s="27">
        <v>1.7568000000000001</v>
      </c>
      <c r="S672" s="31">
        <v>86.083200000000005</v>
      </c>
    </row>
    <row r="673" spans="1:19" x14ac:dyDescent="0.25">
      <c r="A673" s="20">
        <v>45697</v>
      </c>
      <c r="B673" s="15" t="s">
        <v>559</v>
      </c>
      <c r="C673" s="15">
        <v>31097</v>
      </c>
      <c r="D673" s="15" t="s">
        <v>27</v>
      </c>
      <c r="E673" s="15">
        <v>34</v>
      </c>
      <c r="F673" s="27">
        <v>61.61</v>
      </c>
      <c r="G673" s="15" t="s">
        <v>76</v>
      </c>
      <c r="H673" s="35">
        <v>0.48</v>
      </c>
      <c r="I673" s="15" t="s">
        <v>734</v>
      </c>
      <c r="J673" s="27">
        <v>26.2</v>
      </c>
      <c r="K673" s="15" t="s">
        <v>44</v>
      </c>
      <c r="L673" s="15" t="s">
        <v>21</v>
      </c>
      <c r="M673" s="15" t="s">
        <v>22</v>
      </c>
      <c r="N673" s="15" t="s">
        <v>23</v>
      </c>
      <c r="O673" s="15" t="s">
        <v>24</v>
      </c>
      <c r="P673" s="15" t="s">
        <v>34</v>
      </c>
      <c r="Q673" s="27">
        <v>2094.7399999999998</v>
      </c>
      <c r="R673" s="27">
        <v>1005.4751999999999</v>
      </c>
      <c r="S673" s="31">
        <v>1089.2647999999999</v>
      </c>
    </row>
    <row r="674" spans="1:19" x14ac:dyDescent="0.25">
      <c r="A674" s="20">
        <v>45697</v>
      </c>
      <c r="B674" s="15" t="s">
        <v>560</v>
      </c>
      <c r="C674" s="15">
        <v>93894</v>
      </c>
      <c r="D674" s="15" t="s">
        <v>42</v>
      </c>
      <c r="E674" s="15">
        <v>48</v>
      </c>
      <c r="F674" s="27">
        <v>18.559999999999999</v>
      </c>
      <c r="G674" s="15" t="s">
        <v>36</v>
      </c>
      <c r="H674" s="35">
        <v>0.22</v>
      </c>
      <c r="I674" s="15" t="s">
        <v>734</v>
      </c>
      <c r="J674" s="27">
        <v>25.4</v>
      </c>
      <c r="K674" s="15" t="s">
        <v>50</v>
      </c>
      <c r="L674" s="15" t="s">
        <v>21</v>
      </c>
      <c r="M674" s="15" t="s">
        <v>22</v>
      </c>
      <c r="N674" s="15" t="s">
        <v>32</v>
      </c>
      <c r="O674" s="15" t="s">
        <v>24</v>
      </c>
      <c r="P674" s="15" t="s">
        <v>25</v>
      </c>
      <c r="Q674" s="27">
        <v>890.87999999999988</v>
      </c>
      <c r="R674" s="27">
        <v>195.99359999999999</v>
      </c>
      <c r="S674" s="31">
        <v>694.88639999999987</v>
      </c>
    </row>
    <row r="675" spans="1:19" x14ac:dyDescent="0.25">
      <c r="A675" s="20">
        <v>45697</v>
      </c>
      <c r="B675" s="15" t="s">
        <v>222</v>
      </c>
      <c r="C675" s="15">
        <v>42853</v>
      </c>
      <c r="D675" s="15" t="s">
        <v>49</v>
      </c>
      <c r="E675" s="15">
        <v>15</v>
      </c>
      <c r="F675" s="27">
        <v>32.840000000000003</v>
      </c>
      <c r="G675" s="15" t="s">
        <v>52</v>
      </c>
      <c r="H675" s="35">
        <v>0.21</v>
      </c>
      <c r="I675" s="15" t="s">
        <v>734</v>
      </c>
      <c r="J675" s="27">
        <v>14.08</v>
      </c>
      <c r="K675" s="15" t="s">
        <v>44</v>
      </c>
      <c r="L675" s="15" t="s">
        <v>21</v>
      </c>
      <c r="M675" s="15" t="s">
        <v>22</v>
      </c>
      <c r="N675" s="15" t="s">
        <v>38</v>
      </c>
      <c r="O675" s="15" t="s">
        <v>81</v>
      </c>
      <c r="P675" s="15" t="s">
        <v>40</v>
      </c>
      <c r="Q675" s="27">
        <v>492.6</v>
      </c>
      <c r="R675" s="27">
        <v>103.446</v>
      </c>
      <c r="S675" s="31">
        <v>389.154</v>
      </c>
    </row>
    <row r="676" spans="1:19" x14ac:dyDescent="0.25">
      <c r="A676" s="20">
        <v>45697</v>
      </c>
      <c r="B676" s="15" t="s">
        <v>561</v>
      </c>
      <c r="C676" s="15">
        <v>32877</v>
      </c>
      <c r="D676" s="15" t="s">
        <v>68</v>
      </c>
      <c r="E676" s="15">
        <v>3</v>
      </c>
      <c r="F676" s="27">
        <v>66.63</v>
      </c>
      <c r="G676" s="15" t="s">
        <v>36</v>
      </c>
      <c r="H676" s="35">
        <v>0.32</v>
      </c>
      <c r="I676" s="15" t="s">
        <v>29</v>
      </c>
      <c r="J676" s="27">
        <v>17.66</v>
      </c>
      <c r="K676" s="15" t="s">
        <v>30</v>
      </c>
      <c r="L676" s="15" t="s">
        <v>21</v>
      </c>
      <c r="M676" s="15" t="s">
        <v>22</v>
      </c>
      <c r="N676" s="15" t="s">
        <v>38</v>
      </c>
      <c r="O676" s="15" t="s">
        <v>33</v>
      </c>
      <c r="P676" s="15" t="s">
        <v>25</v>
      </c>
      <c r="Q676" s="27">
        <v>199.89</v>
      </c>
      <c r="R676" s="27">
        <v>63.964799999999997</v>
      </c>
      <c r="S676" s="31">
        <v>135.92519999999999</v>
      </c>
    </row>
    <row r="677" spans="1:19" x14ac:dyDescent="0.25">
      <c r="A677" s="20">
        <v>45697</v>
      </c>
      <c r="B677" s="15" t="s">
        <v>556</v>
      </c>
      <c r="C677" s="15">
        <v>52670</v>
      </c>
      <c r="D677" s="15" t="s">
        <v>46</v>
      </c>
      <c r="E677" s="15">
        <v>10</v>
      </c>
      <c r="F677" s="27">
        <v>86.01</v>
      </c>
      <c r="G677" s="15" t="s">
        <v>58</v>
      </c>
      <c r="H677" s="35">
        <v>0.39</v>
      </c>
      <c r="I677" s="15" t="s">
        <v>19</v>
      </c>
      <c r="J677" s="27">
        <v>22.99</v>
      </c>
      <c r="K677" s="15" t="s">
        <v>20</v>
      </c>
      <c r="L677" s="15" t="s">
        <v>31</v>
      </c>
      <c r="M677" s="15" t="s">
        <v>22</v>
      </c>
      <c r="N677" s="15" t="s">
        <v>23</v>
      </c>
      <c r="O677" s="15" t="s">
        <v>24</v>
      </c>
      <c r="P677" s="15" t="s">
        <v>40</v>
      </c>
      <c r="Q677" s="27">
        <v>860.1</v>
      </c>
      <c r="R677" s="27">
        <v>335.43900000000002</v>
      </c>
      <c r="S677" s="31">
        <v>524.66100000000006</v>
      </c>
    </row>
    <row r="678" spans="1:19" x14ac:dyDescent="0.25">
      <c r="A678" s="20">
        <v>45697</v>
      </c>
      <c r="B678" s="15" t="s">
        <v>502</v>
      </c>
      <c r="C678" s="15">
        <v>10025</v>
      </c>
      <c r="D678" s="15" t="s">
        <v>89</v>
      </c>
      <c r="E678" s="15">
        <v>18</v>
      </c>
      <c r="F678" s="27">
        <v>81.67</v>
      </c>
      <c r="G678" s="15" t="s">
        <v>84</v>
      </c>
      <c r="H678" s="35">
        <v>0.16</v>
      </c>
      <c r="I678" s="15" t="s">
        <v>29</v>
      </c>
      <c r="J678" s="27">
        <v>6.93</v>
      </c>
      <c r="K678" s="15" t="s">
        <v>30</v>
      </c>
      <c r="L678" s="15" t="s">
        <v>21</v>
      </c>
      <c r="M678" s="15" t="s">
        <v>22</v>
      </c>
      <c r="N678" s="15" t="s">
        <v>32</v>
      </c>
      <c r="O678" s="15" t="s">
        <v>59</v>
      </c>
      <c r="P678" s="15" t="s">
        <v>25</v>
      </c>
      <c r="Q678" s="27">
        <v>1470.06</v>
      </c>
      <c r="R678" s="27">
        <v>235.20959999999999</v>
      </c>
      <c r="S678" s="31">
        <v>1234.8504</v>
      </c>
    </row>
    <row r="679" spans="1:19" x14ac:dyDescent="0.25">
      <c r="A679" s="20">
        <v>45697</v>
      </c>
      <c r="B679" s="15" t="s">
        <v>562</v>
      </c>
      <c r="C679" s="15">
        <v>72865</v>
      </c>
      <c r="D679" s="15" t="s">
        <v>75</v>
      </c>
      <c r="E679" s="15">
        <v>8</v>
      </c>
      <c r="F679" s="27">
        <v>52.65</v>
      </c>
      <c r="G679" s="15" t="s">
        <v>52</v>
      </c>
      <c r="H679" s="35">
        <v>0.15</v>
      </c>
      <c r="I679" s="15" t="s">
        <v>19</v>
      </c>
      <c r="J679" s="27">
        <v>24.78</v>
      </c>
      <c r="K679" s="15" t="s">
        <v>44</v>
      </c>
      <c r="L679" s="15" t="s">
        <v>21</v>
      </c>
      <c r="M679" s="15" t="s">
        <v>111</v>
      </c>
      <c r="N679" s="15" t="s">
        <v>38</v>
      </c>
      <c r="O679" s="15" t="s">
        <v>39</v>
      </c>
      <c r="P679" s="15" t="s">
        <v>40</v>
      </c>
      <c r="Q679" s="27">
        <v>421.2</v>
      </c>
      <c r="R679" s="27">
        <v>63.179999999999993</v>
      </c>
      <c r="S679" s="31">
        <v>358.02</v>
      </c>
    </row>
    <row r="680" spans="1:19" x14ac:dyDescent="0.25">
      <c r="A680" s="20">
        <v>45697</v>
      </c>
      <c r="B680" s="15" t="s">
        <v>563</v>
      </c>
      <c r="C680" s="15">
        <v>83302</v>
      </c>
      <c r="D680" s="15" t="s">
        <v>42</v>
      </c>
      <c r="E680" s="15">
        <v>16</v>
      </c>
      <c r="F680" s="27">
        <v>49.93</v>
      </c>
      <c r="G680" s="15" t="s">
        <v>99</v>
      </c>
      <c r="H680" s="35">
        <v>0.49</v>
      </c>
      <c r="I680" s="15" t="s">
        <v>734</v>
      </c>
      <c r="J680" s="27">
        <v>7.92</v>
      </c>
      <c r="K680" s="15" t="s">
        <v>50</v>
      </c>
      <c r="L680" s="15" t="s">
        <v>21</v>
      </c>
      <c r="M680" s="15" t="s">
        <v>22</v>
      </c>
      <c r="N680" s="15" t="s">
        <v>23</v>
      </c>
      <c r="O680" s="15" t="s">
        <v>81</v>
      </c>
      <c r="P680" s="15" t="s">
        <v>40</v>
      </c>
      <c r="Q680" s="27">
        <v>798.88</v>
      </c>
      <c r="R680" s="27">
        <v>391.45119999999997</v>
      </c>
      <c r="S680" s="31">
        <v>407.42880000000002</v>
      </c>
    </row>
    <row r="681" spans="1:19" x14ac:dyDescent="0.25">
      <c r="A681" s="20">
        <v>45697</v>
      </c>
      <c r="B681" s="15" t="s">
        <v>564</v>
      </c>
      <c r="C681" s="15">
        <v>62713</v>
      </c>
      <c r="D681" s="15" t="s">
        <v>17</v>
      </c>
      <c r="E681" s="15">
        <v>8</v>
      </c>
      <c r="F681" s="27">
        <v>70.319999999999993</v>
      </c>
      <c r="G681" s="15" t="s">
        <v>76</v>
      </c>
      <c r="H681" s="35">
        <v>0.31</v>
      </c>
      <c r="I681" s="15" t="s">
        <v>734</v>
      </c>
      <c r="J681" s="27">
        <v>11.67</v>
      </c>
      <c r="K681" s="15" t="s">
        <v>30</v>
      </c>
      <c r="L681" s="15" t="s">
        <v>31</v>
      </c>
      <c r="M681" s="15" t="s">
        <v>22</v>
      </c>
      <c r="N681" s="15" t="s">
        <v>53</v>
      </c>
      <c r="O681" s="15" t="s">
        <v>33</v>
      </c>
      <c r="P681" s="15" t="s">
        <v>25</v>
      </c>
      <c r="Q681" s="27">
        <v>562.55999999999995</v>
      </c>
      <c r="R681" s="27">
        <v>174.39359999999999</v>
      </c>
      <c r="S681" s="31">
        <v>388.16639999999995</v>
      </c>
    </row>
    <row r="682" spans="1:19" x14ac:dyDescent="0.25">
      <c r="A682" s="20">
        <v>45697</v>
      </c>
      <c r="B682" s="15" t="s">
        <v>565</v>
      </c>
      <c r="C682" s="15">
        <v>70219</v>
      </c>
      <c r="D682" s="15" t="s">
        <v>27</v>
      </c>
      <c r="E682" s="15">
        <v>7</v>
      </c>
      <c r="F682" s="27">
        <v>7.09</v>
      </c>
      <c r="G682" s="15" t="s">
        <v>52</v>
      </c>
      <c r="H682" s="35">
        <v>0.19</v>
      </c>
      <c r="I682" s="15" t="s">
        <v>29</v>
      </c>
      <c r="J682" s="27">
        <v>18.63</v>
      </c>
      <c r="K682" s="15" t="s">
        <v>30</v>
      </c>
      <c r="L682" s="15" t="s">
        <v>21</v>
      </c>
      <c r="M682" s="15" t="s">
        <v>22</v>
      </c>
      <c r="N682" s="15" t="s">
        <v>32</v>
      </c>
      <c r="O682" s="15" t="s">
        <v>81</v>
      </c>
      <c r="P682" s="15" t="s">
        <v>25</v>
      </c>
      <c r="Q682" s="27">
        <v>49.629999999999995</v>
      </c>
      <c r="R682" s="27">
        <v>9.4296999999999986</v>
      </c>
      <c r="S682" s="31">
        <v>40.200299999999999</v>
      </c>
    </row>
    <row r="683" spans="1:19" x14ac:dyDescent="0.25">
      <c r="A683" s="20">
        <v>45697</v>
      </c>
      <c r="B683" s="15" t="s">
        <v>531</v>
      </c>
      <c r="C683" s="15">
        <v>51110</v>
      </c>
      <c r="D683" s="15" t="s">
        <v>89</v>
      </c>
      <c r="E683" s="15">
        <v>4</v>
      </c>
      <c r="F683" s="27">
        <v>5.79</v>
      </c>
      <c r="G683" s="15" t="s">
        <v>36</v>
      </c>
      <c r="H683" s="35">
        <v>0.17</v>
      </c>
      <c r="I683" s="15" t="s">
        <v>29</v>
      </c>
      <c r="J683" s="27">
        <v>23.81</v>
      </c>
      <c r="K683" s="15" t="s">
        <v>44</v>
      </c>
      <c r="L683" s="15" t="s">
        <v>21</v>
      </c>
      <c r="M683" s="15" t="s">
        <v>22</v>
      </c>
      <c r="N683" s="15" t="s">
        <v>32</v>
      </c>
      <c r="O683" s="15" t="s">
        <v>24</v>
      </c>
      <c r="P683" s="15" t="s">
        <v>25</v>
      </c>
      <c r="Q683" s="27">
        <v>23.16</v>
      </c>
      <c r="R683" s="27">
        <v>3.9372000000000003</v>
      </c>
      <c r="S683" s="31">
        <v>19.222799999999999</v>
      </c>
    </row>
    <row r="684" spans="1:19" x14ac:dyDescent="0.25">
      <c r="A684" s="20">
        <v>45697</v>
      </c>
      <c r="B684" s="15" t="s">
        <v>112</v>
      </c>
      <c r="C684" s="15">
        <v>63992</v>
      </c>
      <c r="D684" s="15" t="s">
        <v>17</v>
      </c>
      <c r="E684" s="15">
        <v>20</v>
      </c>
      <c r="F684" s="27">
        <v>54.64</v>
      </c>
      <c r="G684" s="15" t="s">
        <v>28</v>
      </c>
      <c r="H684" s="35">
        <v>0.48</v>
      </c>
      <c r="I684" s="15" t="s">
        <v>734</v>
      </c>
      <c r="J684" s="27">
        <v>18.809999999999999</v>
      </c>
      <c r="K684" s="15" t="s">
        <v>37</v>
      </c>
      <c r="L684" s="15" t="s">
        <v>21</v>
      </c>
      <c r="M684" s="15" t="s">
        <v>22</v>
      </c>
      <c r="N684" s="15" t="s">
        <v>23</v>
      </c>
      <c r="O684" s="15" t="s">
        <v>33</v>
      </c>
      <c r="P684" s="15" t="s">
        <v>34</v>
      </c>
      <c r="Q684" s="27">
        <v>1092.8</v>
      </c>
      <c r="R684" s="27">
        <v>524.54399999999998</v>
      </c>
      <c r="S684" s="31">
        <v>568.25599999999997</v>
      </c>
    </row>
    <row r="685" spans="1:19" x14ac:dyDescent="0.25">
      <c r="A685" s="20">
        <v>45697</v>
      </c>
      <c r="B685" s="15" t="s">
        <v>566</v>
      </c>
      <c r="C685" s="15">
        <v>49635</v>
      </c>
      <c r="D685" s="15" t="s">
        <v>66</v>
      </c>
      <c r="E685" s="15">
        <v>30</v>
      </c>
      <c r="F685" s="27">
        <v>42.42</v>
      </c>
      <c r="G685" s="15" t="s">
        <v>58</v>
      </c>
      <c r="H685" s="35">
        <v>0.42</v>
      </c>
      <c r="I685" s="15" t="s">
        <v>734</v>
      </c>
      <c r="J685" s="27">
        <v>24.17</v>
      </c>
      <c r="K685" s="15" t="s">
        <v>37</v>
      </c>
      <c r="L685" s="15" t="s">
        <v>21</v>
      </c>
      <c r="M685" s="15" t="s">
        <v>22</v>
      </c>
      <c r="N685" s="15" t="s">
        <v>23</v>
      </c>
      <c r="O685" s="15" t="s">
        <v>59</v>
      </c>
      <c r="P685" s="15" t="s">
        <v>34</v>
      </c>
      <c r="Q685" s="27">
        <v>1272.6000000000001</v>
      </c>
      <c r="R685" s="27">
        <v>534.49200000000008</v>
      </c>
      <c r="S685" s="31">
        <v>738.10800000000006</v>
      </c>
    </row>
    <row r="686" spans="1:19" x14ac:dyDescent="0.25">
      <c r="A686" s="20">
        <v>45697</v>
      </c>
      <c r="B686" s="15" t="s">
        <v>567</v>
      </c>
      <c r="C686" s="15">
        <v>63885</v>
      </c>
      <c r="D686" s="15" t="s">
        <v>70</v>
      </c>
      <c r="E686" s="15">
        <v>32</v>
      </c>
      <c r="F686" s="27">
        <v>95.28</v>
      </c>
      <c r="G686" s="15" t="s">
        <v>58</v>
      </c>
      <c r="H686" s="35">
        <v>0.14000000000000001</v>
      </c>
      <c r="I686" s="15" t="s">
        <v>29</v>
      </c>
      <c r="J686" s="27">
        <v>7.43</v>
      </c>
      <c r="K686" s="15" t="s">
        <v>30</v>
      </c>
      <c r="L686" s="15" t="s">
        <v>31</v>
      </c>
      <c r="M686" s="15" t="s">
        <v>22</v>
      </c>
      <c r="N686" s="15" t="s">
        <v>38</v>
      </c>
      <c r="O686" s="15" t="s">
        <v>33</v>
      </c>
      <c r="P686" s="15" t="s">
        <v>40</v>
      </c>
      <c r="Q686" s="27">
        <v>3048.96</v>
      </c>
      <c r="R686" s="27">
        <v>426.85440000000006</v>
      </c>
      <c r="S686" s="31">
        <v>2622.1055999999999</v>
      </c>
    </row>
    <row r="687" spans="1:19" x14ac:dyDescent="0.25">
      <c r="A687" s="20">
        <v>45698</v>
      </c>
      <c r="B687" s="15" t="s">
        <v>507</v>
      </c>
      <c r="C687" s="15">
        <v>65967</v>
      </c>
      <c r="D687" s="15" t="s">
        <v>89</v>
      </c>
      <c r="E687" s="15">
        <v>18</v>
      </c>
      <c r="F687" s="27">
        <v>5.26</v>
      </c>
      <c r="G687" s="15" t="s">
        <v>52</v>
      </c>
      <c r="H687" s="35">
        <v>0.27</v>
      </c>
      <c r="I687" s="15" t="s">
        <v>734</v>
      </c>
      <c r="J687" s="27">
        <v>8.5500000000000007</v>
      </c>
      <c r="K687" s="15" t="s">
        <v>44</v>
      </c>
      <c r="L687" s="15" t="s">
        <v>31</v>
      </c>
      <c r="M687" s="15" t="s">
        <v>22</v>
      </c>
      <c r="N687" s="15" t="s">
        <v>32</v>
      </c>
      <c r="O687" s="15" t="s">
        <v>33</v>
      </c>
      <c r="P687" s="15" t="s">
        <v>25</v>
      </c>
      <c r="Q687" s="27">
        <v>94.679999999999993</v>
      </c>
      <c r="R687" s="27">
        <v>25.563600000000001</v>
      </c>
      <c r="S687" s="31">
        <v>69.116399999999999</v>
      </c>
    </row>
    <row r="688" spans="1:19" x14ac:dyDescent="0.25">
      <c r="A688" s="20">
        <v>45698</v>
      </c>
      <c r="B688" s="15" t="s">
        <v>568</v>
      </c>
      <c r="C688" s="15">
        <v>78087</v>
      </c>
      <c r="D688" s="15" t="s">
        <v>49</v>
      </c>
      <c r="E688" s="15">
        <v>31</v>
      </c>
      <c r="F688" s="27">
        <v>1.72</v>
      </c>
      <c r="G688" s="15" t="s">
        <v>84</v>
      </c>
      <c r="H688" s="35">
        <v>0.46</v>
      </c>
      <c r="I688" s="15" t="s">
        <v>29</v>
      </c>
      <c r="J688" s="27">
        <v>22.83</v>
      </c>
      <c r="K688" s="15" t="s">
        <v>20</v>
      </c>
      <c r="L688" s="15" t="s">
        <v>31</v>
      </c>
      <c r="M688" s="15" t="s">
        <v>22</v>
      </c>
      <c r="N688" s="15" t="s">
        <v>32</v>
      </c>
      <c r="O688" s="15" t="s">
        <v>24</v>
      </c>
      <c r="P688" s="15" t="s">
        <v>25</v>
      </c>
      <c r="Q688" s="27">
        <v>53.32</v>
      </c>
      <c r="R688" s="27">
        <v>24.527200000000001</v>
      </c>
      <c r="S688" s="31">
        <v>28.7928</v>
      </c>
    </row>
    <row r="689" spans="1:19" x14ac:dyDescent="0.25">
      <c r="A689" s="20">
        <v>45698</v>
      </c>
      <c r="B689" s="15" t="s">
        <v>569</v>
      </c>
      <c r="C689" s="15">
        <v>94212</v>
      </c>
      <c r="D689" s="15" t="s">
        <v>57</v>
      </c>
      <c r="E689" s="15">
        <v>49</v>
      </c>
      <c r="F689" s="27">
        <v>23.01</v>
      </c>
      <c r="G689" s="15" t="s">
        <v>52</v>
      </c>
      <c r="H689" s="35">
        <v>0.21</v>
      </c>
      <c r="I689" s="15" t="s">
        <v>734</v>
      </c>
      <c r="J689" s="27">
        <v>7.61</v>
      </c>
      <c r="K689" s="15" t="s">
        <v>37</v>
      </c>
      <c r="L689" s="15" t="s">
        <v>31</v>
      </c>
      <c r="M689" s="15" t="s">
        <v>111</v>
      </c>
      <c r="N689" s="15" t="s">
        <v>23</v>
      </c>
      <c r="O689" s="15" t="s">
        <v>39</v>
      </c>
      <c r="P689" s="15" t="s">
        <v>25</v>
      </c>
      <c r="Q689" s="27">
        <v>1127.49</v>
      </c>
      <c r="R689" s="27">
        <v>236.77289999999999</v>
      </c>
      <c r="S689" s="31">
        <v>890.71710000000007</v>
      </c>
    </row>
    <row r="690" spans="1:19" x14ac:dyDescent="0.25">
      <c r="A690" s="20">
        <v>45698</v>
      </c>
      <c r="B690" s="15" t="s">
        <v>570</v>
      </c>
      <c r="C690" s="15">
        <v>40301</v>
      </c>
      <c r="D690" s="15" t="s">
        <v>66</v>
      </c>
      <c r="E690" s="15">
        <v>48</v>
      </c>
      <c r="F690" s="27">
        <v>19.149999999999999</v>
      </c>
      <c r="G690" s="15" t="s">
        <v>43</v>
      </c>
      <c r="H690" s="35">
        <v>0.42</v>
      </c>
      <c r="I690" s="15" t="s">
        <v>734</v>
      </c>
      <c r="J690" s="27">
        <v>25.62</v>
      </c>
      <c r="K690" s="15" t="s">
        <v>50</v>
      </c>
      <c r="L690" s="15" t="s">
        <v>31</v>
      </c>
      <c r="M690" s="15" t="s">
        <v>22</v>
      </c>
      <c r="N690" s="15" t="s">
        <v>32</v>
      </c>
      <c r="O690" s="15" t="s">
        <v>39</v>
      </c>
      <c r="P690" s="15" t="s">
        <v>25</v>
      </c>
      <c r="Q690" s="27">
        <v>919.19999999999993</v>
      </c>
      <c r="R690" s="27">
        <v>386.06399999999996</v>
      </c>
      <c r="S690" s="31">
        <v>533.13599999999997</v>
      </c>
    </row>
    <row r="691" spans="1:19" x14ac:dyDescent="0.25">
      <c r="A691" s="20">
        <v>45698</v>
      </c>
      <c r="B691" s="15" t="s">
        <v>229</v>
      </c>
      <c r="C691" s="15">
        <v>99321</v>
      </c>
      <c r="D691" s="15" t="s">
        <v>89</v>
      </c>
      <c r="E691" s="15">
        <v>25</v>
      </c>
      <c r="F691" s="27">
        <v>57.23</v>
      </c>
      <c r="G691" s="15" t="s">
        <v>72</v>
      </c>
      <c r="H691" s="35">
        <v>0.33</v>
      </c>
      <c r="I691" s="15" t="s">
        <v>19</v>
      </c>
      <c r="J691" s="27">
        <v>24.18</v>
      </c>
      <c r="K691" s="15" t="s">
        <v>30</v>
      </c>
      <c r="L691" s="15" t="s">
        <v>31</v>
      </c>
      <c r="M691" s="15" t="s">
        <v>22</v>
      </c>
      <c r="N691" s="15" t="s">
        <v>53</v>
      </c>
      <c r="O691" s="15" t="s">
        <v>33</v>
      </c>
      <c r="P691" s="15" t="s">
        <v>34</v>
      </c>
      <c r="Q691" s="27">
        <v>1430.75</v>
      </c>
      <c r="R691" s="27">
        <v>472.14750000000004</v>
      </c>
      <c r="S691" s="31">
        <v>958.60249999999996</v>
      </c>
    </row>
    <row r="692" spans="1:19" x14ac:dyDescent="0.25">
      <c r="A692" s="20">
        <v>45698</v>
      </c>
      <c r="B692" s="15" t="s">
        <v>295</v>
      </c>
      <c r="C692" s="15">
        <v>56835</v>
      </c>
      <c r="D692" s="15" t="s">
        <v>70</v>
      </c>
      <c r="E692" s="15">
        <v>2</v>
      </c>
      <c r="F692" s="27">
        <v>60.23</v>
      </c>
      <c r="G692" s="15" t="s">
        <v>36</v>
      </c>
      <c r="H692" s="35">
        <v>0.33</v>
      </c>
      <c r="I692" s="15" t="s">
        <v>734</v>
      </c>
      <c r="J692" s="27">
        <v>23.11</v>
      </c>
      <c r="K692" s="15" t="s">
        <v>44</v>
      </c>
      <c r="L692" s="15" t="s">
        <v>31</v>
      </c>
      <c r="M692" s="15" t="s">
        <v>111</v>
      </c>
      <c r="N692" s="15" t="s">
        <v>53</v>
      </c>
      <c r="O692" s="15" t="s">
        <v>59</v>
      </c>
      <c r="P692" s="15" t="s">
        <v>25</v>
      </c>
      <c r="Q692" s="27">
        <v>120.46</v>
      </c>
      <c r="R692" s="27">
        <v>39.751800000000003</v>
      </c>
      <c r="S692" s="31">
        <v>80.708199999999991</v>
      </c>
    </row>
    <row r="693" spans="1:19" x14ac:dyDescent="0.25">
      <c r="A693" s="20">
        <v>45698</v>
      </c>
      <c r="B693" s="15" t="s">
        <v>571</v>
      </c>
      <c r="C693" s="15">
        <v>45795</v>
      </c>
      <c r="D693" s="15" t="s">
        <v>57</v>
      </c>
      <c r="E693" s="15">
        <v>34</v>
      </c>
      <c r="F693" s="27">
        <v>76.099999999999994</v>
      </c>
      <c r="G693" s="15" t="s">
        <v>99</v>
      </c>
      <c r="H693" s="35">
        <v>0.12</v>
      </c>
      <c r="I693" s="15" t="s">
        <v>29</v>
      </c>
      <c r="J693" s="27">
        <v>27.12</v>
      </c>
      <c r="K693" s="15" t="s">
        <v>44</v>
      </c>
      <c r="L693" s="15" t="s">
        <v>31</v>
      </c>
      <c r="M693" s="15" t="s">
        <v>22</v>
      </c>
      <c r="N693" s="15" t="s">
        <v>32</v>
      </c>
      <c r="O693" s="15" t="s">
        <v>59</v>
      </c>
      <c r="P693" s="15" t="s">
        <v>40</v>
      </c>
      <c r="Q693" s="27">
        <v>2587.3999999999996</v>
      </c>
      <c r="R693" s="27">
        <v>310.48799999999994</v>
      </c>
      <c r="S693" s="31">
        <v>2276.9119999999998</v>
      </c>
    </row>
    <row r="694" spans="1:19" x14ac:dyDescent="0.25">
      <c r="A694" s="20">
        <v>45698</v>
      </c>
      <c r="B694" s="15" t="s">
        <v>384</v>
      </c>
      <c r="C694" s="15">
        <v>30125</v>
      </c>
      <c r="D694" s="15" t="s">
        <v>66</v>
      </c>
      <c r="E694" s="15">
        <v>47</v>
      </c>
      <c r="F694" s="27">
        <v>65.58</v>
      </c>
      <c r="G694" s="15" t="s">
        <v>43</v>
      </c>
      <c r="H694" s="35">
        <v>0.34</v>
      </c>
      <c r="I694" s="15" t="s">
        <v>734</v>
      </c>
      <c r="J694" s="27">
        <v>14.49</v>
      </c>
      <c r="K694" s="15" t="s">
        <v>50</v>
      </c>
      <c r="L694" s="15" t="s">
        <v>21</v>
      </c>
      <c r="M694" s="15" t="s">
        <v>22</v>
      </c>
      <c r="N694" s="15" t="s">
        <v>38</v>
      </c>
      <c r="O694" s="15" t="s">
        <v>59</v>
      </c>
      <c r="P694" s="15" t="s">
        <v>34</v>
      </c>
      <c r="Q694" s="27">
        <v>3082.2599999999998</v>
      </c>
      <c r="R694" s="27">
        <v>1047.9684</v>
      </c>
      <c r="S694" s="31">
        <v>2034.2915999999998</v>
      </c>
    </row>
    <row r="695" spans="1:19" x14ac:dyDescent="0.25">
      <c r="A695" s="20">
        <v>45698</v>
      </c>
      <c r="B695" s="15" t="s">
        <v>480</v>
      </c>
      <c r="C695" s="15">
        <v>85535</v>
      </c>
      <c r="D695" s="15" t="s">
        <v>49</v>
      </c>
      <c r="E695" s="15">
        <v>3</v>
      </c>
      <c r="F695" s="27">
        <v>82.79</v>
      </c>
      <c r="G695" s="15" t="s">
        <v>47</v>
      </c>
      <c r="H695" s="35">
        <v>0.48</v>
      </c>
      <c r="I695" s="15" t="s">
        <v>19</v>
      </c>
      <c r="J695" s="27">
        <v>25.04</v>
      </c>
      <c r="K695" s="15" t="s">
        <v>44</v>
      </c>
      <c r="L695" s="15" t="s">
        <v>21</v>
      </c>
      <c r="M695" s="15" t="s">
        <v>22</v>
      </c>
      <c r="N695" s="15" t="s">
        <v>23</v>
      </c>
      <c r="O695" s="15" t="s">
        <v>33</v>
      </c>
      <c r="P695" s="15" t="s">
        <v>25</v>
      </c>
      <c r="Q695" s="27">
        <v>248.37</v>
      </c>
      <c r="R695" s="27">
        <v>119.2176</v>
      </c>
      <c r="S695" s="31">
        <v>129.1524</v>
      </c>
    </row>
    <row r="696" spans="1:19" x14ac:dyDescent="0.25">
      <c r="A696" s="20">
        <v>45698</v>
      </c>
      <c r="B696" s="15" t="s">
        <v>572</v>
      </c>
      <c r="C696" s="15">
        <v>24209</v>
      </c>
      <c r="D696" s="15" t="s">
        <v>89</v>
      </c>
      <c r="E696" s="15">
        <v>21</v>
      </c>
      <c r="F696" s="27">
        <v>31.98</v>
      </c>
      <c r="G696" s="15" t="s">
        <v>43</v>
      </c>
      <c r="H696" s="35">
        <v>0.47</v>
      </c>
      <c r="I696" s="15" t="s">
        <v>19</v>
      </c>
      <c r="J696" s="27">
        <v>5.82</v>
      </c>
      <c r="K696" s="15" t="s">
        <v>37</v>
      </c>
      <c r="L696" s="15" t="s">
        <v>31</v>
      </c>
      <c r="M696" s="15" t="s">
        <v>22</v>
      </c>
      <c r="N696" s="15" t="s">
        <v>53</v>
      </c>
      <c r="O696" s="15" t="s">
        <v>33</v>
      </c>
      <c r="P696" s="15" t="s">
        <v>34</v>
      </c>
      <c r="Q696" s="27">
        <v>671.58</v>
      </c>
      <c r="R696" s="27">
        <v>315.64260000000002</v>
      </c>
      <c r="S696" s="31">
        <v>355.93740000000003</v>
      </c>
    </row>
    <row r="697" spans="1:19" x14ac:dyDescent="0.25">
      <c r="A697" s="20">
        <v>45698</v>
      </c>
      <c r="B697" s="15" t="s">
        <v>573</v>
      </c>
      <c r="C697" s="15">
        <v>48689</v>
      </c>
      <c r="D697" s="15" t="s">
        <v>89</v>
      </c>
      <c r="E697" s="15">
        <v>31</v>
      </c>
      <c r="F697" s="27">
        <v>22.61</v>
      </c>
      <c r="G697" s="15" t="s">
        <v>52</v>
      </c>
      <c r="H697" s="35">
        <v>0.48</v>
      </c>
      <c r="I697" s="15" t="s">
        <v>734</v>
      </c>
      <c r="J697" s="27">
        <v>8.58</v>
      </c>
      <c r="K697" s="15" t="s">
        <v>30</v>
      </c>
      <c r="L697" s="15" t="s">
        <v>31</v>
      </c>
      <c r="M697" s="15" t="s">
        <v>22</v>
      </c>
      <c r="N697" s="15" t="s">
        <v>23</v>
      </c>
      <c r="O697" s="15" t="s">
        <v>59</v>
      </c>
      <c r="P697" s="15" t="s">
        <v>25</v>
      </c>
      <c r="Q697" s="27">
        <v>700.91</v>
      </c>
      <c r="R697" s="27">
        <v>336.43679999999995</v>
      </c>
      <c r="S697" s="31">
        <v>364.47320000000002</v>
      </c>
    </row>
    <row r="698" spans="1:19" x14ac:dyDescent="0.25">
      <c r="A698" s="20">
        <v>45698</v>
      </c>
      <c r="B698" s="15" t="s">
        <v>574</v>
      </c>
      <c r="C698" s="15">
        <v>55946</v>
      </c>
      <c r="D698" s="15" t="s">
        <v>57</v>
      </c>
      <c r="E698" s="15">
        <v>48</v>
      </c>
      <c r="F698" s="27">
        <v>57.6</v>
      </c>
      <c r="G698" s="15" t="s">
        <v>36</v>
      </c>
      <c r="H698" s="35">
        <v>0.01</v>
      </c>
      <c r="I698" s="15" t="s">
        <v>29</v>
      </c>
      <c r="J698" s="27">
        <v>18.649999999999999</v>
      </c>
      <c r="K698" s="15" t="s">
        <v>20</v>
      </c>
      <c r="L698" s="15" t="s">
        <v>31</v>
      </c>
      <c r="M698" s="15" t="s">
        <v>22</v>
      </c>
      <c r="N698" s="15" t="s">
        <v>53</v>
      </c>
      <c r="O698" s="15" t="s">
        <v>81</v>
      </c>
      <c r="P698" s="15" t="s">
        <v>25</v>
      </c>
      <c r="Q698" s="27">
        <v>2764.8</v>
      </c>
      <c r="R698" s="27">
        <v>27.648000000000003</v>
      </c>
      <c r="S698" s="31">
        <v>2737.152</v>
      </c>
    </row>
    <row r="699" spans="1:19" x14ac:dyDescent="0.25">
      <c r="A699" s="20">
        <v>45698</v>
      </c>
      <c r="B699" s="15" t="s">
        <v>575</v>
      </c>
      <c r="C699" s="15">
        <v>85188</v>
      </c>
      <c r="D699" s="15" t="s">
        <v>42</v>
      </c>
      <c r="E699" s="15">
        <v>2</v>
      </c>
      <c r="F699" s="27">
        <v>95.94</v>
      </c>
      <c r="G699" s="15" t="s">
        <v>76</v>
      </c>
      <c r="H699" s="35">
        <v>0.49</v>
      </c>
      <c r="I699" s="15" t="s">
        <v>29</v>
      </c>
      <c r="J699" s="27">
        <v>18.940000000000001</v>
      </c>
      <c r="K699" s="15" t="s">
        <v>44</v>
      </c>
      <c r="L699" s="15" t="s">
        <v>21</v>
      </c>
      <c r="M699" s="15" t="s">
        <v>22</v>
      </c>
      <c r="N699" s="15" t="s">
        <v>32</v>
      </c>
      <c r="O699" s="15" t="s">
        <v>81</v>
      </c>
      <c r="P699" s="15" t="s">
        <v>34</v>
      </c>
      <c r="Q699" s="27">
        <v>191.88</v>
      </c>
      <c r="R699" s="27">
        <v>94.021199999999993</v>
      </c>
      <c r="S699" s="31">
        <v>97.858800000000002</v>
      </c>
    </row>
    <row r="700" spans="1:19" x14ac:dyDescent="0.25">
      <c r="A700" s="20">
        <v>45698</v>
      </c>
      <c r="B700" s="15" t="s">
        <v>576</v>
      </c>
      <c r="C700" s="15">
        <v>56000</v>
      </c>
      <c r="D700" s="15" t="s">
        <v>89</v>
      </c>
      <c r="E700" s="15">
        <v>48</v>
      </c>
      <c r="F700" s="27">
        <v>89.69</v>
      </c>
      <c r="G700" s="15" t="s">
        <v>58</v>
      </c>
      <c r="H700" s="35">
        <v>0.31</v>
      </c>
      <c r="I700" s="15" t="s">
        <v>29</v>
      </c>
      <c r="J700" s="27">
        <v>21.24</v>
      </c>
      <c r="K700" s="15" t="s">
        <v>50</v>
      </c>
      <c r="L700" s="15" t="s">
        <v>21</v>
      </c>
      <c r="M700" s="15" t="s">
        <v>22</v>
      </c>
      <c r="N700" s="15" t="s">
        <v>38</v>
      </c>
      <c r="O700" s="15" t="s">
        <v>59</v>
      </c>
      <c r="P700" s="15" t="s">
        <v>25</v>
      </c>
      <c r="Q700" s="27">
        <v>4305.12</v>
      </c>
      <c r="R700" s="27">
        <v>1334.5871999999999</v>
      </c>
      <c r="S700" s="31">
        <v>2970.5328</v>
      </c>
    </row>
    <row r="701" spans="1:19" x14ac:dyDescent="0.25">
      <c r="A701" s="20">
        <v>45698</v>
      </c>
      <c r="B701" s="15" t="s">
        <v>397</v>
      </c>
      <c r="C701" s="15">
        <v>12591</v>
      </c>
      <c r="D701" s="15" t="s">
        <v>27</v>
      </c>
      <c r="E701" s="15">
        <v>30</v>
      </c>
      <c r="F701" s="27">
        <v>49.31</v>
      </c>
      <c r="G701" s="15" t="s">
        <v>72</v>
      </c>
      <c r="H701" s="35">
        <v>0.48</v>
      </c>
      <c r="I701" s="15" t="s">
        <v>734</v>
      </c>
      <c r="J701" s="27">
        <v>25.46</v>
      </c>
      <c r="K701" s="15" t="s">
        <v>20</v>
      </c>
      <c r="L701" s="15" t="s">
        <v>31</v>
      </c>
      <c r="M701" s="15" t="s">
        <v>22</v>
      </c>
      <c r="N701" s="15" t="s">
        <v>23</v>
      </c>
      <c r="O701" s="15" t="s">
        <v>59</v>
      </c>
      <c r="P701" s="15" t="s">
        <v>34</v>
      </c>
      <c r="Q701" s="27">
        <v>1479.3000000000002</v>
      </c>
      <c r="R701" s="27">
        <v>710.06400000000008</v>
      </c>
      <c r="S701" s="31">
        <v>769.2360000000001</v>
      </c>
    </row>
    <row r="702" spans="1:19" x14ac:dyDescent="0.25">
      <c r="A702" s="20">
        <v>45698</v>
      </c>
      <c r="B702" s="15" t="s">
        <v>459</v>
      </c>
      <c r="C702" s="15">
        <v>87633</v>
      </c>
      <c r="D702" s="15" t="s">
        <v>17</v>
      </c>
      <c r="E702" s="15">
        <v>16</v>
      </c>
      <c r="F702" s="27">
        <v>98.1</v>
      </c>
      <c r="G702" s="15" t="s">
        <v>55</v>
      </c>
      <c r="H702" s="35">
        <v>0.31</v>
      </c>
      <c r="I702" s="15" t="s">
        <v>19</v>
      </c>
      <c r="J702" s="27">
        <v>5.07</v>
      </c>
      <c r="K702" s="15" t="s">
        <v>50</v>
      </c>
      <c r="L702" s="15" t="s">
        <v>21</v>
      </c>
      <c r="M702" s="15" t="s">
        <v>22</v>
      </c>
      <c r="N702" s="15" t="s">
        <v>23</v>
      </c>
      <c r="O702" s="15" t="s">
        <v>59</v>
      </c>
      <c r="P702" s="15" t="s">
        <v>25</v>
      </c>
      <c r="Q702" s="27">
        <v>1569.6</v>
      </c>
      <c r="R702" s="27">
        <v>486.57599999999996</v>
      </c>
      <c r="S702" s="31">
        <v>1083.0239999999999</v>
      </c>
    </row>
    <row r="703" spans="1:19" x14ac:dyDescent="0.25">
      <c r="A703" s="20">
        <v>45698</v>
      </c>
      <c r="B703" s="15" t="s">
        <v>261</v>
      </c>
      <c r="C703" s="15">
        <v>10485</v>
      </c>
      <c r="D703" s="15" t="s">
        <v>46</v>
      </c>
      <c r="E703" s="15">
        <v>45</v>
      </c>
      <c r="F703" s="27">
        <v>56.78</v>
      </c>
      <c r="G703" s="15" t="s">
        <v>84</v>
      </c>
      <c r="H703" s="35">
        <v>0.28000000000000003</v>
      </c>
      <c r="I703" s="15" t="s">
        <v>19</v>
      </c>
      <c r="J703" s="27">
        <v>13.2</v>
      </c>
      <c r="K703" s="15" t="s">
        <v>30</v>
      </c>
      <c r="L703" s="15" t="s">
        <v>31</v>
      </c>
      <c r="M703" s="15" t="s">
        <v>22</v>
      </c>
      <c r="N703" s="15" t="s">
        <v>23</v>
      </c>
      <c r="O703" s="15" t="s">
        <v>59</v>
      </c>
      <c r="P703" s="15" t="s">
        <v>25</v>
      </c>
      <c r="Q703" s="27">
        <v>2555.1</v>
      </c>
      <c r="R703" s="27">
        <v>715.428</v>
      </c>
      <c r="S703" s="31">
        <v>1839.672</v>
      </c>
    </row>
    <row r="704" spans="1:19" x14ac:dyDescent="0.25">
      <c r="A704" s="20">
        <v>45698</v>
      </c>
      <c r="B704" s="15" t="s">
        <v>485</v>
      </c>
      <c r="C704" s="15">
        <v>38601</v>
      </c>
      <c r="D704" s="15" t="s">
        <v>49</v>
      </c>
      <c r="E704" s="15">
        <v>38</v>
      </c>
      <c r="F704" s="27">
        <v>85.64</v>
      </c>
      <c r="G704" s="15" t="s">
        <v>28</v>
      </c>
      <c r="H704" s="35">
        <v>0.06</v>
      </c>
      <c r="I704" s="15" t="s">
        <v>734</v>
      </c>
      <c r="J704" s="27">
        <v>9.35</v>
      </c>
      <c r="K704" s="15" t="s">
        <v>44</v>
      </c>
      <c r="L704" s="15" t="s">
        <v>31</v>
      </c>
      <c r="M704" s="15" t="s">
        <v>22</v>
      </c>
      <c r="N704" s="15" t="s">
        <v>32</v>
      </c>
      <c r="O704" s="15" t="s">
        <v>24</v>
      </c>
      <c r="P704" s="15" t="s">
        <v>40</v>
      </c>
      <c r="Q704" s="27">
        <v>3254.32</v>
      </c>
      <c r="R704" s="27">
        <v>195.25919999999999</v>
      </c>
      <c r="S704" s="31">
        <v>3059.0608000000002</v>
      </c>
    </row>
    <row r="705" spans="1:19" x14ac:dyDescent="0.25">
      <c r="A705" s="20">
        <v>45698</v>
      </c>
      <c r="B705" s="15" t="s">
        <v>204</v>
      </c>
      <c r="C705" s="15">
        <v>30556</v>
      </c>
      <c r="D705" s="15" t="s">
        <v>89</v>
      </c>
      <c r="E705" s="15">
        <v>28</v>
      </c>
      <c r="F705" s="27">
        <v>40.61</v>
      </c>
      <c r="G705" s="15" t="s">
        <v>84</v>
      </c>
      <c r="H705" s="35">
        <v>0.1</v>
      </c>
      <c r="I705" s="15" t="s">
        <v>29</v>
      </c>
      <c r="J705" s="27">
        <v>22.23</v>
      </c>
      <c r="K705" s="15" t="s">
        <v>30</v>
      </c>
      <c r="L705" s="15" t="s">
        <v>21</v>
      </c>
      <c r="M705" s="15" t="s">
        <v>22</v>
      </c>
      <c r="N705" s="15" t="s">
        <v>38</v>
      </c>
      <c r="O705" s="15" t="s">
        <v>81</v>
      </c>
      <c r="P705" s="15" t="s">
        <v>25</v>
      </c>
      <c r="Q705" s="27">
        <v>1137.08</v>
      </c>
      <c r="R705" s="27">
        <v>113.708</v>
      </c>
      <c r="S705" s="31">
        <v>1023.372</v>
      </c>
    </row>
    <row r="706" spans="1:19" x14ac:dyDescent="0.25">
      <c r="A706" s="20">
        <v>45698</v>
      </c>
      <c r="B706" s="15" t="s">
        <v>577</v>
      </c>
      <c r="C706" s="15">
        <v>72481</v>
      </c>
      <c r="D706" s="15" t="s">
        <v>49</v>
      </c>
      <c r="E706" s="15">
        <v>17</v>
      </c>
      <c r="F706" s="27">
        <v>47.85</v>
      </c>
      <c r="G706" s="15" t="s">
        <v>99</v>
      </c>
      <c r="H706" s="35">
        <v>0.46</v>
      </c>
      <c r="I706" s="15" t="s">
        <v>19</v>
      </c>
      <c r="J706" s="27">
        <v>12.87</v>
      </c>
      <c r="K706" s="15" t="s">
        <v>50</v>
      </c>
      <c r="L706" s="15" t="s">
        <v>31</v>
      </c>
      <c r="M706" s="15" t="s">
        <v>22</v>
      </c>
      <c r="N706" s="15" t="s">
        <v>38</v>
      </c>
      <c r="O706" s="15" t="s">
        <v>33</v>
      </c>
      <c r="P706" s="15" t="s">
        <v>40</v>
      </c>
      <c r="Q706" s="27">
        <v>813.45</v>
      </c>
      <c r="R706" s="27">
        <v>374.18700000000001</v>
      </c>
      <c r="S706" s="31">
        <v>439.26300000000003</v>
      </c>
    </row>
    <row r="707" spans="1:19" x14ac:dyDescent="0.25">
      <c r="A707" s="20">
        <v>45698</v>
      </c>
      <c r="B707" s="15" t="s">
        <v>578</v>
      </c>
      <c r="C707" s="15">
        <v>35255</v>
      </c>
      <c r="D707" s="15" t="s">
        <v>27</v>
      </c>
      <c r="E707" s="15">
        <v>39</v>
      </c>
      <c r="F707" s="27">
        <v>71.75</v>
      </c>
      <c r="G707" s="15" t="s">
        <v>47</v>
      </c>
      <c r="H707" s="35">
        <v>0.39</v>
      </c>
      <c r="I707" s="15" t="s">
        <v>19</v>
      </c>
      <c r="J707" s="27">
        <v>26.9</v>
      </c>
      <c r="K707" s="15" t="s">
        <v>44</v>
      </c>
      <c r="L707" s="15" t="s">
        <v>21</v>
      </c>
      <c r="M707" s="15" t="s">
        <v>22</v>
      </c>
      <c r="N707" s="15" t="s">
        <v>23</v>
      </c>
      <c r="O707" s="15" t="s">
        <v>33</v>
      </c>
      <c r="P707" s="15" t="s">
        <v>40</v>
      </c>
      <c r="Q707" s="27">
        <v>2798.25</v>
      </c>
      <c r="R707" s="27">
        <v>1091.3175000000001</v>
      </c>
      <c r="S707" s="31">
        <v>1706.9324999999999</v>
      </c>
    </row>
    <row r="708" spans="1:19" x14ac:dyDescent="0.25">
      <c r="A708" s="20">
        <v>45699</v>
      </c>
      <c r="B708" s="15" t="s">
        <v>238</v>
      </c>
      <c r="C708" s="15">
        <v>37331</v>
      </c>
      <c r="D708" s="15" t="s">
        <v>46</v>
      </c>
      <c r="E708" s="15">
        <v>19</v>
      </c>
      <c r="F708" s="27">
        <v>76.349999999999994</v>
      </c>
      <c r="G708" s="15" t="s">
        <v>99</v>
      </c>
      <c r="H708" s="35">
        <v>0.04</v>
      </c>
      <c r="I708" s="15" t="s">
        <v>19</v>
      </c>
      <c r="J708" s="27">
        <v>8.1199999999999992</v>
      </c>
      <c r="K708" s="15" t="s">
        <v>37</v>
      </c>
      <c r="L708" s="15" t="s">
        <v>31</v>
      </c>
      <c r="M708" s="15" t="s">
        <v>22</v>
      </c>
      <c r="N708" s="15" t="s">
        <v>32</v>
      </c>
      <c r="O708" s="15" t="s">
        <v>81</v>
      </c>
      <c r="P708" s="15" t="s">
        <v>40</v>
      </c>
      <c r="Q708" s="27">
        <v>1450.6499999999999</v>
      </c>
      <c r="R708" s="27">
        <v>58.025999999999996</v>
      </c>
      <c r="S708" s="31">
        <v>1392.6239999999998</v>
      </c>
    </row>
    <row r="709" spans="1:19" x14ac:dyDescent="0.25">
      <c r="A709" s="20">
        <v>45699</v>
      </c>
      <c r="B709" s="15" t="s">
        <v>579</v>
      </c>
      <c r="C709" s="15">
        <v>94124</v>
      </c>
      <c r="D709" s="15" t="s">
        <v>70</v>
      </c>
      <c r="E709" s="15">
        <v>18</v>
      </c>
      <c r="F709" s="27">
        <v>75.02</v>
      </c>
      <c r="G709" s="15" t="s">
        <v>58</v>
      </c>
      <c r="H709" s="35">
        <v>0.28000000000000003</v>
      </c>
      <c r="I709" s="15" t="s">
        <v>19</v>
      </c>
      <c r="J709" s="27">
        <v>25.96</v>
      </c>
      <c r="K709" s="15" t="s">
        <v>50</v>
      </c>
      <c r="L709" s="15" t="s">
        <v>21</v>
      </c>
      <c r="M709" s="15" t="s">
        <v>111</v>
      </c>
      <c r="N709" s="15" t="s">
        <v>53</v>
      </c>
      <c r="O709" s="15" t="s">
        <v>24</v>
      </c>
      <c r="P709" s="15" t="s">
        <v>40</v>
      </c>
      <c r="Q709" s="27">
        <v>1350.36</v>
      </c>
      <c r="R709" s="27">
        <v>378.10079999999999</v>
      </c>
      <c r="S709" s="31">
        <v>972.25919999999996</v>
      </c>
    </row>
    <row r="710" spans="1:19" x14ac:dyDescent="0.25">
      <c r="A710" s="20">
        <v>45699</v>
      </c>
      <c r="B710" s="15" t="s">
        <v>48</v>
      </c>
      <c r="C710" s="15">
        <v>20530</v>
      </c>
      <c r="D710" s="15" t="s">
        <v>27</v>
      </c>
      <c r="E710" s="15">
        <v>46</v>
      </c>
      <c r="F710" s="27">
        <v>24.32</v>
      </c>
      <c r="G710" s="15" t="s">
        <v>72</v>
      </c>
      <c r="H710" s="35">
        <v>0.46</v>
      </c>
      <c r="I710" s="15" t="s">
        <v>734</v>
      </c>
      <c r="J710" s="27">
        <v>8.76</v>
      </c>
      <c r="K710" s="15" t="s">
        <v>37</v>
      </c>
      <c r="L710" s="15" t="s">
        <v>31</v>
      </c>
      <c r="M710" s="15" t="s">
        <v>22</v>
      </c>
      <c r="N710" s="15" t="s">
        <v>53</v>
      </c>
      <c r="O710" s="15" t="s">
        <v>39</v>
      </c>
      <c r="P710" s="15" t="s">
        <v>34</v>
      </c>
      <c r="Q710" s="27">
        <v>1118.72</v>
      </c>
      <c r="R710" s="27">
        <v>514.61120000000005</v>
      </c>
      <c r="S710" s="31">
        <v>604.10879999999997</v>
      </c>
    </row>
    <row r="711" spans="1:19" x14ac:dyDescent="0.25">
      <c r="A711" s="20">
        <v>45699</v>
      </c>
      <c r="B711" s="15" t="s">
        <v>580</v>
      </c>
      <c r="C711" s="15">
        <v>44764</v>
      </c>
      <c r="D711" s="15" t="s">
        <v>27</v>
      </c>
      <c r="E711" s="15">
        <v>38</v>
      </c>
      <c r="F711" s="27">
        <v>94.48</v>
      </c>
      <c r="G711" s="15" t="s">
        <v>72</v>
      </c>
      <c r="H711" s="35">
        <v>0.24</v>
      </c>
      <c r="I711" s="15" t="s">
        <v>734</v>
      </c>
      <c r="J711" s="27">
        <v>17.38</v>
      </c>
      <c r="K711" s="15" t="s">
        <v>20</v>
      </c>
      <c r="L711" s="15" t="s">
        <v>21</v>
      </c>
      <c r="M711" s="15" t="s">
        <v>22</v>
      </c>
      <c r="N711" s="15" t="s">
        <v>23</v>
      </c>
      <c r="O711" s="15" t="s">
        <v>59</v>
      </c>
      <c r="P711" s="15" t="s">
        <v>34</v>
      </c>
      <c r="Q711" s="27">
        <v>3590.2400000000002</v>
      </c>
      <c r="R711" s="27">
        <v>861.6576</v>
      </c>
      <c r="S711" s="31">
        <v>2728.5824000000002</v>
      </c>
    </row>
    <row r="712" spans="1:19" x14ac:dyDescent="0.25">
      <c r="A712" s="20">
        <v>45699</v>
      </c>
      <c r="B712" s="15" t="s">
        <v>351</v>
      </c>
      <c r="C712" s="15">
        <v>90655</v>
      </c>
      <c r="D712" s="15" t="s">
        <v>68</v>
      </c>
      <c r="E712" s="15">
        <v>26</v>
      </c>
      <c r="F712" s="27">
        <v>54.18</v>
      </c>
      <c r="G712" s="15" t="s">
        <v>99</v>
      </c>
      <c r="H712" s="35">
        <v>0.31</v>
      </c>
      <c r="I712" s="15" t="s">
        <v>19</v>
      </c>
      <c r="J712" s="27">
        <v>27.9</v>
      </c>
      <c r="K712" s="15" t="s">
        <v>20</v>
      </c>
      <c r="L712" s="15" t="s">
        <v>31</v>
      </c>
      <c r="M712" s="15" t="s">
        <v>22</v>
      </c>
      <c r="N712" s="15" t="s">
        <v>53</v>
      </c>
      <c r="O712" s="15" t="s">
        <v>59</v>
      </c>
      <c r="P712" s="15" t="s">
        <v>25</v>
      </c>
      <c r="Q712" s="27">
        <v>1408.68</v>
      </c>
      <c r="R712" s="27">
        <v>436.69080000000002</v>
      </c>
      <c r="S712" s="31">
        <v>971.98919999999998</v>
      </c>
    </row>
    <row r="713" spans="1:19" x14ac:dyDescent="0.25">
      <c r="A713" s="20">
        <v>45699</v>
      </c>
      <c r="B713" s="15" t="s">
        <v>581</v>
      </c>
      <c r="C713" s="15">
        <v>12938</v>
      </c>
      <c r="D713" s="15" t="s">
        <v>89</v>
      </c>
      <c r="E713" s="15">
        <v>40</v>
      </c>
      <c r="F713" s="27">
        <v>35.64</v>
      </c>
      <c r="G713" s="15" t="s">
        <v>99</v>
      </c>
      <c r="H713" s="35">
        <v>0.38</v>
      </c>
      <c r="I713" s="15" t="s">
        <v>29</v>
      </c>
      <c r="J713" s="27">
        <v>13.05</v>
      </c>
      <c r="K713" s="15" t="s">
        <v>20</v>
      </c>
      <c r="L713" s="15" t="s">
        <v>31</v>
      </c>
      <c r="M713" s="15" t="s">
        <v>22</v>
      </c>
      <c r="N713" s="15" t="s">
        <v>32</v>
      </c>
      <c r="O713" s="15" t="s">
        <v>59</v>
      </c>
      <c r="P713" s="15" t="s">
        <v>25</v>
      </c>
      <c r="Q713" s="27">
        <v>1425.6</v>
      </c>
      <c r="R713" s="27">
        <v>541.72799999999995</v>
      </c>
      <c r="S713" s="31">
        <v>883.87199999999996</v>
      </c>
    </row>
    <row r="714" spans="1:19" x14ac:dyDescent="0.25">
      <c r="A714" s="20">
        <v>45699</v>
      </c>
      <c r="B714" s="15" t="s">
        <v>582</v>
      </c>
      <c r="C714" s="15">
        <v>43162</v>
      </c>
      <c r="D714" s="15" t="s">
        <v>57</v>
      </c>
      <c r="E714" s="15">
        <v>28</v>
      </c>
      <c r="F714" s="27">
        <v>11.52</v>
      </c>
      <c r="G714" s="15" t="s">
        <v>36</v>
      </c>
      <c r="H714" s="35">
        <v>0.11</v>
      </c>
      <c r="I714" s="15" t="s">
        <v>19</v>
      </c>
      <c r="J714" s="27">
        <v>20.68</v>
      </c>
      <c r="K714" s="15" t="s">
        <v>50</v>
      </c>
      <c r="L714" s="15" t="s">
        <v>31</v>
      </c>
      <c r="M714" s="15" t="s">
        <v>22</v>
      </c>
      <c r="N714" s="15" t="s">
        <v>38</v>
      </c>
      <c r="O714" s="15" t="s">
        <v>59</v>
      </c>
      <c r="P714" s="15" t="s">
        <v>25</v>
      </c>
      <c r="Q714" s="27">
        <v>322.56</v>
      </c>
      <c r="R714" s="27">
        <v>35.4816</v>
      </c>
      <c r="S714" s="31">
        <v>287.07839999999999</v>
      </c>
    </row>
    <row r="715" spans="1:19" x14ac:dyDescent="0.25">
      <c r="A715" s="20">
        <v>45699</v>
      </c>
      <c r="B715" s="15" t="s">
        <v>278</v>
      </c>
      <c r="C715" s="15">
        <v>88856</v>
      </c>
      <c r="D715" s="15" t="s">
        <v>17</v>
      </c>
      <c r="E715" s="15">
        <v>47</v>
      </c>
      <c r="F715" s="27">
        <v>42.18</v>
      </c>
      <c r="G715" s="15" t="s">
        <v>99</v>
      </c>
      <c r="H715" s="35">
        <v>0.33</v>
      </c>
      <c r="I715" s="15" t="s">
        <v>29</v>
      </c>
      <c r="J715" s="27">
        <v>25.87</v>
      </c>
      <c r="K715" s="15" t="s">
        <v>37</v>
      </c>
      <c r="L715" s="15" t="s">
        <v>31</v>
      </c>
      <c r="M715" s="15" t="s">
        <v>22</v>
      </c>
      <c r="N715" s="15" t="s">
        <v>32</v>
      </c>
      <c r="O715" s="15" t="s">
        <v>59</v>
      </c>
      <c r="P715" s="15" t="s">
        <v>25</v>
      </c>
      <c r="Q715" s="27">
        <v>1982.46</v>
      </c>
      <c r="R715" s="27">
        <v>654.21180000000004</v>
      </c>
      <c r="S715" s="31">
        <v>1328.2482</v>
      </c>
    </row>
    <row r="716" spans="1:19" x14ac:dyDescent="0.25">
      <c r="A716" s="20">
        <v>45699</v>
      </c>
      <c r="B716" s="15" t="s">
        <v>35</v>
      </c>
      <c r="C716" s="15">
        <v>35474</v>
      </c>
      <c r="D716" s="15" t="s">
        <v>75</v>
      </c>
      <c r="E716" s="15">
        <v>7</v>
      </c>
      <c r="F716" s="27">
        <v>59.24</v>
      </c>
      <c r="G716" s="15" t="s">
        <v>52</v>
      </c>
      <c r="H716" s="35">
        <v>0.41</v>
      </c>
      <c r="I716" s="15" t="s">
        <v>734</v>
      </c>
      <c r="J716" s="27">
        <v>5.21</v>
      </c>
      <c r="K716" s="15" t="s">
        <v>37</v>
      </c>
      <c r="L716" s="15" t="s">
        <v>31</v>
      </c>
      <c r="M716" s="15" t="s">
        <v>22</v>
      </c>
      <c r="N716" s="15" t="s">
        <v>38</v>
      </c>
      <c r="O716" s="15" t="s">
        <v>39</v>
      </c>
      <c r="P716" s="15" t="s">
        <v>40</v>
      </c>
      <c r="Q716" s="27">
        <v>414.68</v>
      </c>
      <c r="R716" s="27">
        <v>170.0188</v>
      </c>
      <c r="S716" s="31">
        <v>244.66120000000001</v>
      </c>
    </row>
    <row r="717" spans="1:19" x14ac:dyDescent="0.25">
      <c r="A717" s="20">
        <v>45699</v>
      </c>
      <c r="B717" s="15" t="s">
        <v>472</v>
      </c>
      <c r="C717" s="15">
        <v>44314</v>
      </c>
      <c r="D717" s="15" t="s">
        <v>42</v>
      </c>
      <c r="E717" s="15">
        <v>39</v>
      </c>
      <c r="F717" s="27">
        <v>79.16</v>
      </c>
      <c r="G717" s="15" t="s">
        <v>55</v>
      </c>
      <c r="H717" s="35">
        <v>0.11</v>
      </c>
      <c r="I717" s="15" t="s">
        <v>29</v>
      </c>
      <c r="J717" s="27">
        <v>16.760000000000002</v>
      </c>
      <c r="K717" s="15" t="s">
        <v>20</v>
      </c>
      <c r="L717" s="15" t="s">
        <v>31</v>
      </c>
      <c r="M717" s="15" t="s">
        <v>22</v>
      </c>
      <c r="N717" s="15" t="s">
        <v>38</v>
      </c>
      <c r="O717" s="15" t="s">
        <v>24</v>
      </c>
      <c r="P717" s="15" t="s">
        <v>25</v>
      </c>
      <c r="Q717" s="27">
        <v>3087.24</v>
      </c>
      <c r="R717" s="27">
        <v>339.59639999999996</v>
      </c>
      <c r="S717" s="31">
        <v>2747.6435999999999</v>
      </c>
    </row>
    <row r="718" spans="1:19" x14ac:dyDescent="0.25">
      <c r="A718" s="20">
        <v>45699</v>
      </c>
      <c r="B718" s="15" t="s">
        <v>334</v>
      </c>
      <c r="C718" s="15">
        <v>36525</v>
      </c>
      <c r="D718" s="15" t="s">
        <v>42</v>
      </c>
      <c r="E718" s="15">
        <v>26</v>
      </c>
      <c r="F718" s="27">
        <v>33.130000000000003</v>
      </c>
      <c r="G718" s="15" t="s">
        <v>28</v>
      </c>
      <c r="H718" s="35">
        <v>0.11</v>
      </c>
      <c r="I718" s="15" t="s">
        <v>734</v>
      </c>
      <c r="J718" s="27">
        <v>19.21</v>
      </c>
      <c r="K718" s="15" t="s">
        <v>37</v>
      </c>
      <c r="L718" s="15" t="s">
        <v>21</v>
      </c>
      <c r="M718" s="15" t="s">
        <v>22</v>
      </c>
      <c r="N718" s="15" t="s">
        <v>38</v>
      </c>
      <c r="O718" s="15" t="s">
        <v>59</v>
      </c>
      <c r="P718" s="15" t="s">
        <v>25</v>
      </c>
      <c r="Q718" s="27">
        <v>861.38000000000011</v>
      </c>
      <c r="R718" s="27">
        <v>94.751800000000017</v>
      </c>
      <c r="S718" s="31">
        <v>766.62820000000011</v>
      </c>
    </row>
    <row r="719" spans="1:19" x14ac:dyDescent="0.25">
      <c r="A719" s="20">
        <v>45699</v>
      </c>
      <c r="B719" s="15" t="s">
        <v>583</v>
      </c>
      <c r="C719" s="15">
        <v>44089</v>
      </c>
      <c r="D719" s="15" t="s">
        <v>46</v>
      </c>
      <c r="E719" s="15">
        <v>42</v>
      </c>
      <c r="F719" s="27">
        <v>89.95</v>
      </c>
      <c r="G719" s="15" t="s">
        <v>28</v>
      </c>
      <c r="H719" s="35">
        <v>0.28000000000000003</v>
      </c>
      <c r="I719" s="15" t="s">
        <v>19</v>
      </c>
      <c r="J719" s="27">
        <v>13.23</v>
      </c>
      <c r="K719" s="15" t="s">
        <v>30</v>
      </c>
      <c r="L719" s="15" t="s">
        <v>21</v>
      </c>
      <c r="M719" s="15" t="s">
        <v>22</v>
      </c>
      <c r="N719" s="15" t="s">
        <v>23</v>
      </c>
      <c r="O719" s="15" t="s">
        <v>33</v>
      </c>
      <c r="P719" s="15" t="s">
        <v>40</v>
      </c>
      <c r="Q719" s="27">
        <v>3777.9</v>
      </c>
      <c r="R719" s="27">
        <v>1057.8120000000001</v>
      </c>
      <c r="S719" s="31">
        <v>2720.0879999999997</v>
      </c>
    </row>
    <row r="720" spans="1:19" x14ac:dyDescent="0.25">
      <c r="A720" s="20">
        <v>45699</v>
      </c>
      <c r="B720" s="15" t="s">
        <v>584</v>
      </c>
      <c r="C720" s="15">
        <v>38370</v>
      </c>
      <c r="D720" s="15" t="s">
        <v>17</v>
      </c>
      <c r="E720" s="15">
        <v>43</v>
      </c>
      <c r="F720" s="27">
        <v>86.15</v>
      </c>
      <c r="G720" s="15" t="s">
        <v>76</v>
      </c>
      <c r="H720" s="35">
        <v>0.37</v>
      </c>
      <c r="I720" s="15" t="s">
        <v>29</v>
      </c>
      <c r="J720" s="27">
        <v>17.61</v>
      </c>
      <c r="K720" s="15" t="s">
        <v>30</v>
      </c>
      <c r="L720" s="15" t="s">
        <v>21</v>
      </c>
      <c r="M720" s="15" t="s">
        <v>22</v>
      </c>
      <c r="N720" s="15" t="s">
        <v>23</v>
      </c>
      <c r="O720" s="15" t="s">
        <v>24</v>
      </c>
      <c r="P720" s="15" t="s">
        <v>40</v>
      </c>
      <c r="Q720" s="27">
        <v>3704.4500000000003</v>
      </c>
      <c r="R720" s="27">
        <v>1370.6465000000001</v>
      </c>
      <c r="S720" s="31">
        <v>2333.8035</v>
      </c>
    </row>
    <row r="721" spans="1:19" x14ac:dyDescent="0.25">
      <c r="A721" s="20">
        <v>45699</v>
      </c>
      <c r="B721" s="15" t="s">
        <v>585</v>
      </c>
      <c r="C721" s="15">
        <v>39484</v>
      </c>
      <c r="D721" s="15" t="s">
        <v>46</v>
      </c>
      <c r="E721" s="15">
        <v>35</v>
      </c>
      <c r="F721" s="27">
        <v>85.41</v>
      </c>
      <c r="G721" s="15" t="s">
        <v>58</v>
      </c>
      <c r="H721" s="35">
        <v>0.35</v>
      </c>
      <c r="I721" s="15" t="s">
        <v>734</v>
      </c>
      <c r="J721" s="27">
        <v>6.85</v>
      </c>
      <c r="K721" s="15" t="s">
        <v>50</v>
      </c>
      <c r="L721" s="15" t="s">
        <v>31</v>
      </c>
      <c r="M721" s="15" t="s">
        <v>22</v>
      </c>
      <c r="N721" s="15" t="s">
        <v>32</v>
      </c>
      <c r="O721" s="15" t="s">
        <v>33</v>
      </c>
      <c r="P721" s="15" t="s">
        <v>34</v>
      </c>
      <c r="Q721" s="27">
        <v>2989.35</v>
      </c>
      <c r="R721" s="27">
        <v>1046.2724999999998</v>
      </c>
      <c r="S721" s="31">
        <v>1943.0775000000001</v>
      </c>
    </row>
    <row r="722" spans="1:19" x14ac:dyDescent="0.25">
      <c r="A722" s="20">
        <v>45699</v>
      </c>
      <c r="B722" s="15" t="s">
        <v>586</v>
      </c>
      <c r="C722" s="15">
        <v>78265</v>
      </c>
      <c r="D722" s="15" t="s">
        <v>75</v>
      </c>
      <c r="E722" s="15">
        <v>8</v>
      </c>
      <c r="F722" s="27">
        <v>97.03</v>
      </c>
      <c r="G722" s="15" t="s">
        <v>36</v>
      </c>
      <c r="H722" s="35">
        <v>0.15</v>
      </c>
      <c r="I722" s="15" t="s">
        <v>29</v>
      </c>
      <c r="J722" s="27">
        <v>13.4</v>
      </c>
      <c r="K722" s="15" t="s">
        <v>30</v>
      </c>
      <c r="L722" s="15" t="s">
        <v>21</v>
      </c>
      <c r="M722" s="15" t="s">
        <v>22</v>
      </c>
      <c r="N722" s="15" t="s">
        <v>32</v>
      </c>
      <c r="O722" s="15" t="s">
        <v>59</v>
      </c>
      <c r="P722" s="15" t="s">
        <v>34</v>
      </c>
      <c r="Q722" s="27">
        <v>776.24</v>
      </c>
      <c r="R722" s="27">
        <v>116.43599999999999</v>
      </c>
      <c r="S722" s="31">
        <v>659.80399999999997</v>
      </c>
    </row>
    <row r="723" spans="1:19" x14ac:dyDescent="0.25">
      <c r="A723" s="20">
        <v>45699</v>
      </c>
      <c r="B723" s="15" t="s">
        <v>587</v>
      </c>
      <c r="C723" s="15">
        <v>38443</v>
      </c>
      <c r="D723" s="15" t="s">
        <v>49</v>
      </c>
      <c r="E723" s="15">
        <v>45</v>
      </c>
      <c r="F723" s="27">
        <v>84.9</v>
      </c>
      <c r="G723" s="15" t="s">
        <v>72</v>
      </c>
      <c r="H723" s="35">
        <v>0.25</v>
      </c>
      <c r="I723" s="15" t="s">
        <v>19</v>
      </c>
      <c r="J723" s="27">
        <v>21.68</v>
      </c>
      <c r="K723" s="15" t="s">
        <v>20</v>
      </c>
      <c r="L723" s="15" t="s">
        <v>21</v>
      </c>
      <c r="M723" s="15" t="s">
        <v>111</v>
      </c>
      <c r="N723" s="15" t="s">
        <v>32</v>
      </c>
      <c r="O723" s="15" t="s">
        <v>59</v>
      </c>
      <c r="P723" s="15" t="s">
        <v>25</v>
      </c>
      <c r="Q723" s="27">
        <v>3820.5000000000005</v>
      </c>
      <c r="R723" s="27">
        <v>955.12500000000011</v>
      </c>
      <c r="S723" s="31">
        <v>2865.3750000000005</v>
      </c>
    </row>
    <row r="724" spans="1:19" x14ac:dyDescent="0.25">
      <c r="A724" s="20">
        <v>45699</v>
      </c>
      <c r="B724" s="15" t="s">
        <v>588</v>
      </c>
      <c r="C724" s="15">
        <v>73835</v>
      </c>
      <c r="D724" s="15" t="s">
        <v>49</v>
      </c>
      <c r="E724" s="15">
        <v>4</v>
      </c>
      <c r="F724" s="27">
        <v>46.58</v>
      </c>
      <c r="G724" s="15" t="s">
        <v>99</v>
      </c>
      <c r="H724" s="35">
        <v>0.28999999999999998</v>
      </c>
      <c r="I724" s="15" t="s">
        <v>29</v>
      </c>
      <c r="J724" s="27">
        <v>12.45</v>
      </c>
      <c r="K724" s="15" t="s">
        <v>44</v>
      </c>
      <c r="L724" s="15" t="s">
        <v>21</v>
      </c>
      <c r="M724" s="15" t="s">
        <v>22</v>
      </c>
      <c r="N724" s="15" t="s">
        <v>53</v>
      </c>
      <c r="O724" s="15" t="s">
        <v>81</v>
      </c>
      <c r="P724" s="15" t="s">
        <v>40</v>
      </c>
      <c r="Q724" s="27">
        <v>186.32</v>
      </c>
      <c r="R724" s="27">
        <v>54.032799999999995</v>
      </c>
      <c r="S724" s="31">
        <v>132.28719999999998</v>
      </c>
    </row>
    <row r="725" spans="1:19" x14ac:dyDescent="0.25">
      <c r="A725" s="20">
        <v>45699</v>
      </c>
      <c r="B725" s="15" t="s">
        <v>331</v>
      </c>
      <c r="C725" s="15">
        <v>14406</v>
      </c>
      <c r="D725" s="15" t="s">
        <v>49</v>
      </c>
      <c r="E725" s="15">
        <v>21</v>
      </c>
      <c r="F725" s="27">
        <v>67.37</v>
      </c>
      <c r="G725" s="15" t="s">
        <v>43</v>
      </c>
      <c r="H725" s="35">
        <v>0.06</v>
      </c>
      <c r="I725" s="15" t="s">
        <v>29</v>
      </c>
      <c r="J725" s="27">
        <v>11.59</v>
      </c>
      <c r="K725" s="15" t="s">
        <v>44</v>
      </c>
      <c r="L725" s="15" t="s">
        <v>31</v>
      </c>
      <c r="M725" s="15" t="s">
        <v>22</v>
      </c>
      <c r="N725" s="15" t="s">
        <v>38</v>
      </c>
      <c r="O725" s="15" t="s">
        <v>81</v>
      </c>
      <c r="P725" s="15" t="s">
        <v>25</v>
      </c>
      <c r="Q725" s="27">
        <v>1414.77</v>
      </c>
      <c r="R725" s="27">
        <v>84.886200000000002</v>
      </c>
      <c r="S725" s="31">
        <v>1329.8838000000001</v>
      </c>
    </row>
    <row r="726" spans="1:19" x14ac:dyDescent="0.25">
      <c r="A726" s="20">
        <v>45699</v>
      </c>
      <c r="B726" s="15" t="s">
        <v>589</v>
      </c>
      <c r="C726" s="15">
        <v>68635</v>
      </c>
      <c r="D726" s="15" t="s">
        <v>57</v>
      </c>
      <c r="E726" s="15">
        <v>27</v>
      </c>
      <c r="F726" s="27">
        <v>14.66</v>
      </c>
      <c r="G726" s="15" t="s">
        <v>72</v>
      </c>
      <c r="H726" s="35">
        <v>0.21</v>
      </c>
      <c r="I726" s="15" t="s">
        <v>734</v>
      </c>
      <c r="J726" s="27">
        <v>27.75</v>
      </c>
      <c r="K726" s="15" t="s">
        <v>50</v>
      </c>
      <c r="L726" s="15" t="s">
        <v>31</v>
      </c>
      <c r="M726" s="15" t="s">
        <v>22</v>
      </c>
      <c r="N726" s="15" t="s">
        <v>38</v>
      </c>
      <c r="O726" s="15" t="s">
        <v>24</v>
      </c>
      <c r="P726" s="15" t="s">
        <v>40</v>
      </c>
      <c r="Q726" s="27">
        <v>395.82</v>
      </c>
      <c r="R726" s="27">
        <v>83.122199999999992</v>
      </c>
      <c r="S726" s="31">
        <v>312.69780000000003</v>
      </c>
    </row>
    <row r="727" spans="1:19" x14ac:dyDescent="0.25">
      <c r="A727" s="20">
        <v>45699</v>
      </c>
      <c r="B727" s="15" t="s">
        <v>590</v>
      </c>
      <c r="C727" s="15">
        <v>77809</v>
      </c>
      <c r="D727" s="15" t="s">
        <v>89</v>
      </c>
      <c r="E727" s="15">
        <v>39</v>
      </c>
      <c r="F727" s="27">
        <v>15.07</v>
      </c>
      <c r="G727" s="15" t="s">
        <v>18</v>
      </c>
      <c r="H727" s="35">
        <v>0.25</v>
      </c>
      <c r="I727" s="15" t="s">
        <v>19</v>
      </c>
      <c r="J727" s="27">
        <v>29.61</v>
      </c>
      <c r="K727" s="15" t="s">
        <v>37</v>
      </c>
      <c r="L727" s="15" t="s">
        <v>31</v>
      </c>
      <c r="M727" s="15" t="s">
        <v>22</v>
      </c>
      <c r="N727" s="15" t="s">
        <v>32</v>
      </c>
      <c r="O727" s="15" t="s">
        <v>81</v>
      </c>
      <c r="P727" s="15" t="s">
        <v>34</v>
      </c>
      <c r="Q727" s="27">
        <v>587.73</v>
      </c>
      <c r="R727" s="27">
        <v>146.9325</v>
      </c>
      <c r="S727" s="31">
        <v>440.79750000000001</v>
      </c>
    </row>
    <row r="728" spans="1:19" x14ac:dyDescent="0.25">
      <c r="A728" s="20">
        <v>45699</v>
      </c>
      <c r="B728" s="15" t="s">
        <v>591</v>
      </c>
      <c r="C728" s="15">
        <v>74466</v>
      </c>
      <c r="D728" s="15" t="s">
        <v>89</v>
      </c>
      <c r="E728" s="15">
        <v>22</v>
      </c>
      <c r="F728" s="27">
        <v>63.83</v>
      </c>
      <c r="G728" s="15" t="s">
        <v>28</v>
      </c>
      <c r="H728" s="35">
        <v>0.15</v>
      </c>
      <c r="I728" s="15" t="s">
        <v>734</v>
      </c>
      <c r="J728" s="27">
        <v>20.3</v>
      </c>
      <c r="K728" s="15" t="s">
        <v>20</v>
      </c>
      <c r="L728" s="15" t="s">
        <v>21</v>
      </c>
      <c r="M728" s="15" t="s">
        <v>22</v>
      </c>
      <c r="N728" s="15" t="s">
        <v>23</v>
      </c>
      <c r="O728" s="15" t="s">
        <v>33</v>
      </c>
      <c r="P728" s="15" t="s">
        <v>34</v>
      </c>
      <c r="Q728" s="27">
        <v>1404.26</v>
      </c>
      <c r="R728" s="27">
        <v>210.63899999999998</v>
      </c>
      <c r="S728" s="31">
        <v>1193.6210000000001</v>
      </c>
    </row>
    <row r="729" spans="1:19" x14ac:dyDescent="0.25">
      <c r="A729" s="20">
        <v>45699</v>
      </c>
      <c r="B729" s="15" t="s">
        <v>592</v>
      </c>
      <c r="C729" s="15">
        <v>88295</v>
      </c>
      <c r="D729" s="15" t="s">
        <v>17</v>
      </c>
      <c r="E729" s="15">
        <v>23</v>
      </c>
      <c r="F729" s="27">
        <v>29.32</v>
      </c>
      <c r="G729" s="15" t="s">
        <v>18</v>
      </c>
      <c r="H729" s="35">
        <v>0.21</v>
      </c>
      <c r="I729" s="15" t="s">
        <v>19</v>
      </c>
      <c r="J729" s="27">
        <v>17.13</v>
      </c>
      <c r="K729" s="15" t="s">
        <v>30</v>
      </c>
      <c r="L729" s="15" t="s">
        <v>21</v>
      </c>
      <c r="M729" s="15" t="s">
        <v>22</v>
      </c>
      <c r="N729" s="15" t="s">
        <v>32</v>
      </c>
      <c r="O729" s="15" t="s">
        <v>33</v>
      </c>
      <c r="P729" s="15" t="s">
        <v>25</v>
      </c>
      <c r="Q729" s="27">
        <v>674.36</v>
      </c>
      <c r="R729" s="27">
        <v>141.6156</v>
      </c>
      <c r="S729" s="31">
        <v>532.74440000000004</v>
      </c>
    </row>
    <row r="730" spans="1:19" x14ac:dyDescent="0.25">
      <c r="A730" s="20">
        <v>45700</v>
      </c>
      <c r="B730" s="15" t="s">
        <v>140</v>
      </c>
      <c r="C730" s="15">
        <v>97179</v>
      </c>
      <c r="D730" s="15" t="s">
        <v>46</v>
      </c>
      <c r="E730" s="15">
        <v>46</v>
      </c>
      <c r="F730" s="27">
        <v>67.959999999999994</v>
      </c>
      <c r="G730" s="15" t="s">
        <v>72</v>
      </c>
      <c r="H730" s="35">
        <v>0.45</v>
      </c>
      <c r="I730" s="15" t="s">
        <v>29</v>
      </c>
      <c r="J730" s="27">
        <v>6.87</v>
      </c>
      <c r="K730" s="15" t="s">
        <v>20</v>
      </c>
      <c r="L730" s="15" t="s">
        <v>31</v>
      </c>
      <c r="M730" s="15" t="s">
        <v>22</v>
      </c>
      <c r="N730" s="15" t="s">
        <v>23</v>
      </c>
      <c r="O730" s="15" t="s">
        <v>81</v>
      </c>
      <c r="P730" s="15" t="s">
        <v>34</v>
      </c>
      <c r="Q730" s="27">
        <v>3126.16</v>
      </c>
      <c r="R730" s="27">
        <v>1406.7719999999999</v>
      </c>
      <c r="S730" s="31">
        <v>1719.3879999999999</v>
      </c>
    </row>
    <row r="731" spans="1:19" x14ac:dyDescent="0.25">
      <c r="A731" s="20">
        <v>45700</v>
      </c>
      <c r="B731" s="15" t="s">
        <v>593</v>
      </c>
      <c r="C731" s="15">
        <v>25840</v>
      </c>
      <c r="D731" s="15" t="s">
        <v>27</v>
      </c>
      <c r="E731" s="15">
        <v>3</v>
      </c>
      <c r="F731" s="27">
        <v>75.180000000000007</v>
      </c>
      <c r="G731" s="15" t="s">
        <v>58</v>
      </c>
      <c r="H731" s="35">
        <v>0.39</v>
      </c>
      <c r="I731" s="15" t="s">
        <v>29</v>
      </c>
      <c r="J731" s="27">
        <v>29.79</v>
      </c>
      <c r="K731" s="15" t="s">
        <v>37</v>
      </c>
      <c r="L731" s="15" t="s">
        <v>31</v>
      </c>
      <c r="M731" s="15" t="s">
        <v>22</v>
      </c>
      <c r="N731" s="15" t="s">
        <v>32</v>
      </c>
      <c r="O731" s="15" t="s">
        <v>59</v>
      </c>
      <c r="P731" s="15" t="s">
        <v>25</v>
      </c>
      <c r="Q731" s="27">
        <v>225.54000000000002</v>
      </c>
      <c r="R731" s="27">
        <v>87.960600000000014</v>
      </c>
      <c r="S731" s="31">
        <v>137.57940000000002</v>
      </c>
    </row>
    <row r="732" spans="1:19" x14ac:dyDescent="0.25">
      <c r="A732" s="20">
        <v>45700</v>
      </c>
      <c r="B732" s="15" t="s">
        <v>594</v>
      </c>
      <c r="C732" s="15">
        <v>42199</v>
      </c>
      <c r="D732" s="15" t="s">
        <v>89</v>
      </c>
      <c r="E732" s="15">
        <v>44</v>
      </c>
      <c r="F732" s="27">
        <v>2.7</v>
      </c>
      <c r="G732" s="15" t="s">
        <v>28</v>
      </c>
      <c r="H732" s="35">
        <v>0.27</v>
      </c>
      <c r="I732" s="15" t="s">
        <v>19</v>
      </c>
      <c r="J732" s="27">
        <v>21.89</v>
      </c>
      <c r="K732" s="15" t="s">
        <v>20</v>
      </c>
      <c r="L732" s="15" t="s">
        <v>21</v>
      </c>
      <c r="M732" s="15" t="s">
        <v>22</v>
      </c>
      <c r="N732" s="15" t="s">
        <v>32</v>
      </c>
      <c r="O732" s="15" t="s">
        <v>33</v>
      </c>
      <c r="P732" s="15" t="s">
        <v>34</v>
      </c>
      <c r="Q732" s="27">
        <v>118.80000000000001</v>
      </c>
      <c r="R732" s="27">
        <v>32.076000000000008</v>
      </c>
      <c r="S732" s="31">
        <v>86.724000000000004</v>
      </c>
    </row>
    <row r="733" spans="1:19" x14ac:dyDescent="0.25">
      <c r="A733" s="20">
        <v>45700</v>
      </c>
      <c r="B733" s="15" t="s">
        <v>595</v>
      </c>
      <c r="C733" s="15">
        <v>28308</v>
      </c>
      <c r="D733" s="15" t="s">
        <v>68</v>
      </c>
      <c r="E733" s="15">
        <v>8</v>
      </c>
      <c r="F733" s="27">
        <v>7.28</v>
      </c>
      <c r="G733" s="15" t="s">
        <v>55</v>
      </c>
      <c r="H733" s="35">
        <v>0.06</v>
      </c>
      <c r="I733" s="15" t="s">
        <v>19</v>
      </c>
      <c r="J733" s="27">
        <v>24.08</v>
      </c>
      <c r="K733" s="15" t="s">
        <v>44</v>
      </c>
      <c r="L733" s="15" t="s">
        <v>31</v>
      </c>
      <c r="M733" s="15" t="s">
        <v>111</v>
      </c>
      <c r="N733" s="15" t="s">
        <v>53</v>
      </c>
      <c r="O733" s="15" t="s">
        <v>59</v>
      </c>
      <c r="P733" s="15" t="s">
        <v>34</v>
      </c>
      <c r="Q733" s="27">
        <v>58.24</v>
      </c>
      <c r="R733" s="27">
        <v>3.4944000000000002</v>
      </c>
      <c r="S733" s="31">
        <v>54.745600000000003</v>
      </c>
    </row>
    <row r="734" spans="1:19" x14ac:dyDescent="0.25">
      <c r="A734" s="20">
        <v>45700</v>
      </c>
      <c r="B734" s="15" t="s">
        <v>596</v>
      </c>
      <c r="C734" s="15">
        <v>20509</v>
      </c>
      <c r="D734" s="15" t="s">
        <v>75</v>
      </c>
      <c r="E734" s="15">
        <v>14</v>
      </c>
      <c r="F734" s="27">
        <v>32.17</v>
      </c>
      <c r="G734" s="15" t="s">
        <v>72</v>
      </c>
      <c r="H734" s="35">
        <v>0.04</v>
      </c>
      <c r="I734" s="15" t="s">
        <v>734</v>
      </c>
      <c r="J734" s="27">
        <v>6.73</v>
      </c>
      <c r="K734" s="15" t="s">
        <v>37</v>
      </c>
      <c r="L734" s="15" t="s">
        <v>31</v>
      </c>
      <c r="M734" s="15" t="s">
        <v>22</v>
      </c>
      <c r="N734" s="15" t="s">
        <v>53</v>
      </c>
      <c r="O734" s="15" t="s">
        <v>24</v>
      </c>
      <c r="P734" s="15" t="s">
        <v>40</v>
      </c>
      <c r="Q734" s="27">
        <v>450.38</v>
      </c>
      <c r="R734" s="27">
        <v>18.0152</v>
      </c>
      <c r="S734" s="31">
        <v>432.3648</v>
      </c>
    </row>
    <row r="735" spans="1:19" x14ac:dyDescent="0.25">
      <c r="A735" s="20">
        <v>45700</v>
      </c>
      <c r="B735" s="15" t="s">
        <v>91</v>
      </c>
      <c r="C735" s="15">
        <v>49597</v>
      </c>
      <c r="D735" s="15" t="s">
        <v>27</v>
      </c>
      <c r="E735" s="15">
        <v>27</v>
      </c>
      <c r="F735" s="27">
        <v>82.79</v>
      </c>
      <c r="G735" s="15" t="s">
        <v>18</v>
      </c>
      <c r="H735" s="35">
        <v>0.48</v>
      </c>
      <c r="I735" s="15" t="s">
        <v>734</v>
      </c>
      <c r="J735" s="27">
        <v>29.3</v>
      </c>
      <c r="K735" s="15" t="s">
        <v>20</v>
      </c>
      <c r="L735" s="15" t="s">
        <v>21</v>
      </c>
      <c r="M735" s="15" t="s">
        <v>22</v>
      </c>
      <c r="N735" s="15" t="s">
        <v>23</v>
      </c>
      <c r="O735" s="15" t="s">
        <v>59</v>
      </c>
      <c r="P735" s="15" t="s">
        <v>40</v>
      </c>
      <c r="Q735" s="27">
        <v>2235.3300000000004</v>
      </c>
      <c r="R735" s="27">
        <v>1072.9584000000002</v>
      </c>
      <c r="S735" s="31">
        <v>1162.3716000000002</v>
      </c>
    </row>
    <row r="736" spans="1:19" x14ac:dyDescent="0.25">
      <c r="A736" s="20">
        <v>45700</v>
      </c>
      <c r="B736" s="15" t="s">
        <v>597</v>
      </c>
      <c r="C736" s="15">
        <v>88802</v>
      </c>
      <c r="D736" s="15" t="s">
        <v>46</v>
      </c>
      <c r="E736" s="15">
        <v>49</v>
      </c>
      <c r="F736" s="27">
        <v>72.569999999999993</v>
      </c>
      <c r="G736" s="15" t="s">
        <v>99</v>
      </c>
      <c r="H736" s="35">
        <v>0</v>
      </c>
      <c r="I736" s="15" t="s">
        <v>734</v>
      </c>
      <c r="J736" s="27">
        <v>12.43</v>
      </c>
      <c r="K736" s="15" t="s">
        <v>44</v>
      </c>
      <c r="L736" s="15" t="s">
        <v>31</v>
      </c>
      <c r="M736" s="15" t="s">
        <v>22</v>
      </c>
      <c r="N736" s="15" t="s">
        <v>38</v>
      </c>
      <c r="O736" s="15" t="s">
        <v>33</v>
      </c>
      <c r="P736" s="15" t="s">
        <v>34</v>
      </c>
      <c r="Q736" s="27">
        <v>3555.93</v>
      </c>
      <c r="R736" s="27">
        <v>0</v>
      </c>
      <c r="S736" s="31">
        <v>3555.93</v>
      </c>
    </row>
    <row r="737" spans="1:19" x14ac:dyDescent="0.25">
      <c r="A737" s="20">
        <v>45700</v>
      </c>
      <c r="B737" s="15" t="s">
        <v>286</v>
      </c>
      <c r="C737" s="15">
        <v>24170</v>
      </c>
      <c r="D737" s="15" t="s">
        <v>75</v>
      </c>
      <c r="E737" s="15">
        <v>25</v>
      </c>
      <c r="F737" s="27">
        <v>81.41</v>
      </c>
      <c r="G737" s="15" t="s">
        <v>99</v>
      </c>
      <c r="H737" s="35">
        <v>0.12</v>
      </c>
      <c r="I737" s="15" t="s">
        <v>734</v>
      </c>
      <c r="J737" s="27">
        <v>15.64</v>
      </c>
      <c r="K737" s="15" t="s">
        <v>44</v>
      </c>
      <c r="L737" s="15" t="s">
        <v>31</v>
      </c>
      <c r="M737" s="15" t="s">
        <v>111</v>
      </c>
      <c r="N737" s="15" t="s">
        <v>38</v>
      </c>
      <c r="O737" s="15" t="s">
        <v>24</v>
      </c>
      <c r="P737" s="15" t="s">
        <v>34</v>
      </c>
      <c r="Q737" s="27">
        <v>2035.25</v>
      </c>
      <c r="R737" s="27">
        <v>244.23</v>
      </c>
      <c r="S737" s="31">
        <v>1791.02</v>
      </c>
    </row>
    <row r="738" spans="1:19" x14ac:dyDescent="0.25">
      <c r="A738" s="20">
        <v>45700</v>
      </c>
      <c r="B738" s="15" t="s">
        <v>443</v>
      </c>
      <c r="C738" s="15">
        <v>45661</v>
      </c>
      <c r="D738" s="15" t="s">
        <v>66</v>
      </c>
      <c r="E738" s="15">
        <v>1</v>
      </c>
      <c r="F738" s="27">
        <v>63.07</v>
      </c>
      <c r="G738" s="15" t="s">
        <v>84</v>
      </c>
      <c r="H738" s="35">
        <v>0.31</v>
      </c>
      <c r="I738" s="15" t="s">
        <v>19</v>
      </c>
      <c r="J738" s="27">
        <v>8.15</v>
      </c>
      <c r="K738" s="15" t="s">
        <v>44</v>
      </c>
      <c r="L738" s="15" t="s">
        <v>31</v>
      </c>
      <c r="M738" s="15" t="s">
        <v>22</v>
      </c>
      <c r="N738" s="15" t="s">
        <v>53</v>
      </c>
      <c r="O738" s="15" t="s">
        <v>39</v>
      </c>
      <c r="P738" s="15" t="s">
        <v>34</v>
      </c>
      <c r="Q738" s="27">
        <v>63.07</v>
      </c>
      <c r="R738" s="27">
        <v>19.5517</v>
      </c>
      <c r="S738" s="31">
        <v>43.518299999999996</v>
      </c>
    </row>
    <row r="739" spans="1:19" x14ac:dyDescent="0.25">
      <c r="A739" s="20">
        <v>45700</v>
      </c>
      <c r="B739" s="15" t="s">
        <v>598</v>
      </c>
      <c r="C739" s="15">
        <v>18907</v>
      </c>
      <c r="D739" s="15" t="s">
        <v>89</v>
      </c>
      <c r="E739" s="15">
        <v>36</v>
      </c>
      <c r="F739" s="27">
        <v>94.65</v>
      </c>
      <c r="G739" s="15" t="s">
        <v>58</v>
      </c>
      <c r="H739" s="35">
        <v>0.25</v>
      </c>
      <c r="I739" s="15" t="s">
        <v>29</v>
      </c>
      <c r="J739" s="27">
        <v>22.59</v>
      </c>
      <c r="K739" s="15" t="s">
        <v>50</v>
      </c>
      <c r="L739" s="15" t="s">
        <v>21</v>
      </c>
      <c r="M739" s="15" t="s">
        <v>22</v>
      </c>
      <c r="N739" s="15" t="s">
        <v>23</v>
      </c>
      <c r="O739" s="15" t="s">
        <v>59</v>
      </c>
      <c r="P739" s="15" t="s">
        <v>34</v>
      </c>
      <c r="Q739" s="27">
        <v>3407.4</v>
      </c>
      <c r="R739" s="27">
        <v>851.85</v>
      </c>
      <c r="S739" s="31">
        <v>2555.5500000000002</v>
      </c>
    </row>
    <row r="740" spans="1:19" x14ac:dyDescent="0.25">
      <c r="A740" s="20">
        <v>45700</v>
      </c>
      <c r="B740" s="15" t="s">
        <v>180</v>
      </c>
      <c r="C740" s="15">
        <v>66617</v>
      </c>
      <c r="D740" s="15" t="s">
        <v>42</v>
      </c>
      <c r="E740" s="15">
        <v>24</v>
      </c>
      <c r="F740" s="27">
        <v>85.51</v>
      </c>
      <c r="G740" s="15" t="s">
        <v>76</v>
      </c>
      <c r="H740" s="35">
        <v>0.33</v>
      </c>
      <c r="I740" s="15" t="s">
        <v>19</v>
      </c>
      <c r="J740" s="27">
        <v>28.3</v>
      </c>
      <c r="K740" s="15" t="s">
        <v>37</v>
      </c>
      <c r="L740" s="15" t="s">
        <v>31</v>
      </c>
      <c r="M740" s="15" t="s">
        <v>22</v>
      </c>
      <c r="N740" s="15" t="s">
        <v>53</v>
      </c>
      <c r="O740" s="15" t="s">
        <v>33</v>
      </c>
      <c r="P740" s="15" t="s">
        <v>34</v>
      </c>
      <c r="Q740" s="27">
        <v>2052.2400000000002</v>
      </c>
      <c r="R740" s="27">
        <v>677.2392000000001</v>
      </c>
      <c r="S740" s="31">
        <v>1375.0008000000003</v>
      </c>
    </row>
    <row r="741" spans="1:19" x14ac:dyDescent="0.25">
      <c r="A741" s="20">
        <v>45700</v>
      </c>
      <c r="B741" s="15" t="s">
        <v>85</v>
      </c>
      <c r="C741" s="15">
        <v>24364</v>
      </c>
      <c r="D741" s="15" t="s">
        <v>75</v>
      </c>
      <c r="E741" s="15">
        <v>43</v>
      </c>
      <c r="F741" s="27">
        <v>40.479999999999997</v>
      </c>
      <c r="G741" s="15" t="s">
        <v>47</v>
      </c>
      <c r="H741" s="35">
        <v>0.21</v>
      </c>
      <c r="I741" s="15" t="s">
        <v>734</v>
      </c>
      <c r="J741" s="27">
        <v>28.03</v>
      </c>
      <c r="K741" s="15" t="s">
        <v>20</v>
      </c>
      <c r="L741" s="15" t="s">
        <v>31</v>
      </c>
      <c r="M741" s="15" t="s">
        <v>22</v>
      </c>
      <c r="N741" s="15" t="s">
        <v>38</v>
      </c>
      <c r="O741" s="15" t="s">
        <v>59</v>
      </c>
      <c r="P741" s="15" t="s">
        <v>25</v>
      </c>
      <c r="Q741" s="27">
        <v>1740.6399999999999</v>
      </c>
      <c r="R741" s="27">
        <v>365.53439999999995</v>
      </c>
      <c r="S741" s="31">
        <v>1375.1055999999999</v>
      </c>
    </row>
    <row r="742" spans="1:19" x14ac:dyDescent="0.25">
      <c r="A742" s="20">
        <v>45700</v>
      </c>
      <c r="B742" s="15" t="s">
        <v>599</v>
      </c>
      <c r="C742" s="15">
        <v>20613</v>
      </c>
      <c r="D742" s="15" t="s">
        <v>75</v>
      </c>
      <c r="E742" s="15">
        <v>31</v>
      </c>
      <c r="F742" s="27">
        <v>65.88</v>
      </c>
      <c r="G742" s="15" t="s">
        <v>58</v>
      </c>
      <c r="H742" s="35">
        <v>0.18</v>
      </c>
      <c r="I742" s="15" t="s">
        <v>734</v>
      </c>
      <c r="J742" s="27">
        <v>10.92</v>
      </c>
      <c r="K742" s="15" t="s">
        <v>20</v>
      </c>
      <c r="L742" s="15" t="s">
        <v>21</v>
      </c>
      <c r="M742" s="15" t="s">
        <v>22</v>
      </c>
      <c r="N742" s="15" t="s">
        <v>53</v>
      </c>
      <c r="O742" s="15" t="s">
        <v>59</v>
      </c>
      <c r="P742" s="15" t="s">
        <v>40</v>
      </c>
      <c r="Q742" s="27">
        <v>2042.2799999999997</v>
      </c>
      <c r="R742" s="27">
        <v>367.61039999999991</v>
      </c>
      <c r="S742" s="31">
        <v>1674.6695999999997</v>
      </c>
    </row>
    <row r="743" spans="1:19" x14ac:dyDescent="0.25">
      <c r="A743" s="20">
        <v>45700</v>
      </c>
      <c r="B743" s="15" t="s">
        <v>62</v>
      </c>
      <c r="C743" s="15">
        <v>23673</v>
      </c>
      <c r="D743" s="15" t="s">
        <v>42</v>
      </c>
      <c r="E743" s="15">
        <v>27</v>
      </c>
      <c r="F743" s="27">
        <v>69.33</v>
      </c>
      <c r="G743" s="15" t="s">
        <v>58</v>
      </c>
      <c r="H743" s="35">
        <v>0.43</v>
      </c>
      <c r="I743" s="15" t="s">
        <v>734</v>
      </c>
      <c r="J743" s="27">
        <v>23.65</v>
      </c>
      <c r="K743" s="15" t="s">
        <v>50</v>
      </c>
      <c r="L743" s="15" t="s">
        <v>21</v>
      </c>
      <c r="M743" s="15" t="s">
        <v>22</v>
      </c>
      <c r="N743" s="15" t="s">
        <v>32</v>
      </c>
      <c r="O743" s="15" t="s">
        <v>39</v>
      </c>
      <c r="P743" s="15" t="s">
        <v>25</v>
      </c>
      <c r="Q743" s="27">
        <v>1871.9099999999999</v>
      </c>
      <c r="R743" s="27">
        <v>804.92129999999997</v>
      </c>
      <c r="S743" s="31">
        <v>1066.9886999999999</v>
      </c>
    </row>
    <row r="744" spans="1:19" x14ac:dyDescent="0.25">
      <c r="A744" s="20">
        <v>45700</v>
      </c>
      <c r="B744" s="15" t="s">
        <v>80</v>
      </c>
      <c r="C744" s="15">
        <v>84574</v>
      </c>
      <c r="D744" s="15" t="s">
        <v>46</v>
      </c>
      <c r="E744" s="15">
        <v>43</v>
      </c>
      <c r="F744" s="27">
        <v>27.6</v>
      </c>
      <c r="G744" s="15" t="s">
        <v>36</v>
      </c>
      <c r="H744" s="35">
        <v>0.23</v>
      </c>
      <c r="I744" s="15" t="s">
        <v>734</v>
      </c>
      <c r="J744" s="27">
        <v>14.95</v>
      </c>
      <c r="K744" s="15" t="s">
        <v>50</v>
      </c>
      <c r="L744" s="15" t="s">
        <v>31</v>
      </c>
      <c r="M744" s="15" t="s">
        <v>22</v>
      </c>
      <c r="N744" s="15" t="s">
        <v>23</v>
      </c>
      <c r="O744" s="15" t="s">
        <v>33</v>
      </c>
      <c r="P744" s="15" t="s">
        <v>34</v>
      </c>
      <c r="Q744" s="27">
        <v>1186.8</v>
      </c>
      <c r="R744" s="27">
        <v>272.964</v>
      </c>
      <c r="S744" s="31">
        <v>913.83600000000001</v>
      </c>
    </row>
    <row r="745" spans="1:19" x14ac:dyDescent="0.25">
      <c r="A745" s="20">
        <v>45700</v>
      </c>
      <c r="B745" s="15" t="s">
        <v>600</v>
      </c>
      <c r="C745" s="15">
        <v>58786</v>
      </c>
      <c r="D745" s="15" t="s">
        <v>27</v>
      </c>
      <c r="E745" s="15">
        <v>28</v>
      </c>
      <c r="F745" s="27">
        <v>66.760000000000005</v>
      </c>
      <c r="G745" s="15" t="s">
        <v>36</v>
      </c>
      <c r="H745" s="35">
        <v>0.23</v>
      </c>
      <c r="I745" s="15" t="s">
        <v>19</v>
      </c>
      <c r="J745" s="27">
        <v>19.420000000000002</v>
      </c>
      <c r="K745" s="15" t="s">
        <v>50</v>
      </c>
      <c r="L745" s="15" t="s">
        <v>31</v>
      </c>
      <c r="M745" s="15" t="s">
        <v>22</v>
      </c>
      <c r="N745" s="15" t="s">
        <v>23</v>
      </c>
      <c r="O745" s="15" t="s">
        <v>33</v>
      </c>
      <c r="P745" s="15" t="s">
        <v>34</v>
      </c>
      <c r="Q745" s="27">
        <v>1869.2800000000002</v>
      </c>
      <c r="R745" s="27">
        <v>429.93440000000004</v>
      </c>
      <c r="S745" s="31">
        <v>1439.3456000000001</v>
      </c>
    </row>
    <row r="746" spans="1:19" x14ac:dyDescent="0.25">
      <c r="A746" s="20">
        <v>45700</v>
      </c>
      <c r="B746" s="15" t="s">
        <v>402</v>
      </c>
      <c r="C746" s="15">
        <v>63943</v>
      </c>
      <c r="D746" s="15" t="s">
        <v>75</v>
      </c>
      <c r="E746" s="15">
        <v>31</v>
      </c>
      <c r="F746" s="27">
        <v>13.9</v>
      </c>
      <c r="G746" s="15" t="s">
        <v>84</v>
      </c>
      <c r="H746" s="35">
        <v>0.27</v>
      </c>
      <c r="I746" s="15" t="s">
        <v>734</v>
      </c>
      <c r="J746" s="27">
        <v>14.15</v>
      </c>
      <c r="K746" s="15" t="s">
        <v>20</v>
      </c>
      <c r="L746" s="15" t="s">
        <v>31</v>
      </c>
      <c r="M746" s="15" t="s">
        <v>22</v>
      </c>
      <c r="N746" s="15" t="s">
        <v>23</v>
      </c>
      <c r="O746" s="15" t="s">
        <v>81</v>
      </c>
      <c r="P746" s="15" t="s">
        <v>40</v>
      </c>
      <c r="Q746" s="27">
        <v>430.90000000000003</v>
      </c>
      <c r="R746" s="27">
        <v>116.34300000000002</v>
      </c>
      <c r="S746" s="31">
        <v>314.55700000000002</v>
      </c>
    </row>
    <row r="747" spans="1:19" x14ac:dyDescent="0.25">
      <c r="A747" s="20">
        <v>45700</v>
      </c>
      <c r="B747" s="15" t="s">
        <v>601</v>
      </c>
      <c r="C747" s="15">
        <v>33149</v>
      </c>
      <c r="D747" s="15" t="s">
        <v>70</v>
      </c>
      <c r="E747" s="15">
        <v>30</v>
      </c>
      <c r="F747" s="27">
        <v>22.8</v>
      </c>
      <c r="G747" s="15" t="s">
        <v>28</v>
      </c>
      <c r="H747" s="35">
        <v>0.21</v>
      </c>
      <c r="I747" s="15" t="s">
        <v>19</v>
      </c>
      <c r="J747" s="27">
        <v>26.41</v>
      </c>
      <c r="K747" s="15" t="s">
        <v>44</v>
      </c>
      <c r="L747" s="15" t="s">
        <v>31</v>
      </c>
      <c r="M747" s="15" t="s">
        <v>22</v>
      </c>
      <c r="N747" s="15" t="s">
        <v>32</v>
      </c>
      <c r="O747" s="15" t="s">
        <v>59</v>
      </c>
      <c r="P747" s="15" t="s">
        <v>25</v>
      </c>
      <c r="Q747" s="27">
        <v>684</v>
      </c>
      <c r="R747" s="27">
        <v>143.63999999999999</v>
      </c>
      <c r="S747" s="31">
        <v>540.36</v>
      </c>
    </row>
    <row r="748" spans="1:19" x14ac:dyDescent="0.25">
      <c r="A748" s="20">
        <v>45700</v>
      </c>
      <c r="B748" s="15" t="s">
        <v>587</v>
      </c>
      <c r="C748" s="15">
        <v>40773</v>
      </c>
      <c r="D748" s="15" t="s">
        <v>27</v>
      </c>
      <c r="E748" s="15">
        <v>13</v>
      </c>
      <c r="F748" s="27">
        <v>94.81</v>
      </c>
      <c r="G748" s="15" t="s">
        <v>52</v>
      </c>
      <c r="H748" s="35">
        <v>0.27</v>
      </c>
      <c r="I748" s="15" t="s">
        <v>19</v>
      </c>
      <c r="J748" s="27">
        <v>12.8</v>
      </c>
      <c r="K748" s="15" t="s">
        <v>30</v>
      </c>
      <c r="L748" s="15" t="s">
        <v>31</v>
      </c>
      <c r="M748" s="15" t="s">
        <v>22</v>
      </c>
      <c r="N748" s="15" t="s">
        <v>38</v>
      </c>
      <c r="O748" s="15" t="s">
        <v>24</v>
      </c>
      <c r="P748" s="15" t="s">
        <v>40</v>
      </c>
      <c r="Q748" s="27">
        <v>1232.53</v>
      </c>
      <c r="R748" s="27">
        <v>332.78309999999999</v>
      </c>
      <c r="S748" s="31">
        <v>899.74689999999998</v>
      </c>
    </row>
    <row r="749" spans="1:19" x14ac:dyDescent="0.25">
      <c r="A749" s="20">
        <v>45700</v>
      </c>
      <c r="B749" s="15" t="s">
        <v>602</v>
      </c>
      <c r="C749" s="15">
        <v>92099</v>
      </c>
      <c r="D749" s="15" t="s">
        <v>27</v>
      </c>
      <c r="E749" s="15">
        <v>12</v>
      </c>
      <c r="F749" s="27">
        <v>57.92</v>
      </c>
      <c r="G749" s="15" t="s">
        <v>55</v>
      </c>
      <c r="H749" s="35">
        <v>0.5</v>
      </c>
      <c r="I749" s="15" t="s">
        <v>734</v>
      </c>
      <c r="J749" s="27">
        <v>5.68</v>
      </c>
      <c r="K749" s="15" t="s">
        <v>20</v>
      </c>
      <c r="L749" s="15" t="s">
        <v>31</v>
      </c>
      <c r="M749" s="15" t="s">
        <v>111</v>
      </c>
      <c r="N749" s="15" t="s">
        <v>32</v>
      </c>
      <c r="O749" s="15" t="s">
        <v>59</v>
      </c>
      <c r="P749" s="15" t="s">
        <v>40</v>
      </c>
      <c r="Q749" s="27">
        <v>695.04</v>
      </c>
      <c r="R749" s="27">
        <v>347.52</v>
      </c>
      <c r="S749" s="31">
        <v>347.52</v>
      </c>
    </row>
    <row r="750" spans="1:19" x14ac:dyDescent="0.25">
      <c r="A750" s="20">
        <v>45701</v>
      </c>
      <c r="B750" s="15" t="s">
        <v>603</v>
      </c>
      <c r="C750" s="15">
        <v>22213</v>
      </c>
      <c r="D750" s="15" t="s">
        <v>70</v>
      </c>
      <c r="E750" s="15">
        <v>30</v>
      </c>
      <c r="F750" s="27">
        <v>58.01</v>
      </c>
      <c r="G750" s="15" t="s">
        <v>72</v>
      </c>
      <c r="H750" s="35">
        <v>0.27</v>
      </c>
      <c r="I750" s="15" t="s">
        <v>19</v>
      </c>
      <c r="J750" s="27">
        <v>6.7</v>
      </c>
      <c r="K750" s="15" t="s">
        <v>44</v>
      </c>
      <c r="L750" s="15" t="s">
        <v>31</v>
      </c>
      <c r="M750" s="15" t="s">
        <v>22</v>
      </c>
      <c r="N750" s="15" t="s">
        <v>38</v>
      </c>
      <c r="O750" s="15" t="s">
        <v>24</v>
      </c>
      <c r="P750" s="15" t="s">
        <v>40</v>
      </c>
      <c r="Q750" s="27">
        <v>1740.3</v>
      </c>
      <c r="R750" s="27">
        <v>469.88100000000003</v>
      </c>
      <c r="S750" s="31">
        <v>1270.4189999999999</v>
      </c>
    </row>
    <row r="751" spans="1:19" x14ac:dyDescent="0.25">
      <c r="A751" s="20">
        <v>45701</v>
      </c>
      <c r="B751" s="15" t="s">
        <v>604</v>
      </c>
      <c r="C751" s="15">
        <v>53514</v>
      </c>
      <c r="D751" s="15" t="s">
        <v>57</v>
      </c>
      <c r="E751" s="15">
        <v>43</v>
      </c>
      <c r="F751" s="27">
        <v>56.9</v>
      </c>
      <c r="G751" s="15" t="s">
        <v>47</v>
      </c>
      <c r="H751" s="35">
        <v>0.09</v>
      </c>
      <c r="I751" s="15" t="s">
        <v>29</v>
      </c>
      <c r="J751" s="27">
        <v>12.43</v>
      </c>
      <c r="K751" s="15" t="s">
        <v>37</v>
      </c>
      <c r="L751" s="15" t="s">
        <v>21</v>
      </c>
      <c r="M751" s="15" t="s">
        <v>22</v>
      </c>
      <c r="N751" s="15" t="s">
        <v>53</v>
      </c>
      <c r="O751" s="15" t="s">
        <v>81</v>
      </c>
      <c r="P751" s="15" t="s">
        <v>25</v>
      </c>
      <c r="Q751" s="27">
        <v>2446.6999999999998</v>
      </c>
      <c r="R751" s="27">
        <v>220.20299999999997</v>
      </c>
      <c r="S751" s="31">
        <v>2226.4969999999998</v>
      </c>
    </row>
    <row r="752" spans="1:19" x14ac:dyDescent="0.25">
      <c r="A752" s="20">
        <v>45701</v>
      </c>
      <c r="B752" s="15" t="s">
        <v>597</v>
      </c>
      <c r="C752" s="15">
        <v>59142</v>
      </c>
      <c r="D752" s="15" t="s">
        <v>89</v>
      </c>
      <c r="E752" s="15">
        <v>48</v>
      </c>
      <c r="F752" s="27">
        <v>12.47</v>
      </c>
      <c r="G752" s="15" t="s">
        <v>99</v>
      </c>
      <c r="H752" s="35">
        <v>0.18</v>
      </c>
      <c r="I752" s="15" t="s">
        <v>29</v>
      </c>
      <c r="J752" s="27">
        <v>9.49</v>
      </c>
      <c r="K752" s="15" t="s">
        <v>20</v>
      </c>
      <c r="L752" s="15" t="s">
        <v>31</v>
      </c>
      <c r="M752" s="15" t="s">
        <v>22</v>
      </c>
      <c r="N752" s="15" t="s">
        <v>32</v>
      </c>
      <c r="O752" s="15" t="s">
        <v>24</v>
      </c>
      <c r="P752" s="15" t="s">
        <v>25</v>
      </c>
      <c r="Q752" s="27">
        <v>598.56000000000006</v>
      </c>
      <c r="R752" s="27">
        <v>107.74080000000001</v>
      </c>
      <c r="S752" s="31">
        <v>490.81920000000002</v>
      </c>
    </row>
    <row r="753" spans="1:19" x14ac:dyDescent="0.25">
      <c r="A753" s="20">
        <v>45701</v>
      </c>
      <c r="B753" s="15" t="s">
        <v>127</v>
      </c>
      <c r="C753" s="15">
        <v>16455</v>
      </c>
      <c r="D753" s="15" t="s">
        <v>70</v>
      </c>
      <c r="E753" s="15">
        <v>49</v>
      </c>
      <c r="F753" s="27">
        <v>14.27</v>
      </c>
      <c r="G753" s="15" t="s">
        <v>76</v>
      </c>
      <c r="H753" s="35">
        <v>0.41</v>
      </c>
      <c r="I753" s="15" t="s">
        <v>29</v>
      </c>
      <c r="J753" s="27">
        <v>11.91</v>
      </c>
      <c r="K753" s="15" t="s">
        <v>30</v>
      </c>
      <c r="L753" s="15" t="s">
        <v>31</v>
      </c>
      <c r="M753" s="15" t="s">
        <v>22</v>
      </c>
      <c r="N753" s="15" t="s">
        <v>53</v>
      </c>
      <c r="O753" s="15" t="s">
        <v>59</v>
      </c>
      <c r="P753" s="15" t="s">
        <v>40</v>
      </c>
      <c r="Q753" s="27">
        <v>699.23</v>
      </c>
      <c r="R753" s="27">
        <v>286.68430000000001</v>
      </c>
      <c r="S753" s="31">
        <v>412.54570000000001</v>
      </c>
    </row>
    <row r="754" spans="1:19" x14ac:dyDescent="0.25">
      <c r="A754" s="20">
        <v>45701</v>
      </c>
      <c r="B754" s="15" t="s">
        <v>605</v>
      </c>
      <c r="C754" s="15">
        <v>57141</v>
      </c>
      <c r="D754" s="15" t="s">
        <v>66</v>
      </c>
      <c r="E754" s="15">
        <v>39</v>
      </c>
      <c r="F754" s="27">
        <v>86.32</v>
      </c>
      <c r="G754" s="15" t="s">
        <v>36</v>
      </c>
      <c r="H754" s="35">
        <v>0.06</v>
      </c>
      <c r="I754" s="15" t="s">
        <v>734</v>
      </c>
      <c r="J754" s="27">
        <v>15.49</v>
      </c>
      <c r="K754" s="15" t="s">
        <v>30</v>
      </c>
      <c r="L754" s="15" t="s">
        <v>31</v>
      </c>
      <c r="M754" s="15" t="s">
        <v>111</v>
      </c>
      <c r="N754" s="15" t="s">
        <v>23</v>
      </c>
      <c r="O754" s="15" t="s">
        <v>24</v>
      </c>
      <c r="P754" s="15" t="s">
        <v>34</v>
      </c>
      <c r="Q754" s="27">
        <v>3366.4799999999996</v>
      </c>
      <c r="R754" s="27">
        <v>201.98879999999997</v>
      </c>
      <c r="S754" s="31">
        <v>3164.4911999999995</v>
      </c>
    </row>
    <row r="755" spans="1:19" x14ac:dyDescent="0.25">
      <c r="A755" s="20">
        <v>45701</v>
      </c>
      <c r="B755" s="15" t="s">
        <v>172</v>
      </c>
      <c r="C755" s="15">
        <v>75513</v>
      </c>
      <c r="D755" s="15" t="s">
        <v>46</v>
      </c>
      <c r="E755" s="15">
        <v>4</v>
      </c>
      <c r="F755" s="27">
        <v>28.14</v>
      </c>
      <c r="G755" s="15" t="s">
        <v>55</v>
      </c>
      <c r="H755" s="35">
        <v>0</v>
      </c>
      <c r="I755" s="15" t="s">
        <v>734</v>
      </c>
      <c r="J755" s="27">
        <v>9.24</v>
      </c>
      <c r="K755" s="15" t="s">
        <v>30</v>
      </c>
      <c r="L755" s="15" t="s">
        <v>31</v>
      </c>
      <c r="M755" s="15" t="s">
        <v>22</v>
      </c>
      <c r="N755" s="15" t="s">
        <v>23</v>
      </c>
      <c r="O755" s="15" t="s">
        <v>39</v>
      </c>
      <c r="P755" s="15" t="s">
        <v>40</v>
      </c>
      <c r="Q755" s="27">
        <v>112.56</v>
      </c>
      <c r="R755" s="27">
        <v>0</v>
      </c>
      <c r="S755" s="31">
        <v>112.56</v>
      </c>
    </row>
    <row r="756" spans="1:19" x14ac:dyDescent="0.25">
      <c r="A756" s="20">
        <v>45701</v>
      </c>
      <c r="B756" s="15" t="s">
        <v>606</v>
      </c>
      <c r="C756" s="15">
        <v>90392</v>
      </c>
      <c r="D756" s="15" t="s">
        <v>17</v>
      </c>
      <c r="E756" s="15">
        <v>17</v>
      </c>
      <c r="F756" s="27">
        <v>47.37</v>
      </c>
      <c r="G756" s="15" t="s">
        <v>76</v>
      </c>
      <c r="H756" s="35">
        <v>0.15</v>
      </c>
      <c r="I756" s="15" t="s">
        <v>19</v>
      </c>
      <c r="J756" s="27">
        <v>29.96</v>
      </c>
      <c r="K756" s="15" t="s">
        <v>30</v>
      </c>
      <c r="L756" s="15" t="s">
        <v>21</v>
      </c>
      <c r="M756" s="15" t="s">
        <v>111</v>
      </c>
      <c r="N756" s="15" t="s">
        <v>38</v>
      </c>
      <c r="O756" s="15" t="s">
        <v>33</v>
      </c>
      <c r="P756" s="15" t="s">
        <v>34</v>
      </c>
      <c r="Q756" s="27">
        <v>805.29</v>
      </c>
      <c r="R756" s="27">
        <v>120.79349999999999</v>
      </c>
      <c r="S756" s="31">
        <v>684.49649999999997</v>
      </c>
    </row>
    <row r="757" spans="1:19" x14ac:dyDescent="0.25">
      <c r="A757" s="20">
        <v>45701</v>
      </c>
      <c r="B757" s="15" t="s">
        <v>607</v>
      </c>
      <c r="C757" s="15">
        <v>75065</v>
      </c>
      <c r="D757" s="15" t="s">
        <v>68</v>
      </c>
      <c r="E757" s="15">
        <v>44</v>
      </c>
      <c r="F757" s="27">
        <v>1.54</v>
      </c>
      <c r="G757" s="15" t="s">
        <v>43</v>
      </c>
      <c r="H757" s="35">
        <v>0.14000000000000001</v>
      </c>
      <c r="I757" s="15" t="s">
        <v>19</v>
      </c>
      <c r="J757" s="27">
        <v>12.87</v>
      </c>
      <c r="K757" s="15" t="s">
        <v>30</v>
      </c>
      <c r="L757" s="15" t="s">
        <v>21</v>
      </c>
      <c r="M757" s="15" t="s">
        <v>22</v>
      </c>
      <c r="N757" s="15" t="s">
        <v>53</v>
      </c>
      <c r="O757" s="15" t="s">
        <v>39</v>
      </c>
      <c r="P757" s="15" t="s">
        <v>34</v>
      </c>
      <c r="Q757" s="27">
        <v>67.760000000000005</v>
      </c>
      <c r="R757" s="27">
        <v>9.4864000000000015</v>
      </c>
      <c r="S757" s="31">
        <v>58.273600000000002</v>
      </c>
    </row>
    <row r="758" spans="1:19" x14ac:dyDescent="0.25">
      <c r="A758" s="20">
        <v>45701</v>
      </c>
      <c r="B758" s="15" t="s">
        <v>608</v>
      </c>
      <c r="C758" s="15">
        <v>56000</v>
      </c>
      <c r="D758" s="15" t="s">
        <v>89</v>
      </c>
      <c r="E758" s="15">
        <v>1</v>
      </c>
      <c r="F758" s="27">
        <v>13.94</v>
      </c>
      <c r="G758" s="15" t="s">
        <v>43</v>
      </c>
      <c r="H758" s="35">
        <v>0.05</v>
      </c>
      <c r="I758" s="15" t="s">
        <v>734</v>
      </c>
      <c r="J758" s="27">
        <v>19.28</v>
      </c>
      <c r="K758" s="15" t="s">
        <v>50</v>
      </c>
      <c r="L758" s="15" t="s">
        <v>31</v>
      </c>
      <c r="M758" s="15" t="s">
        <v>111</v>
      </c>
      <c r="N758" s="15" t="s">
        <v>23</v>
      </c>
      <c r="O758" s="15" t="s">
        <v>33</v>
      </c>
      <c r="P758" s="15" t="s">
        <v>25</v>
      </c>
      <c r="Q758" s="27">
        <v>13.94</v>
      </c>
      <c r="R758" s="27">
        <v>0.69700000000000006</v>
      </c>
      <c r="S758" s="31">
        <v>13.242999999999999</v>
      </c>
    </row>
    <row r="759" spans="1:19" x14ac:dyDescent="0.25">
      <c r="A759" s="20">
        <v>45701</v>
      </c>
      <c r="B759" s="15" t="s">
        <v>151</v>
      </c>
      <c r="C759" s="15">
        <v>39906</v>
      </c>
      <c r="D759" s="15" t="s">
        <v>27</v>
      </c>
      <c r="E759" s="15">
        <v>44</v>
      </c>
      <c r="F759" s="27">
        <v>52.56</v>
      </c>
      <c r="G759" s="15" t="s">
        <v>76</v>
      </c>
      <c r="H759" s="35">
        <v>0.41</v>
      </c>
      <c r="I759" s="15" t="s">
        <v>29</v>
      </c>
      <c r="J759" s="27">
        <v>28.13</v>
      </c>
      <c r="K759" s="15" t="s">
        <v>20</v>
      </c>
      <c r="L759" s="15" t="s">
        <v>31</v>
      </c>
      <c r="M759" s="15" t="s">
        <v>22</v>
      </c>
      <c r="N759" s="15" t="s">
        <v>23</v>
      </c>
      <c r="O759" s="15" t="s">
        <v>59</v>
      </c>
      <c r="P759" s="15" t="s">
        <v>40</v>
      </c>
      <c r="Q759" s="27">
        <v>2312.6400000000003</v>
      </c>
      <c r="R759" s="27">
        <v>948.18240000000003</v>
      </c>
      <c r="S759" s="31">
        <v>1364.4576000000002</v>
      </c>
    </row>
    <row r="760" spans="1:19" x14ac:dyDescent="0.25">
      <c r="A760" s="20">
        <v>45701</v>
      </c>
      <c r="B760" s="15" t="s">
        <v>609</v>
      </c>
      <c r="C760" s="15">
        <v>33789</v>
      </c>
      <c r="D760" s="15" t="s">
        <v>70</v>
      </c>
      <c r="E760" s="15">
        <v>16</v>
      </c>
      <c r="F760" s="27">
        <v>6.55</v>
      </c>
      <c r="G760" s="15" t="s">
        <v>47</v>
      </c>
      <c r="H760" s="35">
        <v>0.44</v>
      </c>
      <c r="I760" s="15" t="s">
        <v>734</v>
      </c>
      <c r="J760" s="27">
        <v>20.149999999999999</v>
      </c>
      <c r="K760" s="15" t="s">
        <v>20</v>
      </c>
      <c r="L760" s="15" t="s">
        <v>31</v>
      </c>
      <c r="M760" s="15" t="s">
        <v>111</v>
      </c>
      <c r="N760" s="15" t="s">
        <v>53</v>
      </c>
      <c r="O760" s="15" t="s">
        <v>33</v>
      </c>
      <c r="P760" s="15" t="s">
        <v>40</v>
      </c>
      <c r="Q760" s="27">
        <v>104.8</v>
      </c>
      <c r="R760" s="27">
        <v>46.112000000000002</v>
      </c>
      <c r="S760" s="31">
        <v>58.687999999999995</v>
      </c>
    </row>
    <row r="761" spans="1:19" x14ac:dyDescent="0.25">
      <c r="A761" s="20">
        <v>45701</v>
      </c>
      <c r="B761" s="15" t="s">
        <v>610</v>
      </c>
      <c r="C761" s="15">
        <v>25174</v>
      </c>
      <c r="D761" s="15" t="s">
        <v>66</v>
      </c>
      <c r="E761" s="15">
        <v>10</v>
      </c>
      <c r="F761" s="27">
        <v>73.92</v>
      </c>
      <c r="G761" s="15" t="s">
        <v>43</v>
      </c>
      <c r="H761" s="35">
        <v>0.41</v>
      </c>
      <c r="I761" s="15" t="s">
        <v>29</v>
      </c>
      <c r="J761" s="27">
        <v>26.43</v>
      </c>
      <c r="K761" s="15" t="s">
        <v>20</v>
      </c>
      <c r="L761" s="15" t="s">
        <v>31</v>
      </c>
      <c r="M761" s="15" t="s">
        <v>22</v>
      </c>
      <c r="N761" s="15" t="s">
        <v>38</v>
      </c>
      <c r="O761" s="15" t="s">
        <v>33</v>
      </c>
      <c r="P761" s="15" t="s">
        <v>34</v>
      </c>
      <c r="Q761" s="27">
        <v>739.2</v>
      </c>
      <c r="R761" s="27">
        <v>303.072</v>
      </c>
      <c r="S761" s="31">
        <v>436.12800000000004</v>
      </c>
    </row>
    <row r="762" spans="1:19" x14ac:dyDescent="0.25">
      <c r="A762" s="20">
        <v>45701</v>
      </c>
      <c r="B762" s="15" t="s">
        <v>611</v>
      </c>
      <c r="C762" s="15">
        <v>86332</v>
      </c>
      <c r="D762" s="15" t="s">
        <v>89</v>
      </c>
      <c r="E762" s="15">
        <v>2</v>
      </c>
      <c r="F762" s="27">
        <v>38.44</v>
      </c>
      <c r="G762" s="15" t="s">
        <v>52</v>
      </c>
      <c r="H762" s="35">
        <v>0.3</v>
      </c>
      <c r="I762" s="15" t="s">
        <v>19</v>
      </c>
      <c r="J762" s="27">
        <v>19.66</v>
      </c>
      <c r="K762" s="15" t="s">
        <v>44</v>
      </c>
      <c r="L762" s="15" t="s">
        <v>21</v>
      </c>
      <c r="M762" s="15" t="s">
        <v>22</v>
      </c>
      <c r="N762" s="15" t="s">
        <v>53</v>
      </c>
      <c r="O762" s="15" t="s">
        <v>33</v>
      </c>
      <c r="P762" s="15" t="s">
        <v>34</v>
      </c>
      <c r="Q762" s="27">
        <v>76.88</v>
      </c>
      <c r="R762" s="27">
        <v>23.063999999999997</v>
      </c>
      <c r="S762" s="31">
        <v>53.816000000000003</v>
      </c>
    </row>
    <row r="763" spans="1:19" x14ac:dyDescent="0.25">
      <c r="A763" s="20">
        <v>45701</v>
      </c>
      <c r="B763" s="15" t="s">
        <v>612</v>
      </c>
      <c r="C763" s="15">
        <v>48221</v>
      </c>
      <c r="D763" s="15" t="s">
        <v>42</v>
      </c>
      <c r="E763" s="15">
        <v>11</v>
      </c>
      <c r="F763" s="27">
        <v>99.17</v>
      </c>
      <c r="G763" s="15" t="s">
        <v>58</v>
      </c>
      <c r="H763" s="35">
        <v>0.28000000000000003</v>
      </c>
      <c r="I763" s="15" t="s">
        <v>29</v>
      </c>
      <c r="J763" s="27">
        <v>21.08</v>
      </c>
      <c r="K763" s="15" t="s">
        <v>44</v>
      </c>
      <c r="L763" s="15" t="s">
        <v>31</v>
      </c>
      <c r="M763" s="15" t="s">
        <v>22</v>
      </c>
      <c r="N763" s="15" t="s">
        <v>32</v>
      </c>
      <c r="O763" s="15" t="s">
        <v>39</v>
      </c>
      <c r="P763" s="15" t="s">
        <v>40</v>
      </c>
      <c r="Q763" s="27">
        <v>1090.8700000000001</v>
      </c>
      <c r="R763" s="27">
        <v>305.44360000000006</v>
      </c>
      <c r="S763" s="31">
        <v>785.42640000000006</v>
      </c>
    </row>
    <row r="764" spans="1:19" x14ac:dyDescent="0.25">
      <c r="A764" s="20">
        <v>45701</v>
      </c>
      <c r="B764" s="15" t="s">
        <v>613</v>
      </c>
      <c r="C764" s="15">
        <v>65448</v>
      </c>
      <c r="D764" s="15" t="s">
        <v>66</v>
      </c>
      <c r="E764" s="15">
        <v>3</v>
      </c>
      <c r="F764" s="27">
        <v>26.1</v>
      </c>
      <c r="G764" s="15" t="s">
        <v>28</v>
      </c>
      <c r="H764" s="35">
        <v>0.48</v>
      </c>
      <c r="I764" s="15" t="s">
        <v>19</v>
      </c>
      <c r="J764" s="27">
        <v>10.45</v>
      </c>
      <c r="K764" s="15" t="s">
        <v>20</v>
      </c>
      <c r="L764" s="15" t="s">
        <v>31</v>
      </c>
      <c r="M764" s="15" t="s">
        <v>22</v>
      </c>
      <c r="N764" s="15" t="s">
        <v>23</v>
      </c>
      <c r="O764" s="15" t="s">
        <v>33</v>
      </c>
      <c r="P764" s="15" t="s">
        <v>34</v>
      </c>
      <c r="Q764" s="27">
        <v>78.300000000000011</v>
      </c>
      <c r="R764" s="27">
        <v>37.584000000000003</v>
      </c>
      <c r="S764" s="31">
        <v>40.716000000000008</v>
      </c>
    </row>
    <row r="765" spans="1:19" x14ac:dyDescent="0.25">
      <c r="A765" s="20">
        <v>45701</v>
      </c>
      <c r="B765" s="15" t="s">
        <v>163</v>
      </c>
      <c r="C765" s="15">
        <v>27058</v>
      </c>
      <c r="D765" s="15" t="s">
        <v>17</v>
      </c>
      <c r="E765" s="15">
        <v>8</v>
      </c>
      <c r="F765" s="27">
        <v>28.36</v>
      </c>
      <c r="G765" s="15" t="s">
        <v>84</v>
      </c>
      <c r="H765" s="35">
        <v>0.22</v>
      </c>
      <c r="I765" s="15" t="s">
        <v>19</v>
      </c>
      <c r="J765" s="27">
        <v>19</v>
      </c>
      <c r="K765" s="15" t="s">
        <v>20</v>
      </c>
      <c r="L765" s="15" t="s">
        <v>31</v>
      </c>
      <c r="M765" s="15" t="s">
        <v>22</v>
      </c>
      <c r="N765" s="15" t="s">
        <v>53</v>
      </c>
      <c r="O765" s="15" t="s">
        <v>33</v>
      </c>
      <c r="P765" s="15" t="s">
        <v>40</v>
      </c>
      <c r="Q765" s="27">
        <v>226.88</v>
      </c>
      <c r="R765" s="27">
        <v>49.913600000000002</v>
      </c>
      <c r="S765" s="31">
        <v>176.96639999999999</v>
      </c>
    </row>
    <row r="766" spans="1:19" x14ac:dyDescent="0.25">
      <c r="A766" s="20">
        <v>45701</v>
      </c>
      <c r="B766" s="15" t="s">
        <v>614</v>
      </c>
      <c r="C766" s="15">
        <v>97050</v>
      </c>
      <c r="D766" s="15" t="s">
        <v>17</v>
      </c>
      <c r="E766" s="15">
        <v>16</v>
      </c>
      <c r="F766" s="27">
        <v>96.46</v>
      </c>
      <c r="G766" s="15" t="s">
        <v>84</v>
      </c>
      <c r="H766" s="35">
        <v>0.05</v>
      </c>
      <c r="I766" s="15" t="s">
        <v>29</v>
      </c>
      <c r="J766" s="27">
        <v>12.15</v>
      </c>
      <c r="K766" s="15" t="s">
        <v>30</v>
      </c>
      <c r="L766" s="15" t="s">
        <v>21</v>
      </c>
      <c r="M766" s="15" t="s">
        <v>22</v>
      </c>
      <c r="N766" s="15" t="s">
        <v>53</v>
      </c>
      <c r="O766" s="15" t="s">
        <v>59</v>
      </c>
      <c r="P766" s="15" t="s">
        <v>34</v>
      </c>
      <c r="Q766" s="27">
        <v>1543.36</v>
      </c>
      <c r="R766" s="27">
        <v>77.168000000000006</v>
      </c>
      <c r="S766" s="31">
        <v>1466.192</v>
      </c>
    </row>
    <row r="767" spans="1:19" x14ac:dyDescent="0.25">
      <c r="A767" s="20">
        <v>45701</v>
      </c>
      <c r="B767" s="15" t="s">
        <v>615</v>
      </c>
      <c r="C767" s="15">
        <v>39808</v>
      </c>
      <c r="D767" s="15" t="s">
        <v>75</v>
      </c>
      <c r="E767" s="15">
        <v>47</v>
      </c>
      <c r="F767" s="27">
        <v>30.39</v>
      </c>
      <c r="G767" s="15" t="s">
        <v>55</v>
      </c>
      <c r="H767" s="35">
        <v>0.1</v>
      </c>
      <c r="I767" s="15" t="s">
        <v>19</v>
      </c>
      <c r="J767" s="27">
        <v>21.53</v>
      </c>
      <c r="K767" s="15" t="s">
        <v>50</v>
      </c>
      <c r="L767" s="15" t="s">
        <v>31</v>
      </c>
      <c r="M767" s="15" t="s">
        <v>22</v>
      </c>
      <c r="N767" s="15" t="s">
        <v>53</v>
      </c>
      <c r="O767" s="15" t="s">
        <v>59</v>
      </c>
      <c r="P767" s="15" t="s">
        <v>25</v>
      </c>
      <c r="Q767" s="27">
        <v>1428.33</v>
      </c>
      <c r="R767" s="27">
        <v>142.833</v>
      </c>
      <c r="S767" s="31">
        <v>1285.4969999999998</v>
      </c>
    </row>
    <row r="768" spans="1:19" x14ac:dyDescent="0.25">
      <c r="A768" s="20">
        <v>45701</v>
      </c>
      <c r="B768" s="15" t="s">
        <v>616</v>
      </c>
      <c r="C768" s="15">
        <v>39233</v>
      </c>
      <c r="D768" s="15" t="s">
        <v>89</v>
      </c>
      <c r="E768" s="15">
        <v>9</v>
      </c>
      <c r="F768" s="27">
        <v>67.260000000000005</v>
      </c>
      <c r="G768" s="15" t="s">
        <v>84</v>
      </c>
      <c r="H768" s="35">
        <v>0.37</v>
      </c>
      <c r="I768" s="15" t="s">
        <v>19</v>
      </c>
      <c r="J768" s="27">
        <v>11.74</v>
      </c>
      <c r="K768" s="15" t="s">
        <v>20</v>
      </c>
      <c r="L768" s="15" t="s">
        <v>31</v>
      </c>
      <c r="M768" s="15" t="s">
        <v>22</v>
      </c>
      <c r="N768" s="15" t="s">
        <v>32</v>
      </c>
      <c r="O768" s="15" t="s">
        <v>39</v>
      </c>
      <c r="P768" s="15" t="s">
        <v>40</v>
      </c>
      <c r="Q768" s="27">
        <v>605.34</v>
      </c>
      <c r="R768" s="27">
        <v>223.97580000000002</v>
      </c>
      <c r="S768" s="31">
        <v>381.36419999999998</v>
      </c>
    </row>
    <row r="769" spans="1:19" x14ac:dyDescent="0.25">
      <c r="A769" s="20">
        <v>45701</v>
      </c>
      <c r="B769" s="15" t="s">
        <v>617</v>
      </c>
      <c r="C769" s="15">
        <v>35544</v>
      </c>
      <c r="D769" s="15" t="s">
        <v>27</v>
      </c>
      <c r="E769" s="15">
        <v>46</v>
      </c>
      <c r="F769" s="27">
        <v>68.92</v>
      </c>
      <c r="G769" s="15" t="s">
        <v>58</v>
      </c>
      <c r="H769" s="35">
        <v>0.38</v>
      </c>
      <c r="I769" s="15" t="s">
        <v>29</v>
      </c>
      <c r="J769" s="27">
        <v>15.96</v>
      </c>
      <c r="K769" s="15" t="s">
        <v>20</v>
      </c>
      <c r="L769" s="15" t="s">
        <v>31</v>
      </c>
      <c r="M769" s="15" t="s">
        <v>22</v>
      </c>
      <c r="N769" s="15" t="s">
        <v>32</v>
      </c>
      <c r="O769" s="15" t="s">
        <v>39</v>
      </c>
      <c r="P769" s="15" t="s">
        <v>34</v>
      </c>
      <c r="Q769" s="27">
        <v>3170.32</v>
      </c>
      <c r="R769" s="27">
        <v>1204.7216000000001</v>
      </c>
      <c r="S769" s="31">
        <v>1965.5984000000001</v>
      </c>
    </row>
    <row r="770" spans="1:19" x14ac:dyDescent="0.25">
      <c r="A770" s="20">
        <v>45701</v>
      </c>
      <c r="B770" s="15" t="s">
        <v>618</v>
      </c>
      <c r="C770" s="15">
        <v>35150</v>
      </c>
      <c r="D770" s="15" t="s">
        <v>70</v>
      </c>
      <c r="E770" s="15">
        <v>46</v>
      </c>
      <c r="F770" s="27">
        <v>83.44</v>
      </c>
      <c r="G770" s="15" t="s">
        <v>55</v>
      </c>
      <c r="H770" s="35">
        <v>0.24</v>
      </c>
      <c r="I770" s="15" t="s">
        <v>19</v>
      </c>
      <c r="J770" s="27">
        <v>21.49</v>
      </c>
      <c r="K770" s="15" t="s">
        <v>37</v>
      </c>
      <c r="L770" s="15" t="s">
        <v>31</v>
      </c>
      <c r="M770" s="15" t="s">
        <v>111</v>
      </c>
      <c r="N770" s="15" t="s">
        <v>32</v>
      </c>
      <c r="O770" s="15" t="s">
        <v>81</v>
      </c>
      <c r="P770" s="15" t="s">
        <v>25</v>
      </c>
      <c r="Q770" s="27">
        <v>3838.24</v>
      </c>
      <c r="R770" s="27">
        <v>921.17759999999987</v>
      </c>
      <c r="S770" s="31">
        <v>2917.0623999999998</v>
      </c>
    </row>
    <row r="771" spans="1:19" x14ac:dyDescent="0.25">
      <c r="A771" s="20">
        <v>45701</v>
      </c>
      <c r="B771" s="15" t="s">
        <v>219</v>
      </c>
      <c r="C771" s="15">
        <v>16019</v>
      </c>
      <c r="D771" s="15" t="s">
        <v>68</v>
      </c>
      <c r="E771" s="15">
        <v>27</v>
      </c>
      <c r="F771" s="27">
        <v>97.02</v>
      </c>
      <c r="G771" s="15" t="s">
        <v>52</v>
      </c>
      <c r="H771" s="35">
        <v>0.19</v>
      </c>
      <c r="I771" s="15" t="s">
        <v>734</v>
      </c>
      <c r="J771" s="27">
        <v>16.47</v>
      </c>
      <c r="K771" s="15" t="s">
        <v>44</v>
      </c>
      <c r="L771" s="15" t="s">
        <v>21</v>
      </c>
      <c r="M771" s="15" t="s">
        <v>22</v>
      </c>
      <c r="N771" s="15" t="s">
        <v>32</v>
      </c>
      <c r="O771" s="15" t="s">
        <v>59</v>
      </c>
      <c r="P771" s="15" t="s">
        <v>25</v>
      </c>
      <c r="Q771" s="27">
        <v>2619.54</v>
      </c>
      <c r="R771" s="27">
        <v>497.71260000000001</v>
      </c>
      <c r="S771" s="31">
        <v>2121.8274000000001</v>
      </c>
    </row>
    <row r="772" spans="1:19" x14ac:dyDescent="0.25">
      <c r="A772" s="20">
        <v>45702</v>
      </c>
      <c r="B772" s="15" t="s">
        <v>337</v>
      </c>
      <c r="C772" s="15">
        <v>28197</v>
      </c>
      <c r="D772" s="15" t="s">
        <v>17</v>
      </c>
      <c r="E772" s="15">
        <v>22</v>
      </c>
      <c r="F772" s="27">
        <v>57.2</v>
      </c>
      <c r="G772" s="15" t="s">
        <v>28</v>
      </c>
      <c r="H772" s="35">
        <v>7.0000000000000007E-2</v>
      </c>
      <c r="I772" s="15" t="s">
        <v>19</v>
      </c>
      <c r="J772" s="27">
        <v>18.399999999999999</v>
      </c>
      <c r="K772" s="15" t="s">
        <v>37</v>
      </c>
      <c r="L772" s="15" t="s">
        <v>31</v>
      </c>
      <c r="M772" s="15" t="s">
        <v>22</v>
      </c>
      <c r="N772" s="15" t="s">
        <v>23</v>
      </c>
      <c r="O772" s="15" t="s">
        <v>24</v>
      </c>
      <c r="P772" s="15" t="s">
        <v>25</v>
      </c>
      <c r="Q772" s="27">
        <v>1258.4000000000001</v>
      </c>
      <c r="R772" s="27">
        <v>88.088000000000008</v>
      </c>
      <c r="S772" s="31">
        <v>1170.3120000000001</v>
      </c>
    </row>
    <row r="773" spans="1:19" x14ac:dyDescent="0.25">
      <c r="A773" s="20">
        <v>45702</v>
      </c>
      <c r="B773" s="15" t="s">
        <v>247</v>
      </c>
      <c r="C773" s="15">
        <v>21633</v>
      </c>
      <c r="D773" s="15" t="s">
        <v>75</v>
      </c>
      <c r="E773" s="15">
        <v>27</v>
      </c>
      <c r="F773" s="27">
        <v>55.2</v>
      </c>
      <c r="G773" s="15" t="s">
        <v>18</v>
      </c>
      <c r="H773" s="35">
        <v>0.06</v>
      </c>
      <c r="I773" s="15" t="s">
        <v>734</v>
      </c>
      <c r="J773" s="27">
        <v>14.25</v>
      </c>
      <c r="K773" s="15" t="s">
        <v>44</v>
      </c>
      <c r="L773" s="15" t="s">
        <v>31</v>
      </c>
      <c r="M773" s="15" t="s">
        <v>22</v>
      </c>
      <c r="N773" s="15" t="s">
        <v>32</v>
      </c>
      <c r="O773" s="15" t="s">
        <v>39</v>
      </c>
      <c r="P773" s="15" t="s">
        <v>40</v>
      </c>
      <c r="Q773" s="27">
        <v>1490.4</v>
      </c>
      <c r="R773" s="27">
        <v>89.424000000000007</v>
      </c>
      <c r="S773" s="31">
        <v>1400.9760000000001</v>
      </c>
    </row>
    <row r="774" spans="1:19" x14ac:dyDescent="0.25">
      <c r="A774" s="20">
        <v>45702</v>
      </c>
      <c r="B774" s="15" t="s">
        <v>619</v>
      </c>
      <c r="C774" s="15">
        <v>68604</v>
      </c>
      <c r="D774" s="15" t="s">
        <v>17</v>
      </c>
      <c r="E774" s="15">
        <v>38</v>
      </c>
      <c r="F774" s="27">
        <v>34.590000000000003</v>
      </c>
      <c r="G774" s="15" t="s">
        <v>47</v>
      </c>
      <c r="H774" s="35">
        <v>0.46</v>
      </c>
      <c r="I774" s="15" t="s">
        <v>19</v>
      </c>
      <c r="J774" s="27">
        <v>20.57</v>
      </c>
      <c r="K774" s="15" t="s">
        <v>30</v>
      </c>
      <c r="L774" s="15" t="s">
        <v>31</v>
      </c>
      <c r="M774" s="15" t="s">
        <v>22</v>
      </c>
      <c r="N774" s="15" t="s">
        <v>23</v>
      </c>
      <c r="O774" s="15" t="s">
        <v>81</v>
      </c>
      <c r="P774" s="15" t="s">
        <v>25</v>
      </c>
      <c r="Q774" s="27">
        <v>1314.42</v>
      </c>
      <c r="R774" s="27">
        <v>604.6332000000001</v>
      </c>
      <c r="S774" s="31">
        <v>709.78679999999997</v>
      </c>
    </row>
    <row r="775" spans="1:19" x14ac:dyDescent="0.25">
      <c r="A775" s="20">
        <v>45702</v>
      </c>
      <c r="B775" s="15" t="s">
        <v>334</v>
      </c>
      <c r="C775" s="15">
        <v>90393</v>
      </c>
      <c r="D775" s="15" t="s">
        <v>68</v>
      </c>
      <c r="E775" s="15">
        <v>6</v>
      </c>
      <c r="F775" s="27">
        <v>50.45</v>
      </c>
      <c r="G775" s="15" t="s">
        <v>55</v>
      </c>
      <c r="H775" s="35">
        <v>0.25</v>
      </c>
      <c r="I775" s="15" t="s">
        <v>19</v>
      </c>
      <c r="J775" s="27">
        <v>27.28</v>
      </c>
      <c r="K775" s="15" t="s">
        <v>20</v>
      </c>
      <c r="L775" s="15" t="s">
        <v>21</v>
      </c>
      <c r="M775" s="15" t="s">
        <v>22</v>
      </c>
      <c r="N775" s="15" t="s">
        <v>38</v>
      </c>
      <c r="O775" s="15" t="s">
        <v>39</v>
      </c>
      <c r="P775" s="15" t="s">
        <v>34</v>
      </c>
      <c r="Q775" s="27">
        <v>302.70000000000005</v>
      </c>
      <c r="R775" s="27">
        <v>75.675000000000011</v>
      </c>
      <c r="S775" s="31">
        <v>227.02500000000003</v>
      </c>
    </row>
    <row r="776" spans="1:19" x14ac:dyDescent="0.25">
      <c r="A776" s="20">
        <v>45702</v>
      </c>
      <c r="B776" s="15" t="s">
        <v>185</v>
      </c>
      <c r="C776" s="15">
        <v>72789</v>
      </c>
      <c r="D776" s="15" t="s">
        <v>42</v>
      </c>
      <c r="E776" s="15">
        <v>21</v>
      </c>
      <c r="F776" s="27">
        <v>20.61</v>
      </c>
      <c r="G776" s="15" t="s">
        <v>99</v>
      </c>
      <c r="H776" s="35">
        <v>0.12</v>
      </c>
      <c r="I776" s="15" t="s">
        <v>734</v>
      </c>
      <c r="J776" s="27">
        <v>13.46</v>
      </c>
      <c r="K776" s="15" t="s">
        <v>50</v>
      </c>
      <c r="L776" s="15" t="s">
        <v>31</v>
      </c>
      <c r="M776" s="15" t="s">
        <v>22</v>
      </c>
      <c r="N776" s="15" t="s">
        <v>53</v>
      </c>
      <c r="O776" s="15" t="s">
        <v>24</v>
      </c>
      <c r="P776" s="15" t="s">
        <v>34</v>
      </c>
      <c r="Q776" s="27">
        <v>432.81</v>
      </c>
      <c r="R776" s="27">
        <v>51.937199999999997</v>
      </c>
      <c r="S776" s="31">
        <v>380.87279999999998</v>
      </c>
    </row>
    <row r="777" spans="1:19" x14ac:dyDescent="0.25">
      <c r="A777" s="20">
        <v>45702</v>
      </c>
      <c r="B777" s="15" t="s">
        <v>145</v>
      </c>
      <c r="C777" s="15">
        <v>59870</v>
      </c>
      <c r="D777" s="15" t="s">
        <v>57</v>
      </c>
      <c r="E777" s="15">
        <v>7</v>
      </c>
      <c r="F777" s="27">
        <v>81.41</v>
      </c>
      <c r="G777" s="15" t="s">
        <v>72</v>
      </c>
      <c r="H777" s="35">
        <v>0.37</v>
      </c>
      <c r="I777" s="15" t="s">
        <v>734</v>
      </c>
      <c r="J777" s="27">
        <v>28.89</v>
      </c>
      <c r="K777" s="15" t="s">
        <v>50</v>
      </c>
      <c r="L777" s="15" t="s">
        <v>21</v>
      </c>
      <c r="M777" s="15" t="s">
        <v>22</v>
      </c>
      <c r="N777" s="15" t="s">
        <v>23</v>
      </c>
      <c r="O777" s="15" t="s">
        <v>81</v>
      </c>
      <c r="P777" s="15" t="s">
        <v>40</v>
      </c>
      <c r="Q777" s="27">
        <v>569.87</v>
      </c>
      <c r="R777" s="27">
        <v>210.8519</v>
      </c>
      <c r="S777" s="31">
        <v>359.0181</v>
      </c>
    </row>
    <row r="778" spans="1:19" x14ac:dyDescent="0.25">
      <c r="A778" s="20">
        <v>45702</v>
      </c>
      <c r="B778" s="15" t="s">
        <v>168</v>
      </c>
      <c r="C778" s="15">
        <v>62995</v>
      </c>
      <c r="D778" s="15" t="s">
        <v>57</v>
      </c>
      <c r="E778" s="15">
        <v>10</v>
      </c>
      <c r="F778" s="27">
        <v>7.45</v>
      </c>
      <c r="G778" s="15" t="s">
        <v>99</v>
      </c>
      <c r="H778" s="35">
        <v>0.13</v>
      </c>
      <c r="I778" s="15" t="s">
        <v>29</v>
      </c>
      <c r="J778" s="27">
        <v>28.73</v>
      </c>
      <c r="K778" s="15" t="s">
        <v>37</v>
      </c>
      <c r="L778" s="15" t="s">
        <v>31</v>
      </c>
      <c r="M778" s="15" t="s">
        <v>22</v>
      </c>
      <c r="N778" s="15" t="s">
        <v>53</v>
      </c>
      <c r="O778" s="15" t="s">
        <v>39</v>
      </c>
      <c r="P778" s="15" t="s">
        <v>25</v>
      </c>
      <c r="Q778" s="27">
        <v>74.5</v>
      </c>
      <c r="R778" s="27">
        <v>9.6850000000000005</v>
      </c>
      <c r="S778" s="31">
        <v>64.814999999999998</v>
      </c>
    </row>
    <row r="779" spans="1:19" x14ac:dyDescent="0.25">
      <c r="A779" s="20">
        <v>45702</v>
      </c>
      <c r="B779" s="15" t="s">
        <v>148</v>
      </c>
      <c r="C779" s="15">
        <v>45850</v>
      </c>
      <c r="D779" s="15" t="s">
        <v>89</v>
      </c>
      <c r="E779" s="15">
        <v>47</v>
      </c>
      <c r="F779" s="27">
        <v>79.78</v>
      </c>
      <c r="G779" s="15" t="s">
        <v>99</v>
      </c>
      <c r="H779" s="35">
        <v>0.36</v>
      </c>
      <c r="I779" s="15" t="s">
        <v>29</v>
      </c>
      <c r="J779" s="27">
        <v>26.21</v>
      </c>
      <c r="K779" s="15" t="s">
        <v>44</v>
      </c>
      <c r="L779" s="15" t="s">
        <v>31</v>
      </c>
      <c r="M779" s="15" t="s">
        <v>22</v>
      </c>
      <c r="N779" s="15" t="s">
        <v>32</v>
      </c>
      <c r="O779" s="15" t="s">
        <v>81</v>
      </c>
      <c r="P779" s="15" t="s">
        <v>40</v>
      </c>
      <c r="Q779" s="27">
        <v>3749.66</v>
      </c>
      <c r="R779" s="27">
        <v>1349.8775999999998</v>
      </c>
      <c r="S779" s="31">
        <v>2399.7824000000001</v>
      </c>
    </row>
    <row r="780" spans="1:19" x14ac:dyDescent="0.25">
      <c r="A780" s="20">
        <v>45702</v>
      </c>
      <c r="B780" s="15" t="s">
        <v>620</v>
      </c>
      <c r="C780" s="15">
        <v>24103</v>
      </c>
      <c r="D780" s="15" t="s">
        <v>89</v>
      </c>
      <c r="E780" s="15">
        <v>16</v>
      </c>
      <c r="F780" s="27">
        <v>96.08</v>
      </c>
      <c r="G780" s="15" t="s">
        <v>28</v>
      </c>
      <c r="H780" s="35">
        <v>0.1</v>
      </c>
      <c r="I780" s="15" t="s">
        <v>734</v>
      </c>
      <c r="J780" s="27">
        <v>16.52</v>
      </c>
      <c r="K780" s="15" t="s">
        <v>50</v>
      </c>
      <c r="L780" s="15" t="s">
        <v>21</v>
      </c>
      <c r="M780" s="15" t="s">
        <v>22</v>
      </c>
      <c r="N780" s="15" t="s">
        <v>53</v>
      </c>
      <c r="O780" s="15" t="s">
        <v>81</v>
      </c>
      <c r="P780" s="15" t="s">
        <v>40</v>
      </c>
      <c r="Q780" s="27">
        <v>1537.28</v>
      </c>
      <c r="R780" s="27">
        <v>153.72800000000001</v>
      </c>
      <c r="S780" s="31">
        <v>1383.5519999999999</v>
      </c>
    </row>
    <row r="781" spans="1:19" x14ac:dyDescent="0.25">
      <c r="A781" s="20">
        <v>45702</v>
      </c>
      <c r="B781" s="15" t="s">
        <v>485</v>
      </c>
      <c r="C781" s="15">
        <v>44835</v>
      </c>
      <c r="D781" s="15" t="s">
        <v>42</v>
      </c>
      <c r="E781" s="15">
        <v>34</v>
      </c>
      <c r="F781" s="27">
        <v>77.94</v>
      </c>
      <c r="G781" s="15" t="s">
        <v>36</v>
      </c>
      <c r="H781" s="35">
        <v>0.24</v>
      </c>
      <c r="I781" s="15" t="s">
        <v>734</v>
      </c>
      <c r="J781" s="27">
        <v>19.43</v>
      </c>
      <c r="K781" s="15" t="s">
        <v>44</v>
      </c>
      <c r="L781" s="15" t="s">
        <v>31</v>
      </c>
      <c r="M781" s="15" t="s">
        <v>22</v>
      </c>
      <c r="N781" s="15" t="s">
        <v>23</v>
      </c>
      <c r="O781" s="15" t="s">
        <v>81</v>
      </c>
      <c r="P781" s="15" t="s">
        <v>25</v>
      </c>
      <c r="Q781" s="27">
        <v>2649.96</v>
      </c>
      <c r="R781" s="27">
        <v>635.99040000000002</v>
      </c>
      <c r="S781" s="31">
        <v>2013.9695999999999</v>
      </c>
    </row>
    <row r="782" spans="1:19" x14ac:dyDescent="0.25">
      <c r="A782" s="20">
        <v>45702</v>
      </c>
      <c r="B782" s="15" t="s">
        <v>135</v>
      </c>
      <c r="C782" s="15">
        <v>45616</v>
      </c>
      <c r="D782" s="15" t="s">
        <v>68</v>
      </c>
      <c r="E782" s="15">
        <v>34</v>
      </c>
      <c r="F782" s="27">
        <v>86.56</v>
      </c>
      <c r="G782" s="15" t="s">
        <v>58</v>
      </c>
      <c r="H782" s="35">
        <v>0.15</v>
      </c>
      <c r="I782" s="15" t="s">
        <v>19</v>
      </c>
      <c r="J782" s="27">
        <v>15.15</v>
      </c>
      <c r="K782" s="15" t="s">
        <v>20</v>
      </c>
      <c r="L782" s="15" t="s">
        <v>21</v>
      </c>
      <c r="M782" s="15" t="s">
        <v>111</v>
      </c>
      <c r="N782" s="15" t="s">
        <v>38</v>
      </c>
      <c r="O782" s="15" t="s">
        <v>81</v>
      </c>
      <c r="P782" s="15" t="s">
        <v>25</v>
      </c>
      <c r="Q782" s="27">
        <v>2943.04</v>
      </c>
      <c r="R782" s="27">
        <v>441.45599999999996</v>
      </c>
      <c r="S782" s="31">
        <v>2501.5839999999998</v>
      </c>
    </row>
    <row r="783" spans="1:19" x14ac:dyDescent="0.25">
      <c r="A783" s="20">
        <v>45702</v>
      </c>
      <c r="B783" s="15" t="s">
        <v>541</v>
      </c>
      <c r="C783" s="15">
        <v>52528</v>
      </c>
      <c r="D783" s="15" t="s">
        <v>49</v>
      </c>
      <c r="E783" s="15">
        <v>7</v>
      </c>
      <c r="F783" s="27">
        <v>98.99</v>
      </c>
      <c r="G783" s="15" t="s">
        <v>52</v>
      </c>
      <c r="H783" s="35">
        <v>0.41</v>
      </c>
      <c r="I783" s="15" t="s">
        <v>734</v>
      </c>
      <c r="J783" s="27">
        <v>13.95</v>
      </c>
      <c r="K783" s="15" t="s">
        <v>20</v>
      </c>
      <c r="L783" s="15" t="s">
        <v>31</v>
      </c>
      <c r="M783" s="15" t="s">
        <v>22</v>
      </c>
      <c r="N783" s="15" t="s">
        <v>32</v>
      </c>
      <c r="O783" s="15" t="s">
        <v>81</v>
      </c>
      <c r="P783" s="15" t="s">
        <v>34</v>
      </c>
      <c r="Q783" s="27">
        <v>692.93</v>
      </c>
      <c r="R783" s="27">
        <v>284.10129999999998</v>
      </c>
      <c r="S783" s="31">
        <v>408.82869999999997</v>
      </c>
    </row>
    <row r="784" spans="1:19" x14ac:dyDescent="0.25">
      <c r="A784" s="20">
        <v>45702</v>
      </c>
      <c r="B784" s="15" t="s">
        <v>621</v>
      </c>
      <c r="C784" s="15">
        <v>52012</v>
      </c>
      <c r="D784" s="15" t="s">
        <v>17</v>
      </c>
      <c r="E784" s="15">
        <v>26</v>
      </c>
      <c r="F784" s="27">
        <v>15.52</v>
      </c>
      <c r="G784" s="15" t="s">
        <v>43</v>
      </c>
      <c r="H784" s="35">
        <v>0.49</v>
      </c>
      <c r="I784" s="15" t="s">
        <v>734</v>
      </c>
      <c r="J784" s="27">
        <v>28.39</v>
      </c>
      <c r="K784" s="15" t="s">
        <v>37</v>
      </c>
      <c r="L784" s="15" t="s">
        <v>31</v>
      </c>
      <c r="M784" s="15" t="s">
        <v>22</v>
      </c>
      <c r="N784" s="15" t="s">
        <v>23</v>
      </c>
      <c r="O784" s="15" t="s">
        <v>39</v>
      </c>
      <c r="P784" s="15" t="s">
        <v>40</v>
      </c>
      <c r="Q784" s="27">
        <v>403.52</v>
      </c>
      <c r="R784" s="27">
        <v>197.72479999999999</v>
      </c>
      <c r="S784" s="31">
        <v>205.79519999999999</v>
      </c>
    </row>
    <row r="785" spans="1:19" x14ac:dyDescent="0.25">
      <c r="A785" s="20">
        <v>45702</v>
      </c>
      <c r="B785" s="15" t="s">
        <v>535</v>
      </c>
      <c r="C785" s="15">
        <v>37731</v>
      </c>
      <c r="D785" s="15" t="s">
        <v>46</v>
      </c>
      <c r="E785" s="15">
        <v>18</v>
      </c>
      <c r="F785" s="27">
        <v>70.14</v>
      </c>
      <c r="G785" s="15" t="s">
        <v>84</v>
      </c>
      <c r="H785" s="35">
        <v>0.11</v>
      </c>
      <c r="I785" s="15" t="s">
        <v>19</v>
      </c>
      <c r="J785" s="27">
        <v>21.35</v>
      </c>
      <c r="K785" s="15" t="s">
        <v>50</v>
      </c>
      <c r="L785" s="15" t="s">
        <v>31</v>
      </c>
      <c r="M785" s="15" t="s">
        <v>22</v>
      </c>
      <c r="N785" s="15" t="s">
        <v>38</v>
      </c>
      <c r="O785" s="15" t="s">
        <v>39</v>
      </c>
      <c r="P785" s="15" t="s">
        <v>25</v>
      </c>
      <c r="Q785" s="27">
        <v>1262.52</v>
      </c>
      <c r="R785" s="27">
        <v>138.87719999999999</v>
      </c>
      <c r="S785" s="31">
        <v>1123.6428000000001</v>
      </c>
    </row>
    <row r="786" spans="1:19" x14ac:dyDescent="0.25">
      <c r="A786" s="20">
        <v>45702</v>
      </c>
      <c r="B786" s="15" t="s">
        <v>622</v>
      </c>
      <c r="C786" s="15">
        <v>99673</v>
      </c>
      <c r="D786" s="15" t="s">
        <v>17</v>
      </c>
      <c r="E786" s="15">
        <v>10</v>
      </c>
      <c r="F786" s="27">
        <v>96.19</v>
      </c>
      <c r="G786" s="15" t="s">
        <v>36</v>
      </c>
      <c r="H786" s="35">
        <v>0.35</v>
      </c>
      <c r="I786" s="15" t="s">
        <v>29</v>
      </c>
      <c r="J786" s="27">
        <v>22.39</v>
      </c>
      <c r="K786" s="15" t="s">
        <v>44</v>
      </c>
      <c r="L786" s="15" t="s">
        <v>31</v>
      </c>
      <c r="M786" s="15" t="s">
        <v>22</v>
      </c>
      <c r="N786" s="15" t="s">
        <v>23</v>
      </c>
      <c r="O786" s="15" t="s">
        <v>39</v>
      </c>
      <c r="P786" s="15" t="s">
        <v>25</v>
      </c>
      <c r="Q786" s="27">
        <v>961.9</v>
      </c>
      <c r="R786" s="27">
        <v>336.66499999999996</v>
      </c>
      <c r="S786" s="31">
        <v>625.23500000000001</v>
      </c>
    </row>
    <row r="787" spans="1:19" x14ac:dyDescent="0.25">
      <c r="A787" s="20">
        <v>45702</v>
      </c>
      <c r="B787" s="15" t="s">
        <v>623</v>
      </c>
      <c r="C787" s="15">
        <v>55205</v>
      </c>
      <c r="D787" s="15" t="s">
        <v>66</v>
      </c>
      <c r="E787" s="15">
        <v>40</v>
      </c>
      <c r="F787" s="27">
        <v>55.16</v>
      </c>
      <c r="G787" s="15" t="s">
        <v>99</v>
      </c>
      <c r="H787" s="35">
        <v>0.26</v>
      </c>
      <c r="I787" s="15" t="s">
        <v>19</v>
      </c>
      <c r="J787" s="27">
        <v>8.3699999999999992</v>
      </c>
      <c r="K787" s="15" t="s">
        <v>44</v>
      </c>
      <c r="L787" s="15" t="s">
        <v>21</v>
      </c>
      <c r="M787" s="15" t="s">
        <v>22</v>
      </c>
      <c r="N787" s="15" t="s">
        <v>23</v>
      </c>
      <c r="O787" s="15" t="s">
        <v>81</v>
      </c>
      <c r="P787" s="15" t="s">
        <v>25</v>
      </c>
      <c r="Q787" s="27">
        <v>2206.3999999999996</v>
      </c>
      <c r="R787" s="27">
        <v>573.66399999999987</v>
      </c>
      <c r="S787" s="31">
        <v>1632.7359999999999</v>
      </c>
    </row>
    <row r="788" spans="1:19" x14ac:dyDescent="0.25">
      <c r="A788" s="20">
        <v>45702</v>
      </c>
      <c r="B788" s="15" t="s">
        <v>391</v>
      </c>
      <c r="C788" s="15">
        <v>83545</v>
      </c>
      <c r="D788" s="15" t="s">
        <v>27</v>
      </c>
      <c r="E788" s="15">
        <v>29</v>
      </c>
      <c r="F788" s="27">
        <v>84.49</v>
      </c>
      <c r="G788" s="15" t="s">
        <v>36</v>
      </c>
      <c r="H788" s="35">
        <v>0.44</v>
      </c>
      <c r="I788" s="15" t="s">
        <v>19</v>
      </c>
      <c r="J788" s="27">
        <v>8.86</v>
      </c>
      <c r="K788" s="15" t="s">
        <v>50</v>
      </c>
      <c r="L788" s="15" t="s">
        <v>21</v>
      </c>
      <c r="M788" s="15" t="s">
        <v>22</v>
      </c>
      <c r="N788" s="15" t="s">
        <v>23</v>
      </c>
      <c r="O788" s="15" t="s">
        <v>39</v>
      </c>
      <c r="P788" s="15" t="s">
        <v>40</v>
      </c>
      <c r="Q788" s="27">
        <v>2450.21</v>
      </c>
      <c r="R788" s="27">
        <v>1078.0924</v>
      </c>
      <c r="S788" s="31">
        <v>1372.1176</v>
      </c>
    </row>
    <row r="789" spans="1:19" x14ac:dyDescent="0.25">
      <c r="A789" s="20">
        <v>45702</v>
      </c>
      <c r="B789" s="15" t="s">
        <v>624</v>
      </c>
      <c r="C789" s="15">
        <v>87789</v>
      </c>
      <c r="D789" s="15" t="s">
        <v>27</v>
      </c>
      <c r="E789" s="15">
        <v>14</v>
      </c>
      <c r="F789" s="27">
        <v>9.48</v>
      </c>
      <c r="G789" s="15" t="s">
        <v>58</v>
      </c>
      <c r="H789" s="35">
        <v>0.14000000000000001</v>
      </c>
      <c r="I789" s="15" t="s">
        <v>734</v>
      </c>
      <c r="J789" s="27">
        <v>5.71</v>
      </c>
      <c r="K789" s="15" t="s">
        <v>44</v>
      </c>
      <c r="L789" s="15" t="s">
        <v>21</v>
      </c>
      <c r="M789" s="15" t="s">
        <v>22</v>
      </c>
      <c r="N789" s="15" t="s">
        <v>38</v>
      </c>
      <c r="O789" s="15" t="s">
        <v>39</v>
      </c>
      <c r="P789" s="15" t="s">
        <v>34</v>
      </c>
      <c r="Q789" s="27">
        <v>132.72</v>
      </c>
      <c r="R789" s="27">
        <v>18.5808</v>
      </c>
      <c r="S789" s="31">
        <v>114.1392</v>
      </c>
    </row>
    <row r="790" spans="1:19" x14ac:dyDescent="0.25">
      <c r="A790" s="20">
        <v>45702</v>
      </c>
      <c r="B790" s="15" t="s">
        <v>625</v>
      </c>
      <c r="C790" s="15">
        <v>15458</v>
      </c>
      <c r="D790" s="15" t="s">
        <v>70</v>
      </c>
      <c r="E790" s="15">
        <v>14</v>
      </c>
      <c r="F790" s="27">
        <v>54.79</v>
      </c>
      <c r="G790" s="15" t="s">
        <v>52</v>
      </c>
      <c r="H790" s="35">
        <v>0.06</v>
      </c>
      <c r="I790" s="15" t="s">
        <v>19</v>
      </c>
      <c r="J790" s="27">
        <v>13.06</v>
      </c>
      <c r="K790" s="15" t="s">
        <v>44</v>
      </c>
      <c r="L790" s="15" t="s">
        <v>21</v>
      </c>
      <c r="M790" s="15" t="s">
        <v>22</v>
      </c>
      <c r="N790" s="15" t="s">
        <v>53</v>
      </c>
      <c r="O790" s="15" t="s">
        <v>59</v>
      </c>
      <c r="P790" s="15" t="s">
        <v>25</v>
      </c>
      <c r="Q790" s="27">
        <v>767.06</v>
      </c>
      <c r="R790" s="27">
        <v>46.023599999999995</v>
      </c>
      <c r="S790" s="31">
        <v>721.03639999999996</v>
      </c>
    </row>
    <row r="791" spans="1:19" x14ac:dyDescent="0.25">
      <c r="A791" s="20">
        <v>45702</v>
      </c>
      <c r="B791" s="15" t="s">
        <v>509</v>
      </c>
      <c r="C791" s="15">
        <v>11087</v>
      </c>
      <c r="D791" s="15" t="s">
        <v>42</v>
      </c>
      <c r="E791" s="15">
        <v>38</v>
      </c>
      <c r="F791" s="27">
        <v>96.08</v>
      </c>
      <c r="G791" s="15" t="s">
        <v>47</v>
      </c>
      <c r="H791" s="35">
        <v>0.02</v>
      </c>
      <c r="I791" s="15" t="s">
        <v>734</v>
      </c>
      <c r="J791" s="27">
        <v>20.350000000000001</v>
      </c>
      <c r="K791" s="15" t="s">
        <v>44</v>
      </c>
      <c r="L791" s="15" t="s">
        <v>21</v>
      </c>
      <c r="M791" s="15" t="s">
        <v>111</v>
      </c>
      <c r="N791" s="15" t="s">
        <v>23</v>
      </c>
      <c r="O791" s="15" t="s">
        <v>39</v>
      </c>
      <c r="P791" s="15" t="s">
        <v>25</v>
      </c>
      <c r="Q791" s="27">
        <v>3651.04</v>
      </c>
      <c r="R791" s="27">
        <v>73.020799999999994</v>
      </c>
      <c r="S791" s="31">
        <v>3578.0192000000002</v>
      </c>
    </row>
    <row r="792" spans="1:19" x14ac:dyDescent="0.25">
      <c r="A792" s="20">
        <v>45703</v>
      </c>
      <c r="B792" s="15" t="s">
        <v>626</v>
      </c>
      <c r="C792" s="15">
        <v>56584</v>
      </c>
      <c r="D792" s="15" t="s">
        <v>17</v>
      </c>
      <c r="E792" s="15">
        <v>8</v>
      </c>
      <c r="F792" s="27">
        <v>74.430000000000007</v>
      </c>
      <c r="G792" s="15" t="s">
        <v>28</v>
      </c>
      <c r="H792" s="35">
        <v>0.02</v>
      </c>
      <c r="I792" s="15" t="s">
        <v>29</v>
      </c>
      <c r="J792" s="27">
        <v>20.67</v>
      </c>
      <c r="K792" s="15" t="s">
        <v>30</v>
      </c>
      <c r="L792" s="15" t="s">
        <v>21</v>
      </c>
      <c r="M792" s="15" t="s">
        <v>22</v>
      </c>
      <c r="N792" s="15" t="s">
        <v>23</v>
      </c>
      <c r="O792" s="15" t="s">
        <v>24</v>
      </c>
      <c r="P792" s="15" t="s">
        <v>25</v>
      </c>
      <c r="Q792" s="27">
        <v>595.44000000000005</v>
      </c>
      <c r="R792" s="27">
        <v>11.908800000000001</v>
      </c>
      <c r="S792" s="31">
        <v>583.53120000000001</v>
      </c>
    </row>
    <row r="793" spans="1:19" x14ac:dyDescent="0.25">
      <c r="A793" s="20">
        <v>45703</v>
      </c>
      <c r="B793" s="15" t="s">
        <v>215</v>
      </c>
      <c r="C793" s="15">
        <v>31417</v>
      </c>
      <c r="D793" s="15" t="s">
        <v>70</v>
      </c>
      <c r="E793" s="15">
        <v>10</v>
      </c>
      <c r="F793" s="27">
        <v>5.04</v>
      </c>
      <c r="G793" s="15" t="s">
        <v>84</v>
      </c>
      <c r="H793" s="35">
        <v>0.42</v>
      </c>
      <c r="I793" s="15" t="s">
        <v>29</v>
      </c>
      <c r="J793" s="27">
        <v>12.44</v>
      </c>
      <c r="K793" s="15" t="s">
        <v>37</v>
      </c>
      <c r="L793" s="15" t="s">
        <v>21</v>
      </c>
      <c r="M793" s="15" t="s">
        <v>111</v>
      </c>
      <c r="N793" s="15" t="s">
        <v>53</v>
      </c>
      <c r="O793" s="15" t="s">
        <v>33</v>
      </c>
      <c r="P793" s="15" t="s">
        <v>25</v>
      </c>
      <c r="Q793" s="27">
        <v>50.4</v>
      </c>
      <c r="R793" s="27">
        <v>21.167999999999999</v>
      </c>
      <c r="S793" s="31">
        <v>29.231999999999999</v>
      </c>
    </row>
    <row r="794" spans="1:19" x14ac:dyDescent="0.25">
      <c r="A794" s="20">
        <v>45703</v>
      </c>
      <c r="B794" s="15" t="s">
        <v>620</v>
      </c>
      <c r="C794" s="15">
        <v>58505</v>
      </c>
      <c r="D794" s="15" t="s">
        <v>68</v>
      </c>
      <c r="E794" s="15">
        <v>29</v>
      </c>
      <c r="F794" s="27">
        <v>24.55</v>
      </c>
      <c r="G794" s="15" t="s">
        <v>58</v>
      </c>
      <c r="H794" s="35">
        <v>0.35</v>
      </c>
      <c r="I794" s="15" t="s">
        <v>734</v>
      </c>
      <c r="J794" s="27">
        <v>25.31</v>
      </c>
      <c r="K794" s="15" t="s">
        <v>30</v>
      </c>
      <c r="L794" s="15" t="s">
        <v>31</v>
      </c>
      <c r="M794" s="15" t="s">
        <v>22</v>
      </c>
      <c r="N794" s="15" t="s">
        <v>53</v>
      </c>
      <c r="O794" s="15" t="s">
        <v>33</v>
      </c>
      <c r="P794" s="15" t="s">
        <v>25</v>
      </c>
      <c r="Q794" s="27">
        <v>711.95</v>
      </c>
      <c r="R794" s="27">
        <v>249.1825</v>
      </c>
      <c r="S794" s="31">
        <v>462.76750000000004</v>
      </c>
    </row>
    <row r="795" spans="1:19" x14ac:dyDescent="0.25">
      <c r="A795" s="20">
        <v>45703</v>
      </c>
      <c r="B795" s="15" t="s">
        <v>627</v>
      </c>
      <c r="C795" s="15">
        <v>76414</v>
      </c>
      <c r="D795" s="15" t="s">
        <v>42</v>
      </c>
      <c r="E795" s="15">
        <v>19</v>
      </c>
      <c r="F795" s="27">
        <v>68.81</v>
      </c>
      <c r="G795" s="15" t="s">
        <v>36</v>
      </c>
      <c r="H795" s="35">
        <v>0.06</v>
      </c>
      <c r="I795" s="15" t="s">
        <v>734</v>
      </c>
      <c r="J795" s="27">
        <v>18.940000000000001</v>
      </c>
      <c r="K795" s="15" t="s">
        <v>44</v>
      </c>
      <c r="L795" s="15" t="s">
        <v>31</v>
      </c>
      <c r="M795" s="15" t="s">
        <v>22</v>
      </c>
      <c r="N795" s="15" t="s">
        <v>53</v>
      </c>
      <c r="O795" s="15" t="s">
        <v>39</v>
      </c>
      <c r="P795" s="15" t="s">
        <v>25</v>
      </c>
      <c r="Q795" s="27">
        <v>1307.3900000000001</v>
      </c>
      <c r="R795" s="27">
        <v>78.443399999999997</v>
      </c>
      <c r="S795" s="31">
        <v>1228.9466000000002</v>
      </c>
    </row>
    <row r="796" spans="1:19" x14ac:dyDescent="0.25">
      <c r="A796" s="20">
        <v>45703</v>
      </c>
      <c r="B796" s="15" t="s">
        <v>67</v>
      </c>
      <c r="C796" s="15">
        <v>10462</v>
      </c>
      <c r="D796" s="15" t="s">
        <v>17</v>
      </c>
      <c r="E796" s="15">
        <v>39</v>
      </c>
      <c r="F796" s="27">
        <v>99.14</v>
      </c>
      <c r="G796" s="15" t="s">
        <v>58</v>
      </c>
      <c r="H796" s="35">
        <v>0.46</v>
      </c>
      <c r="I796" s="15" t="s">
        <v>29</v>
      </c>
      <c r="J796" s="27">
        <v>8.3000000000000007</v>
      </c>
      <c r="K796" s="15" t="s">
        <v>37</v>
      </c>
      <c r="L796" s="15" t="s">
        <v>21</v>
      </c>
      <c r="M796" s="15" t="s">
        <v>22</v>
      </c>
      <c r="N796" s="15" t="s">
        <v>32</v>
      </c>
      <c r="O796" s="15" t="s">
        <v>39</v>
      </c>
      <c r="P796" s="15" t="s">
        <v>40</v>
      </c>
      <c r="Q796" s="27">
        <v>3866.46</v>
      </c>
      <c r="R796" s="27">
        <v>1778.5716</v>
      </c>
      <c r="S796" s="31">
        <v>2087.8883999999998</v>
      </c>
    </row>
    <row r="797" spans="1:19" x14ac:dyDescent="0.25">
      <c r="A797" s="20">
        <v>45703</v>
      </c>
      <c r="B797" s="15" t="s">
        <v>271</v>
      </c>
      <c r="C797" s="15">
        <v>73925</v>
      </c>
      <c r="D797" s="15" t="s">
        <v>46</v>
      </c>
      <c r="E797" s="15">
        <v>36</v>
      </c>
      <c r="F797" s="27">
        <v>80.900000000000006</v>
      </c>
      <c r="G797" s="15" t="s">
        <v>84</v>
      </c>
      <c r="H797" s="35">
        <v>0.32</v>
      </c>
      <c r="I797" s="15" t="s">
        <v>19</v>
      </c>
      <c r="J797" s="27">
        <v>16.600000000000001</v>
      </c>
      <c r="K797" s="15" t="s">
        <v>20</v>
      </c>
      <c r="L797" s="15" t="s">
        <v>31</v>
      </c>
      <c r="M797" s="15" t="s">
        <v>22</v>
      </c>
      <c r="N797" s="15" t="s">
        <v>38</v>
      </c>
      <c r="O797" s="15" t="s">
        <v>24</v>
      </c>
      <c r="P797" s="15" t="s">
        <v>34</v>
      </c>
      <c r="Q797" s="27">
        <v>2912.4</v>
      </c>
      <c r="R797" s="27">
        <v>931.96800000000007</v>
      </c>
      <c r="S797" s="31">
        <v>1980.432</v>
      </c>
    </row>
    <row r="798" spans="1:19" x14ac:dyDescent="0.25">
      <c r="A798" s="20">
        <v>45703</v>
      </c>
      <c r="B798" s="15" t="s">
        <v>628</v>
      </c>
      <c r="C798" s="15">
        <v>14277</v>
      </c>
      <c r="D798" s="15" t="s">
        <v>66</v>
      </c>
      <c r="E798" s="15">
        <v>49</v>
      </c>
      <c r="F798" s="27">
        <v>35.71</v>
      </c>
      <c r="G798" s="15" t="s">
        <v>55</v>
      </c>
      <c r="H798" s="35">
        <v>0.08</v>
      </c>
      <c r="I798" s="15" t="s">
        <v>19</v>
      </c>
      <c r="J798" s="27">
        <v>8.43</v>
      </c>
      <c r="K798" s="15" t="s">
        <v>44</v>
      </c>
      <c r="L798" s="15" t="s">
        <v>21</v>
      </c>
      <c r="M798" s="15" t="s">
        <v>22</v>
      </c>
      <c r="N798" s="15" t="s">
        <v>38</v>
      </c>
      <c r="O798" s="15" t="s">
        <v>24</v>
      </c>
      <c r="P798" s="15" t="s">
        <v>25</v>
      </c>
      <c r="Q798" s="27">
        <v>1749.79</v>
      </c>
      <c r="R798" s="27">
        <v>139.98320000000001</v>
      </c>
      <c r="S798" s="31">
        <v>1609.8067999999998</v>
      </c>
    </row>
    <row r="799" spans="1:19" x14ac:dyDescent="0.25">
      <c r="A799" s="20">
        <v>45703</v>
      </c>
      <c r="B799" s="15" t="s">
        <v>629</v>
      </c>
      <c r="C799" s="15">
        <v>68333</v>
      </c>
      <c r="D799" s="15" t="s">
        <v>66</v>
      </c>
      <c r="E799" s="15">
        <v>18</v>
      </c>
      <c r="F799" s="27">
        <v>99.85</v>
      </c>
      <c r="G799" s="15" t="s">
        <v>18</v>
      </c>
      <c r="H799" s="35">
        <v>0.18</v>
      </c>
      <c r="I799" s="15" t="s">
        <v>734</v>
      </c>
      <c r="J799" s="27">
        <v>28.81</v>
      </c>
      <c r="K799" s="15" t="s">
        <v>30</v>
      </c>
      <c r="L799" s="15" t="s">
        <v>21</v>
      </c>
      <c r="M799" s="15" t="s">
        <v>22</v>
      </c>
      <c r="N799" s="15" t="s">
        <v>38</v>
      </c>
      <c r="O799" s="15" t="s">
        <v>59</v>
      </c>
      <c r="P799" s="15" t="s">
        <v>34</v>
      </c>
      <c r="Q799" s="27">
        <v>1797.3</v>
      </c>
      <c r="R799" s="27">
        <v>323.51399999999995</v>
      </c>
      <c r="S799" s="31">
        <v>1473.7860000000001</v>
      </c>
    </row>
    <row r="800" spans="1:19" x14ac:dyDescent="0.25">
      <c r="A800" s="20">
        <v>45703</v>
      </c>
      <c r="B800" s="15" t="s">
        <v>600</v>
      </c>
      <c r="C800" s="15">
        <v>31064</v>
      </c>
      <c r="D800" s="15" t="s">
        <v>46</v>
      </c>
      <c r="E800" s="15">
        <v>31</v>
      </c>
      <c r="F800" s="27">
        <v>20.7</v>
      </c>
      <c r="G800" s="15" t="s">
        <v>47</v>
      </c>
      <c r="H800" s="35">
        <v>0.15</v>
      </c>
      <c r="I800" s="15" t="s">
        <v>29</v>
      </c>
      <c r="J800" s="27">
        <v>10.46</v>
      </c>
      <c r="K800" s="15" t="s">
        <v>30</v>
      </c>
      <c r="L800" s="15" t="s">
        <v>31</v>
      </c>
      <c r="M800" s="15" t="s">
        <v>22</v>
      </c>
      <c r="N800" s="15" t="s">
        <v>38</v>
      </c>
      <c r="O800" s="15" t="s">
        <v>33</v>
      </c>
      <c r="P800" s="15" t="s">
        <v>40</v>
      </c>
      <c r="Q800" s="27">
        <v>641.69999999999993</v>
      </c>
      <c r="R800" s="27">
        <v>96.254999999999981</v>
      </c>
      <c r="S800" s="31">
        <v>545.44499999999994</v>
      </c>
    </row>
    <row r="801" spans="1:19" x14ac:dyDescent="0.25">
      <c r="A801" s="20">
        <v>45703</v>
      </c>
      <c r="B801" s="15" t="s">
        <v>556</v>
      </c>
      <c r="C801" s="15">
        <v>13549</v>
      </c>
      <c r="D801" s="15" t="s">
        <v>49</v>
      </c>
      <c r="E801" s="15">
        <v>44</v>
      </c>
      <c r="F801" s="27">
        <v>27.67</v>
      </c>
      <c r="G801" s="15" t="s">
        <v>47</v>
      </c>
      <c r="H801" s="35">
        <v>0.13</v>
      </c>
      <c r="I801" s="15" t="s">
        <v>19</v>
      </c>
      <c r="J801" s="27">
        <v>10.15</v>
      </c>
      <c r="K801" s="15" t="s">
        <v>44</v>
      </c>
      <c r="L801" s="15" t="s">
        <v>31</v>
      </c>
      <c r="M801" s="15" t="s">
        <v>22</v>
      </c>
      <c r="N801" s="15" t="s">
        <v>53</v>
      </c>
      <c r="O801" s="15" t="s">
        <v>24</v>
      </c>
      <c r="P801" s="15" t="s">
        <v>34</v>
      </c>
      <c r="Q801" s="27">
        <v>1217.48</v>
      </c>
      <c r="R801" s="27">
        <v>158.2724</v>
      </c>
      <c r="S801" s="31">
        <v>1059.2076</v>
      </c>
    </row>
    <row r="802" spans="1:19" x14ac:dyDescent="0.25">
      <c r="A802" s="20">
        <v>45703</v>
      </c>
      <c r="B802" s="15" t="s">
        <v>140</v>
      </c>
      <c r="C802" s="15">
        <v>82564</v>
      </c>
      <c r="D802" s="15" t="s">
        <v>49</v>
      </c>
      <c r="E802" s="15">
        <v>14</v>
      </c>
      <c r="F802" s="27">
        <v>56.1</v>
      </c>
      <c r="G802" s="15" t="s">
        <v>43</v>
      </c>
      <c r="H802" s="35">
        <v>0.34</v>
      </c>
      <c r="I802" s="15" t="s">
        <v>19</v>
      </c>
      <c r="J802" s="27">
        <v>20.48</v>
      </c>
      <c r="K802" s="15" t="s">
        <v>30</v>
      </c>
      <c r="L802" s="15" t="s">
        <v>31</v>
      </c>
      <c r="M802" s="15" t="s">
        <v>22</v>
      </c>
      <c r="N802" s="15" t="s">
        <v>38</v>
      </c>
      <c r="O802" s="15" t="s">
        <v>39</v>
      </c>
      <c r="P802" s="15" t="s">
        <v>25</v>
      </c>
      <c r="Q802" s="27">
        <v>785.4</v>
      </c>
      <c r="R802" s="27">
        <v>267.036</v>
      </c>
      <c r="S802" s="31">
        <v>518.36400000000003</v>
      </c>
    </row>
    <row r="803" spans="1:19" x14ac:dyDescent="0.25">
      <c r="A803" s="20">
        <v>45703</v>
      </c>
      <c r="B803" s="15" t="s">
        <v>630</v>
      </c>
      <c r="C803" s="15">
        <v>65407</v>
      </c>
      <c r="D803" s="15" t="s">
        <v>66</v>
      </c>
      <c r="E803" s="15">
        <v>45</v>
      </c>
      <c r="F803" s="27">
        <v>28.62</v>
      </c>
      <c r="G803" s="15" t="s">
        <v>28</v>
      </c>
      <c r="H803" s="35">
        <v>0.42</v>
      </c>
      <c r="I803" s="15" t="s">
        <v>29</v>
      </c>
      <c r="J803" s="27">
        <v>6.26</v>
      </c>
      <c r="K803" s="15" t="s">
        <v>20</v>
      </c>
      <c r="L803" s="15" t="s">
        <v>31</v>
      </c>
      <c r="M803" s="15" t="s">
        <v>22</v>
      </c>
      <c r="N803" s="15" t="s">
        <v>32</v>
      </c>
      <c r="O803" s="15" t="s">
        <v>39</v>
      </c>
      <c r="P803" s="15" t="s">
        <v>34</v>
      </c>
      <c r="Q803" s="27">
        <v>1287.9000000000001</v>
      </c>
      <c r="R803" s="27">
        <v>540.91800000000001</v>
      </c>
      <c r="S803" s="31">
        <v>746.98200000000008</v>
      </c>
    </row>
    <row r="804" spans="1:19" x14ac:dyDescent="0.25">
      <c r="A804" s="20">
        <v>45703</v>
      </c>
      <c r="B804" s="15" t="s">
        <v>186</v>
      </c>
      <c r="C804" s="15">
        <v>86831</v>
      </c>
      <c r="D804" s="15" t="s">
        <v>49</v>
      </c>
      <c r="E804" s="15">
        <v>40</v>
      </c>
      <c r="F804" s="27">
        <v>40.93</v>
      </c>
      <c r="G804" s="15" t="s">
        <v>18</v>
      </c>
      <c r="H804" s="35">
        <v>0.16</v>
      </c>
      <c r="I804" s="15" t="s">
        <v>29</v>
      </c>
      <c r="J804" s="27">
        <v>10.68</v>
      </c>
      <c r="K804" s="15" t="s">
        <v>50</v>
      </c>
      <c r="L804" s="15" t="s">
        <v>31</v>
      </c>
      <c r="M804" s="15" t="s">
        <v>22</v>
      </c>
      <c r="N804" s="15" t="s">
        <v>38</v>
      </c>
      <c r="O804" s="15" t="s">
        <v>33</v>
      </c>
      <c r="P804" s="15" t="s">
        <v>25</v>
      </c>
      <c r="Q804" s="27">
        <v>1637.2</v>
      </c>
      <c r="R804" s="27">
        <v>261.952</v>
      </c>
      <c r="S804" s="31">
        <v>1375.248</v>
      </c>
    </row>
    <row r="805" spans="1:19" x14ac:dyDescent="0.25">
      <c r="A805" s="20">
        <v>45703</v>
      </c>
      <c r="B805" s="15" t="s">
        <v>526</v>
      </c>
      <c r="C805" s="15">
        <v>35791</v>
      </c>
      <c r="D805" s="15" t="s">
        <v>66</v>
      </c>
      <c r="E805" s="15">
        <v>24</v>
      </c>
      <c r="F805" s="27">
        <v>90.05</v>
      </c>
      <c r="G805" s="15" t="s">
        <v>47</v>
      </c>
      <c r="H805" s="35">
        <v>0.28999999999999998</v>
      </c>
      <c r="I805" s="15" t="s">
        <v>734</v>
      </c>
      <c r="J805" s="27">
        <v>29.01</v>
      </c>
      <c r="K805" s="15" t="s">
        <v>44</v>
      </c>
      <c r="L805" s="15" t="s">
        <v>31</v>
      </c>
      <c r="M805" s="15" t="s">
        <v>22</v>
      </c>
      <c r="N805" s="15" t="s">
        <v>32</v>
      </c>
      <c r="O805" s="15" t="s">
        <v>39</v>
      </c>
      <c r="P805" s="15" t="s">
        <v>40</v>
      </c>
      <c r="Q805" s="27">
        <v>2161.1999999999998</v>
      </c>
      <c r="R805" s="27">
        <v>626.74799999999993</v>
      </c>
      <c r="S805" s="31">
        <v>1534.4519999999998</v>
      </c>
    </row>
    <row r="806" spans="1:19" x14ac:dyDescent="0.25">
      <c r="A806" s="20">
        <v>45703</v>
      </c>
      <c r="B806" s="15" t="s">
        <v>631</v>
      </c>
      <c r="C806" s="15">
        <v>79690</v>
      </c>
      <c r="D806" s="15" t="s">
        <v>89</v>
      </c>
      <c r="E806" s="15">
        <v>47</v>
      </c>
      <c r="F806" s="27">
        <v>48.2</v>
      </c>
      <c r="G806" s="15" t="s">
        <v>36</v>
      </c>
      <c r="H806" s="35">
        <v>0.14000000000000001</v>
      </c>
      <c r="I806" s="15" t="s">
        <v>734</v>
      </c>
      <c r="J806" s="27">
        <v>8.15</v>
      </c>
      <c r="K806" s="15" t="s">
        <v>20</v>
      </c>
      <c r="L806" s="15" t="s">
        <v>31</v>
      </c>
      <c r="M806" s="15" t="s">
        <v>22</v>
      </c>
      <c r="N806" s="15" t="s">
        <v>53</v>
      </c>
      <c r="O806" s="15" t="s">
        <v>33</v>
      </c>
      <c r="P806" s="15" t="s">
        <v>34</v>
      </c>
      <c r="Q806" s="27">
        <v>2265.4</v>
      </c>
      <c r="R806" s="27">
        <v>317.15600000000006</v>
      </c>
      <c r="S806" s="31">
        <v>1948.2440000000001</v>
      </c>
    </row>
    <row r="807" spans="1:19" x14ac:dyDescent="0.25">
      <c r="A807" s="20">
        <v>45703</v>
      </c>
      <c r="B807" s="15" t="s">
        <v>632</v>
      </c>
      <c r="C807" s="15">
        <v>66761</v>
      </c>
      <c r="D807" s="15" t="s">
        <v>17</v>
      </c>
      <c r="E807" s="15">
        <v>29</v>
      </c>
      <c r="F807" s="27">
        <v>82.33</v>
      </c>
      <c r="G807" s="15" t="s">
        <v>28</v>
      </c>
      <c r="H807" s="35">
        <v>0.2</v>
      </c>
      <c r="I807" s="15" t="s">
        <v>19</v>
      </c>
      <c r="J807" s="27">
        <v>22.07</v>
      </c>
      <c r="K807" s="15" t="s">
        <v>44</v>
      </c>
      <c r="L807" s="15" t="s">
        <v>31</v>
      </c>
      <c r="M807" s="15" t="s">
        <v>22</v>
      </c>
      <c r="N807" s="15" t="s">
        <v>53</v>
      </c>
      <c r="O807" s="15" t="s">
        <v>33</v>
      </c>
      <c r="P807" s="15" t="s">
        <v>40</v>
      </c>
      <c r="Q807" s="27">
        <v>2387.5700000000002</v>
      </c>
      <c r="R807" s="27">
        <v>477.51400000000007</v>
      </c>
      <c r="S807" s="31">
        <v>1910.056</v>
      </c>
    </row>
    <row r="808" spans="1:19" x14ac:dyDescent="0.25">
      <c r="A808" s="20">
        <v>45703</v>
      </c>
      <c r="B808" s="15" t="s">
        <v>162</v>
      </c>
      <c r="C808" s="15">
        <v>31936</v>
      </c>
      <c r="D808" s="15" t="s">
        <v>70</v>
      </c>
      <c r="E808" s="15">
        <v>34</v>
      </c>
      <c r="F808" s="27">
        <v>76.2</v>
      </c>
      <c r="G808" s="15" t="s">
        <v>36</v>
      </c>
      <c r="H808" s="35">
        <v>0.32</v>
      </c>
      <c r="I808" s="15" t="s">
        <v>29</v>
      </c>
      <c r="J808" s="27">
        <v>20.29</v>
      </c>
      <c r="K808" s="15" t="s">
        <v>30</v>
      </c>
      <c r="L808" s="15" t="s">
        <v>31</v>
      </c>
      <c r="M808" s="15" t="s">
        <v>111</v>
      </c>
      <c r="N808" s="15" t="s">
        <v>38</v>
      </c>
      <c r="O808" s="15" t="s">
        <v>24</v>
      </c>
      <c r="P808" s="15" t="s">
        <v>34</v>
      </c>
      <c r="Q808" s="27">
        <v>2590.8000000000002</v>
      </c>
      <c r="R808" s="27">
        <v>829.05600000000004</v>
      </c>
      <c r="S808" s="31">
        <v>1761.7440000000001</v>
      </c>
    </row>
    <row r="809" spans="1:19" x14ac:dyDescent="0.25">
      <c r="A809" s="20">
        <v>45703</v>
      </c>
      <c r="B809" s="15" t="s">
        <v>633</v>
      </c>
      <c r="C809" s="15">
        <v>41889</v>
      </c>
      <c r="D809" s="15" t="s">
        <v>68</v>
      </c>
      <c r="E809" s="15">
        <v>5</v>
      </c>
      <c r="F809" s="27">
        <v>92.08</v>
      </c>
      <c r="G809" s="15" t="s">
        <v>28</v>
      </c>
      <c r="H809" s="35">
        <v>0.04</v>
      </c>
      <c r="I809" s="15" t="s">
        <v>19</v>
      </c>
      <c r="J809" s="27">
        <v>6.21</v>
      </c>
      <c r="K809" s="15" t="s">
        <v>44</v>
      </c>
      <c r="L809" s="15" t="s">
        <v>31</v>
      </c>
      <c r="M809" s="15" t="s">
        <v>111</v>
      </c>
      <c r="N809" s="15" t="s">
        <v>53</v>
      </c>
      <c r="O809" s="15" t="s">
        <v>24</v>
      </c>
      <c r="P809" s="15" t="s">
        <v>25</v>
      </c>
      <c r="Q809" s="27">
        <v>460.4</v>
      </c>
      <c r="R809" s="27">
        <v>18.416</v>
      </c>
      <c r="S809" s="31">
        <v>441.98399999999998</v>
      </c>
    </row>
    <row r="810" spans="1:19" x14ac:dyDescent="0.25">
      <c r="A810" s="20">
        <v>45703</v>
      </c>
      <c r="B810" s="15" t="s">
        <v>258</v>
      </c>
      <c r="C810" s="15">
        <v>99021</v>
      </c>
      <c r="D810" s="15" t="s">
        <v>89</v>
      </c>
      <c r="E810" s="15">
        <v>31</v>
      </c>
      <c r="F810" s="27">
        <v>59.74</v>
      </c>
      <c r="G810" s="15" t="s">
        <v>18</v>
      </c>
      <c r="H810" s="35">
        <v>0.12</v>
      </c>
      <c r="I810" s="15" t="s">
        <v>734</v>
      </c>
      <c r="J810" s="27">
        <v>24.35</v>
      </c>
      <c r="K810" s="15" t="s">
        <v>44</v>
      </c>
      <c r="L810" s="15" t="s">
        <v>21</v>
      </c>
      <c r="M810" s="15" t="s">
        <v>111</v>
      </c>
      <c r="N810" s="15" t="s">
        <v>38</v>
      </c>
      <c r="O810" s="15" t="s">
        <v>39</v>
      </c>
      <c r="P810" s="15" t="s">
        <v>40</v>
      </c>
      <c r="Q810" s="27">
        <v>1851.94</v>
      </c>
      <c r="R810" s="27">
        <v>222.2328</v>
      </c>
      <c r="S810" s="31">
        <v>1629.7072000000001</v>
      </c>
    </row>
    <row r="811" spans="1:19" x14ac:dyDescent="0.25">
      <c r="A811" s="20">
        <v>45703</v>
      </c>
      <c r="B811" s="15" t="s">
        <v>624</v>
      </c>
      <c r="C811" s="15">
        <v>57119</v>
      </c>
      <c r="D811" s="15" t="s">
        <v>66</v>
      </c>
      <c r="E811" s="15">
        <v>7</v>
      </c>
      <c r="F811" s="27">
        <v>88.69</v>
      </c>
      <c r="G811" s="15" t="s">
        <v>43</v>
      </c>
      <c r="H811" s="35">
        <v>0.44</v>
      </c>
      <c r="I811" s="15" t="s">
        <v>29</v>
      </c>
      <c r="J811" s="27">
        <v>26.69</v>
      </c>
      <c r="K811" s="15" t="s">
        <v>30</v>
      </c>
      <c r="L811" s="15" t="s">
        <v>21</v>
      </c>
      <c r="M811" s="15" t="s">
        <v>22</v>
      </c>
      <c r="N811" s="15" t="s">
        <v>53</v>
      </c>
      <c r="O811" s="15" t="s">
        <v>59</v>
      </c>
      <c r="P811" s="15" t="s">
        <v>34</v>
      </c>
      <c r="Q811" s="27">
        <v>620.82999999999993</v>
      </c>
      <c r="R811" s="27">
        <v>273.16519999999997</v>
      </c>
      <c r="S811" s="31">
        <v>347.66479999999996</v>
      </c>
    </row>
    <row r="812" spans="1:19" x14ac:dyDescent="0.25">
      <c r="A812" s="20">
        <v>45703</v>
      </c>
      <c r="B812" s="15" t="s">
        <v>215</v>
      </c>
      <c r="C812" s="15">
        <v>47078</v>
      </c>
      <c r="D812" s="15" t="s">
        <v>68</v>
      </c>
      <c r="E812" s="15">
        <v>47</v>
      </c>
      <c r="F812" s="27">
        <v>57.27</v>
      </c>
      <c r="G812" s="15" t="s">
        <v>36</v>
      </c>
      <c r="H812" s="35">
        <v>0.38</v>
      </c>
      <c r="I812" s="15" t="s">
        <v>29</v>
      </c>
      <c r="J812" s="27">
        <v>23.4</v>
      </c>
      <c r="K812" s="15" t="s">
        <v>37</v>
      </c>
      <c r="L812" s="15" t="s">
        <v>21</v>
      </c>
      <c r="M812" s="15" t="s">
        <v>22</v>
      </c>
      <c r="N812" s="15" t="s">
        <v>32</v>
      </c>
      <c r="O812" s="15" t="s">
        <v>24</v>
      </c>
      <c r="P812" s="15" t="s">
        <v>34</v>
      </c>
      <c r="Q812" s="27">
        <v>2691.69</v>
      </c>
      <c r="R812" s="27">
        <v>1022.8422</v>
      </c>
      <c r="S812" s="31">
        <v>1668.8478</v>
      </c>
    </row>
    <row r="813" spans="1:19" x14ac:dyDescent="0.25">
      <c r="A813" s="20">
        <v>45703</v>
      </c>
      <c r="B813" s="15" t="s">
        <v>129</v>
      </c>
      <c r="C813" s="15">
        <v>74396</v>
      </c>
      <c r="D813" s="15" t="s">
        <v>68</v>
      </c>
      <c r="E813" s="15">
        <v>22</v>
      </c>
      <c r="F813" s="27">
        <v>46.61</v>
      </c>
      <c r="G813" s="15" t="s">
        <v>55</v>
      </c>
      <c r="H813" s="35">
        <v>0.24</v>
      </c>
      <c r="I813" s="15" t="s">
        <v>19</v>
      </c>
      <c r="J813" s="27">
        <v>11.04</v>
      </c>
      <c r="K813" s="15" t="s">
        <v>50</v>
      </c>
      <c r="L813" s="15" t="s">
        <v>31</v>
      </c>
      <c r="M813" s="15" t="s">
        <v>22</v>
      </c>
      <c r="N813" s="15" t="s">
        <v>32</v>
      </c>
      <c r="O813" s="15" t="s">
        <v>59</v>
      </c>
      <c r="P813" s="15" t="s">
        <v>25</v>
      </c>
      <c r="Q813" s="27">
        <v>1025.42</v>
      </c>
      <c r="R813" s="27">
        <v>246.10080000000002</v>
      </c>
      <c r="S813" s="31">
        <v>779.31920000000002</v>
      </c>
    </row>
    <row r="814" spans="1:19" x14ac:dyDescent="0.25">
      <c r="A814" s="20">
        <v>45703</v>
      </c>
      <c r="B814" s="15" t="s">
        <v>251</v>
      </c>
      <c r="C814" s="15">
        <v>22055</v>
      </c>
      <c r="D814" s="15" t="s">
        <v>49</v>
      </c>
      <c r="E814" s="15">
        <v>17</v>
      </c>
      <c r="F814" s="27">
        <v>42.22</v>
      </c>
      <c r="G814" s="15" t="s">
        <v>52</v>
      </c>
      <c r="H814" s="35">
        <v>0.48</v>
      </c>
      <c r="I814" s="15" t="s">
        <v>29</v>
      </c>
      <c r="J814" s="27">
        <v>14.28</v>
      </c>
      <c r="K814" s="15" t="s">
        <v>37</v>
      </c>
      <c r="L814" s="15" t="s">
        <v>31</v>
      </c>
      <c r="M814" s="15" t="s">
        <v>22</v>
      </c>
      <c r="N814" s="15" t="s">
        <v>23</v>
      </c>
      <c r="O814" s="15" t="s">
        <v>33</v>
      </c>
      <c r="P814" s="15" t="s">
        <v>25</v>
      </c>
      <c r="Q814" s="27">
        <v>717.74</v>
      </c>
      <c r="R814" s="27">
        <v>344.51519999999999</v>
      </c>
      <c r="S814" s="31">
        <v>373.22480000000002</v>
      </c>
    </row>
    <row r="815" spans="1:19" x14ac:dyDescent="0.25">
      <c r="A815" s="20">
        <v>45704</v>
      </c>
      <c r="B815" s="15" t="s">
        <v>540</v>
      </c>
      <c r="C815" s="15">
        <v>92330</v>
      </c>
      <c r="D815" s="15" t="s">
        <v>89</v>
      </c>
      <c r="E815" s="15">
        <v>32</v>
      </c>
      <c r="F815" s="27">
        <v>96.36</v>
      </c>
      <c r="G815" s="15" t="s">
        <v>43</v>
      </c>
      <c r="H815" s="35">
        <v>0.33</v>
      </c>
      <c r="I815" s="15" t="s">
        <v>29</v>
      </c>
      <c r="J815" s="27">
        <v>26.32</v>
      </c>
      <c r="K815" s="15" t="s">
        <v>44</v>
      </c>
      <c r="L815" s="15" t="s">
        <v>21</v>
      </c>
      <c r="M815" s="15" t="s">
        <v>22</v>
      </c>
      <c r="N815" s="15" t="s">
        <v>32</v>
      </c>
      <c r="O815" s="15" t="s">
        <v>81</v>
      </c>
      <c r="P815" s="15" t="s">
        <v>25</v>
      </c>
      <c r="Q815" s="27">
        <v>3083.52</v>
      </c>
      <c r="R815" s="27">
        <v>1017.5616</v>
      </c>
      <c r="S815" s="31">
        <v>2065.9584</v>
      </c>
    </row>
    <row r="816" spans="1:19" x14ac:dyDescent="0.25">
      <c r="A816" s="20">
        <v>45704</v>
      </c>
      <c r="B816" s="15" t="s">
        <v>634</v>
      </c>
      <c r="C816" s="15">
        <v>31955</v>
      </c>
      <c r="D816" s="15" t="s">
        <v>49</v>
      </c>
      <c r="E816" s="15">
        <v>3</v>
      </c>
      <c r="F816" s="27">
        <v>3.82</v>
      </c>
      <c r="G816" s="15" t="s">
        <v>52</v>
      </c>
      <c r="H816" s="35">
        <v>0.02</v>
      </c>
      <c r="I816" s="15" t="s">
        <v>734</v>
      </c>
      <c r="J816" s="27">
        <v>6.77</v>
      </c>
      <c r="K816" s="15" t="s">
        <v>50</v>
      </c>
      <c r="L816" s="15" t="s">
        <v>21</v>
      </c>
      <c r="M816" s="15" t="s">
        <v>22</v>
      </c>
      <c r="N816" s="15" t="s">
        <v>53</v>
      </c>
      <c r="O816" s="15" t="s">
        <v>59</v>
      </c>
      <c r="P816" s="15" t="s">
        <v>40</v>
      </c>
      <c r="Q816" s="27">
        <v>11.459999999999999</v>
      </c>
      <c r="R816" s="27">
        <v>0.22919999999999999</v>
      </c>
      <c r="S816" s="31">
        <v>11.230799999999999</v>
      </c>
    </row>
    <row r="817" spans="1:19" x14ac:dyDescent="0.25">
      <c r="A817" s="20">
        <v>45704</v>
      </c>
      <c r="B817" s="15" t="s">
        <v>228</v>
      </c>
      <c r="C817" s="15">
        <v>47046</v>
      </c>
      <c r="D817" s="15" t="s">
        <v>17</v>
      </c>
      <c r="E817" s="15">
        <v>28</v>
      </c>
      <c r="F817" s="27">
        <v>52.44</v>
      </c>
      <c r="G817" s="15" t="s">
        <v>58</v>
      </c>
      <c r="H817" s="35">
        <v>0.48</v>
      </c>
      <c r="I817" s="15" t="s">
        <v>19</v>
      </c>
      <c r="J817" s="27">
        <v>10.52</v>
      </c>
      <c r="K817" s="15" t="s">
        <v>37</v>
      </c>
      <c r="L817" s="15" t="s">
        <v>31</v>
      </c>
      <c r="M817" s="15" t="s">
        <v>22</v>
      </c>
      <c r="N817" s="15" t="s">
        <v>53</v>
      </c>
      <c r="O817" s="15" t="s">
        <v>39</v>
      </c>
      <c r="P817" s="15" t="s">
        <v>25</v>
      </c>
      <c r="Q817" s="27">
        <v>1468.32</v>
      </c>
      <c r="R817" s="27">
        <v>704.79359999999997</v>
      </c>
      <c r="S817" s="31">
        <v>763.52639999999997</v>
      </c>
    </row>
    <row r="818" spans="1:19" x14ac:dyDescent="0.25">
      <c r="A818" s="20">
        <v>45704</v>
      </c>
      <c r="B818" s="15" t="s">
        <v>442</v>
      </c>
      <c r="C818" s="15">
        <v>37477</v>
      </c>
      <c r="D818" s="15" t="s">
        <v>89</v>
      </c>
      <c r="E818" s="15">
        <v>43</v>
      </c>
      <c r="F818" s="27">
        <v>68.8</v>
      </c>
      <c r="G818" s="15" t="s">
        <v>52</v>
      </c>
      <c r="H818" s="35">
        <v>0.41</v>
      </c>
      <c r="I818" s="15" t="s">
        <v>29</v>
      </c>
      <c r="J818" s="27">
        <v>21.97</v>
      </c>
      <c r="K818" s="15" t="s">
        <v>50</v>
      </c>
      <c r="L818" s="15" t="s">
        <v>31</v>
      </c>
      <c r="M818" s="15" t="s">
        <v>22</v>
      </c>
      <c r="N818" s="15" t="s">
        <v>38</v>
      </c>
      <c r="O818" s="15" t="s">
        <v>81</v>
      </c>
      <c r="P818" s="15" t="s">
        <v>34</v>
      </c>
      <c r="Q818" s="27">
        <v>2958.4</v>
      </c>
      <c r="R818" s="27">
        <v>1212.944</v>
      </c>
      <c r="S818" s="31">
        <v>1745.4560000000001</v>
      </c>
    </row>
    <row r="819" spans="1:19" x14ac:dyDescent="0.25">
      <c r="A819" s="20">
        <v>45704</v>
      </c>
      <c r="B819" s="15" t="s">
        <v>351</v>
      </c>
      <c r="C819" s="15">
        <v>38444</v>
      </c>
      <c r="D819" s="15" t="s">
        <v>46</v>
      </c>
      <c r="E819" s="15">
        <v>42</v>
      </c>
      <c r="F819" s="27">
        <v>14.6</v>
      </c>
      <c r="G819" s="15" t="s">
        <v>55</v>
      </c>
      <c r="H819" s="35">
        <v>0.01</v>
      </c>
      <c r="I819" s="15" t="s">
        <v>734</v>
      </c>
      <c r="J819" s="27">
        <v>12.78</v>
      </c>
      <c r="K819" s="15" t="s">
        <v>50</v>
      </c>
      <c r="L819" s="15" t="s">
        <v>31</v>
      </c>
      <c r="M819" s="15" t="s">
        <v>22</v>
      </c>
      <c r="N819" s="15" t="s">
        <v>32</v>
      </c>
      <c r="O819" s="15" t="s">
        <v>39</v>
      </c>
      <c r="P819" s="15" t="s">
        <v>40</v>
      </c>
      <c r="Q819" s="27">
        <v>613.19999999999993</v>
      </c>
      <c r="R819" s="27">
        <v>6.1319999999999997</v>
      </c>
      <c r="S819" s="31">
        <v>607.06799999999998</v>
      </c>
    </row>
    <row r="820" spans="1:19" x14ac:dyDescent="0.25">
      <c r="A820" s="20">
        <v>45704</v>
      </c>
      <c r="B820" s="15" t="s">
        <v>572</v>
      </c>
      <c r="C820" s="15">
        <v>67095</v>
      </c>
      <c r="D820" s="15" t="s">
        <v>70</v>
      </c>
      <c r="E820" s="15">
        <v>15</v>
      </c>
      <c r="F820" s="27">
        <v>61.68</v>
      </c>
      <c r="G820" s="15" t="s">
        <v>55</v>
      </c>
      <c r="H820" s="35">
        <v>0.15</v>
      </c>
      <c r="I820" s="15" t="s">
        <v>29</v>
      </c>
      <c r="J820" s="27">
        <v>25.72</v>
      </c>
      <c r="K820" s="15" t="s">
        <v>30</v>
      </c>
      <c r="L820" s="15" t="s">
        <v>31</v>
      </c>
      <c r="M820" s="15" t="s">
        <v>22</v>
      </c>
      <c r="N820" s="15" t="s">
        <v>53</v>
      </c>
      <c r="O820" s="15" t="s">
        <v>39</v>
      </c>
      <c r="P820" s="15" t="s">
        <v>40</v>
      </c>
      <c r="Q820" s="27">
        <v>925.2</v>
      </c>
      <c r="R820" s="27">
        <v>138.78</v>
      </c>
      <c r="S820" s="31">
        <v>786.42000000000007</v>
      </c>
    </row>
    <row r="821" spans="1:19" x14ac:dyDescent="0.25">
      <c r="A821" s="20">
        <v>45704</v>
      </c>
      <c r="B821" s="15" t="s">
        <v>635</v>
      </c>
      <c r="C821" s="15">
        <v>52337</v>
      </c>
      <c r="D821" s="15" t="s">
        <v>66</v>
      </c>
      <c r="E821" s="15">
        <v>39</v>
      </c>
      <c r="F821" s="27">
        <v>86.85</v>
      </c>
      <c r="G821" s="15" t="s">
        <v>72</v>
      </c>
      <c r="H821" s="35">
        <v>0.37</v>
      </c>
      <c r="I821" s="15" t="s">
        <v>29</v>
      </c>
      <c r="J821" s="27">
        <v>18</v>
      </c>
      <c r="K821" s="15" t="s">
        <v>50</v>
      </c>
      <c r="L821" s="15" t="s">
        <v>21</v>
      </c>
      <c r="M821" s="15" t="s">
        <v>22</v>
      </c>
      <c r="N821" s="15" t="s">
        <v>38</v>
      </c>
      <c r="O821" s="15" t="s">
        <v>81</v>
      </c>
      <c r="P821" s="15" t="s">
        <v>25</v>
      </c>
      <c r="Q821" s="27">
        <v>3387.1499999999996</v>
      </c>
      <c r="R821" s="27">
        <v>1253.2454999999998</v>
      </c>
      <c r="S821" s="31">
        <v>2133.9044999999996</v>
      </c>
    </row>
    <row r="822" spans="1:19" x14ac:dyDescent="0.25">
      <c r="A822" s="20">
        <v>45704</v>
      </c>
      <c r="B822" s="15" t="s">
        <v>368</v>
      </c>
      <c r="C822" s="15">
        <v>64538</v>
      </c>
      <c r="D822" s="15" t="s">
        <v>68</v>
      </c>
      <c r="E822" s="15">
        <v>40</v>
      </c>
      <c r="F822" s="27">
        <v>21.34</v>
      </c>
      <c r="G822" s="15" t="s">
        <v>43</v>
      </c>
      <c r="H822" s="35">
        <v>0.44</v>
      </c>
      <c r="I822" s="15" t="s">
        <v>734</v>
      </c>
      <c r="J822" s="27">
        <v>23.59</v>
      </c>
      <c r="K822" s="15" t="s">
        <v>30</v>
      </c>
      <c r="L822" s="15" t="s">
        <v>31</v>
      </c>
      <c r="M822" s="15" t="s">
        <v>22</v>
      </c>
      <c r="N822" s="15" t="s">
        <v>38</v>
      </c>
      <c r="O822" s="15" t="s">
        <v>81</v>
      </c>
      <c r="P822" s="15" t="s">
        <v>40</v>
      </c>
      <c r="Q822" s="27">
        <v>853.6</v>
      </c>
      <c r="R822" s="27">
        <v>375.584</v>
      </c>
      <c r="S822" s="31">
        <v>478.01600000000002</v>
      </c>
    </row>
    <row r="823" spans="1:19" x14ac:dyDescent="0.25">
      <c r="A823" s="20">
        <v>45704</v>
      </c>
      <c r="B823" s="15" t="s">
        <v>636</v>
      </c>
      <c r="C823" s="15">
        <v>21877</v>
      </c>
      <c r="D823" s="15" t="s">
        <v>70</v>
      </c>
      <c r="E823" s="15">
        <v>22</v>
      </c>
      <c r="F823" s="27">
        <v>69.34</v>
      </c>
      <c r="G823" s="15" t="s">
        <v>55</v>
      </c>
      <c r="H823" s="35">
        <v>0.17</v>
      </c>
      <c r="I823" s="15" t="s">
        <v>29</v>
      </c>
      <c r="J823" s="27">
        <v>15.15</v>
      </c>
      <c r="K823" s="15" t="s">
        <v>30</v>
      </c>
      <c r="L823" s="15" t="s">
        <v>31</v>
      </c>
      <c r="M823" s="15" t="s">
        <v>22</v>
      </c>
      <c r="N823" s="15" t="s">
        <v>32</v>
      </c>
      <c r="O823" s="15" t="s">
        <v>59</v>
      </c>
      <c r="P823" s="15" t="s">
        <v>25</v>
      </c>
      <c r="Q823" s="27">
        <v>1525.48</v>
      </c>
      <c r="R823" s="27">
        <v>259.33160000000004</v>
      </c>
      <c r="S823" s="31">
        <v>1266.1484</v>
      </c>
    </row>
    <row r="824" spans="1:19" x14ac:dyDescent="0.25">
      <c r="A824" s="20">
        <v>45704</v>
      </c>
      <c r="B824" s="15" t="s">
        <v>637</v>
      </c>
      <c r="C824" s="15">
        <v>23413</v>
      </c>
      <c r="D824" s="15" t="s">
        <v>42</v>
      </c>
      <c r="E824" s="15">
        <v>19</v>
      </c>
      <c r="F824" s="27">
        <v>33.380000000000003</v>
      </c>
      <c r="G824" s="15" t="s">
        <v>36</v>
      </c>
      <c r="H824" s="35">
        <v>0.49</v>
      </c>
      <c r="I824" s="15" t="s">
        <v>29</v>
      </c>
      <c r="J824" s="27">
        <v>11.14</v>
      </c>
      <c r="K824" s="15" t="s">
        <v>30</v>
      </c>
      <c r="L824" s="15" t="s">
        <v>21</v>
      </c>
      <c r="M824" s="15" t="s">
        <v>22</v>
      </c>
      <c r="N824" s="15" t="s">
        <v>23</v>
      </c>
      <c r="O824" s="15" t="s">
        <v>24</v>
      </c>
      <c r="P824" s="15" t="s">
        <v>40</v>
      </c>
      <c r="Q824" s="27">
        <v>634.22</v>
      </c>
      <c r="R824" s="27">
        <v>310.76780000000002</v>
      </c>
      <c r="S824" s="31">
        <v>323.4522</v>
      </c>
    </row>
    <row r="825" spans="1:19" x14ac:dyDescent="0.25">
      <c r="A825" s="20">
        <v>45704</v>
      </c>
      <c r="B825" s="15" t="s">
        <v>638</v>
      </c>
      <c r="C825" s="15">
        <v>83577</v>
      </c>
      <c r="D825" s="15" t="s">
        <v>57</v>
      </c>
      <c r="E825" s="15">
        <v>45</v>
      </c>
      <c r="F825" s="27">
        <v>17.899999999999999</v>
      </c>
      <c r="G825" s="15" t="s">
        <v>55</v>
      </c>
      <c r="H825" s="35">
        <v>0.09</v>
      </c>
      <c r="I825" s="15" t="s">
        <v>734</v>
      </c>
      <c r="J825" s="27">
        <v>18.13</v>
      </c>
      <c r="K825" s="15" t="s">
        <v>20</v>
      </c>
      <c r="L825" s="15" t="s">
        <v>21</v>
      </c>
      <c r="M825" s="15" t="s">
        <v>22</v>
      </c>
      <c r="N825" s="15" t="s">
        <v>23</v>
      </c>
      <c r="O825" s="15" t="s">
        <v>81</v>
      </c>
      <c r="P825" s="15" t="s">
        <v>25</v>
      </c>
      <c r="Q825" s="27">
        <v>805.49999999999989</v>
      </c>
      <c r="R825" s="27">
        <v>72.49499999999999</v>
      </c>
      <c r="S825" s="31">
        <v>733.00499999999988</v>
      </c>
    </row>
    <row r="826" spans="1:19" x14ac:dyDescent="0.25">
      <c r="A826" s="20">
        <v>45704</v>
      </c>
      <c r="B826" s="15" t="s">
        <v>139</v>
      </c>
      <c r="C826" s="15">
        <v>95071</v>
      </c>
      <c r="D826" s="15" t="s">
        <v>89</v>
      </c>
      <c r="E826" s="15">
        <v>11</v>
      </c>
      <c r="F826" s="27">
        <v>56.04</v>
      </c>
      <c r="G826" s="15" t="s">
        <v>36</v>
      </c>
      <c r="H826" s="35">
        <v>0.44</v>
      </c>
      <c r="I826" s="15" t="s">
        <v>29</v>
      </c>
      <c r="J826" s="27">
        <v>15.72</v>
      </c>
      <c r="K826" s="15" t="s">
        <v>44</v>
      </c>
      <c r="L826" s="15" t="s">
        <v>21</v>
      </c>
      <c r="M826" s="15" t="s">
        <v>22</v>
      </c>
      <c r="N826" s="15" t="s">
        <v>53</v>
      </c>
      <c r="O826" s="15" t="s">
        <v>81</v>
      </c>
      <c r="P826" s="15" t="s">
        <v>34</v>
      </c>
      <c r="Q826" s="27">
        <v>616.43999999999994</v>
      </c>
      <c r="R826" s="27">
        <v>271.23359999999997</v>
      </c>
      <c r="S826" s="31">
        <v>345.20639999999997</v>
      </c>
    </row>
    <row r="827" spans="1:19" x14ac:dyDescent="0.25">
      <c r="A827" s="20">
        <v>45704</v>
      </c>
      <c r="B827" s="15" t="s">
        <v>639</v>
      </c>
      <c r="C827" s="15">
        <v>48281</v>
      </c>
      <c r="D827" s="15" t="s">
        <v>27</v>
      </c>
      <c r="E827" s="15">
        <v>13</v>
      </c>
      <c r="F827" s="27">
        <v>19.329999999999998</v>
      </c>
      <c r="G827" s="15" t="s">
        <v>52</v>
      </c>
      <c r="H827" s="35">
        <v>0.22</v>
      </c>
      <c r="I827" s="15" t="s">
        <v>19</v>
      </c>
      <c r="J827" s="27">
        <v>18.670000000000002</v>
      </c>
      <c r="K827" s="15" t="s">
        <v>30</v>
      </c>
      <c r="L827" s="15" t="s">
        <v>21</v>
      </c>
      <c r="M827" s="15" t="s">
        <v>111</v>
      </c>
      <c r="N827" s="15" t="s">
        <v>53</v>
      </c>
      <c r="O827" s="15" t="s">
        <v>59</v>
      </c>
      <c r="P827" s="15" t="s">
        <v>34</v>
      </c>
      <c r="Q827" s="27">
        <v>251.28999999999996</v>
      </c>
      <c r="R827" s="27">
        <v>55.283799999999992</v>
      </c>
      <c r="S827" s="31">
        <v>196.00619999999998</v>
      </c>
    </row>
    <row r="828" spans="1:19" x14ac:dyDescent="0.25">
      <c r="A828" s="20">
        <v>45704</v>
      </c>
      <c r="B828" s="15" t="s">
        <v>640</v>
      </c>
      <c r="C828" s="15">
        <v>80915</v>
      </c>
      <c r="D828" s="15" t="s">
        <v>70</v>
      </c>
      <c r="E828" s="15">
        <v>39</v>
      </c>
      <c r="F828" s="27">
        <v>6.98</v>
      </c>
      <c r="G828" s="15" t="s">
        <v>36</v>
      </c>
      <c r="H828" s="35">
        <v>0.46</v>
      </c>
      <c r="I828" s="15" t="s">
        <v>734</v>
      </c>
      <c r="J828" s="27">
        <v>23.39</v>
      </c>
      <c r="K828" s="15" t="s">
        <v>44</v>
      </c>
      <c r="L828" s="15" t="s">
        <v>31</v>
      </c>
      <c r="M828" s="15" t="s">
        <v>22</v>
      </c>
      <c r="N828" s="15" t="s">
        <v>53</v>
      </c>
      <c r="O828" s="15" t="s">
        <v>24</v>
      </c>
      <c r="P828" s="15" t="s">
        <v>40</v>
      </c>
      <c r="Q828" s="27">
        <v>272.22000000000003</v>
      </c>
      <c r="R828" s="27">
        <v>125.22120000000002</v>
      </c>
      <c r="S828" s="31">
        <v>146.99880000000002</v>
      </c>
    </row>
    <row r="829" spans="1:19" x14ac:dyDescent="0.25">
      <c r="A829" s="20">
        <v>45704</v>
      </c>
      <c r="B829" s="15" t="s">
        <v>641</v>
      </c>
      <c r="C829" s="15">
        <v>57661</v>
      </c>
      <c r="D829" s="15" t="s">
        <v>68</v>
      </c>
      <c r="E829" s="15">
        <v>28</v>
      </c>
      <c r="F829" s="27">
        <v>69.650000000000006</v>
      </c>
      <c r="G829" s="15" t="s">
        <v>52</v>
      </c>
      <c r="H829" s="35">
        <v>0.41</v>
      </c>
      <c r="I829" s="15" t="s">
        <v>19</v>
      </c>
      <c r="J829" s="27">
        <v>18.600000000000001</v>
      </c>
      <c r="K829" s="15" t="s">
        <v>37</v>
      </c>
      <c r="L829" s="15" t="s">
        <v>31</v>
      </c>
      <c r="M829" s="15" t="s">
        <v>22</v>
      </c>
      <c r="N829" s="15" t="s">
        <v>53</v>
      </c>
      <c r="O829" s="15" t="s">
        <v>39</v>
      </c>
      <c r="P829" s="15" t="s">
        <v>34</v>
      </c>
      <c r="Q829" s="27">
        <v>1950.2000000000003</v>
      </c>
      <c r="R829" s="27">
        <v>799.58200000000011</v>
      </c>
      <c r="S829" s="31">
        <v>1150.6180000000002</v>
      </c>
    </row>
    <row r="830" spans="1:19" x14ac:dyDescent="0.25">
      <c r="A830" s="20">
        <v>45704</v>
      </c>
      <c r="B830" s="15" t="s">
        <v>642</v>
      </c>
      <c r="C830" s="15">
        <v>65719</v>
      </c>
      <c r="D830" s="15" t="s">
        <v>70</v>
      </c>
      <c r="E830" s="15">
        <v>2</v>
      </c>
      <c r="F830" s="27">
        <v>59.94</v>
      </c>
      <c r="G830" s="15" t="s">
        <v>47</v>
      </c>
      <c r="H830" s="35">
        <v>0.03</v>
      </c>
      <c r="I830" s="15" t="s">
        <v>29</v>
      </c>
      <c r="J830" s="27">
        <v>21.15</v>
      </c>
      <c r="K830" s="15" t="s">
        <v>30</v>
      </c>
      <c r="L830" s="15" t="s">
        <v>21</v>
      </c>
      <c r="M830" s="15" t="s">
        <v>22</v>
      </c>
      <c r="N830" s="15" t="s">
        <v>32</v>
      </c>
      <c r="O830" s="15" t="s">
        <v>59</v>
      </c>
      <c r="P830" s="15" t="s">
        <v>40</v>
      </c>
      <c r="Q830" s="27">
        <v>119.88</v>
      </c>
      <c r="R830" s="27">
        <v>3.5963999999999996</v>
      </c>
      <c r="S830" s="31">
        <v>116.28359999999999</v>
      </c>
    </row>
    <row r="831" spans="1:19" x14ac:dyDescent="0.25">
      <c r="A831" s="20">
        <v>45704</v>
      </c>
      <c r="B831" s="15" t="s">
        <v>600</v>
      </c>
      <c r="C831" s="15">
        <v>46846</v>
      </c>
      <c r="D831" s="15" t="s">
        <v>42</v>
      </c>
      <c r="E831" s="15">
        <v>45</v>
      </c>
      <c r="F831" s="27">
        <v>13.22</v>
      </c>
      <c r="G831" s="15" t="s">
        <v>58</v>
      </c>
      <c r="H831" s="35">
        <v>0.04</v>
      </c>
      <c r="I831" s="15" t="s">
        <v>19</v>
      </c>
      <c r="J831" s="27">
        <v>22.21</v>
      </c>
      <c r="K831" s="15" t="s">
        <v>20</v>
      </c>
      <c r="L831" s="15" t="s">
        <v>31</v>
      </c>
      <c r="M831" s="15" t="s">
        <v>22</v>
      </c>
      <c r="N831" s="15" t="s">
        <v>23</v>
      </c>
      <c r="O831" s="15" t="s">
        <v>24</v>
      </c>
      <c r="P831" s="15" t="s">
        <v>34</v>
      </c>
      <c r="Q831" s="27">
        <v>594.9</v>
      </c>
      <c r="R831" s="27">
        <v>23.795999999999999</v>
      </c>
      <c r="S831" s="31">
        <v>571.10399999999993</v>
      </c>
    </row>
    <row r="832" spans="1:19" x14ac:dyDescent="0.25">
      <c r="A832" s="20">
        <v>45704</v>
      </c>
      <c r="B832" s="15" t="s">
        <v>643</v>
      </c>
      <c r="C832" s="15">
        <v>71988</v>
      </c>
      <c r="D832" s="15" t="s">
        <v>27</v>
      </c>
      <c r="E832" s="15">
        <v>35</v>
      </c>
      <c r="F832" s="27">
        <v>53.22</v>
      </c>
      <c r="G832" s="15" t="s">
        <v>76</v>
      </c>
      <c r="H832" s="35">
        <v>0.34</v>
      </c>
      <c r="I832" s="15" t="s">
        <v>29</v>
      </c>
      <c r="J832" s="27">
        <v>6.28</v>
      </c>
      <c r="K832" s="15" t="s">
        <v>44</v>
      </c>
      <c r="L832" s="15" t="s">
        <v>21</v>
      </c>
      <c r="M832" s="15" t="s">
        <v>22</v>
      </c>
      <c r="N832" s="15" t="s">
        <v>53</v>
      </c>
      <c r="O832" s="15" t="s">
        <v>81</v>
      </c>
      <c r="P832" s="15" t="s">
        <v>25</v>
      </c>
      <c r="Q832" s="27">
        <v>1862.7</v>
      </c>
      <c r="R832" s="27">
        <v>633.3180000000001</v>
      </c>
      <c r="S832" s="31">
        <v>1229.3820000000001</v>
      </c>
    </row>
    <row r="833" spans="1:19" x14ac:dyDescent="0.25">
      <c r="A833" s="20">
        <v>45704</v>
      </c>
      <c r="B833" s="15" t="s">
        <v>453</v>
      </c>
      <c r="C833" s="15">
        <v>17580</v>
      </c>
      <c r="D833" s="15" t="s">
        <v>17</v>
      </c>
      <c r="E833" s="15">
        <v>30</v>
      </c>
      <c r="F833" s="27">
        <v>50.14</v>
      </c>
      <c r="G833" s="15" t="s">
        <v>76</v>
      </c>
      <c r="H833" s="35">
        <v>0.17</v>
      </c>
      <c r="I833" s="15" t="s">
        <v>734</v>
      </c>
      <c r="J833" s="27">
        <v>23.25</v>
      </c>
      <c r="K833" s="15" t="s">
        <v>20</v>
      </c>
      <c r="L833" s="15" t="s">
        <v>31</v>
      </c>
      <c r="M833" s="15" t="s">
        <v>22</v>
      </c>
      <c r="N833" s="15" t="s">
        <v>38</v>
      </c>
      <c r="O833" s="15" t="s">
        <v>59</v>
      </c>
      <c r="P833" s="15" t="s">
        <v>25</v>
      </c>
      <c r="Q833" s="27">
        <v>1504.2</v>
      </c>
      <c r="R833" s="27">
        <v>255.71400000000003</v>
      </c>
      <c r="S833" s="31">
        <v>1248.4860000000001</v>
      </c>
    </row>
    <row r="834" spans="1:19" x14ac:dyDescent="0.25">
      <c r="A834" s="20">
        <v>45704</v>
      </c>
      <c r="B834" s="15" t="s">
        <v>644</v>
      </c>
      <c r="C834" s="15">
        <v>18378</v>
      </c>
      <c r="D834" s="15" t="s">
        <v>70</v>
      </c>
      <c r="E834" s="15">
        <v>28</v>
      </c>
      <c r="F834" s="27">
        <v>82.34</v>
      </c>
      <c r="G834" s="15" t="s">
        <v>55</v>
      </c>
      <c r="H834" s="35">
        <v>0.15</v>
      </c>
      <c r="I834" s="15" t="s">
        <v>19</v>
      </c>
      <c r="J834" s="27">
        <v>22.64</v>
      </c>
      <c r="K834" s="15" t="s">
        <v>37</v>
      </c>
      <c r="L834" s="15" t="s">
        <v>31</v>
      </c>
      <c r="M834" s="15" t="s">
        <v>22</v>
      </c>
      <c r="N834" s="15" t="s">
        <v>38</v>
      </c>
      <c r="O834" s="15" t="s">
        <v>81</v>
      </c>
      <c r="P834" s="15" t="s">
        <v>40</v>
      </c>
      <c r="Q834" s="27">
        <v>2305.52</v>
      </c>
      <c r="R834" s="27">
        <v>345.82799999999997</v>
      </c>
      <c r="S834" s="31">
        <v>1959.692</v>
      </c>
    </row>
    <row r="835" spans="1:19" x14ac:dyDescent="0.25">
      <c r="A835" s="20">
        <v>45704</v>
      </c>
      <c r="B835" s="15" t="s">
        <v>389</v>
      </c>
      <c r="C835" s="15">
        <v>90144</v>
      </c>
      <c r="D835" s="15" t="s">
        <v>46</v>
      </c>
      <c r="E835" s="15">
        <v>39</v>
      </c>
      <c r="F835" s="27">
        <v>95.75</v>
      </c>
      <c r="G835" s="15" t="s">
        <v>55</v>
      </c>
      <c r="H835" s="35">
        <v>0.04</v>
      </c>
      <c r="I835" s="15" t="s">
        <v>734</v>
      </c>
      <c r="J835" s="27">
        <v>11.43</v>
      </c>
      <c r="K835" s="15" t="s">
        <v>37</v>
      </c>
      <c r="L835" s="15" t="s">
        <v>21</v>
      </c>
      <c r="M835" s="15" t="s">
        <v>22</v>
      </c>
      <c r="N835" s="15" t="s">
        <v>23</v>
      </c>
      <c r="O835" s="15" t="s">
        <v>24</v>
      </c>
      <c r="P835" s="15" t="s">
        <v>40</v>
      </c>
      <c r="Q835" s="27">
        <v>3734.25</v>
      </c>
      <c r="R835" s="27">
        <v>149.37</v>
      </c>
      <c r="S835" s="31">
        <v>3584.88</v>
      </c>
    </row>
    <row r="836" spans="1:19" x14ac:dyDescent="0.25">
      <c r="A836" s="20">
        <v>45704</v>
      </c>
      <c r="B836" s="15" t="s">
        <v>261</v>
      </c>
      <c r="C836" s="15">
        <v>97316</v>
      </c>
      <c r="D836" s="15" t="s">
        <v>57</v>
      </c>
      <c r="E836" s="15">
        <v>33</v>
      </c>
      <c r="F836" s="27">
        <v>24.85</v>
      </c>
      <c r="G836" s="15" t="s">
        <v>99</v>
      </c>
      <c r="H836" s="35">
        <v>0.39</v>
      </c>
      <c r="I836" s="15" t="s">
        <v>29</v>
      </c>
      <c r="J836" s="27">
        <v>6.77</v>
      </c>
      <c r="K836" s="15" t="s">
        <v>20</v>
      </c>
      <c r="L836" s="15" t="s">
        <v>31</v>
      </c>
      <c r="M836" s="15" t="s">
        <v>111</v>
      </c>
      <c r="N836" s="15" t="s">
        <v>23</v>
      </c>
      <c r="O836" s="15" t="s">
        <v>81</v>
      </c>
      <c r="P836" s="15" t="s">
        <v>25</v>
      </c>
      <c r="Q836" s="27">
        <v>820.05000000000007</v>
      </c>
      <c r="R836" s="27">
        <v>319.81950000000006</v>
      </c>
      <c r="S836" s="31">
        <v>500.23050000000001</v>
      </c>
    </row>
    <row r="837" spans="1:19" x14ac:dyDescent="0.25">
      <c r="A837" s="20">
        <v>45705</v>
      </c>
      <c r="B837" s="15" t="s">
        <v>645</v>
      </c>
      <c r="C837" s="15">
        <v>98433</v>
      </c>
      <c r="D837" s="15" t="s">
        <v>46</v>
      </c>
      <c r="E837" s="15">
        <v>31</v>
      </c>
      <c r="F837" s="27">
        <v>43.94</v>
      </c>
      <c r="G837" s="15" t="s">
        <v>55</v>
      </c>
      <c r="H837" s="35">
        <v>0.11</v>
      </c>
      <c r="I837" s="15" t="s">
        <v>734</v>
      </c>
      <c r="J837" s="27">
        <v>26.43</v>
      </c>
      <c r="K837" s="15" t="s">
        <v>50</v>
      </c>
      <c r="L837" s="15" t="s">
        <v>31</v>
      </c>
      <c r="M837" s="15" t="s">
        <v>22</v>
      </c>
      <c r="N837" s="15" t="s">
        <v>38</v>
      </c>
      <c r="O837" s="15" t="s">
        <v>39</v>
      </c>
      <c r="P837" s="15" t="s">
        <v>25</v>
      </c>
      <c r="Q837" s="27">
        <v>1362.1399999999999</v>
      </c>
      <c r="R837" s="27">
        <v>149.83539999999999</v>
      </c>
      <c r="S837" s="31">
        <v>1212.3045999999999</v>
      </c>
    </row>
    <row r="838" spans="1:19" x14ac:dyDescent="0.25">
      <c r="A838" s="20">
        <v>45705</v>
      </c>
      <c r="B838" s="15" t="s">
        <v>580</v>
      </c>
      <c r="C838" s="15">
        <v>38176</v>
      </c>
      <c r="D838" s="15" t="s">
        <v>70</v>
      </c>
      <c r="E838" s="15">
        <v>31</v>
      </c>
      <c r="F838" s="27">
        <v>96.68</v>
      </c>
      <c r="G838" s="15" t="s">
        <v>18</v>
      </c>
      <c r="H838" s="35">
        <v>0.14000000000000001</v>
      </c>
      <c r="I838" s="15" t="s">
        <v>19</v>
      </c>
      <c r="J838" s="27">
        <v>12.72</v>
      </c>
      <c r="K838" s="15" t="s">
        <v>30</v>
      </c>
      <c r="L838" s="15" t="s">
        <v>31</v>
      </c>
      <c r="M838" s="15" t="s">
        <v>22</v>
      </c>
      <c r="N838" s="15" t="s">
        <v>53</v>
      </c>
      <c r="O838" s="15" t="s">
        <v>81</v>
      </c>
      <c r="P838" s="15" t="s">
        <v>25</v>
      </c>
      <c r="Q838" s="27">
        <v>2997.0800000000004</v>
      </c>
      <c r="R838" s="27">
        <v>419.59120000000007</v>
      </c>
      <c r="S838" s="31">
        <v>2577.4888000000001</v>
      </c>
    </row>
    <row r="839" spans="1:19" x14ac:dyDescent="0.25">
      <c r="A839" s="20">
        <v>45705</v>
      </c>
      <c r="B839" s="15" t="s">
        <v>238</v>
      </c>
      <c r="C839" s="15">
        <v>36296</v>
      </c>
      <c r="D839" s="15" t="s">
        <v>46</v>
      </c>
      <c r="E839" s="15">
        <v>10</v>
      </c>
      <c r="F839" s="27">
        <v>36.22</v>
      </c>
      <c r="G839" s="15" t="s">
        <v>58</v>
      </c>
      <c r="H839" s="35">
        <v>0.08</v>
      </c>
      <c r="I839" s="15" t="s">
        <v>29</v>
      </c>
      <c r="J839" s="27">
        <v>10.71</v>
      </c>
      <c r="K839" s="15" t="s">
        <v>30</v>
      </c>
      <c r="L839" s="15" t="s">
        <v>31</v>
      </c>
      <c r="M839" s="15" t="s">
        <v>22</v>
      </c>
      <c r="N839" s="15" t="s">
        <v>53</v>
      </c>
      <c r="O839" s="15" t="s">
        <v>81</v>
      </c>
      <c r="P839" s="15" t="s">
        <v>40</v>
      </c>
      <c r="Q839" s="27">
        <v>362.2</v>
      </c>
      <c r="R839" s="27">
        <v>28.975999999999999</v>
      </c>
      <c r="S839" s="31">
        <v>333.22399999999999</v>
      </c>
    </row>
    <row r="840" spans="1:19" x14ac:dyDescent="0.25">
      <c r="A840" s="20">
        <v>45705</v>
      </c>
      <c r="B840" s="15" t="s">
        <v>432</v>
      </c>
      <c r="C840" s="15">
        <v>18429</v>
      </c>
      <c r="D840" s="15" t="s">
        <v>70</v>
      </c>
      <c r="E840" s="15">
        <v>44</v>
      </c>
      <c r="F840" s="27">
        <v>7.52</v>
      </c>
      <c r="G840" s="15" t="s">
        <v>28</v>
      </c>
      <c r="H840" s="35">
        <v>0.42</v>
      </c>
      <c r="I840" s="15" t="s">
        <v>734</v>
      </c>
      <c r="J840" s="27">
        <v>7.6</v>
      </c>
      <c r="K840" s="15" t="s">
        <v>20</v>
      </c>
      <c r="L840" s="15" t="s">
        <v>21</v>
      </c>
      <c r="M840" s="15" t="s">
        <v>22</v>
      </c>
      <c r="N840" s="15" t="s">
        <v>53</v>
      </c>
      <c r="O840" s="15" t="s">
        <v>24</v>
      </c>
      <c r="P840" s="15" t="s">
        <v>40</v>
      </c>
      <c r="Q840" s="27">
        <v>330.88</v>
      </c>
      <c r="R840" s="27">
        <v>138.96959999999999</v>
      </c>
      <c r="S840" s="31">
        <v>191.91040000000001</v>
      </c>
    </row>
    <row r="841" spans="1:19" x14ac:dyDescent="0.25">
      <c r="A841" s="20">
        <v>45705</v>
      </c>
      <c r="B841" s="15" t="s">
        <v>646</v>
      </c>
      <c r="C841" s="15">
        <v>11344</v>
      </c>
      <c r="D841" s="15" t="s">
        <v>89</v>
      </c>
      <c r="E841" s="15">
        <v>18</v>
      </c>
      <c r="F841" s="27">
        <v>57.7</v>
      </c>
      <c r="G841" s="15" t="s">
        <v>47</v>
      </c>
      <c r="H841" s="35">
        <v>0.44</v>
      </c>
      <c r="I841" s="15" t="s">
        <v>734</v>
      </c>
      <c r="J841" s="27">
        <v>20.76</v>
      </c>
      <c r="K841" s="15" t="s">
        <v>50</v>
      </c>
      <c r="L841" s="15" t="s">
        <v>21</v>
      </c>
      <c r="M841" s="15" t="s">
        <v>22</v>
      </c>
      <c r="N841" s="15" t="s">
        <v>53</v>
      </c>
      <c r="O841" s="15" t="s">
        <v>39</v>
      </c>
      <c r="P841" s="15" t="s">
        <v>25</v>
      </c>
      <c r="Q841" s="27">
        <v>1038.6000000000001</v>
      </c>
      <c r="R841" s="27">
        <v>456.98400000000004</v>
      </c>
      <c r="S841" s="31">
        <v>581.6160000000001</v>
      </c>
    </row>
    <row r="842" spans="1:19" x14ac:dyDescent="0.25">
      <c r="A842" s="20">
        <v>45705</v>
      </c>
      <c r="B842" s="15" t="s">
        <v>647</v>
      </c>
      <c r="C842" s="15">
        <v>92244</v>
      </c>
      <c r="D842" s="15" t="s">
        <v>68</v>
      </c>
      <c r="E842" s="15">
        <v>31</v>
      </c>
      <c r="F842" s="27">
        <v>26.63</v>
      </c>
      <c r="G842" s="15" t="s">
        <v>72</v>
      </c>
      <c r="H842" s="35">
        <v>0.12</v>
      </c>
      <c r="I842" s="15" t="s">
        <v>19</v>
      </c>
      <c r="J842" s="27">
        <v>21.97</v>
      </c>
      <c r="K842" s="15" t="s">
        <v>30</v>
      </c>
      <c r="L842" s="15" t="s">
        <v>21</v>
      </c>
      <c r="M842" s="15" t="s">
        <v>22</v>
      </c>
      <c r="N842" s="15" t="s">
        <v>23</v>
      </c>
      <c r="O842" s="15" t="s">
        <v>24</v>
      </c>
      <c r="P842" s="15" t="s">
        <v>40</v>
      </c>
      <c r="Q842" s="27">
        <v>825.53</v>
      </c>
      <c r="R842" s="27">
        <v>99.063599999999994</v>
      </c>
      <c r="S842" s="31">
        <v>726.46640000000002</v>
      </c>
    </row>
    <row r="843" spans="1:19" x14ac:dyDescent="0.25">
      <c r="A843" s="20">
        <v>45705</v>
      </c>
      <c r="B843" s="15" t="s">
        <v>243</v>
      </c>
      <c r="C843" s="15">
        <v>83467</v>
      </c>
      <c r="D843" s="15" t="s">
        <v>57</v>
      </c>
      <c r="E843" s="15">
        <v>1</v>
      </c>
      <c r="F843" s="27">
        <v>49.48</v>
      </c>
      <c r="G843" s="15" t="s">
        <v>72</v>
      </c>
      <c r="H843" s="35">
        <v>0.26</v>
      </c>
      <c r="I843" s="15" t="s">
        <v>29</v>
      </c>
      <c r="J843" s="27">
        <v>14.04</v>
      </c>
      <c r="K843" s="15" t="s">
        <v>37</v>
      </c>
      <c r="L843" s="15" t="s">
        <v>31</v>
      </c>
      <c r="M843" s="15" t="s">
        <v>22</v>
      </c>
      <c r="N843" s="15" t="s">
        <v>53</v>
      </c>
      <c r="O843" s="15" t="s">
        <v>59</v>
      </c>
      <c r="P843" s="15" t="s">
        <v>40</v>
      </c>
      <c r="Q843" s="27">
        <v>49.48</v>
      </c>
      <c r="R843" s="27">
        <v>12.864799999999999</v>
      </c>
      <c r="S843" s="31">
        <v>36.615200000000002</v>
      </c>
    </row>
    <row r="844" spans="1:19" x14ac:dyDescent="0.25">
      <c r="A844" s="20">
        <v>45705</v>
      </c>
      <c r="B844" s="15" t="s">
        <v>506</v>
      </c>
      <c r="C844" s="15">
        <v>50071</v>
      </c>
      <c r="D844" s="15" t="s">
        <v>27</v>
      </c>
      <c r="E844" s="15">
        <v>26</v>
      </c>
      <c r="F844" s="27">
        <v>11.97</v>
      </c>
      <c r="G844" s="15" t="s">
        <v>99</v>
      </c>
      <c r="H844" s="35">
        <v>0.26</v>
      </c>
      <c r="I844" s="15" t="s">
        <v>29</v>
      </c>
      <c r="J844" s="27">
        <v>22.46</v>
      </c>
      <c r="K844" s="15" t="s">
        <v>50</v>
      </c>
      <c r="L844" s="15" t="s">
        <v>31</v>
      </c>
      <c r="M844" s="15" t="s">
        <v>22</v>
      </c>
      <c r="N844" s="15" t="s">
        <v>38</v>
      </c>
      <c r="O844" s="15" t="s">
        <v>33</v>
      </c>
      <c r="P844" s="15" t="s">
        <v>25</v>
      </c>
      <c r="Q844" s="27">
        <v>311.22000000000003</v>
      </c>
      <c r="R844" s="27">
        <v>80.917200000000008</v>
      </c>
      <c r="S844" s="31">
        <v>230.30280000000002</v>
      </c>
    </row>
    <row r="845" spans="1:19" x14ac:dyDescent="0.25">
      <c r="A845" s="20">
        <v>45705</v>
      </c>
      <c r="B845" s="15" t="s">
        <v>542</v>
      </c>
      <c r="C845" s="15">
        <v>56913</v>
      </c>
      <c r="D845" s="15" t="s">
        <v>57</v>
      </c>
      <c r="E845" s="15">
        <v>15</v>
      </c>
      <c r="F845" s="27">
        <v>17.89</v>
      </c>
      <c r="G845" s="15" t="s">
        <v>76</v>
      </c>
      <c r="H845" s="35">
        <v>0.49</v>
      </c>
      <c r="I845" s="15" t="s">
        <v>29</v>
      </c>
      <c r="J845" s="27">
        <v>16.149999999999999</v>
      </c>
      <c r="K845" s="15" t="s">
        <v>44</v>
      </c>
      <c r="L845" s="15" t="s">
        <v>21</v>
      </c>
      <c r="M845" s="15" t="s">
        <v>22</v>
      </c>
      <c r="N845" s="15" t="s">
        <v>23</v>
      </c>
      <c r="O845" s="15" t="s">
        <v>81</v>
      </c>
      <c r="P845" s="15" t="s">
        <v>34</v>
      </c>
      <c r="Q845" s="27">
        <v>268.35000000000002</v>
      </c>
      <c r="R845" s="27">
        <v>131.4915</v>
      </c>
      <c r="S845" s="31">
        <v>136.85850000000002</v>
      </c>
    </row>
    <row r="846" spans="1:19" x14ac:dyDescent="0.25">
      <c r="A846" s="20">
        <v>45705</v>
      </c>
      <c r="B846" s="15" t="s">
        <v>481</v>
      </c>
      <c r="C846" s="15">
        <v>57073</v>
      </c>
      <c r="D846" s="15" t="s">
        <v>89</v>
      </c>
      <c r="E846" s="15">
        <v>7</v>
      </c>
      <c r="F846" s="27">
        <v>91.76</v>
      </c>
      <c r="G846" s="15" t="s">
        <v>58</v>
      </c>
      <c r="H846" s="35">
        <v>0</v>
      </c>
      <c r="I846" s="15" t="s">
        <v>19</v>
      </c>
      <c r="J846" s="27">
        <v>8.44</v>
      </c>
      <c r="K846" s="15" t="s">
        <v>44</v>
      </c>
      <c r="L846" s="15" t="s">
        <v>31</v>
      </c>
      <c r="M846" s="15" t="s">
        <v>22</v>
      </c>
      <c r="N846" s="15" t="s">
        <v>23</v>
      </c>
      <c r="O846" s="15" t="s">
        <v>81</v>
      </c>
      <c r="P846" s="15" t="s">
        <v>25</v>
      </c>
      <c r="Q846" s="27">
        <v>642.32000000000005</v>
      </c>
      <c r="R846" s="27">
        <v>0</v>
      </c>
      <c r="S846" s="31">
        <v>642.32000000000005</v>
      </c>
    </row>
    <row r="847" spans="1:19" x14ac:dyDescent="0.25">
      <c r="A847" s="20">
        <v>45705</v>
      </c>
      <c r="B847" s="15" t="s">
        <v>64</v>
      </c>
      <c r="C847" s="15">
        <v>35808</v>
      </c>
      <c r="D847" s="15" t="s">
        <v>49</v>
      </c>
      <c r="E847" s="15">
        <v>47</v>
      </c>
      <c r="F847" s="27">
        <v>5.36</v>
      </c>
      <c r="G847" s="15" t="s">
        <v>28</v>
      </c>
      <c r="H847" s="35">
        <v>7.0000000000000007E-2</v>
      </c>
      <c r="I847" s="15" t="s">
        <v>29</v>
      </c>
      <c r="J847" s="27">
        <v>21.55</v>
      </c>
      <c r="K847" s="15" t="s">
        <v>37</v>
      </c>
      <c r="L847" s="15" t="s">
        <v>31</v>
      </c>
      <c r="M847" s="15" t="s">
        <v>22</v>
      </c>
      <c r="N847" s="15" t="s">
        <v>53</v>
      </c>
      <c r="O847" s="15" t="s">
        <v>81</v>
      </c>
      <c r="P847" s="15" t="s">
        <v>40</v>
      </c>
      <c r="Q847" s="27">
        <v>251.92000000000002</v>
      </c>
      <c r="R847" s="27">
        <v>17.634400000000003</v>
      </c>
      <c r="S847" s="31">
        <v>234.28560000000002</v>
      </c>
    </row>
    <row r="848" spans="1:19" x14ac:dyDescent="0.25">
      <c r="A848" s="20">
        <v>45705</v>
      </c>
      <c r="B848" s="15" t="s">
        <v>534</v>
      </c>
      <c r="C848" s="15">
        <v>48136</v>
      </c>
      <c r="D848" s="15" t="s">
        <v>57</v>
      </c>
      <c r="E848" s="15">
        <v>20</v>
      </c>
      <c r="F848" s="27">
        <v>35.83</v>
      </c>
      <c r="G848" s="15" t="s">
        <v>47</v>
      </c>
      <c r="H848" s="35">
        <v>0.45</v>
      </c>
      <c r="I848" s="15" t="s">
        <v>29</v>
      </c>
      <c r="J848" s="27">
        <v>15.25</v>
      </c>
      <c r="K848" s="15" t="s">
        <v>50</v>
      </c>
      <c r="L848" s="15" t="s">
        <v>31</v>
      </c>
      <c r="M848" s="15" t="s">
        <v>22</v>
      </c>
      <c r="N848" s="15" t="s">
        <v>32</v>
      </c>
      <c r="O848" s="15" t="s">
        <v>59</v>
      </c>
      <c r="P848" s="15" t="s">
        <v>34</v>
      </c>
      <c r="Q848" s="27">
        <v>716.59999999999991</v>
      </c>
      <c r="R848" s="27">
        <v>322.46999999999997</v>
      </c>
      <c r="S848" s="31">
        <v>394.12999999999994</v>
      </c>
    </row>
    <row r="849" spans="1:19" x14ac:dyDescent="0.25">
      <c r="A849" s="20">
        <v>45705</v>
      </c>
      <c r="B849" s="15" t="s">
        <v>648</v>
      </c>
      <c r="C849" s="15">
        <v>66829</v>
      </c>
      <c r="D849" s="15" t="s">
        <v>17</v>
      </c>
      <c r="E849" s="15">
        <v>49</v>
      </c>
      <c r="F849" s="27">
        <v>22.77</v>
      </c>
      <c r="G849" s="15" t="s">
        <v>52</v>
      </c>
      <c r="H849" s="35">
        <v>0.39</v>
      </c>
      <c r="I849" s="15" t="s">
        <v>29</v>
      </c>
      <c r="J849" s="27">
        <v>10.87</v>
      </c>
      <c r="K849" s="15" t="s">
        <v>50</v>
      </c>
      <c r="L849" s="15" t="s">
        <v>21</v>
      </c>
      <c r="M849" s="15" t="s">
        <v>22</v>
      </c>
      <c r="N849" s="15" t="s">
        <v>23</v>
      </c>
      <c r="O849" s="15" t="s">
        <v>33</v>
      </c>
      <c r="P849" s="15" t="s">
        <v>25</v>
      </c>
      <c r="Q849" s="27">
        <v>1115.73</v>
      </c>
      <c r="R849" s="27">
        <v>435.13470000000001</v>
      </c>
      <c r="S849" s="31">
        <v>680.59529999999995</v>
      </c>
    </row>
    <row r="850" spans="1:19" x14ac:dyDescent="0.25">
      <c r="A850" s="20">
        <v>45705</v>
      </c>
      <c r="B850" s="15" t="s">
        <v>649</v>
      </c>
      <c r="C850" s="15">
        <v>53173</v>
      </c>
      <c r="D850" s="15" t="s">
        <v>70</v>
      </c>
      <c r="E850" s="15">
        <v>21</v>
      </c>
      <c r="F850" s="27">
        <v>87.56</v>
      </c>
      <c r="G850" s="15" t="s">
        <v>18</v>
      </c>
      <c r="H850" s="35">
        <v>0.24</v>
      </c>
      <c r="I850" s="15" t="s">
        <v>734</v>
      </c>
      <c r="J850" s="27">
        <v>23.16</v>
      </c>
      <c r="K850" s="15" t="s">
        <v>30</v>
      </c>
      <c r="L850" s="15" t="s">
        <v>21</v>
      </c>
      <c r="M850" s="15" t="s">
        <v>22</v>
      </c>
      <c r="N850" s="15" t="s">
        <v>32</v>
      </c>
      <c r="O850" s="15" t="s">
        <v>81</v>
      </c>
      <c r="P850" s="15" t="s">
        <v>34</v>
      </c>
      <c r="Q850" s="27">
        <v>1838.76</v>
      </c>
      <c r="R850" s="27">
        <v>441.30239999999998</v>
      </c>
      <c r="S850" s="31">
        <v>1397.4576</v>
      </c>
    </row>
    <row r="851" spans="1:19" x14ac:dyDescent="0.25">
      <c r="A851" s="20">
        <v>45705</v>
      </c>
      <c r="B851" s="15" t="s">
        <v>650</v>
      </c>
      <c r="C851" s="15">
        <v>72811</v>
      </c>
      <c r="D851" s="15" t="s">
        <v>70</v>
      </c>
      <c r="E851" s="15">
        <v>40</v>
      </c>
      <c r="F851" s="27">
        <v>82.55</v>
      </c>
      <c r="G851" s="15" t="s">
        <v>47</v>
      </c>
      <c r="H851" s="35">
        <v>0.11</v>
      </c>
      <c r="I851" s="15" t="s">
        <v>29</v>
      </c>
      <c r="J851" s="27">
        <v>20.14</v>
      </c>
      <c r="K851" s="15" t="s">
        <v>50</v>
      </c>
      <c r="L851" s="15" t="s">
        <v>31</v>
      </c>
      <c r="M851" s="15" t="s">
        <v>22</v>
      </c>
      <c r="N851" s="15" t="s">
        <v>53</v>
      </c>
      <c r="O851" s="15" t="s">
        <v>33</v>
      </c>
      <c r="P851" s="15" t="s">
        <v>40</v>
      </c>
      <c r="Q851" s="27">
        <v>3302</v>
      </c>
      <c r="R851" s="27">
        <v>363.22</v>
      </c>
      <c r="S851" s="31">
        <v>2938.7799999999997</v>
      </c>
    </row>
    <row r="852" spans="1:19" x14ac:dyDescent="0.25">
      <c r="A852" s="20">
        <v>45705</v>
      </c>
      <c r="B852" s="15" t="s">
        <v>651</v>
      </c>
      <c r="C852" s="15">
        <v>14652</v>
      </c>
      <c r="D852" s="15" t="s">
        <v>70</v>
      </c>
      <c r="E852" s="15">
        <v>12</v>
      </c>
      <c r="F852" s="27">
        <v>94.92</v>
      </c>
      <c r="G852" s="15" t="s">
        <v>43</v>
      </c>
      <c r="H852" s="35">
        <v>0.19</v>
      </c>
      <c r="I852" s="15" t="s">
        <v>19</v>
      </c>
      <c r="J852" s="27">
        <v>18.239999999999998</v>
      </c>
      <c r="K852" s="15" t="s">
        <v>50</v>
      </c>
      <c r="L852" s="15" t="s">
        <v>21</v>
      </c>
      <c r="M852" s="15" t="s">
        <v>22</v>
      </c>
      <c r="N852" s="15" t="s">
        <v>53</v>
      </c>
      <c r="O852" s="15" t="s">
        <v>81</v>
      </c>
      <c r="P852" s="15" t="s">
        <v>40</v>
      </c>
      <c r="Q852" s="27">
        <v>1139.04</v>
      </c>
      <c r="R852" s="27">
        <v>216.41759999999999</v>
      </c>
      <c r="S852" s="31">
        <v>922.62239999999997</v>
      </c>
    </row>
    <row r="853" spans="1:19" x14ac:dyDescent="0.25">
      <c r="A853" s="20">
        <v>45705</v>
      </c>
      <c r="B853" s="15" t="s">
        <v>129</v>
      </c>
      <c r="C853" s="15">
        <v>12909</v>
      </c>
      <c r="D853" s="15" t="s">
        <v>42</v>
      </c>
      <c r="E853" s="15">
        <v>22</v>
      </c>
      <c r="F853" s="27">
        <v>4</v>
      </c>
      <c r="G853" s="15" t="s">
        <v>18</v>
      </c>
      <c r="H853" s="35">
        <v>0.33</v>
      </c>
      <c r="I853" s="15" t="s">
        <v>19</v>
      </c>
      <c r="J853" s="27">
        <v>27.05</v>
      </c>
      <c r="K853" s="15" t="s">
        <v>50</v>
      </c>
      <c r="L853" s="15" t="s">
        <v>31</v>
      </c>
      <c r="M853" s="15" t="s">
        <v>22</v>
      </c>
      <c r="N853" s="15" t="s">
        <v>53</v>
      </c>
      <c r="O853" s="15" t="s">
        <v>33</v>
      </c>
      <c r="P853" s="15" t="s">
        <v>25</v>
      </c>
      <c r="Q853" s="27">
        <v>88</v>
      </c>
      <c r="R853" s="27">
        <v>29.040000000000003</v>
      </c>
      <c r="S853" s="31">
        <v>58.959999999999994</v>
      </c>
    </row>
    <row r="854" spans="1:19" x14ac:dyDescent="0.25">
      <c r="A854" s="20">
        <v>45705</v>
      </c>
      <c r="B854" s="15" t="s">
        <v>545</v>
      </c>
      <c r="C854" s="15">
        <v>51186</v>
      </c>
      <c r="D854" s="15" t="s">
        <v>75</v>
      </c>
      <c r="E854" s="15">
        <v>9</v>
      </c>
      <c r="F854" s="27">
        <v>89.87</v>
      </c>
      <c r="G854" s="15" t="s">
        <v>36</v>
      </c>
      <c r="H854" s="35">
        <v>0.21</v>
      </c>
      <c r="I854" s="15" t="s">
        <v>19</v>
      </c>
      <c r="J854" s="27">
        <v>12.11</v>
      </c>
      <c r="K854" s="15" t="s">
        <v>50</v>
      </c>
      <c r="L854" s="15" t="s">
        <v>21</v>
      </c>
      <c r="M854" s="15" t="s">
        <v>22</v>
      </c>
      <c r="N854" s="15" t="s">
        <v>53</v>
      </c>
      <c r="O854" s="15" t="s">
        <v>39</v>
      </c>
      <c r="P854" s="15" t="s">
        <v>25</v>
      </c>
      <c r="Q854" s="27">
        <v>808.83</v>
      </c>
      <c r="R854" s="27">
        <v>169.85429999999999</v>
      </c>
      <c r="S854" s="31">
        <v>638.97570000000007</v>
      </c>
    </row>
    <row r="855" spans="1:19" x14ac:dyDescent="0.25">
      <c r="A855" s="20">
        <v>45705</v>
      </c>
      <c r="B855" s="15" t="s">
        <v>652</v>
      </c>
      <c r="C855" s="15">
        <v>71371</v>
      </c>
      <c r="D855" s="15" t="s">
        <v>68</v>
      </c>
      <c r="E855" s="15">
        <v>13</v>
      </c>
      <c r="F855" s="27">
        <v>28.18</v>
      </c>
      <c r="G855" s="15" t="s">
        <v>28</v>
      </c>
      <c r="H855" s="35">
        <v>0.06</v>
      </c>
      <c r="I855" s="15" t="s">
        <v>734</v>
      </c>
      <c r="J855" s="27">
        <v>29.96</v>
      </c>
      <c r="K855" s="15" t="s">
        <v>50</v>
      </c>
      <c r="L855" s="15" t="s">
        <v>21</v>
      </c>
      <c r="M855" s="15" t="s">
        <v>22</v>
      </c>
      <c r="N855" s="15" t="s">
        <v>23</v>
      </c>
      <c r="O855" s="15" t="s">
        <v>81</v>
      </c>
      <c r="P855" s="15" t="s">
        <v>40</v>
      </c>
      <c r="Q855" s="27">
        <v>366.34</v>
      </c>
      <c r="R855" s="27">
        <v>21.980399999999996</v>
      </c>
      <c r="S855" s="31">
        <v>344.3596</v>
      </c>
    </row>
    <row r="856" spans="1:19" x14ac:dyDescent="0.25">
      <c r="A856" s="20">
        <v>45705</v>
      </c>
      <c r="B856" s="15" t="s">
        <v>460</v>
      </c>
      <c r="C856" s="15">
        <v>55435</v>
      </c>
      <c r="D856" s="15" t="s">
        <v>70</v>
      </c>
      <c r="E856" s="15">
        <v>35</v>
      </c>
      <c r="F856" s="27">
        <v>84.49</v>
      </c>
      <c r="G856" s="15" t="s">
        <v>76</v>
      </c>
      <c r="H856" s="35">
        <v>0.44</v>
      </c>
      <c r="I856" s="15" t="s">
        <v>734</v>
      </c>
      <c r="J856" s="27">
        <v>25.44</v>
      </c>
      <c r="K856" s="15" t="s">
        <v>44</v>
      </c>
      <c r="L856" s="15" t="s">
        <v>31</v>
      </c>
      <c r="M856" s="15" t="s">
        <v>22</v>
      </c>
      <c r="N856" s="15" t="s">
        <v>53</v>
      </c>
      <c r="O856" s="15" t="s">
        <v>81</v>
      </c>
      <c r="P856" s="15" t="s">
        <v>25</v>
      </c>
      <c r="Q856" s="27">
        <v>2957.1499999999996</v>
      </c>
      <c r="R856" s="27">
        <v>1301.146</v>
      </c>
      <c r="S856" s="31">
        <v>1656.0039999999997</v>
      </c>
    </row>
    <row r="857" spans="1:19" x14ac:dyDescent="0.25">
      <c r="A857" s="20">
        <v>45705</v>
      </c>
      <c r="B857" s="15" t="s">
        <v>69</v>
      </c>
      <c r="C857" s="15">
        <v>94592</v>
      </c>
      <c r="D857" s="15" t="s">
        <v>27</v>
      </c>
      <c r="E857" s="15">
        <v>11</v>
      </c>
      <c r="F857" s="27">
        <v>76.3</v>
      </c>
      <c r="G857" s="15" t="s">
        <v>99</v>
      </c>
      <c r="H857" s="35">
        <v>0.13</v>
      </c>
      <c r="I857" s="15" t="s">
        <v>29</v>
      </c>
      <c r="J857" s="27">
        <v>12.96</v>
      </c>
      <c r="K857" s="15" t="s">
        <v>20</v>
      </c>
      <c r="L857" s="15" t="s">
        <v>31</v>
      </c>
      <c r="M857" s="15" t="s">
        <v>22</v>
      </c>
      <c r="N857" s="15" t="s">
        <v>53</v>
      </c>
      <c r="O857" s="15" t="s">
        <v>24</v>
      </c>
      <c r="P857" s="15" t="s">
        <v>25</v>
      </c>
      <c r="Q857" s="27">
        <v>839.3</v>
      </c>
      <c r="R857" s="27">
        <v>109.10899999999999</v>
      </c>
      <c r="S857" s="31">
        <v>730.19099999999992</v>
      </c>
    </row>
    <row r="858" spans="1:19" x14ac:dyDescent="0.25">
      <c r="A858" s="20">
        <v>45705</v>
      </c>
      <c r="B858" s="15" t="s">
        <v>260</v>
      </c>
      <c r="C858" s="15">
        <v>69134</v>
      </c>
      <c r="D858" s="15" t="s">
        <v>46</v>
      </c>
      <c r="E858" s="15">
        <v>14</v>
      </c>
      <c r="F858" s="27">
        <v>42.14</v>
      </c>
      <c r="G858" s="15" t="s">
        <v>99</v>
      </c>
      <c r="H858" s="35">
        <v>0.16</v>
      </c>
      <c r="I858" s="15" t="s">
        <v>19</v>
      </c>
      <c r="J858" s="27">
        <v>26.12</v>
      </c>
      <c r="K858" s="15" t="s">
        <v>44</v>
      </c>
      <c r="L858" s="15" t="s">
        <v>31</v>
      </c>
      <c r="M858" s="15" t="s">
        <v>22</v>
      </c>
      <c r="N858" s="15" t="s">
        <v>38</v>
      </c>
      <c r="O858" s="15" t="s">
        <v>33</v>
      </c>
      <c r="P858" s="15" t="s">
        <v>34</v>
      </c>
      <c r="Q858" s="27">
        <v>589.96</v>
      </c>
      <c r="R858" s="27">
        <v>94.393600000000006</v>
      </c>
      <c r="S858" s="31">
        <v>495.56640000000004</v>
      </c>
    </row>
    <row r="859" spans="1:19" x14ac:dyDescent="0.25">
      <c r="A859" s="20">
        <v>45705</v>
      </c>
      <c r="B859" s="15" t="s">
        <v>319</v>
      </c>
      <c r="C859" s="15">
        <v>51656</v>
      </c>
      <c r="D859" s="15" t="s">
        <v>70</v>
      </c>
      <c r="E859" s="15">
        <v>31</v>
      </c>
      <c r="F859" s="27">
        <v>48.95</v>
      </c>
      <c r="G859" s="15" t="s">
        <v>72</v>
      </c>
      <c r="H859" s="35">
        <v>0.42</v>
      </c>
      <c r="I859" s="15" t="s">
        <v>19</v>
      </c>
      <c r="J859" s="27">
        <v>24.52</v>
      </c>
      <c r="K859" s="15" t="s">
        <v>20</v>
      </c>
      <c r="L859" s="15" t="s">
        <v>21</v>
      </c>
      <c r="M859" s="15" t="s">
        <v>22</v>
      </c>
      <c r="N859" s="15" t="s">
        <v>53</v>
      </c>
      <c r="O859" s="15" t="s">
        <v>39</v>
      </c>
      <c r="P859" s="15" t="s">
        <v>40</v>
      </c>
      <c r="Q859" s="27">
        <v>1517.45</v>
      </c>
      <c r="R859" s="27">
        <v>637.32899999999995</v>
      </c>
      <c r="S859" s="31">
        <v>880.12100000000009</v>
      </c>
    </row>
    <row r="860" spans="1:19" x14ac:dyDescent="0.25">
      <c r="A860" s="20">
        <v>45706</v>
      </c>
      <c r="B860" s="15" t="s">
        <v>653</v>
      </c>
      <c r="C860" s="15">
        <v>50603</v>
      </c>
      <c r="D860" s="15" t="s">
        <v>70</v>
      </c>
      <c r="E860" s="15">
        <v>3</v>
      </c>
      <c r="F860" s="27">
        <v>79.81</v>
      </c>
      <c r="G860" s="15" t="s">
        <v>55</v>
      </c>
      <c r="H860" s="35">
        <v>0.4</v>
      </c>
      <c r="I860" s="15" t="s">
        <v>734</v>
      </c>
      <c r="J860" s="27">
        <v>6.44</v>
      </c>
      <c r="K860" s="15" t="s">
        <v>44</v>
      </c>
      <c r="L860" s="15" t="s">
        <v>31</v>
      </c>
      <c r="M860" s="15" t="s">
        <v>22</v>
      </c>
      <c r="N860" s="15" t="s">
        <v>23</v>
      </c>
      <c r="O860" s="15" t="s">
        <v>39</v>
      </c>
      <c r="P860" s="15" t="s">
        <v>25</v>
      </c>
      <c r="Q860" s="27">
        <v>239.43</v>
      </c>
      <c r="R860" s="27">
        <v>95.772000000000006</v>
      </c>
      <c r="S860" s="31">
        <v>143.65800000000002</v>
      </c>
    </row>
    <row r="861" spans="1:19" x14ac:dyDescent="0.25">
      <c r="A861" s="20">
        <v>45706</v>
      </c>
      <c r="B861" s="15" t="s">
        <v>564</v>
      </c>
      <c r="C861" s="15">
        <v>47181</v>
      </c>
      <c r="D861" s="15" t="s">
        <v>66</v>
      </c>
      <c r="E861" s="15">
        <v>43</v>
      </c>
      <c r="F861" s="27">
        <v>43.43</v>
      </c>
      <c r="G861" s="15" t="s">
        <v>28</v>
      </c>
      <c r="H861" s="35">
        <v>0.01</v>
      </c>
      <c r="I861" s="15" t="s">
        <v>19</v>
      </c>
      <c r="J861" s="27">
        <v>12.2</v>
      </c>
      <c r="K861" s="15" t="s">
        <v>30</v>
      </c>
      <c r="L861" s="15" t="s">
        <v>31</v>
      </c>
      <c r="M861" s="15" t="s">
        <v>22</v>
      </c>
      <c r="N861" s="15" t="s">
        <v>32</v>
      </c>
      <c r="O861" s="15" t="s">
        <v>59</v>
      </c>
      <c r="P861" s="15" t="s">
        <v>25</v>
      </c>
      <c r="Q861" s="27">
        <v>1867.49</v>
      </c>
      <c r="R861" s="27">
        <v>18.674900000000001</v>
      </c>
      <c r="S861" s="31">
        <v>1848.8151</v>
      </c>
    </row>
    <row r="862" spans="1:19" x14ac:dyDescent="0.25">
      <c r="A862" s="20">
        <v>45706</v>
      </c>
      <c r="B862" s="15" t="s">
        <v>604</v>
      </c>
      <c r="C862" s="15">
        <v>63876</v>
      </c>
      <c r="D862" s="15" t="s">
        <v>89</v>
      </c>
      <c r="E862" s="15">
        <v>36</v>
      </c>
      <c r="F862" s="27">
        <v>51.28</v>
      </c>
      <c r="G862" s="15" t="s">
        <v>28</v>
      </c>
      <c r="H862" s="35">
        <v>0.09</v>
      </c>
      <c r="I862" s="15" t="s">
        <v>29</v>
      </c>
      <c r="J862" s="27">
        <v>28.51</v>
      </c>
      <c r="K862" s="15" t="s">
        <v>44</v>
      </c>
      <c r="L862" s="15" t="s">
        <v>21</v>
      </c>
      <c r="M862" s="15" t="s">
        <v>22</v>
      </c>
      <c r="N862" s="15" t="s">
        <v>23</v>
      </c>
      <c r="O862" s="15" t="s">
        <v>81</v>
      </c>
      <c r="P862" s="15" t="s">
        <v>34</v>
      </c>
      <c r="Q862" s="27">
        <v>1846.08</v>
      </c>
      <c r="R862" s="27">
        <v>166.1472</v>
      </c>
      <c r="S862" s="31">
        <v>1679.9328</v>
      </c>
    </row>
    <row r="863" spans="1:19" x14ac:dyDescent="0.25">
      <c r="A863" s="20">
        <v>45706</v>
      </c>
      <c r="B863" s="15" t="s">
        <v>507</v>
      </c>
      <c r="C863" s="15">
        <v>32123</v>
      </c>
      <c r="D863" s="15" t="s">
        <v>70</v>
      </c>
      <c r="E863" s="15">
        <v>23</v>
      </c>
      <c r="F863" s="27">
        <v>75.760000000000005</v>
      </c>
      <c r="G863" s="15" t="s">
        <v>52</v>
      </c>
      <c r="H863" s="35">
        <v>0.31</v>
      </c>
      <c r="I863" s="15" t="s">
        <v>29</v>
      </c>
      <c r="J863" s="27">
        <v>12.71</v>
      </c>
      <c r="K863" s="15" t="s">
        <v>50</v>
      </c>
      <c r="L863" s="15" t="s">
        <v>31</v>
      </c>
      <c r="M863" s="15" t="s">
        <v>22</v>
      </c>
      <c r="N863" s="15" t="s">
        <v>32</v>
      </c>
      <c r="O863" s="15" t="s">
        <v>24</v>
      </c>
      <c r="P863" s="15" t="s">
        <v>40</v>
      </c>
      <c r="Q863" s="27">
        <v>1742.48</v>
      </c>
      <c r="R863" s="27">
        <v>540.16880000000003</v>
      </c>
      <c r="S863" s="31">
        <v>1202.3112000000001</v>
      </c>
    </row>
    <row r="864" spans="1:19" x14ac:dyDescent="0.25">
      <c r="A864" s="20">
        <v>45706</v>
      </c>
      <c r="B864" s="15" t="s">
        <v>595</v>
      </c>
      <c r="C864" s="15">
        <v>95905</v>
      </c>
      <c r="D864" s="15" t="s">
        <v>42</v>
      </c>
      <c r="E864" s="15">
        <v>22</v>
      </c>
      <c r="F864" s="27">
        <v>53.07</v>
      </c>
      <c r="G864" s="15" t="s">
        <v>84</v>
      </c>
      <c r="H864" s="35">
        <v>0.21</v>
      </c>
      <c r="I864" s="15" t="s">
        <v>19</v>
      </c>
      <c r="J864" s="27">
        <v>21.76</v>
      </c>
      <c r="K864" s="15" t="s">
        <v>44</v>
      </c>
      <c r="L864" s="15" t="s">
        <v>21</v>
      </c>
      <c r="M864" s="15" t="s">
        <v>22</v>
      </c>
      <c r="N864" s="15" t="s">
        <v>32</v>
      </c>
      <c r="O864" s="15" t="s">
        <v>81</v>
      </c>
      <c r="P864" s="15" t="s">
        <v>34</v>
      </c>
      <c r="Q864" s="27">
        <v>1167.54</v>
      </c>
      <c r="R864" s="27">
        <v>245.18339999999998</v>
      </c>
      <c r="S864" s="31">
        <v>922.35659999999996</v>
      </c>
    </row>
    <row r="865" spans="1:19" x14ac:dyDescent="0.25">
      <c r="A865" s="20">
        <v>45706</v>
      </c>
      <c r="B865" s="15" t="s">
        <v>654</v>
      </c>
      <c r="C865" s="15">
        <v>73537</v>
      </c>
      <c r="D865" s="15" t="s">
        <v>75</v>
      </c>
      <c r="E865" s="15">
        <v>15</v>
      </c>
      <c r="F865" s="27">
        <v>36.21</v>
      </c>
      <c r="G865" s="15" t="s">
        <v>43</v>
      </c>
      <c r="H865" s="35">
        <v>0.18</v>
      </c>
      <c r="I865" s="15" t="s">
        <v>19</v>
      </c>
      <c r="J865" s="27">
        <v>24.05</v>
      </c>
      <c r="K865" s="15" t="s">
        <v>20</v>
      </c>
      <c r="L865" s="15" t="s">
        <v>21</v>
      </c>
      <c r="M865" s="15" t="s">
        <v>22</v>
      </c>
      <c r="N865" s="15" t="s">
        <v>23</v>
      </c>
      <c r="O865" s="15" t="s">
        <v>59</v>
      </c>
      <c r="P865" s="15" t="s">
        <v>25</v>
      </c>
      <c r="Q865" s="27">
        <v>543.15</v>
      </c>
      <c r="R865" s="27">
        <v>97.766999999999996</v>
      </c>
      <c r="S865" s="31">
        <v>445.38299999999998</v>
      </c>
    </row>
    <row r="866" spans="1:19" x14ac:dyDescent="0.25">
      <c r="A866" s="20">
        <v>45706</v>
      </c>
      <c r="B866" s="15" t="s">
        <v>655</v>
      </c>
      <c r="C866" s="15">
        <v>56278</v>
      </c>
      <c r="D866" s="15" t="s">
        <v>57</v>
      </c>
      <c r="E866" s="15">
        <v>46</v>
      </c>
      <c r="F866" s="27">
        <v>66.62</v>
      </c>
      <c r="G866" s="15" t="s">
        <v>72</v>
      </c>
      <c r="H866" s="35">
        <v>0.23</v>
      </c>
      <c r="I866" s="15" t="s">
        <v>19</v>
      </c>
      <c r="J866" s="27">
        <v>9.18</v>
      </c>
      <c r="K866" s="15" t="s">
        <v>30</v>
      </c>
      <c r="L866" s="15" t="s">
        <v>21</v>
      </c>
      <c r="M866" s="15" t="s">
        <v>22</v>
      </c>
      <c r="N866" s="15" t="s">
        <v>23</v>
      </c>
      <c r="O866" s="15" t="s">
        <v>59</v>
      </c>
      <c r="P866" s="15" t="s">
        <v>40</v>
      </c>
      <c r="Q866" s="27">
        <v>3064.5200000000004</v>
      </c>
      <c r="R866" s="27">
        <v>704.83960000000013</v>
      </c>
      <c r="S866" s="31">
        <v>2359.6804000000002</v>
      </c>
    </row>
    <row r="867" spans="1:19" x14ac:dyDescent="0.25">
      <c r="A867" s="20">
        <v>45706</v>
      </c>
      <c r="B867" s="15" t="s">
        <v>656</v>
      </c>
      <c r="C867" s="15">
        <v>62574</v>
      </c>
      <c r="D867" s="15" t="s">
        <v>57</v>
      </c>
      <c r="E867" s="15">
        <v>31</v>
      </c>
      <c r="F867" s="27">
        <v>64</v>
      </c>
      <c r="G867" s="15" t="s">
        <v>36</v>
      </c>
      <c r="H867" s="35">
        <v>0.1</v>
      </c>
      <c r="I867" s="15" t="s">
        <v>29</v>
      </c>
      <c r="J867" s="27">
        <v>19.98</v>
      </c>
      <c r="K867" s="15" t="s">
        <v>30</v>
      </c>
      <c r="L867" s="15" t="s">
        <v>21</v>
      </c>
      <c r="M867" s="15" t="s">
        <v>22</v>
      </c>
      <c r="N867" s="15" t="s">
        <v>23</v>
      </c>
      <c r="O867" s="15" t="s">
        <v>59</v>
      </c>
      <c r="P867" s="15" t="s">
        <v>34</v>
      </c>
      <c r="Q867" s="27">
        <v>1984</v>
      </c>
      <c r="R867" s="27">
        <v>198.4</v>
      </c>
      <c r="S867" s="31">
        <v>1785.6</v>
      </c>
    </row>
    <row r="868" spans="1:19" x14ac:dyDescent="0.25">
      <c r="A868" s="20">
        <v>45706</v>
      </c>
      <c r="B868" s="15" t="s">
        <v>657</v>
      </c>
      <c r="C868" s="15">
        <v>23955</v>
      </c>
      <c r="D868" s="15" t="s">
        <v>49</v>
      </c>
      <c r="E868" s="15">
        <v>45</v>
      </c>
      <c r="F868" s="27">
        <v>56</v>
      </c>
      <c r="G868" s="15" t="s">
        <v>76</v>
      </c>
      <c r="H868" s="35">
        <v>0.38</v>
      </c>
      <c r="I868" s="15" t="s">
        <v>19</v>
      </c>
      <c r="J868" s="27">
        <v>15.73</v>
      </c>
      <c r="K868" s="15" t="s">
        <v>50</v>
      </c>
      <c r="L868" s="15" t="s">
        <v>31</v>
      </c>
      <c r="M868" s="15" t="s">
        <v>22</v>
      </c>
      <c r="N868" s="15" t="s">
        <v>23</v>
      </c>
      <c r="O868" s="15" t="s">
        <v>33</v>
      </c>
      <c r="P868" s="15" t="s">
        <v>40</v>
      </c>
      <c r="Q868" s="27">
        <v>2520</v>
      </c>
      <c r="R868" s="27">
        <v>957.6</v>
      </c>
      <c r="S868" s="31">
        <v>1562.4</v>
      </c>
    </row>
    <row r="869" spans="1:19" x14ac:dyDescent="0.25">
      <c r="A869" s="20">
        <v>45706</v>
      </c>
      <c r="B869" s="15" t="s">
        <v>658</v>
      </c>
      <c r="C869" s="15">
        <v>41341</v>
      </c>
      <c r="D869" s="15" t="s">
        <v>89</v>
      </c>
      <c r="E869" s="15">
        <v>14</v>
      </c>
      <c r="F869" s="27">
        <v>60.95</v>
      </c>
      <c r="G869" s="15" t="s">
        <v>47</v>
      </c>
      <c r="H869" s="35">
        <v>0.32</v>
      </c>
      <c r="I869" s="15" t="s">
        <v>19</v>
      </c>
      <c r="J869" s="27">
        <v>28.47</v>
      </c>
      <c r="K869" s="15" t="s">
        <v>20</v>
      </c>
      <c r="L869" s="15" t="s">
        <v>31</v>
      </c>
      <c r="M869" s="15" t="s">
        <v>22</v>
      </c>
      <c r="N869" s="15" t="s">
        <v>53</v>
      </c>
      <c r="O869" s="15" t="s">
        <v>81</v>
      </c>
      <c r="P869" s="15" t="s">
        <v>25</v>
      </c>
      <c r="Q869" s="27">
        <v>853.30000000000007</v>
      </c>
      <c r="R869" s="27">
        <v>273.05600000000004</v>
      </c>
      <c r="S869" s="31">
        <v>580.24400000000003</v>
      </c>
    </row>
    <row r="870" spans="1:19" x14ac:dyDescent="0.25">
      <c r="A870" s="20">
        <v>45706</v>
      </c>
      <c r="B870" s="15" t="s">
        <v>594</v>
      </c>
      <c r="C870" s="15">
        <v>16559</v>
      </c>
      <c r="D870" s="15" t="s">
        <v>57</v>
      </c>
      <c r="E870" s="15">
        <v>30</v>
      </c>
      <c r="F870" s="27">
        <v>39.97</v>
      </c>
      <c r="G870" s="15" t="s">
        <v>72</v>
      </c>
      <c r="H870" s="35">
        <v>0.38</v>
      </c>
      <c r="I870" s="15" t="s">
        <v>734</v>
      </c>
      <c r="J870" s="27">
        <v>17.03</v>
      </c>
      <c r="K870" s="15" t="s">
        <v>37</v>
      </c>
      <c r="L870" s="15" t="s">
        <v>21</v>
      </c>
      <c r="M870" s="15" t="s">
        <v>22</v>
      </c>
      <c r="N870" s="15" t="s">
        <v>38</v>
      </c>
      <c r="O870" s="15" t="s">
        <v>59</v>
      </c>
      <c r="P870" s="15" t="s">
        <v>40</v>
      </c>
      <c r="Q870" s="27">
        <v>1199.0999999999999</v>
      </c>
      <c r="R870" s="27">
        <v>455.65799999999996</v>
      </c>
      <c r="S870" s="31">
        <v>743.44200000000001</v>
      </c>
    </row>
    <row r="871" spans="1:19" x14ac:dyDescent="0.25">
      <c r="A871" s="20">
        <v>45706</v>
      </c>
      <c r="B871" s="15" t="s">
        <v>444</v>
      </c>
      <c r="C871" s="15">
        <v>88209</v>
      </c>
      <c r="D871" s="15" t="s">
        <v>17</v>
      </c>
      <c r="E871" s="15">
        <v>48</v>
      </c>
      <c r="F871" s="27">
        <v>38.47</v>
      </c>
      <c r="G871" s="15" t="s">
        <v>43</v>
      </c>
      <c r="H871" s="35">
        <v>0.3</v>
      </c>
      <c r="I871" s="15" t="s">
        <v>734</v>
      </c>
      <c r="J871" s="27">
        <v>6.98</v>
      </c>
      <c r="K871" s="15" t="s">
        <v>37</v>
      </c>
      <c r="L871" s="15" t="s">
        <v>31</v>
      </c>
      <c r="M871" s="15" t="s">
        <v>22</v>
      </c>
      <c r="N871" s="15" t="s">
        <v>23</v>
      </c>
      <c r="O871" s="15" t="s">
        <v>39</v>
      </c>
      <c r="P871" s="15" t="s">
        <v>25</v>
      </c>
      <c r="Q871" s="27">
        <v>1846.56</v>
      </c>
      <c r="R871" s="27">
        <v>553.96799999999996</v>
      </c>
      <c r="S871" s="31">
        <v>1292.5920000000001</v>
      </c>
    </row>
    <row r="872" spans="1:19" x14ac:dyDescent="0.25">
      <c r="A872" s="20">
        <v>45706</v>
      </c>
      <c r="B872" s="15" t="s">
        <v>521</v>
      </c>
      <c r="C872" s="15">
        <v>43994</v>
      </c>
      <c r="D872" s="15" t="s">
        <v>70</v>
      </c>
      <c r="E872" s="15">
        <v>24</v>
      </c>
      <c r="F872" s="27">
        <v>85.12</v>
      </c>
      <c r="G872" s="15" t="s">
        <v>36</v>
      </c>
      <c r="H872" s="35">
        <v>0.34</v>
      </c>
      <c r="I872" s="15" t="s">
        <v>734</v>
      </c>
      <c r="J872" s="27">
        <v>28.21</v>
      </c>
      <c r="K872" s="15" t="s">
        <v>50</v>
      </c>
      <c r="L872" s="15" t="s">
        <v>31</v>
      </c>
      <c r="M872" s="15" t="s">
        <v>111</v>
      </c>
      <c r="N872" s="15" t="s">
        <v>53</v>
      </c>
      <c r="O872" s="15" t="s">
        <v>33</v>
      </c>
      <c r="P872" s="15" t="s">
        <v>25</v>
      </c>
      <c r="Q872" s="27">
        <v>2042.88</v>
      </c>
      <c r="R872" s="27">
        <v>694.57920000000013</v>
      </c>
      <c r="S872" s="31">
        <v>1348.3008</v>
      </c>
    </row>
    <row r="873" spans="1:19" x14ac:dyDescent="0.25">
      <c r="A873" s="20">
        <v>45706</v>
      </c>
      <c r="B873" s="15" t="s">
        <v>659</v>
      </c>
      <c r="C873" s="15">
        <v>75060</v>
      </c>
      <c r="D873" s="15" t="s">
        <v>46</v>
      </c>
      <c r="E873" s="15">
        <v>19</v>
      </c>
      <c r="F873" s="27">
        <v>38.54</v>
      </c>
      <c r="G873" s="15" t="s">
        <v>76</v>
      </c>
      <c r="H873" s="35">
        <v>0.13</v>
      </c>
      <c r="I873" s="15" t="s">
        <v>29</v>
      </c>
      <c r="J873" s="27">
        <v>15.93</v>
      </c>
      <c r="K873" s="15" t="s">
        <v>37</v>
      </c>
      <c r="L873" s="15" t="s">
        <v>21</v>
      </c>
      <c r="M873" s="15" t="s">
        <v>22</v>
      </c>
      <c r="N873" s="15" t="s">
        <v>23</v>
      </c>
      <c r="O873" s="15" t="s">
        <v>24</v>
      </c>
      <c r="P873" s="15" t="s">
        <v>34</v>
      </c>
      <c r="Q873" s="27">
        <v>732.26</v>
      </c>
      <c r="R873" s="27">
        <v>95.193799999999996</v>
      </c>
      <c r="S873" s="31">
        <v>637.06619999999998</v>
      </c>
    </row>
    <row r="874" spans="1:19" x14ac:dyDescent="0.25">
      <c r="A874" s="20">
        <v>45706</v>
      </c>
      <c r="B874" s="15" t="s">
        <v>277</v>
      </c>
      <c r="C874" s="15">
        <v>21483</v>
      </c>
      <c r="D874" s="15" t="s">
        <v>70</v>
      </c>
      <c r="E874" s="15">
        <v>7</v>
      </c>
      <c r="F874" s="27">
        <v>74.83</v>
      </c>
      <c r="G874" s="15" t="s">
        <v>47</v>
      </c>
      <c r="H874" s="35">
        <v>0.28999999999999998</v>
      </c>
      <c r="I874" s="15" t="s">
        <v>29</v>
      </c>
      <c r="J874" s="27">
        <v>16.87</v>
      </c>
      <c r="K874" s="15" t="s">
        <v>37</v>
      </c>
      <c r="L874" s="15" t="s">
        <v>31</v>
      </c>
      <c r="M874" s="15" t="s">
        <v>111</v>
      </c>
      <c r="N874" s="15" t="s">
        <v>32</v>
      </c>
      <c r="O874" s="15" t="s">
        <v>39</v>
      </c>
      <c r="P874" s="15" t="s">
        <v>25</v>
      </c>
      <c r="Q874" s="27">
        <v>523.80999999999995</v>
      </c>
      <c r="R874" s="27">
        <v>151.90489999999997</v>
      </c>
      <c r="S874" s="31">
        <v>371.90509999999995</v>
      </c>
    </row>
    <row r="875" spans="1:19" x14ac:dyDescent="0.25">
      <c r="A875" s="20">
        <v>45706</v>
      </c>
      <c r="B875" s="15" t="s">
        <v>594</v>
      </c>
      <c r="C875" s="15">
        <v>71444</v>
      </c>
      <c r="D875" s="15" t="s">
        <v>89</v>
      </c>
      <c r="E875" s="15">
        <v>45</v>
      </c>
      <c r="F875" s="27">
        <v>77.680000000000007</v>
      </c>
      <c r="G875" s="15" t="s">
        <v>28</v>
      </c>
      <c r="H875" s="35">
        <v>0.18</v>
      </c>
      <c r="I875" s="15" t="s">
        <v>734</v>
      </c>
      <c r="J875" s="27">
        <v>27.18</v>
      </c>
      <c r="K875" s="15" t="s">
        <v>44</v>
      </c>
      <c r="L875" s="15" t="s">
        <v>31</v>
      </c>
      <c r="M875" s="15" t="s">
        <v>22</v>
      </c>
      <c r="N875" s="15" t="s">
        <v>23</v>
      </c>
      <c r="O875" s="15" t="s">
        <v>81</v>
      </c>
      <c r="P875" s="15" t="s">
        <v>40</v>
      </c>
      <c r="Q875" s="27">
        <v>3495.6000000000004</v>
      </c>
      <c r="R875" s="27">
        <v>629.20800000000008</v>
      </c>
      <c r="S875" s="31">
        <v>2866.3920000000003</v>
      </c>
    </row>
    <row r="876" spans="1:19" x14ac:dyDescent="0.25">
      <c r="A876" s="20">
        <v>45706</v>
      </c>
      <c r="B876" s="15" t="s">
        <v>472</v>
      </c>
      <c r="C876" s="15">
        <v>18724</v>
      </c>
      <c r="D876" s="15" t="s">
        <v>57</v>
      </c>
      <c r="E876" s="15">
        <v>47</v>
      </c>
      <c r="F876" s="27">
        <v>78.31</v>
      </c>
      <c r="G876" s="15" t="s">
        <v>43</v>
      </c>
      <c r="H876" s="35">
        <v>0.09</v>
      </c>
      <c r="I876" s="15" t="s">
        <v>734</v>
      </c>
      <c r="J876" s="27">
        <v>19.77</v>
      </c>
      <c r="K876" s="15" t="s">
        <v>44</v>
      </c>
      <c r="L876" s="15" t="s">
        <v>31</v>
      </c>
      <c r="M876" s="15" t="s">
        <v>22</v>
      </c>
      <c r="N876" s="15" t="s">
        <v>38</v>
      </c>
      <c r="O876" s="15" t="s">
        <v>39</v>
      </c>
      <c r="P876" s="15" t="s">
        <v>34</v>
      </c>
      <c r="Q876" s="27">
        <v>3680.57</v>
      </c>
      <c r="R876" s="27">
        <v>331.25130000000001</v>
      </c>
      <c r="S876" s="31">
        <v>3349.3187000000003</v>
      </c>
    </row>
    <row r="877" spans="1:19" x14ac:dyDescent="0.25">
      <c r="A877" s="20">
        <v>45706</v>
      </c>
      <c r="B877" s="15" t="s">
        <v>660</v>
      </c>
      <c r="C877" s="15">
        <v>19711</v>
      </c>
      <c r="D877" s="15" t="s">
        <v>27</v>
      </c>
      <c r="E877" s="15">
        <v>18</v>
      </c>
      <c r="F877" s="27">
        <v>32.86</v>
      </c>
      <c r="G877" s="15" t="s">
        <v>58</v>
      </c>
      <c r="H877" s="35">
        <v>0.38</v>
      </c>
      <c r="I877" s="15" t="s">
        <v>734</v>
      </c>
      <c r="J877" s="27">
        <v>20.07</v>
      </c>
      <c r="K877" s="15" t="s">
        <v>20</v>
      </c>
      <c r="L877" s="15" t="s">
        <v>31</v>
      </c>
      <c r="M877" s="15" t="s">
        <v>22</v>
      </c>
      <c r="N877" s="15" t="s">
        <v>23</v>
      </c>
      <c r="O877" s="15" t="s">
        <v>39</v>
      </c>
      <c r="P877" s="15" t="s">
        <v>34</v>
      </c>
      <c r="Q877" s="27">
        <v>591.48</v>
      </c>
      <c r="R877" s="27">
        <v>224.76240000000001</v>
      </c>
      <c r="S877" s="31">
        <v>366.7176</v>
      </c>
    </row>
    <row r="878" spans="1:19" x14ac:dyDescent="0.25">
      <c r="A878" s="20">
        <v>45706</v>
      </c>
      <c r="B878" s="15" t="s">
        <v>507</v>
      </c>
      <c r="C878" s="15">
        <v>47444</v>
      </c>
      <c r="D878" s="15" t="s">
        <v>49</v>
      </c>
      <c r="E878" s="15">
        <v>11</v>
      </c>
      <c r="F878" s="27">
        <v>81.62</v>
      </c>
      <c r="G878" s="15" t="s">
        <v>84</v>
      </c>
      <c r="H878" s="35">
        <v>0.05</v>
      </c>
      <c r="I878" s="15" t="s">
        <v>734</v>
      </c>
      <c r="J878" s="27">
        <v>14.82</v>
      </c>
      <c r="K878" s="15" t="s">
        <v>44</v>
      </c>
      <c r="L878" s="15" t="s">
        <v>21</v>
      </c>
      <c r="M878" s="15" t="s">
        <v>22</v>
      </c>
      <c r="N878" s="15" t="s">
        <v>53</v>
      </c>
      <c r="O878" s="15" t="s">
        <v>81</v>
      </c>
      <c r="P878" s="15" t="s">
        <v>34</v>
      </c>
      <c r="Q878" s="27">
        <v>897.82</v>
      </c>
      <c r="R878" s="27">
        <v>44.891000000000005</v>
      </c>
      <c r="S878" s="31">
        <v>852.92900000000009</v>
      </c>
    </row>
    <row r="879" spans="1:19" x14ac:dyDescent="0.25">
      <c r="A879" s="20">
        <v>45706</v>
      </c>
      <c r="B879" s="15" t="s">
        <v>558</v>
      </c>
      <c r="C879" s="15">
        <v>69355</v>
      </c>
      <c r="D879" s="15" t="s">
        <v>70</v>
      </c>
      <c r="E879" s="15">
        <v>25</v>
      </c>
      <c r="F879" s="27">
        <v>58.02</v>
      </c>
      <c r="G879" s="15" t="s">
        <v>99</v>
      </c>
      <c r="H879" s="35">
        <v>0.13</v>
      </c>
      <c r="I879" s="15" t="s">
        <v>19</v>
      </c>
      <c r="J879" s="27">
        <v>25.71</v>
      </c>
      <c r="K879" s="15" t="s">
        <v>30</v>
      </c>
      <c r="L879" s="15" t="s">
        <v>31</v>
      </c>
      <c r="M879" s="15" t="s">
        <v>111</v>
      </c>
      <c r="N879" s="15" t="s">
        <v>23</v>
      </c>
      <c r="O879" s="15" t="s">
        <v>81</v>
      </c>
      <c r="P879" s="15" t="s">
        <v>34</v>
      </c>
      <c r="Q879" s="27">
        <v>1450.5</v>
      </c>
      <c r="R879" s="27">
        <v>188.565</v>
      </c>
      <c r="S879" s="31">
        <v>1261.9349999999999</v>
      </c>
    </row>
    <row r="880" spans="1:19" x14ac:dyDescent="0.25">
      <c r="A880" s="20">
        <v>45706</v>
      </c>
      <c r="B880" s="15" t="s">
        <v>317</v>
      </c>
      <c r="C880" s="15">
        <v>17413</v>
      </c>
      <c r="D880" s="15" t="s">
        <v>89</v>
      </c>
      <c r="E880" s="15">
        <v>30</v>
      </c>
      <c r="F880" s="27">
        <v>10.64</v>
      </c>
      <c r="G880" s="15" t="s">
        <v>43</v>
      </c>
      <c r="H880" s="35">
        <v>0.27</v>
      </c>
      <c r="I880" s="15" t="s">
        <v>29</v>
      </c>
      <c r="J880" s="27">
        <v>24.44</v>
      </c>
      <c r="K880" s="15" t="s">
        <v>20</v>
      </c>
      <c r="L880" s="15" t="s">
        <v>31</v>
      </c>
      <c r="M880" s="15" t="s">
        <v>22</v>
      </c>
      <c r="N880" s="15" t="s">
        <v>38</v>
      </c>
      <c r="O880" s="15" t="s">
        <v>39</v>
      </c>
      <c r="P880" s="15" t="s">
        <v>40</v>
      </c>
      <c r="Q880" s="27">
        <v>319.20000000000005</v>
      </c>
      <c r="R880" s="27">
        <v>86.184000000000012</v>
      </c>
      <c r="S880" s="31">
        <v>233.01600000000002</v>
      </c>
    </row>
    <row r="881" spans="1:19" x14ac:dyDescent="0.25">
      <c r="A881" s="20">
        <v>45707</v>
      </c>
      <c r="B881" s="15" t="s">
        <v>661</v>
      </c>
      <c r="C881" s="15">
        <v>87346</v>
      </c>
      <c r="D881" s="15" t="s">
        <v>17</v>
      </c>
      <c r="E881" s="15">
        <v>12</v>
      </c>
      <c r="F881" s="27">
        <v>48.18</v>
      </c>
      <c r="G881" s="15" t="s">
        <v>84</v>
      </c>
      <c r="H881" s="35">
        <v>0.5</v>
      </c>
      <c r="I881" s="15" t="s">
        <v>29</v>
      </c>
      <c r="J881" s="27">
        <v>28.42</v>
      </c>
      <c r="K881" s="15" t="s">
        <v>30</v>
      </c>
      <c r="L881" s="15" t="s">
        <v>21</v>
      </c>
      <c r="M881" s="15" t="s">
        <v>22</v>
      </c>
      <c r="N881" s="15" t="s">
        <v>38</v>
      </c>
      <c r="O881" s="15" t="s">
        <v>33</v>
      </c>
      <c r="P881" s="15" t="s">
        <v>34</v>
      </c>
      <c r="Q881" s="27">
        <v>578.16</v>
      </c>
      <c r="R881" s="27">
        <v>289.08</v>
      </c>
      <c r="S881" s="31">
        <v>289.08</v>
      </c>
    </row>
    <row r="882" spans="1:19" x14ac:dyDescent="0.25">
      <c r="A882" s="20">
        <v>45707</v>
      </c>
      <c r="B882" s="15" t="s">
        <v>662</v>
      </c>
      <c r="C882" s="15">
        <v>53034</v>
      </c>
      <c r="D882" s="15" t="s">
        <v>57</v>
      </c>
      <c r="E882" s="15">
        <v>48</v>
      </c>
      <c r="F882" s="27">
        <v>90.66</v>
      </c>
      <c r="G882" s="15" t="s">
        <v>52</v>
      </c>
      <c r="H882" s="35">
        <v>0.24</v>
      </c>
      <c r="I882" s="15" t="s">
        <v>29</v>
      </c>
      <c r="J882" s="27">
        <v>28.96</v>
      </c>
      <c r="K882" s="15" t="s">
        <v>50</v>
      </c>
      <c r="L882" s="15" t="s">
        <v>31</v>
      </c>
      <c r="M882" s="15" t="s">
        <v>22</v>
      </c>
      <c r="N882" s="15" t="s">
        <v>23</v>
      </c>
      <c r="O882" s="15" t="s">
        <v>81</v>
      </c>
      <c r="P882" s="15" t="s">
        <v>34</v>
      </c>
      <c r="Q882" s="27">
        <v>4351.68</v>
      </c>
      <c r="R882" s="27">
        <v>1044.4032</v>
      </c>
      <c r="S882" s="31">
        <v>3307.2768000000005</v>
      </c>
    </row>
    <row r="883" spans="1:19" x14ac:dyDescent="0.25">
      <c r="A883" s="20">
        <v>45707</v>
      </c>
      <c r="B883" s="15" t="s">
        <v>663</v>
      </c>
      <c r="C883" s="15">
        <v>44976</v>
      </c>
      <c r="D883" s="15" t="s">
        <v>75</v>
      </c>
      <c r="E883" s="15">
        <v>21</v>
      </c>
      <c r="F883" s="27">
        <v>80.16</v>
      </c>
      <c r="G883" s="15" t="s">
        <v>47</v>
      </c>
      <c r="H883" s="35">
        <v>0.46</v>
      </c>
      <c r="I883" s="15" t="s">
        <v>19</v>
      </c>
      <c r="J883" s="27">
        <v>10.35</v>
      </c>
      <c r="K883" s="15" t="s">
        <v>20</v>
      </c>
      <c r="L883" s="15" t="s">
        <v>21</v>
      </c>
      <c r="M883" s="15" t="s">
        <v>22</v>
      </c>
      <c r="N883" s="15" t="s">
        <v>32</v>
      </c>
      <c r="O883" s="15" t="s">
        <v>81</v>
      </c>
      <c r="P883" s="15" t="s">
        <v>25</v>
      </c>
      <c r="Q883" s="27">
        <v>1683.36</v>
      </c>
      <c r="R883" s="27">
        <v>774.34559999999999</v>
      </c>
      <c r="S883" s="31">
        <v>909.01439999999991</v>
      </c>
    </row>
    <row r="884" spans="1:19" x14ac:dyDescent="0.25">
      <c r="A884" s="20">
        <v>45707</v>
      </c>
      <c r="B884" s="15" t="s">
        <v>373</v>
      </c>
      <c r="C884" s="15">
        <v>68037</v>
      </c>
      <c r="D884" s="15" t="s">
        <v>68</v>
      </c>
      <c r="E884" s="15">
        <v>10</v>
      </c>
      <c r="F884" s="27">
        <v>29.08</v>
      </c>
      <c r="G884" s="15" t="s">
        <v>76</v>
      </c>
      <c r="H884" s="35">
        <v>0.3</v>
      </c>
      <c r="I884" s="15" t="s">
        <v>19</v>
      </c>
      <c r="J884" s="27">
        <v>12.47</v>
      </c>
      <c r="K884" s="15" t="s">
        <v>30</v>
      </c>
      <c r="L884" s="15" t="s">
        <v>21</v>
      </c>
      <c r="M884" s="15" t="s">
        <v>22</v>
      </c>
      <c r="N884" s="15" t="s">
        <v>23</v>
      </c>
      <c r="O884" s="15" t="s">
        <v>39</v>
      </c>
      <c r="P884" s="15" t="s">
        <v>34</v>
      </c>
      <c r="Q884" s="27">
        <v>290.79999999999995</v>
      </c>
      <c r="R884" s="27">
        <v>87.239999999999981</v>
      </c>
      <c r="S884" s="31">
        <v>203.55999999999997</v>
      </c>
    </row>
    <row r="885" spans="1:19" x14ac:dyDescent="0.25">
      <c r="A885" s="20">
        <v>45707</v>
      </c>
      <c r="B885" s="15" t="s">
        <v>606</v>
      </c>
      <c r="C885" s="15">
        <v>54577</v>
      </c>
      <c r="D885" s="15" t="s">
        <v>66</v>
      </c>
      <c r="E885" s="15">
        <v>34</v>
      </c>
      <c r="F885" s="27">
        <v>26.28</v>
      </c>
      <c r="G885" s="15" t="s">
        <v>55</v>
      </c>
      <c r="H885" s="35">
        <v>0.1</v>
      </c>
      <c r="I885" s="15" t="s">
        <v>19</v>
      </c>
      <c r="J885" s="27">
        <v>18.96</v>
      </c>
      <c r="K885" s="15" t="s">
        <v>37</v>
      </c>
      <c r="L885" s="15" t="s">
        <v>21</v>
      </c>
      <c r="M885" s="15" t="s">
        <v>111</v>
      </c>
      <c r="N885" s="15" t="s">
        <v>38</v>
      </c>
      <c r="O885" s="15" t="s">
        <v>59</v>
      </c>
      <c r="P885" s="15" t="s">
        <v>25</v>
      </c>
      <c r="Q885" s="27">
        <v>893.52</v>
      </c>
      <c r="R885" s="27">
        <v>89.352000000000004</v>
      </c>
      <c r="S885" s="31">
        <v>804.16800000000001</v>
      </c>
    </row>
    <row r="886" spans="1:19" x14ac:dyDescent="0.25">
      <c r="A886" s="20">
        <v>45707</v>
      </c>
      <c r="B886" s="15" t="s">
        <v>238</v>
      </c>
      <c r="C886" s="15">
        <v>93820</v>
      </c>
      <c r="D886" s="15" t="s">
        <v>57</v>
      </c>
      <c r="E886" s="15">
        <v>25</v>
      </c>
      <c r="F886" s="27">
        <v>4.49</v>
      </c>
      <c r="G886" s="15" t="s">
        <v>58</v>
      </c>
      <c r="H886" s="35">
        <v>0.37</v>
      </c>
      <c r="I886" s="15" t="s">
        <v>19</v>
      </c>
      <c r="J886" s="27">
        <v>11.11</v>
      </c>
      <c r="K886" s="15" t="s">
        <v>20</v>
      </c>
      <c r="L886" s="15" t="s">
        <v>21</v>
      </c>
      <c r="M886" s="15" t="s">
        <v>22</v>
      </c>
      <c r="N886" s="15" t="s">
        <v>23</v>
      </c>
      <c r="O886" s="15" t="s">
        <v>39</v>
      </c>
      <c r="P886" s="15" t="s">
        <v>25</v>
      </c>
      <c r="Q886" s="27">
        <v>112.25</v>
      </c>
      <c r="R886" s="27">
        <v>41.532499999999999</v>
      </c>
      <c r="S886" s="31">
        <v>70.717500000000001</v>
      </c>
    </row>
    <row r="887" spans="1:19" x14ac:dyDescent="0.25">
      <c r="A887" s="20">
        <v>45707</v>
      </c>
      <c r="B887" s="15" t="s">
        <v>63</v>
      </c>
      <c r="C887" s="15">
        <v>48466</v>
      </c>
      <c r="D887" s="15" t="s">
        <v>27</v>
      </c>
      <c r="E887" s="15">
        <v>45</v>
      </c>
      <c r="F887" s="27">
        <v>88.28</v>
      </c>
      <c r="G887" s="15" t="s">
        <v>52</v>
      </c>
      <c r="H887" s="35">
        <v>0.36</v>
      </c>
      <c r="I887" s="15" t="s">
        <v>19</v>
      </c>
      <c r="J887" s="27">
        <v>21.08</v>
      </c>
      <c r="K887" s="15" t="s">
        <v>20</v>
      </c>
      <c r="L887" s="15" t="s">
        <v>21</v>
      </c>
      <c r="M887" s="15" t="s">
        <v>22</v>
      </c>
      <c r="N887" s="15" t="s">
        <v>32</v>
      </c>
      <c r="O887" s="15" t="s">
        <v>81</v>
      </c>
      <c r="P887" s="15" t="s">
        <v>40</v>
      </c>
      <c r="Q887" s="27">
        <v>3972.6</v>
      </c>
      <c r="R887" s="27">
        <v>1430.136</v>
      </c>
      <c r="S887" s="31">
        <v>2542.4639999999999</v>
      </c>
    </row>
    <row r="888" spans="1:19" x14ac:dyDescent="0.25">
      <c r="A888" s="20">
        <v>45707</v>
      </c>
      <c r="B888" s="15" t="s">
        <v>494</v>
      </c>
      <c r="C888" s="15">
        <v>41579</v>
      </c>
      <c r="D888" s="15" t="s">
        <v>17</v>
      </c>
      <c r="E888" s="15">
        <v>23</v>
      </c>
      <c r="F888" s="27">
        <v>71.760000000000005</v>
      </c>
      <c r="G888" s="15" t="s">
        <v>47</v>
      </c>
      <c r="H888" s="35">
        <v>0.21</v>
      </c>
      <c r="I888" s="15" t="s">
        <v>19</v>
      </c>
      <c r="J888" s="27">
        <v>6.61</v>
      </c>
      <c r="K888" s="15" t="s">
        <v>50</v>
      </c>
      <c r="L888" s="15" t="s">
        <v>21</v>
      </c>
      <c r="M888" s="15" t="s">
        <v>22</v>
      </c>
      <c r="N888" s="15" t="s">
        <v>53</v>
      </c>
      <c r="O888" s="15" t="s">
        <v>33</v>
      </c>
      <c r="P888" s="15" t="s">
        <v>34</v>
      </c>
      <c r="Q888" s="27">
        <v>1650.48</v>
      </c>
      <c r="R888" s="27">
        <v>346.60079999999999</v>
      </c>
      <c r="S888" s="31">
        <v>1303.8792000000001</v>
      </c>
    </row>
    <row r="889" spans="1:19" x14ac:dyDescent="0.25">
      <c r="A889" s="20">
        <v>45707</v>
      </c>
      <c r="B889" s="15" t="s">
        <v>610</v>
      </c>
      <c r="C889" s="15">
        <v>53699</v>
      </c>
      <c r="D889" s="15" t="s">
        <v>57</v>
      </c>
      <c r="E889" s="15">
        <v>11</v>
      </c>
      <c r="F889" s="27">
        <v>73.209999999999994</v>
      </c>
      <c r="G889" s="15" t="s">
        <v>76</v>
      </c>
      <c r="H889" s="35">
        <v>0.32</v>
      </c>
      <c r="I889" s="15" t="s">
        <v>19</v>
      </c>
      <c r="J889" s="27">
        <v>15.69</v>
      </c>
      <c r="K889" s="15" t="s">
        <v>37</v>
      </c>
      <c r="L889" s="15" t="s">
        <v>31</v>
      </c>
      <c r="M889" s="15" t="s">
        <v>22</v>
      </c>
      <c r="N889" s="15" t="s">
        <v>38</v>
      </c>
      <c r="O889" s="15" t="s">
        <v>39</v>
      </c>
      <c r="P889" s="15" t="s">
        <v>34</v>
      </c>
      <c r="Q889" s="27">
        <v>805.31</v>
      </c>
      <c r="R889" s="27">
        <v>257.69919999999996</v>
      </c>
      <c r="S889" s="31">
        <v>547.61079999999993</v>
      </c>
    </row>
    <row r="890" spans="1:19" x14ac:dyDescent="0.25">
      <c r="A890" s="20">
        <v>45707</v>
      </c>
      <c r="B890" s="15" t="s">
        <v>664</v>
      </c>
      <c r="C890" s="15">
        <v>33054</v>
      </c>
      <c r="D890" s="15" t="s">
        <v>17</v>
      </c>
      <c r="E890" s="15">
        <v>33</v>
      </c>
      <c r="F890" s="27">
        <v>25.57</v>
      </c>
      <c r="G890" s="15" t="s">
        <v>55</v>
      </c>
      <c r="H890" s="35">
        <v>0.03</v>
      </c>
      <c r="I890" s="15" t="s">
        <v>734</v>
      </c>
      <c r="J890" s="27">
        <v>28.14</v>
      </c>
      <c r="K890" s="15" t="s">
        <v>44</v>
      </c>
      <c r="L890" s="15" t="s">
        <v>31</v>
      </c>
      <c r="M890" s="15" t="s">
        <v>22</v>
      </c>
      <c r="N890" s="15" t="s">
        <v>23</v>
      </c>
      <c r="O890" s="15" t="s">
        <v>24</v>
      </c>
      <c r="P890" s="15" t="s">
        <v>25</v>
      </c>
      <c r="Q890" s="27">
        <v>843.81000000000006</v>
      </c>
      <c r="R890" s="27">
        <v>25.314299999999999</v>
      </c>
      <c r="S890" s="31">
        <v>818.49570000000006</v>
      </c>
    </row>
    <row r="891" spans="1:19" x14ac:dyDescent="0.25">
      <c r="A891" s="20">
        <v>45707</v>
      </c>
      <c r="B891" s="15" t="s">
        <v>665</v>
      </c>
      <c r="C891" s="15">
        <v>20432</v>
      </c>
      <c r="D891" s="15" t="s">
        <v>75</v>
      </c>
      <c r="E891" s="15">
        <v>37</v>
      </c>
      <c r="F891" s="27">
        <v>54.76</v>
      </c>
      <c r="G891" s="15" t="s">
        <v>76</v>
      </c>
      <c r="H891" s="35">
        <v>0.25</v>
      </c>
      <c r="I891" s="15" t="s">
        <v>19</v>
      </c>
      <c r="J891" s="27">
        <v>17.63</v>
      </c>
      <c r="K891" s="15" t="s">
        <v>44</v>
      </c>
      <c r="L891" s="15" t="s">
        <v>31</v>
      </c>
      <c r="M891" s="15" t="s">
        <v>22</v>
      </c>
      <c r="N891" s="15" t="s">
        <v>38</v>
      </c>
      <c r="O891" s="15" t="s">
        <v>24</v>
      </c>
      <c r="P891" s="15" t="s">
        <v>40</v>
      </c>
      <c r="Q891" s="27">
        <v>2026.12</v>
      </c>
      <c r="R891" s="27">
        <v>506.53</v>
      </c>
      <c r="S891" s="31">
        <v>1519.59</v>
      </c>
    </row>
    <row r="892" spans="1:19" x14ac:dyDescent="0.25">
      <c r="A892" s="20">
        <v>45707</v>
      </c>
      <c r="B892" s="15" t="s">
        <v>666</v>
      </c>
      <c r="C892" s="15">
        <v>54134</v>
      </c>
      <c r="D892" s="15" t="s">
        <v>46</v>
      </c>
      <c r="E892" s="15">
        <v>21</v>
      </c>
      <c r="F892" s="27">
        <v>72.27</v>
      </c>
      <c r="G892" s="15" t="s">
        <v>43</v>
      </c>
      <c r="H892" s="35">
        <v>0.21</v>
      </c>
      <c r="I892" s="15" t="s">
        <v>734</v>
      </c>
      <c r="J892" s="27">
        <v>23.43</v>
      </c>
      <c r="K892" s="15" t="s">
        <v>50</v>
      </c>
      <c r="L892" s="15" t="s">
        <v>21</v>
      </c>
      <c r="M892" s="15" t="s">
        <v>22</v>
      </c>
      <c r="N892" s="15" t="s">
        <v>23</v>
      </c>
      <c r="O892" s="15" t="s">
        <v>33</v>
      </c>
      <c r="P892" s="15" t="s">
        <v>34</v>
      </c>
      <c r="Q892" s="27">
        <v>1517.6699999999998</v>
      </c>
      <c r="R892" s="27">
        <v>318.71069999999997</v>
      </c>
      <c r="S892" s="31">
        <v>1198.9593</v>
      </c>
    </row>
    <row r="893" spans="1:19" x14ac:dyDescent="0.25">
      <c r="A893" s="20">
        <v>45707</v>
      </c>
      <c r="B893" s="15" t="s">
        <v>232</v>
      </c>
      <c r="C893" s="15">
        <v>32162</v>
      </c>
      <c r="D893" s="15" t="s">
        <v>42</v>
      </c>
      <c r="E893" s="15">
        <v>32</v>
      </c>
      <c r="F893" s="27">
        <v>42.81</v>
      </c>
      <c r="G893" s="15" t="s">
        <v>47</v>
      </c>
      <c r="H893" s="35">
        <v>0.22</v>
      </c>
      <c r="I893" s="15" t="s">
        <v>734</v>
      </c>
      <c r="J893" s="27">
        <v>14.93</v>
      </c>
      <c r="K893" s="15" t="s">
        <v>30</v>
      </c>
      <c r="L893" s="15" t="s">
        <v>31</v>
      </c>
      <c r="M893" s="15" t="s">
        <v>22</v>
      </c>
      <c r="N893" s="15" t="s">
        <v>23</v>
      </c>
      <c r="O893" s="15" t="s">
        <v>59</v>
      </c>
      <c r="P893" s="15" t="s">
        <v>40</v>
      </c>
      <c r="Q893" s="27">
        <v>1369.92</v>
      </c>
      <c r="R893" s="27">
        <v>301.38240000000002</v>
      </c>
      <c r="S893" s="31">
        <v>1068.5376000000001</v>
      </c>
    </row>
    <row r="894" spans="1:19" x14ac:dyDescent="0.25">
      <c r="A894" s="20">
        <v>45707</v>
      </c>
      <c r="B894" s="15" t="s">
        <v>631</v>
      </c>
      <c r="C894" s="15">
        <v>24264</v>
      </c>
      <c r="D894" s="15" t="s">
        <v>70</v>
      </c>
      <c r="E894" s="15">
        <v>22</v>
      </c>
      <c r="F894" s="27">
        <v>11.1</v>
      </c>
      <c r="G894" s="15" t="s">
        <v>43</v>
      </c>
      <c r="H894" s="35">
        <v>0.36</v>
      </c>
      <c r="I894" s="15" t="s">
        <v>29</v>
      </c>
      <c r="J894" s="27">
        <v>29.91</v>
      </c>
      <c r="K894" s="15" t="s">
        <v>50</v>
      </c>
      <c r="L894" s="15" t="s">
        <v>31</v>
      </c>
      <c r="M894" s="15" t="s">
        <v>22</v>
      </c>
      <c r="N894" s="15" t="s">
        <v>53</v>
      </c>
      <c r="O894" s="15" t="s">
        <v>39</v>
      </c>
      <c r="P894" s="15" t="s">
        <v>34</v>
      </c>
      <c r="Q894" s="27">
        <v>244.2</v>
      </c>
      <c r="R894" s="27">
        <v>87.911999999999992</v>
      </c>
      <c r="S894" s="31">
        <v>156.28800000000001</v>
      </c>
    </row>
    <row r="895" spans="1:19" x14ac:dyDescent="0.25">
      <c r="A895" s="20">
        <v>45707</v>
      </c>
      <c r="B895" s="15" t="s">
        <v>667</v>
      </c>
      <c r="C895" s="15">
        <v>50318</v>
      </c>
      <c r="D895" s="15" t="s">
        <v>66</v>
      </c>
      <c r="E895" s="15">
        <v>17</v>
      </c>
      <c r="F895" s="27">
        <v>33.99</v>
      </c>
      <c r="G895" s="15" t="s">
        <v>58</v>
      </c>
      <c r="H895" s="35">
        <v>0.44</v>
      </c>
      <c r="I895" s="15" t="s">
        <v>29</v>
      </c>
      <c r="J895" s="27">
        <v>7.83</v>
      </c>
      <c r="K895" s="15" t="s">
        <v>44</v>
      </c>
      <c r="L895" s="15" t="s">
        <v>31</v>
      </c>
      <c r="M895" s="15" t="s">
        <v>22</v>
      </c>
      <c r="N895" s="15" t="s">
        <v>32</v>
      </c>
      <c r="O895" s="15" t="s">
        <v>33</v>
      </c>
      <c r="P895" s="15" t="s">
        <v>40</v>
      </c>
      <c r="Q895" s="27">
        <v>577.83000000000004</v>
      </c>
      <c r="R895" s="27">
        <v>254.24520000000001</v>
      </c>
      <c r="S895" s="31">
        <v>323.58480000000003</v>
      </c>
    </row>
    <row r="896" spans="1:19" x14ac:dyDescent="0.25">
      <c r="A896" s="20">
        <v>45707</v>
      </c>
      <c r="B896" s="15" t="s">
        <v>558</v>
      </c>
      <c r="C896" s="15">
        <v>24466</v>
      </c>
      <c r="D896" s="15" t="s">
        <v>17</v>
      </c>
      <c r="E896" s="15">
        <v>44</v>
      </c>
      <c r="F896" s="27">
        <v>62.05</v>
      </c>
      <c r="G896" s="15" t="s">
        <v>18</v>
      </c>
      <c r="H896" s="35">
        <v>0.13</v>
      </c>
      <c r="I896" s="15" t="s">
        <v>19</v>
      </c>
      <c r="J896" s="27">
        <v>15.4</v>
      </c>
      <c r="K896" s="15" t="s">
        <v>20</v>
      </c>
      <c r="L896" s="15" t="s">
        <v>21</v>
      </c>
      <c r="M896" s="15" t="s">
        <v>22</v>
      </c>
      <c r="N896" s="15" t="s">
        <v>38</v>
      </c>
      <c r="O896" s="15" t="s">
        <v>59</v>
      </c>
      <c r="P896" s="15" t="s">
        <v>25</v>
      </c>
      <c r="Q896" s="27">
        <v>2730.2</v>
      </c>
      <c r="R896" s="27">
        <v>354.92599999999999</v>
      </c>
      <c r="S896" s="31">
        <v>2375.2739999999999</v>
      </c>
    </row>
    <row r="897" spans="1:19" x14ac:dyDescent="0.25">
      <c r="A897" s="20">
        <v>45707</v>
      </c>
      <c r="B897" s="15" t="s">
        <v>668</v>
      </c>
      <c r="C897" s="15">
        <v>42553</v>
      </c>
      <c r="D897" s="15" t="s">
        <v>27</v>
      </c>
      <c r="E897" s="15">
        <v>28</v>
      </c>
      <c r="F897" s="27">
        <v>98.25</v>
      </c>
      <c r="G897" s="15" t="s">
        <v>55</v>
      </c>
      <c r="H897" s="35">
        <v>0.44</v>
      </c>
      <c r="I897" s="15" t="s">
        <v>29</v>
      </c>
      <c r="J897" s="27">
        <v>28.2</v>
      </c>
      <c r="K897" s="15" t="s">
        <v>50</v>
      </c>
      <c r="L897" s="15" t="s">
        <v>21</v>
      </c>
      <c r="M897" s="15" t="s">
        <v>22</v>
      </c>
      <c r="N897" s="15" t="s">
        <v>23</v>
      </c>
      <c r="O897" s="15" t="s">
        <v>59</v>
      </c>
      <c r="P897" s="15" t="s">
        <v>34</v>
      </c>
      <c r="Q897" s="27">
        <v>2751</v>
      </c>
      <c r="R897" s="27">
        <v>1210.44</v>
      </c>
      <c r="S897" s="31">
        <v>1540.56</v>
      </c>
    </row>
    <row r="898" spans="1:19" x14ac:dyDescent="0.25">
      <c r="A898" s="20">
        <v>45707</v>
      </c>
      <c r="B898" s="15" t="s">
        <v>307</v>
      </c>
      <c r="C898" s="15">
        <v>61744</v>
      </c>
      <c r="D898" s="15" t="s">
        <v>66</v>
      </c>
      <c r="E898" s="15">
        <v>43</v>
      </c>
      <c r="F898" s="27">
        <v>80.09</v>
      </c>
      <c r="G898" s="15" t="s">
        <v>52</v>
      </c>
      <c r="H898" s="35">
        <v>0.17</v>
      </c>
      <c r="I898" s="15" t="s">
        <v>29</v>
      </c>
      <c r="J898" s="27">
        <v>27.31</v>
      </c>
      <c r="K898" s="15" t="s">
        <v>30</v>
      </c>
      <c r="L898" s="15" t="s">
        <v>31</v>
      </c>
      <c r="M898" s="15" t="s">
        <v>22</v>
      </c>
      <c r="N898" s="15" t="s">
        <v>32</v>
      </c>
      <c r="O898" s="15" t="s">
        <v>33</v>
      </c>
      <c r="P898" s="15" t="s">
        <v>25</v>
      </c>
      <c r="Q898" s="27">
        <v>3443.8700000000003</v>
      </c>
      <c r="R898" s="27">
        <v>585.45790000000011</v>
      </c>
      <c r="S898" s="31">
        <v>2858.4121000000005</v>
      </c>
    </row>
    <row r="899" spans="1:19" x14ac:dyDescent="0.25">
      <c r="A899" s="20">
        <v>45707</v>
      </c>
      <c r="B899" s="15" t="s">
        <v>669</v>
      </c>
      <c r="C899" s="15">
        <v>82618</v>
      </c>
      <c r="D899" s="15" t="s">
        <v>57</v>
      </c>
      <c r="E899" s="15">
        <v>47</v>
      </c>
      <c r="F899" s="27">
        <v>58.23</v>
      </c>
      <c r="G899" s="15" t="s">
        <v>52</v>
      </c>
      <c r="H899" s="35">
        <v>0.15</v>
      </c>
      <c r="I899" s="15" t="s">
        <v>19</v>
      </c>
      <c r="J899" s="27">
        <v>17.27</v>
      </c>
      <c r="K899" s="15" t="s">
        <v>44</v>
      </c>
      <c r="L899" s="15" t="s">
        <v>21</v>
      </c>
      <c r="M899" s="15" t="s">
        <v>22</v>
      </c>
      <c r="N899" s="15" t="s">
        <v>32</v>
      </c>
      <c r="O899" s="15" t="s">
        <v>59</v>
      </c>
      <c r="P899" s="15" t="s">
        <v>25</v>
      </c>
      <c r="Q899" s="27">
        <v>2736.81</v>
      </c>
      <c r="R899" s="27">
        <v>410.5215</v>
      </c>
      <c r="S899" s="31">
        <v>2326.2885000000001</v>
      </c>
    </row>
    <row r="900" spans="1:19" x14ac:dyDescent="0.25">
      <c r="A900" s="20">
        <v>45707</v>
      </c>
      <c r="B900" s="15" t="s">
        <v>670</v>
      </c>
      <c r="C900" s="15">
        <v>98718</v>
      </c>
      <c r="D900" s="15" t="s">
        <v>49</v>
      </c>
      <c r="E900" s="15">
        <v>44</v>
      </c>
      <c r="F900" s="27">
        <v>32.200000000000003</v>
      </c>
      <c r="G900" s="15" t="s">
        <v>52</v>
      </c>
      <c r="H900" s="35">
        <v>0.44</v>
      </c>
      <c r="I900" s="15" t="s">
        <v>734</v>
      </c>
      <c r="J900" s="27">
        <v>27.03</v>
      </c>
      <c r="K900" s="15" t="s">
        <v>50</v>
      </c>
      <c r="L900" s="15" t="s">
        <v>21</v>
      </c>
      <c r="M900" s="15" t="s">
        <v>22</v>
      </c>
      <c r="N900" s="15" t="s">
        <v>38</v>
      </c>
      <c r="O900" s="15" t="s">
        <v>59</v>
      </c>
      <c r="P900" s="15" t="s">
        <v>25</v>
      </c>
      <c r="Q900" s="27">
        <v>1416.8000000000002</v>
      </c>
      <c r="R900" s="27">
        <v>623.39200000000005</v>
      </c>
      <c r="S900" s="31">
        <v>793.40800000000013</v>
      </c>
    </row>
    <row r="901" spans="1:19" x14ac:dyDescent="0.25">
      <c r="A901" s="20">
        <v>45707</v>
      </c>
      <c r="B901" s="15" t="s">
        <v>295</v>
      </c>
      <c r="C901" s="15">
        <v>16392</v>
      </c>
      <c r="D901" s="15" t="s">
        <v>17</v>
      </c>
      <c r="E901" s="15">
        <v>47</v>
      </c>
      <c r="F901" s="27">
        <v>42.46</v>
      </c>
      <c r="G901" s="15" t="s">
        <v>43</v>
      </c>
      <c r="H901" s="35">
        <v>0.37</v>
      </c>
      <c r="I901" s="15" t="s">
        <v>19</v>
      </c>
      <c r="J901" s="27">
        <v>18.309999999999999</v>
      </c>
      <c r="K901" s="15" t="s">
        <v>50</v>
      </c>
      <c r="L901" s="15" t="s">
        <v>21</v>
      </c>
      <c r="M901" s="15" t="s">
        <v>22</v>
      </c>
      <c r="N901" s="15" t="s">
        <v>53</v>
      </c>
      <c r="O901" s="15" t="s">
        <v>39</v>
      </c>
      <c r="P901" s="15" t="s">
        <v>34</v>
      </c>
      <c r="Q901" s="27">
        <v>1995.6200000000001</v>
      </c>
      <c r="R901" s="27">
        <v>738.37940000000003</v>
      </c>
      <c r="S901" s="31">
        <v>1257.2406000000001</v>
      </c>
    </row>
    <row r="902" spans="1:19" x14ac:dyDescent="0.25">
      <c r="A902" s="20">
        <v>45708</v>
      </c>
      <c r="B902" s="15" t="s">
        <v>501</v>
      </c>
      <c r="C902" s="15">
        <v>89475</v>
      </c>
      <c r="D902" s="15" t="s">
        <v>17</v>
      </c>
      <c r="E902" s="15">
        <v>14</v>
      </c>
      <c r="F902" s="27">
        <v>28.59</v>
      </c>
      <c r="G902" s="15" t="s">
        <v>72</v>
      </c>
      <c r="H902" s="35">
        <v>0.19</v>
      </c>
      <c r="I902" s="15" t="s">
        <v>19</v>
      </c>
      <c r="J902" s="27">
        <v>19.02</v>
      </c>
      <c r="K902" s="15" t="s">
        <v>37</v>
      </c>
      <c r="L902" s="15" t="s">
        <v>21</v>
      </c>
      <c r="M902" s="15" t="s">
        <v>22</v>
      </c>
      <c r="N902" s="15" t="s">
        <v>32</v>
      </c>
      <c r="O902" s="15" t="s">
        <v>59</v>
      </c>
      <c r="P902" s="15" t="s">
        <v>34</v>
      </c>
      <c r="Q902" s="27">
        <v>400.26</v>
      </c>
      <c r="R902" s="27">
        <v>76.049400000000006</v>
      </c>
      <c r="S902" s="31">
        <v>324.2106</v>
      </c>
    </row>
    <row r="903" spans="1:19" x14ac:dyDescent="0.25">
      <c r="A903" s="20">
        <v>45708</v>
      </c>
      <c r="B903" s="15" t="s">
        <v>301</v>
      </c>
      <c r="C903" s="15">
        <v>18320</v>
      </c>
      <c r="D903" s="15" t="s">
        <v>42</v>
      </c>
      <c r="E903" s="15">
        <v>27</v>
      </c>
      <c r="F903" s="27">
        <v>44.06</v>
      </c>
      <c r="G903" s="15" t="s">
        <v>84</v>
      </c>
      <c r="H903" s="35">
        <v>0.14000000000000001</v>
      </c>
      <c r="I903" s="15" t="s">
        <v>19</v>
      </c>
      <c r="J903" s="27">
        <v>20.81</v>
      </c>
      <c r="K903" s="15" t="s">
        <v>30</v>
      </c>
      <c r="L903" s="15" t="s">
        <v>31</v>
      </c>
      <c r="M903" s="15" t="s">
        <v>22</v>
      </c>
      <c r="N903" s="15" t="s">
        <v>53</v>
      </c>
      <c r="O903" s="15" t="s">
        <v>24</v>
      </c>
      <c r="P903" s="15" t="s">
        <v>40</v>
      </c>
      <c r="Q903" s="27">
        <v>1189.6200000000001</v>
      </c>
      <c r="R903" s="27">
        <v>166.54680000000002</v>
      </c>
      <c r="S903" s="31">
        <v>1023.0732</v>
      </c>
    </row>
    <row r="904" spans="1:19" x14ac:dyDescent="0.25">
      <c r="A904" s="20">
        <v>45708</v>
      </c>
      <c r="B904" s="15" t="s">
        <v>671</v>
      </c>
      <c r="C904" s="15">
        <v>75040</v>
      </c>
      <c r="D904" s="15" t="s">
        <v>66</v>
      </c>
      <c r="E904" s="15">
        <v>7</v>
      </c>
      <c r="F904" s="27">
        <v>29.72</v>
      </c>
      <c r="G904" s="15" t="s">
        <v>58</v>
      </c>
      <c r="H904" s="35">
        <v>0.47</v>
      </c>
      <c r="I904" s="15" t="s">
        <v>29</v>
      </c>
      <c r="J904" s="27">
        <v>6.36</v>
      </c>
      <c r="K904" s="15" t="s">
        <v>50</v>
      </c>
      <c r="L904" s="15" t="s">
        <v>31</v>
      </c>
      <c r="M904" s="15" t="s">
        <v>22</v>
      </c>
      <c r="N904" s="15" t="s">
        <v>53</v>
      </c>
      <c r="O904" s="15" t="s">
        <v>24</v>
      </c>
      <c r="P904" s="15" t="s">
        <v>40</v>
      </c>
      <c r="Q904" s="27">
        <v>208.04</v>
      </c>
      <c r="R904" s="27">
        <v>97.77879999999999</v>
      </c>
      <c r="S904" s="31">
        <v>110.2612</v>
      </c>
    </row>
    <row r="905" spans="1:19" x14ac:dyDescent="0.25">
      <c r="A905" s="20">
        <v>45708</v>
      </c>
      <c r="B905" s="15" t="s">
        <v>672</v>
      </c>
      <c r="C905" s="15">
        <v>29022</v>
      </c>
      <c r="D905" s="15" t="s">
        <v>46</v>
      </c>
      <c r="E905" s="15">
        <v>31</v>
      </c>
      <c r="F905" s="27">
        <v>91.14</v>
      </c>
      <c r="G905" s="15" t="s">
        <v>76</v>
      </c>
      <c r="H905" s="35">
        <v>0.17</v>
      </c>
      <c r="I905" s="15" t="s">
        <v>19</v>
      </c>
      <c r="J905" s="27">
        <v>10.08</v>
      </c>
      <c r="K905" s="15" t="s">
        <v>37</v>
      </c>
      <c r="L905" s="15" t="s">
        <v>31</v>
      </c>
      <c r="M905" s="15" t="s">
        <v>22</v>
      </c>
      <c r="N905" s="15" t="s">
        <v>38</v>
      </c>
      <c r="O905" s="15" t="s">
        <v>33</v>
      </c>
      <c r="P905" s="15" t="s">
        <v>40</v>
      </c>
      <c r="Q905" s="27">
        <v>2825.34</v>
      </c>
      <c r="R905" s="27">
        <v>480.30780000000004</v>
      </c>
      <c r="S905" s="31">
        <v>2345.0322000000001</v>
      </c>
    </row>
    <row r="906" spans="1:19" x14ac:dyDescent="0.25">
      <c r="A906" s="20">
        <v>45708</v>
      </c>
      <c r="B906" s="15" t="s">
        <v>673</v>
      </c>
      <c r="C906" s="15">
        <v>55797</v>
      </c>
      <c r="D906" s="15" t="s">
        <v>27</v>
      </c>
      <c r="E906" s="15">
        <v>12</v>
      </c>
      <c r="F906" s="27">
        <v>58.14</v>
      </c>
      <c r="G906" s="15" t="s">
        <v>55</v>
      </c>
      <c r="H906" s="35">
        <v>0.26</v>
      </c>
      <c r="I906" s="15" t="s">
        <v>19</v>
      </c>
      <c r="J906" s="27">
        <v>15.68</v>
      </c>
      <c r="K906" s="15" t="s">
        <v>50</v>
      </c>
      <c r="L906" s="15" t="s">
        <v>31</v>
      </c>
      <c r="M906" s="15" t="s">
        <v>22</v>
      </c>
      <c r="N906" s="15" t="s">
        <v>38</v>
      </c>
      <c r="O906" s="15" t="s">
        <v>24</v>
      </c>
      <c r="P906" s="15" t="s">
        <v>34</v>
      </c>
      <c r="Q906" s="27">
        <v>697.68000000000006</v>
      </c>
      <c r="R906" s="27">
        <v>181.39680000000001</v>
      </c>
      <c r="S906" s="31">
        <v>516.28320000000008</v>
      </c>
    </row>
    <row r="907" spans="1:19" x14ac:dyDescent="0.25">
      <c r="A907" s="20">
        <v>45708</v>
      </c>
      <c r="B907" s="15" t="s">
        <v>207</v>
      </c>
      <c r="C907" s="15">
        <v>24779</v>
      </c>
      <c r="D907" s="15" t="s">
        <v>68</v>
      </c>
      <c r="E907" s="15">
        <v>2</v>
      </c>
      <c r="F907" s="27">
        <v>91.6</v>
      </c>
      <c r="G907" s="15" t="s">
        <v>55</v>
      </c>
      <c r="H907" s="35">
        <v>0.02</v>
      </c>
      <c r="I907" s="15" t="s">
        <v>734</v>
      </c>
      <c r="J907" s="27">
        <v>5.55</v>
      </c>
      <c r="K907" s="15" t="s">
        <v>20</v>
      </c>
      <c r="L907" s="15" t="s">
        <v>21</v>
      </c>
      <c r="M907" s="15" t="s">
        <v>22</v>
      </c>
      <c r="N907" s="15" t="s">
        <v>38</v>
      </c>
      <c r="O907" s="15" t="s">
        <v>24</v>
      </c>
      <c r="P907" s="15" t="s">
        <v>25</v>
      </c>
      <c r="Q907" s="27">
        <v>183.2</v>
      </c>
      <c r="R907" s="27">
        <v>3.6639999999999997</v>
      </c>
      <c r="S907" s="31">
        <v>179.536</v>
      </c>
    </row>
    <row r="908" spans="1:19" x14ac:dyDescent="0.25">
      <c r="A908" s="20">
        <v>45708</v>
      </c>
      <c r="B908" s="15" t="s">
        <v>232</v>
      </c>
      <c r="C908" s="15">
        <v>86755</v>
      </c>
      <c r="D908" s="15" t="s">
        <v>57</v>
      </c>
      <c r="E908" s="15">
        <v>47</v>
      </c>
      <c r="F908" s="27">
        <v>77.73</v>
      </c>
      <c r="G908" s="15" t="s">
        <v>58</v>
      </c>
      <c r="H908" s="35">
        <v>0.48</v>
      </c>
      <c r="I908" s="15" t="s">
        <v>734</v>
      </c>
      <c r="J908" s="27">
        <v>10.94</v>
      </c>
      <c r="K908" s="15" t="s">
        <v>20</v>
      </c>
      <c r="L908" s="15" t="s">
        <v>31</v>
      </c>
      <c r="M908" s="15" t="s">
        <v>22</v>
      </c>
      <c r="N908" s="15" t="s">
        <v>23</v>
      </c>
      <c r="O908" s="15" t="s">
        <v>33</v>
      </c>
      <c r="P908" s="15" t="s">
        <v>25</v>
      </c>
      <c r="Q908" s="27">
        <v>3653.3100000000004</v>
      </c>
      <c r="R908" s="27">
        <v>1753.5888000000002</v>
      </c>
      <c r="S908" s="31">
        <v>1899.7212000000002</v>
      </c>
    </row>
    <row r="909" spans="1:19" x14ac:dyDescent="0.25">
      <c r="A909" s="20">
        <v>45708</v>
      </c>
      <c r="B909" s="15" t="s">
        <v>674</v>
      </c>
      <c r="C909" s="15">
        <v>21386</v>
      </c>
      <c r="D909" s="15" t="s">
        <v>46</v>
      </c>
      <c r="E909" s="15">
        <v>22</v>
      </c>
      <c r="F909" s="27">
        <v>78.06</v>
      </c>
      <c r="G909" s="15" t="s">
        <v>52</v>
      </c>
      <c r="H909" s="35">
        <v>0.34</v>
      </c>
      <c r="I909" s="15" t="s">
        <v>19</v>
      </c>
      <c r="J909" s="27">
        <v>20.43</v>
      </c>
      <c r="K909" s="15" t="s">
        <v>30</v>
      </c>
      <c r="L909" s="15" t="s">
        <v>31</v>
      </c>
      <c r="M909" s="15" t="s">
        <v>22</v>
      </c>
      <c r="N909" s="15" t="s">
        <v>38</v>
      </c>
      <c r="O909" s="15" t="s">
        <v>39</v>
      </c>
      <c r="P909" s="15" t="s">
        <v>25</v>
      </c>
      <c r="Q909" s="27">
        <v>1717.3200000000002</v>
      </c>
      <c r="R909" s="27">
        <v>583.88880000000006</v>
      </c>
      <c r="S909" s="31">
        <v>1133.4312</v>
      </c>
    </row>
    <row r="910" spans="1:19" x14ac:dyDescent="0.25">
      <c r="A910" s="20">
        <v>45708</v>
      </c>
      <c r="B910" s="15" t="s">
        <v>675</v>
      </c>
      <c r="C910" s="15">
        <v>65815</v>
      </c>
      <c r="D910" s="15" t="s">
        <v>49</v>
      </c>
      <c r="E910" s="15">
        <v>8</v>
      </c>
      <c r="F910" s="27">
        <v>7.56</v>
      </c>
      <c r="G910" s="15" t="s">
        <v>43</v>
      </c>
      <c r="H910" s="35">
        <v>0.13</v>
      </c>
      <c r="I910" s="15" t="s">
        <v>734</v>
      </c>
      <c r="J910" s="27">
        <v>6.69</v>
      </c>
      <c r="K910" s="15" t="s">
        <v>37</v>
      </c>
      <c r="L910" s="15" t="s">
        <v>21</v>
      </c>
      <c r="M910" s="15" t="s">
        <v>22</v>
      </c>
      <c r="N910" s="15" t="s">
        <v>53</v>
      </c>
      <c r="O910" s="15" t="s">
        <v>39</v>
      </c>
      <c r="P910" s="15" t="s">
        <v>40</v>
      </c>
      <c r="Q910" s="27">
        <v>60.48</v>
      </c>
      <c r="R910" s="27">
        <v>7.8624000000000001</v>
      </c>
      <c r="S910" s="31">
        <v>52.617599999999996</v>
      </c>
    </row>
    <row r="911" spans="1:19" x14ac:dyDescent="0.25">
      <c r="A911" s="20">
        <v>45708</v>
      </c>
      <c r="B911" s="15" t="s">
        <v>656</v>
      </c>
      <c r="C911" s="15">
        <v>87853</v>
      </c>
      <c r="D911" s="15" t="s">
        <v>42</v>
      </c>
      <c r="E911" s="15">
        <v>16</v>
      </c>
      <c r="F911" s="27">
        <v>73.739999999999995</v>
      </c>
      <c r="G911" s="15" t="s">
        <v>58</v>
      </c>
      <c r="H911" s="35">
        <v>0.28999999999999998</v>
      </c>
      <c r="I911" s="15" t="s">
        <v>29</v>
      </c>
      <c r="J911" s="27">
        <v>26.09</v>
      </c>
      <c r="K911" s="15" t="s">
        <v>50</v>
      </c>
      <c r="L911" s="15" t="s">
        <v>21</v>
      </c>
      <c r="M911" s="15" t="s">
        <v>22</v>
      </c>
      <c r="N911" s="15" t="s">
        <v>32</v>
      </c>
      <c r="O911" s="15" t="s">
        <v>81</v>
      </c>
      <c r="P911" s="15" t="s">
        <v>25</v>
      </c>
      <c r="Q911" s="27">
        <v>1179.8399999999999</v>
      </c>
      <c r="R911" s="27">
        <v>342.15359999999993</v>
      </c>
      <c r="S911" s="31">
        <v>837.68640000000005</v>
      </c>
    </row>
    <row r="912" spans="1:19" x14ac:dyDescent="0.25">
      <c r="A912" s="20">
        <v>45708</v>
      </c>
      <c r="B912" s="15" t="s">
        <v>676</v>
      </c>
      <c r="C912" s="15">
        <v>91352</v>
      </c>
      <c r="D912" s="15" t="s">
        <v>27</v>
      </c>
      <c r="E912" s="15">
        <v>25</v>
      </c>
      <c r="F912" s="27">
        <v>40.11</v>
      </c>
      <c r="G912" s="15" t="s">
        <v>43</v>
      </c>
      <c r="H912" s="35">
        <v>0.22</v>
      </c>
      <c r="I912" s="15" t="s">
        <v>734</v>
      </c>
      <c r="J912" s="27">
        <v>18.95</v>
      </c>
      <c r="K912" s="15" t="s">
        <v>37</v>
      </c>
      <c r="L912" s="15" t="s">
        <v>21</v>
      </c>
      <c r="M912" s="15" t="s">
        <v>22</v>
      </c>
      <c r="N912" s="15" t="s">
        <v>38</v>
      </c>
      <c r="O912" s="15" t="s">
        <v>24</v>
      </c>
      <c r="P912" s="15" t="s">
        <v>34</v>
      </c>
      <c r="Q912" s="27">
        <v>1002.75</v>
      </c>
      <c r="R912" s="27">
        <v>220.60499999999999</v>
      </c>
      <c r="S912" s="31">
        <v>782.14499999999998</v>
      </c>
    </row>
    <row r="913" spans="1:19" x14ac:dyDescent="0.25">
      <c r="A913" s="20">
        <v>45708</v>
      </c>
      <c r="B913" s="15" t="s">
        <v>677</v>
      </c>
      <c r="C913" s="15">
        <v>19390</v>
      </c>
      <c r="D913" s="15" t="s">
        <v>49</v>
      </c>
      <c r="E913" s="15">
        <v>3</v>
      </c>
      <c r="F913" s="27">
        <v>52.96</v>
      </c>
      <c r="G913" s="15" t="s">
        <v>99</v>
      </c>
      <c r="H913" s="35">
        <v>0.4</v>
      </c>
      <c r="I913" s="15" t="s">
        <v>29</v>
      </c>
      <c r="J913" s="27">
        <v>17.100000000000001</v>
      </c>
      <c r="K913" s="15" t="s">
        <v>30</v>
      </c>
      <c r="L913" s="15" t="s">
        <v>21</v>
      </c>
      <c r="M913" s="15" t="s">
        <v>22</v>
      </c>
      <c r="N913" s="15" t="s">
        <v>53</v>
      </c>
      <c r="O913" s="15" t="s">
        <v>33</v>
      </c>
      <c r="P913" s="15" t="s">
        <v>40</v>
      </c>
      <c r="Q913" s="27">
        <v>158.88</v>
      </c>
      <c r="R913" s="27">
        <v>63.552</v>
      </c>
      <c r="S913" s="31">
        <v>95.328000000000003</v>
      </c>
    </row>
    <row r="914" spans="1:19" x14ac:dyDescent="0.25">
      <c r="A914" s="20">
        <v>45708</v>
      </c>
      <c r="B914" s="15" t="s">
        <v>124</v>
      </c>
      <c r="C914" s="15">
        <v>54703</v>
      </c>
      <c r="D914" s="15" t="s">
        <v>68</v>
      </c>
      <c r="E914" s="15">
        <v>19</v>
      </c>
      <c r="F914" s="27">
        <v>58.34</v>
      </c>
      <c r="G914" s="15" t="s">
        <v>28</v>
      </c>
      <c r="H914" s="35">
        <v>0.12</v>
      </c>
      <c r="I914" s="15" t="s">
        <v>29</v>
      </c>
      <c r="J914" s="27">
        <v>23.3</v>
      </c>
      <c r="K914" s="15" t="s">
        <v>44</v>
      </c>
      <c r="L914" s="15" t="s">
        <v>21</v>
      </c>
      <c r="M914" s="15" t="s">
        <v>22</v>
      </c>
      <c r="N914" s="15" t="s">
        <v>32</v>
      </c>
      <c r="O914" s="15" t="s">
        <v>24</v>
      </c>
      <c r="P914" s="15" t="s">
        <v>25</v>
      </c>
      <c r="Q914" s="27">
        <v>1108.46</v>
      </c>
      <c r="R914" s="27">
        <v>133.01519999999999</v>
      </c>
      <c r="S914" s="31">
        <v>975.44479999999999</v>
      </c>
    </row>
    <row r="915" spans="1:19" x14ac:dyDescent="0.25">
      <c r="A915" s="20">
        <v>45708</v>
      </c>
      <c r="B915" s="15" t="s">
        <v>465</v>
      </c>
      <c r="C915" s="15">
        <v>74222</v>
      </c>
      <c r="D915" s="15" t="s">
        <v>46</v>
      </c>
      <c r="E915" s="15">
        <v>29</v>
      </c>
      <c r="F915" s="27">
        <v>32.9</v>
      </c>
      <c r="G915" s="15" t="s">
        <v>72</v>
      </c>
      <c r="H915" s="35">
        <v>0.04</v>
      </c>
      <c r="I915" s="15" t="s">
        <v>19</v>
      </c>
      <c r="J915" s="27">
        <v>11.36</v>
      </c>
      <c r="K915" s="15" t="s">
        <v>20</v>
      </c>
      <c r="L915" s="15" t="s">
        <v>31</v>
      </c>
      <c r="M915" s="15" t="s">
        <v>22</v>
      </c>
      <c r="N915" s="15" t="s">
        <v>32</v>
      </c>
      <c r="O915" s="15" t="s">
        <v>24</v>
      </c>
      <c r="P915" s="15" t="s">
        <v>25</v>
      </c>
      <c r="Q915" s="27">
        <v>954.09999999999991</v>
      </c>
      <c r="R915" s="27">
        <v>38.163999999999994</v>
      </c>
      <c r="S915" s="31">
        <v>915.93599999999992</v>
      </c>
    </row>
    <row r="916" spans="1:19" x14ac:dyDescent="0.25">
      <c r="A916" s="20">
        <v>45708</v>
      </c>
      <c r="B916" s="15" t="s">
        <v>485</v>
      </c>
      <c r="C916" s="15">
        <v>10401</v>
      </c>
      <c r="D916" s="15" t="s">
        <v>57</v>
      </c>
      <c r="E916" s="15">
        <v>5</v>
      </c>
      <c r="F916" s="27">
        <v>52.11</v>
      </c>
      <c r="G916" s="15" t="s">
        <v>36</v>
      </c>
      <c r="H916" s="35">
        <v>0.43</v>
      </c>
      <c r="I916" s="15" t="s">
        <v>19</v>
      </c>
      <c r="J916" s="27">
        <v>24.15</v>
      </c>
      <c r="K916" s="15" t="s">
        <v>50</v>
      </c>
      <c r="L916" s="15" t="s">
        <v>21</v>
      </c>
      <c r="M916" s="15" t="s">
        <v>22</v>
      </c>
      <c r="N916" s="15" t="s">
        <v>23</v>
      </c>
      <c r="O916" s="15" t="s">
        <v>24</v>
      </c>
      <c r="P916" s="15" t="s">
        <v>25</v>
      </c>
      <c r="Q916" s="27">
        <v>260.55</v>
      </c>
      <c r="R916" s="27">
        <v>112.0365</v>
      </c>
      <c r="S916" s="31">
        <v>148.51350000000002</v>
      </c>
    </row>
    <row r="917" spans="1:19" x14ac:dyDescent="0.25">
      <c r="A917" s="20">
        <v>45708</v>
      </c>
      <c r="B917" s="15" t="s">
        <v>393</v>
      </c>
      <c r="C917" s="15">
        <v>92862</v>
      </c>
      <c r="D917" s="15" t="s">
        <v>46</v>
      </c>
      <c r="E917" s="15">
        <v>20</v>
      </c>
      <c r="F917" s="27">
        <v>5.51</v>
      </c>
      <c r="G917" s="15" t="s">
        <v>18</v>
      </c>
      <c r="H917" s="35">
        <v>0.23</v>
      </c>
      <c r="I917" s="15" t="s">
        <v>19</v>
      </c>
      <c r="J917" s="27">
        <v>22.63</v>
      </c>
      <c r="K917" s="15" t="s">
        <v>37</v>
      </c>
      <c r="L917" s="15" t="s">
        <v>31</v>
      </c>
      <c r="M917" s="15" t="s">
        <v>22</v>
      </c>
      <c r="N917" s="15" t="s">
        <v>38</v>
      </c>
      <c r="O917" s="15" t="s">
        <v>81</v>
      </c>
      <c r="P917" s="15" t="s">
        <v>40</v>
      </c>
      <c r="Q917" s="27">
        <v>110.19999999999999</v>
      </c>
      <c r="R917" s="27">
        <v>25.346</v>
      </c>
      <c r="S917" s="31">
        <v>84.853999999999985</v>
      </c>
    </row>
    <row r="918" spans="1:19" x14ac:dyDescent="0.25">
      <c r="A918" s="20">
        <v>45708</v>
      </c>
      <c r="B918" s="15" t="s">
        <v>678</v>
      </c>
      <c r="C918" s="15">
        <v>78644</v>
      </c>
      <c r="D918" s="15" t="s">
        <v>17</v>
      </c>
      <c r="E918" s="15">
        <v>33</v>
      </c>
      <c r="F918" s="27">
        <v>39.04</v>
      </c>
      <c r="G918" s="15" t="s">
        <v>36</v>
      </c>
      <c r="H918" s="35">
        <v>0.12</v>
      </c>
      <c r="I918" s="15" t="s">
        <v>734</v>
      </c>
      <c r="J918" s="27">
        <v>8.01</v>
      </c>
      <c r="K918" s="15" t="s">
        <v>44</v>
      </c>
      <c r="L918" s="15" t="s">
        <v>31</v>
      </c>
      <c r="M918" s="15" t="s">
        <v>22</v>
      </c>
      <c r="N918" s="15" t="s">
        <v>38</v>
      </c>
      <c r="O918" s="15" t="s">
        <v>24</v>
      </c>
      <c r="P918" s="15" t="s">
        <v>40</v>
      </c>
      <c r="Q918" s="27">
        <v>1288.32</v>
      </c>
      <c r="R918" s="27">
        <v>154.5984</v>
      </c>
      <c r="S918" s="31">
        <v>1133.7215999999999</v>
      </c>
    </row>
    <row r="919" spans="1:19" x14ac:dyDescent="0.25">
      <c r="A919" s="20">
        <v>45708</v>
      </c>
      <c r="B919" s="15" t="s">
        <v>349</v>
      </c>
      <c r="C919" s="15">
        <v>51915</v>
      </c>
      <c r="D919" s="15" t="s">
        <v>68</v>
      </c>
      <c r="E919" s="15">
        <v>1</v>
      </c>
      <c r="F919" s="27">
        <v>48.17</v>
      </c>
      <c r="G919" s="15" t="s">
        <v>18</v>
      </c>
      <c r="H919" s="35">
        <v>0.3</v>
      </c>
      <c r="I919" s="15" t="s">
        <v>29</v>
      </c>
      <c r="J919" s="27">
        <v>15.26</v>
      </c>
      <c r="K919" s="15" t="s">
        <v>30</v>
      </c>
      <c r="L919" s="15" t="s">
        <v>31</v>
      </c>
      <c r="M919" s="15" t="s">
        <v>22</v>
      </c>
      <c r="N919" s="15" t="s">
        <v>23</v>
      </c>
      <c r="O919" s="15" t="s">
        <v>81</v>
      </c>
      <c r="P919" s="15" t="s">
        <v>40</v>
      </c>
      <c r="Q919" s="27">
        <v>48.17</v>
      </c>
      <c r="R919" s="27">
        <v>14.451000000000001</v>
      </c>
      <c r="S919" s="31">
        <v>33.719000000000001</v>
      </c>
    </row>
    <row r="920" spans="1:19" x14ac:dyDescent="0.25">
      <c r="A920" s="20">
        <v>45708</v>
      </c>
      <c r="B920" s="15" t="s">
        <v>679</v>
      </c>
      <c r="C920" s="15">
        <v>55106</v>
      </c>
      <c r="D920" s="15" t="s">
        <v>46</v>
      </c>
      <c r="E920" s="15">
        <v>32</v>
      </c>
      <c r="F920" s="27">
        <v>41.14</v>
      </c>
      <c r="G920" s="15" t="s">
        <v>76</v>
      </c>
      <c r="H920" s="35">
        <v>0.34</v>
      </c>
      <c r="I920" s="15" t="s">
        <v>19</v>
      </c>
      <c r="J920" s="27">
        <v>22.67</v>
      </c>
      <c r="K920" s="15" t="s">
        <v>44</v>
      </c>
      <c r="L920" s="15" t="s">
        <v>21</v>
      </c>
      <c r="M920" s="15" t="s">
        <v>22</v>
      </c>
      <c r="N920" s="15" t="s">
        <v>23</v>
      </c>
      <c r="O920" s="15" t="s">
        <v>39</v>
      </c>
      <c r="P920" s="15" t="s">
        <v>25</v>
      </c>
      <c r="Q920" s="27">
        <v>1316.48</v>
      </c>
      <c r="R920" s="27">
        <v>447.60320000000002</v>
      </c>
      <c r="S920" s="31">
        <v>868.8768</v>
      </c>
    </row>
    <row r="921" spans="1:19" x14ac:dyDescent="0.25">
      <c r="A921" s="20">
        <v>45708</v>
      </c>
      <c r="B921" s="15" t="s">
        <v>202</v>
      </c>
      <c r="C921" s="15">
        <v>24318</v>
      </c>
      <c r="D921" s="15" t="s">
        <v>49</v>
      </c>
      <c r="E921" s="15">
        <v>29</v>
      </c>
      <c r="F921" s="27">
        <v>48.89</v>
      </c>
      <c r="G921" s="15" t="s">
        <v>28</v>
      </c>
      <c r="H921" s="35">
        <v>0.41</v>
      </c>
      <c r="I921" s="15" t="s">
        <v>734</v>
      </c>
      <c r="J921" s="27">
        <v>29.4</v>
      </c>
      <c r="K921" s="15" t="s">
        <v>44</v>
      </c>
      <c r="L921" s="15" t="s">
        <v>21</v>
      </c>
      <c r="M921" s="15" t="s">
        <v>22</v>
      </c>
      <c r="N921" s="15" t="s">
        <v>23</v>
      </c>
      <c r="O921" s="15" t="s">
        <v>39</v>
      </c>
      <c r="P921" s="15" t="s">
        <v>34</v>
      </c>
      <c r="Q921" s="27">
        <v>1417.81</v>
      </c>
      <c r="R921" s="27">
        <v>581.3021</v>
      </c>
      <c r="S921" s="31">
        <v>836.50789999999995</v>
      </c>
    </row>
    <row r="922" spans="1:19" x14ac:dyDescent="0.25">
      <c r="A922" s="20">
        <v>45708</v>
      </c>
      <c r="B922" s="15" t="s">
        <v>159</v>
      </c>
      <c r="C922" s="15">
        <v>59040</v>
      </c>
      <c r="D922" s="15" t="s">
        <v>68</v>
      </c>
      <c r="E922" s="15">
        <v>38</v>
      </c>
      <c r="F922" s="27">
        <v>31.25</v>
      </c>
      <c r="G922" s="15" t="s">
        <v>36</v>
      </c>
      <c r="H922" s="35">
        <v>0.43</v>
      </c>
      <c r="I922" s="15" t="s">
        <v>734</v>
      </c>
      <c r="J922" s="27">
        <v>19.53</v>
      </c>
      <c r="K922" s="15" t="s">
        <v>50</v>
      </c>
      <c r="L922" s="15" t="s">
        <v>31</v>
      </c>
      <c r="M922" s="15" t="s">
        <v>22</v>
      </c>
      <c r="N922" s="15" t="s">
        <v>23</v>
      </c>
      <c r="O922" s="15" t="s">
        <v>81</v>
      </c>
      <c r="P922" s="15" t="s">
        <v>25</v>
      </c>
      <c r="Q922" s="27">
        <v>1187.5</v>
      </c>
      <c r="R922" s="27">
        <v>510.625</v>
      </c>
      <c r="S922" s="31">
        <v>676.875</v>
      </c>
    </row>
    <row r="923" spans="1:19" x14ac:dyDescent="0.25">
      <c r="A923" s="20">
        <v>45709</v>
      </c>
      <c r="B923" s="15" t="s">
        <v>680</v>
      </c>
      <c r="C923" s="15">
        <v>74237</v>
      </c>
      <c r="D923" s="15" t="s">
        <v>66</v>
      </c>
      <c r="E923" s="15">
        <v>23</v>
      </c>
      <c r="F923" s="27">
        <v>91.36</v>
      </c>
      <c r="G923" s="15" t="s">
        <v>47</v>
      </c>
      <c r="H923" s="35">
        <v>0.32</v>
      </c>
      <c r="I923" s="15" t="s">
        <v>19</v>
      </c>
      <c r="J923" s="27">
        <v>24.4</v>
      </c>
      <c r="K923" s="15" t="s">
        <v>44</v>
      </c>
      <c r="L923" s="15" t="s">
        <v>31</v>
      </c>
      <c r="M923" s="15" t="s">
        <v>22</v>
      </c>
      <c r="N923" s="15" t="s">
        <v>38</v>
      </c>
      <c r="O923" s="15" t="s">
        <v>59</v>
      </c>
      <c r="P923" s="15" t="s">
        <v>34</v>
      </c>
      <c r="Q923" s="27">
        <v>2101.2800000000002</v>
      </c>
      <c r="R923" s="27">
        <v>672.40960000000007</v>
      </c>
      <c r="S923" s="31">
        <v>1428.8704000000002</v>
      </c>
    </row>
    <row r="924" spans="1:19" x14ac:dyDescent="0.25">
      <c r="A924" s="20">
        <v>45709</v>
      </c>
      <c r="B924" s="15" t="s">
        <v>545</v>
      </c>
      <c r="C924" s="15">
        <v>70528</v>
      </c>
      <c r="D924" s="15" t="s">
        <v>57</v>
      </c>
      <c r="E924" s="15">
        <v>10</v>
      </c>
      <c r="F924" s="27">
        <v>98.02</v>
      </c>
      <c r="G924" s="15" t="s">
        <v>36</v>
      </c>
      <c r="H924" s="35">
        <v>0.36</v>
      </c>
      <c r="I924" s="15" t="s">
        <v>29</v>
      </c>
      <c r="J924" s="27">
        <v>15.99</v>
      </c>
      <c r="K924" s="15" t="s">
        <v>30</v>
      </c>
      <c r="L924" s="15" t="s">
        <v>21</v>
      </c>
      <c r="M924" s="15" t="s">
        <v>22</v>
      </c>
      <c r="N924" s="15" t="s">
        <v>23</v>
      </c>
      <c r="O924" s="15" t="s">
        <v>24</v>
      </c>
      <c r="P924" s="15" t="s">
        <v>34</v>
      </c>
      <c r="Q924" s="27">
        <v>980.19999999999993</v>
      </c>
      <c r="R924" s="27">
        <v>352.87199999999996</v>
      </c>
      <c r="S924" s="31">
        <v>627.32799999999997</v>
      </c>
    </row>
    <row r="925" spans="1:19" x14ac:dyDescent="0.25">
      <c r="A925" s="20">
        <v>45709</v>
      </c>
      <c r="B925" s="15" t="s">
        <v>663</v>
      </c>
      <c r="C925" s="15">
        <v>40067</v>
      </c>
      <c r="D925" s="15" t="s">
        <v>46</v>
      </c>
      <c r="E925" s="15">
        <v>12</v>
      </c>
      <c r="F925" s="27">
        <v>29.65</v>
      </c>
      <c r="G925" s="15" t="s">
        <v>28</v>
      </c>
      <c r="H925" s="35">
        <v>0.17</v>
      </c>
      <c r="I925" s="15" t="s">
        <v>29</v>
      </c>
      <c r="J925" s="27">
        <v>28.19</v>
      </c>
      <c r="K925" s="15" t="s">
        <v>44</v>
      </c>
      <c r="L925" s="15" t="s">
        <v>31</v>
      </c>
      <c r="M925" s="15" t="s">
        <v>22</v>
      </c>
      <c r="N925" s="15" t="s">
        <v>23</v>
      </c>
      <c r="O925" s="15" t="s">
        <v>24</v>
      </c>
      <c r="P925" s="15" t="s">
        <v>25</v>
      </c>
      <c r="Q925" s="27">
        <v>355.79999999999995</v>
      </c>
      <c r="R925" s="27">
        <v>60.485999999999997</v>
      </c>
      <c r="S925" s="31">
        <v>295.31399999999996</v>
      </c>
    </row>
    <row r="926" spans="1:19" x14ac:dyDescent="0.25">
      <c r="A926" s="20">
        <v>45709</v>
      </c>
      <c r="B926" s="15" t="s">
        <v>567</v>
      </c>
      <c r="C926" s="15">
        <v>94010</v>
      </c>
      <c r="D926" s="15" t="s">
        <v>46</v>
      </c>
      <c r="E926" s="15">
        <v>35</v>
      </c>
      <c r="F926" s="27">
        <v>73.55</v>
      </c>
      <c r="G926" s="15" t="s">
        <v>76</v>
      </c>
      <c r="H926" s="35">
        <v>0.28000000000000003</v>
      </c>
      <c r="I926" s="15" t="s">
        <v>19</v>
      </c>
      <c r="J926" s="27">
        <v>25.66</v>
      </c>
      <c r="K926" s="15" t="s">
        <v>37</v>
      </c>
      <c r="L926" s="15" t="s">
        <v>31</v>
      </c>
      <c r="M926" s="15" t="s">
        <v>22</v>
      </c>
      <c r="N926" s="15" t="s">
        <v>23</v>
      </c>
      <c r="O926" s="15" t="s">
        <v>81</v>
      </c>
      <c r="P926" s="15" t="s">
        <v>25</v>
      </c>
      <c r="Q926" s="27">
        <v>2574.25</v>
      </c>
      <c r="R926" s="27">
        <v>720.79000000000008</v>
      </c>
      <c r="S926" s="31">
        <v>1853.46</v>
      </c>
    </row>
    <row r="927" spans="1:19" x14ac:dyDescent="0.25">
      <c r="A927" s="20">
        <v>45709</v>
      </c>
      <c r="B927" s="15" t="s">
        <v>411</v>
      </c>
      <c r="C927" s="15">
        <v>15053</v>
      </c>
      <c r="D927" s="15" t="s">
        <v>42</v>
      </c>
      <c r="E927" s="15">
        <v>47</v>
      </c>
      <c r="F927" s="27">
        <v>90.15</v>
      </c>
      <c r="G927" s="15" t="s">
        <v>55</v>
      </c>
      <c r="H927" s="35">
        <v>0.48</v>
      </c>
      <c r="I927" s="15" t="s">
        <v>29</v>
      </c>
      <c r="J927" s="27">
        <v>8.1</v>
      </c>
      <c r="K927" s="15" t="s">
        <v>30</v>
      </c>
      <c r="L927" s="15" t="s">
        <v>21</v>
      </c>
      <c r="M927" s="15" t="s">
        <v>22</v>
      </c>
      <c r="N927" s="15" t="s">
        <v>53</v>
      </c>
      <c r="O927" s="15" t="s">
        <v>81</v>
      </c>
      <c r="P927" s="15" t="s">
        <v>25</v>
      </c>
      <c r="Q927" s="27">
        <v>4237.05</v>
      </c>
      <c r="R927" s="27">
        <v>2033.7840000000001</v>
      </c>
      <c r="S927" s="31">
        <v>2203.2660000000001</v>
      </c>
    </row>
    <row r="928" spans="1:19" x14ac:dyDescent="0.25">
      <c r="A928" s="20">
        <v>45709</v>
      </c>
      <c r="B928" s="15" t="s">
        <v>482</v>
      </c>
      <c r="C928" s="15">
        <v>15923</v>
      </c>
      <c r="D928" s="15" t="s">
        <v>27</v>
      </c>
      <c r="E928" s="15">
        <v>9</v>
      </c>
      <c r="F928" s="27">
        <v>33.83</v>
      </c>
      <c r="G928" s="15" t="s">
        <v>52</v>
      </c>
      <c r="H928" s="35">
        <v>0.35</v>
      </c>
      <c r="I928" s="15" t="s">
        <v>734</v>
      </c>
      <c r="J928" s="27">
        <v>29.29</v>
      </c>
      <c r="K928" s="15" t="s">
        <v>44</v>
      </c>
      <c r="L928" s="15" t="s">
        <v>21</v>
      </c>
      <c r="M928" s="15" t="s">
        <v>111</v>
      </c>
      <c r="N928" s="15" t="s">
        <v>53</v>
      </c>
      <c r="O928" s="15" t="s">
        <v>59</v>
      </c>
      <c r="P928" s="15" t="s">
        <v>25</v>
      </c>
      <c r="Q928" s="27">
        <v>304.46999999999997</v>
      </c>
      <c r="R928" s="27">
        <v>106.56449999999998</v>
      </c>
      <c r="S928" s="31">
        <v>197.90549999999999</v>
      </c>
    </row>
    <row r="929" spans="1:19" x14ac:dyDescent="0.25">
      <c r="A929" s="20">
        <v>45709</v>
      </c>
      <c r="B929" s="15" t="s">
        <v>681</v>
      </c>
      <c r="C929" s="15">
        <v>77655</v>
      </c>
      <c r="D929" s="15" t="s">
        <v>57</v>
      </c>
      <c r="E929" s="15">
        <v>11</v>
      </c>
      <c r="F929" s="27">
        <v>49.12</v>
      </c>
      <c r="G929" s="15" t="s">
        <v>36</v>
      </c>
      <c r="H929" s="35">
        <v>0.11</v>
      </c>
      <c r="I929" s="15" t="s">
        <v>734</v>
      </c>
      <c r="J929" s="27">
        <v>21.8</v>
      </c>
      <c r="K929" s="15" t="s">
        <v>37</v>
      </c>
      <c r="L929" s="15" t="s">
        <v>31</v>
      </c>
      <c r="M929" s="15" t="s">
        <v>22</v>
      </c>
      <c r="N929" s="15" t="s">
        <v>23</v>
      </c>
      <c r="O929" s="15" t="s">
        <v>24</v>
      </c>
      <c r="P929" s="15" t="s">
        <v>34</v>
      </c>
      <c r="Q929" s="27">
        <v>540.31999999999994</v>
      </c>
      <c r="R929" s="27">
        <v>59.435199999999995</v>
      </c>
      <c r="S929" s="31">
        <v>480.88479999999993</v>
      </c>
    </row>
    <row r="930" spans="1:19" x14ac:dyDescent="0.25">
      <c r="A930" s="20">
        <v>45709</v>
      </c>
      <c r="B930" s="15" t="s">
        <v>682</v>
      </c>
      <c r="C930" s="15">
        <v>65326</v>
      </c>
      <c r="D930" s="15" t="s">
        <v>17</v>
      </c>
      <c r="E930" s="15">
        <v>38</v>
      </c>
      <c r="F930" s="27">
        <v>82.21</v>
      </c>
      <c r="G930" s="15" t="s">
        <v>36</v>
      </c>
      <c r="H930" s="35">
        <v>0.49</v>
      </c>
      <c r="I930" s="15" t="s">
        <v>29</v>
      </c>
      <c r="J930" s="27">
        <v>6.14</v>
      </c>
      <c r="K930" s="15" t="s">
        <v>37</v>
      </c>
      <c r="L930" s="15" t="s">
        <v>21</v>
      </c>
      <c r="M930" s="15" t="s">
        <v>111</v>
      </c>
      <c r="N930" s="15" t="s">
        <v>23</v>
      </c>
      <c r="O930" s="15" t="s">
        <v>39</v>
      </c>
      <c r="P930" s="15" t="s">
        <v>25</v>
      </c>
      <c r="Q930" s="27">
        <v>3123.9799999999996</v>
      </c>
      <c r="R930" s="27">
        <v>1530.7501999999997</v>
      </c>
      <c r="S930" s="31">
        <v>1593.2297999999998</v>
      </c>
    </row>
    <row r="931" spans="1:19" x14ac:dyDescent="0.25">
      <c r="A931" s="20">
        <v>45709</v>
      </c>
      <c r="B931" s="15" t="s">
        <v>453</v>
      </c>
      <c r="C931" s="15">
        <v>52858</v>
      </c>
      <c r="D931" s="15" t="s">
        <v>66</v>
      </c>
      <c r="E931" s="15">
        <v>4</v>
      </c>
      <c r="F931" s="27">
        <v>84.49</v>
      </c>
      <c r="G931" s="15" t="s">
        <v>76</v>
      </c>
      <c r="H931" s="35">
        <v>0.2</v>
      </c>
      <c r="I931" s="15" t="s">
        <v>29</v>
      </c>
      <c r="J931" s="27">
        <v>26.84</v>
      </c>
      <c r="K931" s="15" t="s">
        <v>44</v>
      </c>
      <c r="L931" s="15" t="s">
        <v>21</v>
      </c>
      <c r="M931" s="15" t="s">
        <v>111</v>
      </c>
      <c r="N931" s="15" t="s">
        <v>38</v>
      </c>
      <c r="O931" s="15" t="s">
        <v>59</v>
      </c>
      <c r="P931" s="15" t="s">
        <v>40</v>
      </c>
      <c r="Q931" s="27">
        <v>337.96</v>
      </c>
      <c r="R931" s="27">
        <v>67.591999999999999</v>
      </c>
      <c r="S931" s="31">
        <v>270.36799999999999</v>
      </c>
    </row>
    <row r="932" spans="1:19" x14ac:dyDescent="0.25">
      <c r="A932" s="20">
        <v>45709</v>
      </c>
      <c r="B932" s="15" t="s">
        <v>481</v>
      </c>
      <c r="C932" s="15">
        <v>36398</v>
      </c>
      <c r="D932" s="15" t="s">
        <v>46</v>
      </c>
      <c r="E932" s="15">
        <v>19</v>
      </c>
      <c r="F932" s="27">
        <v>25.01</v>
      </c>
      <c r="G932" s="15" t="s">
        <v>28</v>
      </c>
      <c r="H932" s="35">
        <v>0.04</v>
      </c>
      <c r="I932" s="15" t="s">
        <v>19</v>
      </c>
      <c r="J932" s="27">
        <v>21.59</v>
      </c>
      <c r="K932" s="15" t="s">
        <v>37</v>
      </c>
      <c r="L932" s="15" t="s">
        <v>31</v>
      </c>
      <c r="M932" s="15" t="s">
        <v>22</v>
      </c>
      <c r="N932" s="15" t="s">
        <v>23</v>
      </c>
      <c r="O932" s="15" t="s">
        <v>81</v>
      </c>
      <c r="P932" s="15" t="s">
        <v>34</v>
      </c>
      <c r="Q932" s="27">
        <v>475.19000000000005</v>
      </c>
      <c r="R932" s="27">
        <v>19.007600000000004</v>
      </c>
      <c r="S932" s="31">
        <v>456.18240000000003</v>
      </c>
    </row>
    <row r="933" spans="1:19" x14ac:dyDescent="0.25">
      <c r="A933" s="20">
        <v>45709</v>
      </c>
      <c r="B933" s="15" t="s">
        <v>133</v>
      </c>
      <c r="C933" s="15">
        <v>82087</v>
      </c>
      <c r="D933" s="15" t="s">
        <v>17</v>
      </c>
      <c r="E933" s="15">
        <v>21</v>
      </c>
      <c r="F933" s="27">
        <v>34.979999999999997</v>
      </c>
      <c r="G933" s="15" t="s">
        <v>76</v>
      </c>
      <c r="H933" s="35">
        <v>0.38</v>
      </c>
      <c r="I933" s="15" t="s">
        <v>29</v>
      </c>
      <c r="J933" s="27">
        <v>6.27</v>
      </c>
      <c r="K933" s="15" t="s">
        <v>37</v>
      </c>
      <c r="L933" s="15" t="s">
        <v>31</v>
      </c>
      <c r="M933" s="15" t="s">
        <v>111</v>
      </c>
      <c r="N933" s="15" t="s">
        <v>38</v>
      </c>
      <c r="O933" s="15" t="s">
        <v>59</v>
      </c>
      <c r="P933" s="15" t="s">
        <v>25</v>
      </c>
      <c r="Q933" s="27">
        <v>734.57999999999993</v>
      </c>
      <c r="R933" s="27">
        <v>279.1404</v>
      </c>
      <c r="S933" s="31">
        <v>455.43959999999993</v>
      </c>
    </row>
    <row r="934" spans="1:19" x14ac:dyDescent="0.25">
      <c r="A934" s="20">
        <v>45709</v>
      </c>
      <c r="B934" s="15" t="s">
        <v>413</v>
      </c>
      <c r="C934" s="15">
        <v>19333</v>
      </c>
      <c r="D934" s="15" t="s">
        <v>49</v>
      </c>
      <c r="E934" s="15">
        <v>6</v>
      </c>
      <c r="F934" s="27">
        <v>47.46</v>
      </c>
      <c r="G934" s="15" t="s">
        <v>43</v>
      </c>
      <c r="H934" s="35">
        <v>0.48</v>
      </c>
      <c r="I934" s="15" t="s">
        <v>29</v>
      </c>
      <c r="J934" s="27">
        <v>27.6</v>
      </c>
      <c r="K934" s="15" t="s">
        <v>44</v>
      </c>
      <c r="L934" s="15" t="s">
        <v>31</v>
      </c>
      <c r="M934" s="15" t="s">
        <v>111</v>
      </c>
      <c r="N934" s="15" t="s">
        <v>32</v>
      </c>
      <c r="O934" s="15" t="s">
        <v>39</v>
      </c>
      <c r="P934" s="15" t="s">
        <v>40</v>
      </c>
      <c r="Q934" s="27">
        <v>284.76</v>
      </c>
      <c r="R934" s="27">
        <v>136.6848</v>
      </c>
      <c r="S934" s="31">
        <v>148.0752</v>
      </c>
    </row>
    <row r="935" spans="1:19" x14ac:dyDescent="0.25">
      <c r="A935" s="20">
        <v>45709</v>
      </c>
      <c r="B935" s="15" t="s">
        <v>307</v>
      </c>
      <c r="C935" s="15">
        <v>85528</v>
      </c>
      <c r="D935" s="15" t="s">
        <v>49</v>
      </c>
      <c r="E935" s="15">
        <v>44</v>
      </c>
      <c r="F935" s="27">
        <v>94.77</v>
      </c>
      <c r="G935" s="15" t="s">
        <v>99</v>
      </c>
      <c r="H935" s="35">
        <v>0.2</v>
      </c>
      <c r="I935" s="15" t="s">
        <v>29</v>
      </c>
      <c r="J935" s="27">
        <v>17.45</v>
      </c>
      <c r="K935" s="15" t="s">
        <v>20</v>
      </c>
      <c r="L935" s="15" t="s">
        <v>21</v>
      </c>
      <c r="M935" s="15" t="s">
        <v>22</v>
      </c>
      <c r="N935" s="15" t="s">
        <v>32</v>
      </c>
      <c r="O935" s="15" t="s">
        <v>39</v>
      </c>
      <c r="P935" s="15" t="s">
        <v>34</v>
      </c>
      <c r="Q935" s="27">
        <v>4169.88</v>
      </c>
      <c r="R935" s="27">
        <v>833.97600000000011</v>
      </c>
      <c r="S935" s="31">
        <v>3335.904</v>
      </c>
    </row>
    <row r="936" spans="1:19" x14ac:dyDescent="0.25">
      <c r="A936" s="20">
        <v>45709</v>
      </c>
      <c r="B936" s="15" t="s">
        <v>329</v>
      </c>
      <c r="C936" s="15">
        <v>77552</v>
      </c>
      <c r="D936" s="15" t="s">
        <v>70</v>
      </c>
      <c r="E936" s="15">
        <v>39</v>
      </c>
      <c r="F936" s="27">
        <v>40.57</v>
      </c>
      <c r="G936" s="15" t="s">
        <v>28</v>
      </c>
      <c r="H936" s="35">
        <v>0.39</v>
      </c>
      <c r="I936" s="15" t="s">
        <v>29</v>
      </c>
      <c r="J936" s="27">
        <v>26.94</v>
      </c>
      <c r="K936" s="15" t="s">
        <v>50</v>
      </c>
      <c r="L936" s="15" t="s">
        <v>21</v>
      </c>
      <c r="M936" s="15" t="s">
        <v>22</v>
      </c>
      <c r="N936" s="15" t="s">
        <v>32</v>
      </c>
      <c r="O936" s="15" t="s">
        <v>24</v>
      </c>
      <c r="P936" s="15" t="s">
        <v>25</v>
      </c>
      <c r="Q936" s="27">
        <v>1582.23</v>
      </c>
      <c r="R936" s="27">
        <v>617.06970000000001</v>
      </c>
      <c r="S936" s="31">
        <v>965.16030000000001</v>
      </c>
    </row>
    <row r="937" spans="1:19" x14ac:dyDescent="0.25">
      <c r="A937" s="20">
        <v>45709</v>
      </c>
      <c r="B937" s="15" t="s">
        <v>683</v>
      </c>
      <c r="C937" s="15">
        <v>21189</v>
      </c>
      <c r="D937" s="15" t="s">
        <v>75</v>
      </c>
      <c r="E937" s="15">
        <v>7</v>
      </c>
      <c r="F937" s="27">
        <v>33.82</v>
      </c>
      <c r="G937" s="15" t="s">
        <v>43</v>
      </c>
      <c r="H937" s="35">
        <v>0.38</v>
      </c>
      <c r="I937" s="15" t="s">
        <v>29</v>
      </c>
      <c r="J937" s="27">
        <v>12.31</v>
      </c>
      <c r="K937" s="15" t="s">
        <v>44</v>
      </c>
      <c r="L937" s="15" t="s">
        <v>21</v>
      </c>
      <c r="M937" s="15" t="s">
        <v>22</v>
      </c>
      <c r="N937" s="15" t="s">
        <v>53</v>
      </c>
      <c r="O937" s="15" t="s">
        <v>33</v>
      </c>
      <c r="P937" s="15" t="s">
        <v>34</v>
      </c>
      <c r="Q937" s="27">
        <v>236.74</v>
      </c>
      <c r="R937" s="27">
        <v>89.961200000000005</v>
      </c>
      <c r="S937" s="31">
        <v>146.77879999999999</v>
      </c>
    </row>
    <row r="938" spans="1:19" x14ac:dyDescent="0.25">
      <c r="A938" s="20">
        <v>45709</v>
      </c>
      <c r="B938" s="15" t="s">
        <v>432</v>
      </c>
      <c r="C938" s="15">
        <v>26884</v>
      </c>
      <c r="D938" s="15" t="s">
        <v>70</v>
      </c>
      <c r="E938" s="15">
        <v>45</v>
      </c>
      <c r="F938" s="27">
        <v>2.44</v>
      </c>
      <c r="G938" s="15" t="s">
        <v>84</v>
      </c>
      <c r="H938" s="35">
        <v>0.48</v>
      </c>
      <c r="I938" s="15" t="s">
        <v>19</v>
      </c>
      <c r="J938" s="27">
        <v>16.93</v>
      </c>
      <c r="K938" s="15" t="s">
        <v>44</v>
      </c>
      <c r="L938" s="15" t="s">
        <v>31</v>
      </c>
      <c r="M938" s="15" t="s">
        <v>22</v>
      </c>
      <c r="N938" s="15" t="s">
        <v>38</v>
      </c>
      <c r="O938" s="15" t="s">
        <v>81</v>
      </c>
      <c r="P938" s="15" t="s">
        <v>34</v>
      </c>
      <c r="Q938" s="27">
        <v>109.8</v>
      </c>
      <c r="R938" s="27">
        <v>52.703999999999994</v>
      </c>
      <c r="S938" s="31">
        <v>57.096000000000004</v>
      </c>
    </row>
    <row r="939" spans="1:19" x14ac:dyDescent="0.25">
      <c r="A939" s="20">
        <v>45709</v>
      </c>
      <c r="B939" s="15" t="s">
        <v>684</v>
      </c>
      <c r="C939" s="15">
        <v>11584</v>
      </c>
      <c r="D939" s="15" t="s">
        <v>49</v>
      </c>
      <c r="E939" s="15">
        <v>36</v>
      </c>
      <c r="F939" s="27">
        <v>50.62</v>
      </c>
      <c r="G939" s="15" t="s">
        <v>72</v>
      </c>
      <c r="H939" s="35">
        <v>0.08</v>
      </c>
      <c r="I939" s="15" t="s">
        <v>734</v>
      </c>
      <c r="J939" s="27">
        <v>6.82</v>
      </c>
      <c r="K939" s="15" t="s">
        <v>44</v>
      </c>
      <c r="L939" s="15" t="s">
        <v>31</v>
      </c>
      <c r="M939" s="15" t="s">
        <v>22</v>
      </c>
      <c r="N939" s="15" t="s">
        <v>32</v>
      </c>
      <c r="O939" s="15" t="s">
        <v>39</v>
      </c>
      <c r="P939" s="15" t="s">
        <v>25</v>
      </c>
      <c r="Q939" s="27">
        <v>1822.32</v>
      </c>
      <c r="R939" s="27">
        <v>145.78559999999999</v>
      </c>
      <c r="S939" s="31">
        <v>1676.5344</v>
      </c>
    </row>
    <row r="940" spans="1:19" x14ac:dyDescent="0.25">
      <c r="A940" s="20">
        <v>45709</v>
      </c>
      <c r="B940" s="15" t="s">
        <v>473</v>
      </c>
      <c r="C940" s="15">
        <v>34518</v>
      </c>
      <c r="D940" s="15" t="s">
        <v>75</v>
      </c>
      <c r="E940" s="15">
        <v>39</v>
      </c>
      <c r="F940" s="27">
        <v>89.21</v>
      </c>
      <c r="G940" s="15" t="s">
        <v>18</v>
      </c>
      <c r="H940" s="35">
        <v>0.34</v>
      </c>
      <c r="I940" s="15" t="s">
        <v>29</v>
      </c>
      <c r="J940" s="27">
        <v>26.81</v>
      </c>
      <c r="K940" s="15" t="s">
        <v>30</v>
      </c>
      <c r="L940" s="15" t="s">
        <v>31</v>
      </c>
      <c r="M940" s="15" t="s">
        <v>22</v>
      </c>
      <c r="N940" s="15" t="s">
        <v>38</v>
      </c>
      <c r="O940" s="15" t="s">
        <v>59</v>
      </c>
      <c r="P940" s="15" t="s">
        <v>34</v>
      </c>
      <c r="Q940" s="27">
        <v>3479.1899999999996</v>
      </c>
      <c r="R940" s="27">
        <v>1182.9246000000001</v>
      </c>
      <c r="S940" s="31">
        <v>2296.2653999999993</v>
      </c>
    </row>
    <row r="941" spans="1:19" x14ac:dyDescent="0.25">
      <c r="A941" s="20">
        <v>45709</v>
      </c>
      <c r="B941" s="15" t="s">
        <v>685</v>
      </c>
      <c r="C941" s="15">
        <v>55347</v>
      </c>
      <c r="D941" s="15" t="s">
        <v>42</v>
      </c>
      <c r="E941" s="15">
        <v>15</v>
      </c>
      <c r="F941" s="27">
        <v>68.260000000000005</v>
      </c>
      <c r="G941" s="15" t="s">
        <v>43</v>
      </c>
      <c r="H941" s="35">
        <v>0.35</v>
      </c>
      <c r="I941" s="15" t="s">
        <v>19</v>
      </c>
      <c r="J941" s="27">
        <v>21.44</v>
      </c>
      <c r="K941" s="15" t="s">
        <v>37</v>
      </c>
      <c r="L941" s="15" t="s">
        <v>21</v>
      </c>
      <c r="M941" s="15" t="s">
        <v>111</v>
      </c>
      <c r="N941" s="15" t="s">
        <v>23</v>
      </c>
      <c r="O941" s="15" t="s">
        <v>81</v>
      </c>
      <c r="P941" s="15" t="s">
        <v>40</v>
      </c>
      <c r="Q941" s="27">
        <v>1023.9000000000001</v>
      </c>
      <c r="R941" s="27">
        <v>358.36500000000001</v>
      </c>
      <c r="S941" s="31">
        <v>665.53500000000008</v>
      </c>
    </row>
    <row r="942" spans="1:19" x14ac:dyDescent="0.25">
      <c r="A942" s="20">
        <v>45709</v>
      </c>
      <c r="B942" s="15" t="s">
        <v>686</v>
      </c>
      <c r="C942" s="15">
        <v>66830</v>
      </c>
      <c r="D942" s="15" t="s">
        <v>27</v>
      </c>
      <c r="E942" s="15">
        <v>9</v>
      </c>
      <c r="F942" s="27">
        <v>24.45</v>
      </c>
      <c r="G942" s="15" t="s">
        <v>76</v>
      </c>
      <c r="H942" s="35">
        <v>0.35</v>
      </c>
      <c r="I942" s="15" t="s">
        <v>734</v>
      </c>
      <c r="J942" s="27">
        <v>27.69</v>
      </c>
      <c r="K942" s="15" t="s">
        <v>44</v>
      </c>
      <c r="L942" s="15" t="s">
        <v>21</v>
      </c>
      <c r="M942" s="15" t="s">
        <v>22</v>
      </c>
      <c r="N942" s="15" t="s">
        <v>53</v>
      </c>
      <c r="O942" s="15" t="s">
        <v>24</v>
      </c>
      <c r="P942" s="15" t="s">
        <v>34</v>
      </c>
      <c r="Q942" s="27">
        <v>220.04999999999998</v>
      </c>
      <c r="R942" s="27">
        <v>77.017499999999984</v>
      </c>
      <c r="S942" s="31">
        <v>143.0325</v>
      </c>
    </row>
    <row r="943" spans="1:19" x14ac:dyDescent="0.25">
      <c r="A943" s="20">
        <v>45709</v>
      </c>
      <c r="B943" s="15" t="s">
        <v>687</v>
      </c>
      <c r="C943" s="15">
        <v>66038</v>
      </c>
      <c r="D943" s="15" t="s">
        <v>70</v>
      </c>
      <c r="E943" s="15">
        <v>47</v>
      </c>
      <c r="F943" s="27">
        <v>12.24</v>
      </c>
      <c r="G943" s="15" t="s">
        <v>52</v>
      </c>
      <c r="H943" s="35">
        <v>0.14000000000000001</v>
      </c>
      <c r="I943" s="15" t="s">
        <v>734</v>
      </c>
      <c r="J943" s="27">
        <v>20.190000000000001</v>
      </c>
      <c r="K943" s="15" t="s">
        <v>20</v>
      </c>
      <c r="L943" s="15" t="s">
        <v>31</v>
      </c>
      <c r="M943" s="15" t="s">
        <v>22</v>
      </c>
      <c r="N943" s="15" t="s">
        <v>38</v>
      </c>
      <c r="O943" s="15" t="s">
        <v>39</v>
      </c>
      <c r="P943" s="15" t="s">
        <v>34</v>
      </c>
      <c r="Q943" s="27">
        <v>575.28</v>
      </c>
      <c r="R943" s="27">
        <v>80.539200000000008</v>
      </c>
      <c r="S943" s="31">
        <v>494.74079999999998</v>
      </c>
    </row>
    <row r="944" spans="1:19" x14ac:dyDescent="0.25">
      <c r="A944" s="20">
        <v>45709</v>
      </c>
      <c r="B944" s="15" t="s">
        <v>688</v>
      </c>
      <c r="C944" s="15">
        <v>30393</v>
      </c>
      <c r="D944" s="15" t="s">
        <v>57</v>
      </c>
      <c r="E944" s="15">
        <v>22</v>
      </c>
      <c r="F944" s="27">
        <v>37.89</v>
      </c>
      <c r="G944" s="15" t="s">
        <v>28</v>
      </c>
      <c r="H944" s="35">
        <v>0</v>
      </c>
      <c r="I944" s="15" t="s">
        <v>19</v>
      </c>
      <c r="J944" s="27">
        <v>16.18</v>
      </c>
      <c r="K944" s="15" t="s">
        <v>44</v>
      </c>
      <c r="L944" s="15" t="s">
        <v>31</v>
      </c>
      <c r="M944" s="15" t="s">
        <v>22</v>
      </c>
      <c r="N944" s="15" t="s">
        <v>32</v>
      </c>
      <c r="O944" s="15" t="s">
        <v>59</v>
      </c>
      <c r="P944" s="15" t="s">
        <v>25</v>
      </c>
      <c r="Q944" s="27">
        <v>833.58</v>
      </c>
      <c r="R944" s="27">
        <v>0</v>
      </c>
      <c r="S944" s="31">
        <v>833.58</v>
      </c>
    </row>
    <row r="945" spans="1:19" x14ac:dyDescent="0.25">
      <c r="A945" s="20">
        <v>45710</v>
      </c>
      <c r="B945" s="15" t="s">
        <v>689</v>
      </c>
      <c r="C945" s="15">
        <v>19084</v>
      </c>
      <c r="D945" s="15" t="s">
        <v>68</v>
      </c>
      <c r="E945" s="15">
        <v>11</v>
      </c>
      <c r="F945" s="27">
        <v>73.45</v>
      </c>
      <c r="G945" s="15" t="s">
        <v>55</v>
      </c>
      <c r="H945" s="35">
        <v>0.47</v>
      </c>
      <c r="I945" s="15" t="s">
        <v>19</v>
      </c>
      <c r="J945" s="27">
        <v>20.85</v>
      </c>
      <c r="K945" s="15" t="s">
        <v>30</v>
      </c>
      <c r="L945" s="15" t="s">
        <v>21</v>
      </c>
      <c r="M945" s="15" t="s">
        <v>22</v>
      </c>
      <c r="N945" s="15" t="s">
        <v>32</v>
      </c>
      <c r="O945" s="15" t="s">
        <v>33</v>
      </c>
      <c r="P945" s="15" t="s">
        <v>40</v>
      </c>
      <c r="Q945" s="27">
        <v>807.95</v>
      </c>
      <c r="R945" s="27">
        <v>379.73649999999998</v>
      </c>
      <c r="S945" s="31">
        <v>428.21350000000007</v>
      </c>
    </row>
    <row r="946" spans="1:19" x14ac:dyDescent="0.25">
      <c r="A946" s="20">
        <v>45710</v>
      </c>
      <c r="B946" s="15" t="s">
        <v>690</v>
      </c>
      <c r="C946" s="15">
        <v>80488</v>
      </c>
      <c r="D946" s="15" t="s">
        <v>46</v>
      </c>
      <c r="E946" s="15">
        <v>35</v>
      </c>
      <c r="F946" s="27">
        <v>94.4</v>
      </c>
      <c r="G946" s="15" t="s">
        <v>76</v>
      </c>
      <c r="H946" s="35">
        <v>0.2</v>
      </c>
      <c r="I946" s="15" t="s">
        <v>734</v>
      </c>
      <c r="J946" s="27">
        <v>5.13</v>
      </c>
      <c r="K946" s="15" t="s">
        <v>50</v>
      </c>
      <c r="L946" s="15" t="s">
        <v>31</v>
      </c>
      <c r="M946" s="15" t="s">
        <v>111</v>
      </c>
      <c r="N946" s="15" t="s">
        <v>38</v>
      </c>
      <c r="O946" s="15" t="s">
        <v>81</v>
      </c>
      <c r="P946" s="15" t="s">
        <v>25</v>
      </c>
      <c r="Q946" s="27">
        <v>3304</v>
      </c>
      <c r="R946" s="27">
        <v>660.80000000000007</v>
      </c>
      <c r="S946" s="31">
        <v>2643.2</v>
      </c>
    </row>
    <row r="947" spans="1:19" x14ac:dyDescent="0.25">
      <c r="A947" s="20">
        <v>45710</v>
      </c>
      <c r="B947" s="15" t="s">
        <v>174</v>
      </c>
      <c r="C947" s="15">
        <v>29621</v>
      </c>
      <c r="D947" s="15" t="s">
        <v>66</v>
      </c>
      <c r="E947" s="15">
        <v>17</v>
      </c>
      <c r="F947" s="27">
        <v>39.29</v>
      </c>
      <c r="G947" s="15" t="s">
        <v>55</v>
      </c>
      <c r="H947" s="35">
        <v>0.3</v>
      </c>
      <c r="I947" s="15" t="s">
        <v>29</v>
      </c>
      <c r="J947" s="27">
        <v>7.4</v>
      </c>
      <c r="K947" s="15" t="s">
        <v>50</v>
      </c>
      <c r="L947" s="15" t="s">
        <v>21</v>
      </c>
      <c r="M947" s="15" t="s">
        <v>22</v>
      </c>
      <c r="N947" s="15" t="s">
        <v>53</v>
      </c>
      <c r="O947" s="15" t="s">
        <v>24</v>
      </c>
      <c r="P947" s="15" t="s">
        <v>25</v>
      </c>
      <c r="Q947" s="27">
        <v>667.93</v>
      </c>
      <c r="R947" s="27">
        <v>200.37899999999999</v>
      </c>
      <c r="S947" s="31">
        <v>467.55099999999993</v>
      </c>
    </row>
    <row r="948" spans="1:19" x14ac:dyDescent="0.25">
      <c r="A948" s="20">
        <v>45710</v>
      </c>
      <c r="B948" s="15" t="s">
        <v>691</v>
      </c>
      <c r="C948" s="15">
        <v>63859</v>
      </c>
      <c r="D948" s="15" t="s">
        <v>57</v>
      </c>
      <c r="E948" s="15">
        <v>9</v>
      </c>
      <c r="F948" s="27">
        <v>75.69</v>
      </c>
      <c r="G948" s="15" t="s">
        <v>55</v>
      </c>
      <c r="H948" s="35">
        <v>0.21</v>
      </c>
      <c r="I948" s="15" t="s">
        <v>29</v>
      </c>
      <c r="J948" s="27">
        <v>8.2799999999999994</v>
      </c>
      <c r="K948" s="15" t="s">
        <v>37</v>
      </c>
      <c r="L948" s="15" t="s">
        <v>21</v>
      </c>
      <c r="M948" s="15" t="s">
        <v>111</v>
      </c>
      <c r="N948" s="15" t="s">
        <v>38</v>
      </c>
      <c r="O948" s="15" t="s">
        <v>39</v>
      </c>
      <c r="P948" s="15" t="s">
        <v>40</v>
      </c>
      <c r="Q948" s="27">
        <v>681.21</v>
      </c>
      <c r="R948" s="27">
        <v>143.05410000000001</v>
      </c>
      <c r="S948" s="31">
        <v>538.15589999999997</v>
      </c>
    </row>
    <row r="949" spans="1:19" x14ac:dyDescent="0.25">
      <c r="A949" s="20">
        <v>45710</v>
      </c>
      <c r="B949" s="15" t="s">
        <v>692</v>
      </c>
      <c r="C949" s="15">
        <v>45443</v>
      </c>
      <c r="D949" s="15" t="s">
        <v>57</v>
      </c>
      <c r="E949" s="15">
        <v>34</v>
      </c>
      <c r="F949" s="27">
        <v>51.13</v>
      </c>
      <c r="G949" s="15" t="s">
        <v>76</v>
      </c>
      <c r="H949" s="35">
        <v>0.21</v>
      </c>
      <c r="I949" s="15" t="s">
        <v>29</v>
      </c>
      <c r="J949" s="27">
        <v>20.95</v>
      </c>
      <c r="K949" s="15" t="s">
        <v>44</v>
      </c>
      <c r="L949" s="15" t="s">
        <v>21</v>
      </c>
      <c r="M949" s="15" t="s">
        <v>22</v>
      </c>
      <c r="N949" s="15" t="s">
        <v>23</v>
      </c>
      <c r="O949" s="15" t="s">
        <v>39</v>
      </c>
      <c r="P949" s="15" t="s">
        <v>25</v>
      </c>
      <c r="Q949" s="27">
        <v>1738.42</v>
      </c>
      <c r="R949" s="27">
        <v>365.06819999999999</v>
      </c>
      <c r="S949" s="31">
        <v>1373.3518000000001</v>
      </c>
    </row>
    <row r="950" spans="1:19" x14ac:dyDescent="0.25">
      <c r="A950" s="20">
        <v>45710</v>
      </c>
      <c r="B950" s="15" t="s">
        <v>693</v>
      </c>
      <c r="C950" s="15">
        <v>90598</v>
      </c>
      <c r="D950" s="15" t="s">
        <v>89</v>
      </c>
      <c r="E950" s="15">
        <v>46</v>
      </c>
      <c r="F950" s="27">
        <v>53.87</v>
      </c>
      <c r="G950" s="15" t="s">
        <v>52</v>
      </c>
      <c r="H950" s="35">
        <v>0.17</v>
      </c>
      <c r="I950" s="15" t="s">
        <v>19</v>
      </c>
      <c r="J950" s="27">
        <v>10.41</v>
      </c>
      <c r="K950" s="15" t="s">
        <v>30</v>
      </c>
      <c r="L950" s="15" t="s">
        <v>31</v>
      </c>
      <c r="M950" s="15" t="s">
        <v>22</v>
      </c>
      <c r="N950" s="15" t="s">
        <v>23</v>
      </c>
      <c r="O950" s="15" t="s">
        <v>59</v>
      </c>
      <c r="P950" s="15" t="s">
        <v>40</v>
      </c>
      <c r="Q950" s="27">
        <v>2478.02</v>
      </c>
      <c r="R950" s="27">
        <v>421.26340000000005</v>
      </c>
      <c r="S950" s="31">
        <v>2056.7565999999997</v>
      </c>
    </row>
    <row r="951" spans="1:19" x14ac:dyDescent="0.25">
      <c r="A951" s="20">
        <v>45710</v>
      </c>
      <c r="B951" s="15" t="s">
        <v>694</v>
      </c>
      <c r="C951" s="15">
        <v>41810</v>
      </c>
      <c r="D951" s="15" t="s">
        <v>57</v>
      </c>
      <c r="E951" s="15">
        <v>40</v>
      </c>
      <c r="F951" s="27">
        <v>27.85</v>
      </c>
      <c r="G951" s="15" t="s">
        <v>72</v>
      </c>
      <c r="H951" s="35">
        <v>0.38</v>
      </c>
      <c r="I951" s="15" t="s">
        <v>29</v>
      </c>
      <c r="J951" s="27">
        <v>22.42</v>
      </c>
      <c r="K951" s="15" t="s">
        <v>44</v>
      </c>
      <c r="L951" s="15" t="s">
        <v>31</v>
      </c>
      <c r="M951" s="15" t="s">
        <v>111</v>
      </c>
      <c r="N951" s="15" t="s">
        <v>38</v>
      </c>
      <c r="O951" s="15" t="s">
        <v>39</v>
      </c>
      <c r="P951" s="15" t="s">
        <v>25</v>
      </c>
      <c r="Q951" s="27">
        <v>1114</v>
      </c>
      <c r="R951" s="27">
        <v>423.32</v>
      </c>
      <c r="S951" s="31">
        <v>690.68000000000006</v>
      </c>
    </row>
    <row r="952" spans="1:19" x14ac:dyDescent="0.25">
      <c r="A952" s="20">
        <v>45710</v>
      </c>
      <c r="B952" s="15" t="s">
        <v>695</v>
      </c>
      <c r="C952" s="15">
        <v>34468</v>
      </c>
      <c r="D952" s="15" t="s">
        <v>68</v>
      </c>
      <c r="E952" s="15">
        <v>30</v>
      </c>
      <c r="F952" s="27">
        <v>28.41</v>
      </c>
      <c r="G952" s="15" t="s">
        <v>36</v>
      </c>
      <c r="H952" s="35">
        <v>0.21</v>
      </c>
      <c r="I952" s="15" t="s">
        <v>19</v>
      </c>
      <c r="J952" s="27">
        <v>22.16</v>
      </c>
      <c r="K952" s="15" t="s">
        <v>44</v>
      </c>
      <c r="L952" s="15" t="s">
        <v>21</v>
      </c>
      <c r="M952" s="15" t="s">
        <v>22</v>
      </c>
      <c r="N952" s="15" t="s">
        <v>32</v>
      </c>
      <c r="O952" s="15" t="s">
        <v>39</v>
      </c>
      <c r="P952" s="15" t="s">
        <v>25</v>
      </c>
      <c r="Q952" s="27">
        <v>852.3</v>
      </c>
      <c r="R952" s="27">
        <v>178.98299999999998</v>
      </c>
      <c r="S952" s="31">
        <v>673.31700000000001</v>
      </c>
    </row>
    <row r="953" spans="1:19" x14ac:dyDescent="0.25">
      <c r="A953" s="20">
        <v>45710</v>
      </c>
      <c r="B953" s="15" t="s">
        <v>696</v>
      </c>
      <c r="C953" s="15">
        <v>93011</v>
      </c>
      <c r="D953" s="15" t="s">
        <v>57</v>
      </c>
      <c r="E953" s="15">
        <v>22</v>
      </c>
      <c r="F953" s="27">
        <v>58.35</v>
      </c>
      <c r="G953" s="15" t="s">
        <v>58</v>
      </c>
      <c r="H953" s="35">
        <v>0.39</v>
      </c>
      <c r="I953" s="15" t="s">
        <v>734</v>
      </c>
      <c r="J953" s="27">
        <v>21.92</v>
      </c>
      <c r="K953" s="15" t="s">
        <v>50</v>
      </c>
      <c r="L953" s="15" t="s">
        <v>21</v>
      </c>
      <c r="M953" s="15" t="s">
        <v>22</v>
      </c>
      <c r="N953" s="15" t="s">
        <v>32</v>
      </c>
      <c r="O953" s="15" t="s">
        <v>59</v>
      </c>
      <c r="P953" s="15" t="s">
        <v>40</v>
      </c>
      <c r="Q953" s="27">
        <v>1283.7</v>
      </c>
      <c r="R953" s="27">
        <v>500.64300000000003</v>
      </c>
      <c r="S953" s="31">
        <v>783.05700000000002</v>
      </c>
    </row>
    <row r="954" spans="1:19" x14ac:dyDescent="0.25">
      <c r="A954" s="20">
        <v>45710</v>
      </c>
      <c r="B954" s="15" t="s">
        <v>380</v>
      </c>
      <c r="C954" s="15">
        <v>51802</v>
      </c>
      <c r="D954" s="15" t="s">
        <v>70</v>
      </c>
      <c r="E954" s="15">
        <v>26</v>
      </c>
      <c r="F954" s="27">
        <v>40.28</v>
      </c>
      <c r="G954" s="15" t="s">
        <v>28</v>
      </c>
      <c r="H954" s="35">
        <v>0.41</v>
      </c>
      <c r="I954" s="15" t="s">
        <v>29</v>
      </c>
      <c r="J954" s="27">
        <v>21.02</v>
      </c>
      <c r="K954" s="15" t="s">
        <v>37</v>
      </c>
      <c r="L954" s="15" t="s">
        <v>21</v>
      </c>
      <c r="M954" s="15" t="s">
        <v>22</v>
      </c>
      <c r="N954" s="15" t="s">
        <v>53</v>
      </c>
      <c r="O954" s="15" t="s">
        <v>59</v>
      </c>
      <c r="P954" s="15" t="s">
        <v>34</v>
      </c>
      <c r="Q954" s="27">
        <v>1047.28</v>
      </c>
      <c r="R954" s="27">
        <v>429.38479999999998</v>
      </c>
      <c r="S954" s="31">
        <v>617.89519999999993</v>
      </c>
    </row>
    <row r="955" spans="1:19" x14ac:dyDescent="0.25">
      <c r="A955" s="20">
        <v>45710</v>
      </c>
      <c r="B955" s="15" t="s">
        <v>681</v>
      </c>
      <c r="C955" s="15">
        <v>30256</v>
      </c>
      <c r="D955" s="15" t="s">
        <v>46</v>
      </c>
      <c r="E955" s="15">
        <v>30</v>
      </c>
      <c r="F955" s="27">
        <v>30.92</v>
      </c>
      <c r="G955" s="15" t="s">
        <v>28</v>
      </c>
      <c r="H955" s="35">
        <v>0.17</v>
      </c>
      <c r="I955" s="15" t="s">
        <v>29</v>
      </c>
      <c r="J955" s="27">
        <v>5.1100000000000003</v>
      </c>
      <c r="K955" s="15" t="s">
        <v>50</v>
      </c>
      <c r="L955" s="15" t="s">
        <v>31</v>
      </c>
      <c r="M955" s="15" t="s">
        <v>22</v>
      </c>
      <c r="N955" s="15" t="s">
        <v>32</v>
      </c>
      <c r="O955" s="15" t="s">
        <v>39</v>
      </c>
      <c r="P955" s="15" t="s">
        <v>25</v>
      </c>
      <c r="Q955" s="27">
        <v>927.6</v>
      </c>
      <c r="R955" s="27">
        <v>157.69200000000001</v>
      </c>
      <c r="S955" s="31">
        <v>769.90800000000002</v>
      </c>
    </row>
    <row r="956" spans="1:19" x14ac:dyDescent="0.25">
      <c r="A956" s="20">
        <v>45710</v>
      </c>
      <c r="B956" s="15" t="s">
        <v>486</v>
      </c>
      <c r="C956" s="15">
        <v>28561</v>
      </c>
      <c r="D956" s="15" t="s">
        <v>46</v>
      </c>
      <c r="E956" s="15">
        <v>12</v>
      </c>
      <c r="F956" s="27">
        <v>68.66</v>
      </c>
      <c r="G956" s="15" t="s">
        <v>28</v>
      </c>
      <c r="H956" s="35">
        <v>0.28999999999999998</v>
      </c>
      <c r="I956" s="15" t="s">
        <v>19</v>
      </c>
      <c r="J956" s="27">
        <v>29.74</v>
      </c>
      <c r="K956" s="15" t="s">
        <v>30</v>
      </c>
      <c r="L956" s="15" t="s">
        <v>21</v>
      </c>
      <c r="M956" s="15" t="s">
        <v>22</v>
      </c>
      <c r="N956" s="15" t="s">
        <v>32</v>
      </c>
      <c r="O956" s="15" t="s">
        <v>59</v>
      </c>
      <c r="P956" s="15" t="s">
        <v>40</v>
      </c>
      <c r="Q956" s="27">
        <v>823.92</v>
      </c>
      <c r="R956" s="27">
        <v>238.93679999999998</v>
      </c>
      <c r="S956" s="31">
        <v>584.98320000000001</v>
      </c>
    </row>
    <row r="957" spans="1:19" x14ac:dyDescent="0.25">
      <c r="A957" s="20">
        <v>45710</v>
      </c>
      <c r="B957" s="15" t="s">
        <v>272</v>
      </c>
      <c r="C957" s="15">
        <v>14580</v>
      </c>
      <c r="D957" s="15" t="s">
        <v>57</v>
      </c>
      <c r="E957" s="15">
        <v>36</v>
      </c>
      <c r="F957" s="27">
        <v>8.01</v>
      </c>
      <c r="G957" s="15" t="s">
        <v>18</v>
      </c>
      <c r="H957" s="35">
        <v>7.0000000000000007E-2</v>
      </c>
      <c r="I957" s="15" t="s">
        <v>29</v>
      </c>
      <c r="J957" s="27">
        <v>22.84</v>
      </c>
      <c r="K957" s="15" t="s">
        <v>30</v>
      </c>
      <c r="L957" s="15" t="s">
        <v>21</v>
      </c>
      <c r="M957" s="15" t="s">
        <v>22</v>
      </c>
      <c r="N957" s="15" t="s">
        <v>32</v>
      </c>
      <c r="O957" s="15" t="s">
        <v>33</v>
      </c>
      <c r="P957" s="15" t="s">
        <v>25</v>
      </c>
      <c r="Q957" s="27">
        <v>288.36</v>
      </c>
      <c r="R957" s="27">
        <v>20.185200000000002</v>
      </c>
      <c r="S957" s="31">
        <v>268.1748</v>
      </c>
    </row>
    <row r="958" spans="1:19" x14ac:dyDescent="0.25">
      <c r="A958" s="20">
        <v>45710</v>
      </c>
      <c r="B958" s="15" t="s">
        <v>213</v>
      </c>
      <c r="C958" s="15">
        <v>22403</v>
      </c>
      <c r="D958" s="15" t="s">
        <v>49</v>
      </c>
      <c r="E958" s="15">
        <v>7</v>
      </c>
      <c r="F958" s="27">
        <v>14.63</v>
      </c>
      <c r="G958" s="15" t="s">
        <v>28</v>
      </c>
      <c r="H958" s="35">
        <v>0.04</v>
      </c>
      <c r="I958" s="15" t="s">
        <v>734</v>
      </c>
      <c r="J958" s="27">
        <v>20.46</v>
      </c>
      <c r="K958" s="15" t="s">
        <v>30</v>
      </c>
      <c r="L958" s="15" t="s">
        <v>21</v>
      </c>
      <c r="M958" s="15" t="s">
        <v>22</v>
      </c>
      <c r="N958" s="15" t="s">
        <v>53</v>
      </c>
      <c r="O958" s="15" t="s">
        <v>24</v>
      </c>
      <c r="P958" s="15" t="s">
        <v>40</v>
      </c>
      <c r="Q958" s="27">
        <v>102.41000000000001</v>
      </c>
      <c r="R958" s="27">
        <v>4.0964000000000009</v>
      </c>
      <c r="S958" s="31">
        <v>98.313600000000008</v>
      </c>
    </row>
    <row r="959" spans="1:19" x14ac:dyDescent="0.25">
      <c r="A959" s="20">
        <v>45710</v>
      </c>
      <c r="B959" s="15" t="s">
        <v>697</v>
      </c>
      <c r="C959" s="15">
        <v>53990</v>
      </c>
      <c r="D959" s="15" t="s">
        <v>57</v>
      </c>
      <c r="E959" s="15">
        <v>41</v>
      </c>
      <c r="F959" s="27">
        <v>15.86</v>
      </c>
      <c r="G959" s="15" t="s">
        <v>28</v>
      </c>
      <c r="H959" s="35">
        <v>0.32</v>
      </c>
      <c r="I959" s="15" t="s">
        <v>29</v>
      </c>
      <c r="J959" s="27">
        <v>15.48</v>
      </c>
      <c r="K959" s="15" t="s">
        <v>50</v>
      </c>
      <c r="L959" s="15" t="s">
        <v>31</v>
      </c>
      <c r="M959" s="15" t="s">
        <v>22</v>
      </c>
      <c r="N959" s="15" t="s">
        <v>23</v>
      </c>
      <c r="O959" s="15" t="s">
        <v>24</v>
      </c>
      <c r="P959" s="15" t="s">
        <v>40</v>
      </c>
      <c r="Q959" s="27">
        <v>650.26</v>
      </c>
      <c r="R959" s="27">
        <v>208.08320000000001</v>
      </c>
      <c r="S959" s="31">
        <v>442.17679999999996</v>
      </c>
    </row>
    <row r="960" spans="1:19" x14ac:dyDescent="0.25">
      <c r="A960" s="20">
        <v>45710</v>
      </c>
      <c r="B960" s="15" t="s">
        <v>123</v>
      </c>
      <c r="C960" s="15">
        <v>69281</v>
      </c>
      <c r="D960" s="15" t="s">
        <v>75</v>
      </c>
      <c r="E960" s="15">
        <v>2</v>
      </c>
      <c r="F960" s="27">
        <v>38.04</v>
      </c>
      <c r="G960" s="15" t="s">
        <v>58</v>
      </c>
      <c r="H960" s="35">
        <v>0.17</v>
      </c>
      <c r="I960" s="15" t="s">
        <v>734</v>
      </c>
      <c r="J960" s="27">
        <v>27.94</v>
      </c>
      <c r="K960" s="15" t="s">
        <v>37</v>
      </c>
      <c r="L960" s="15" t="s">
        <v>31</v>
      </c>
      <c r="M960" s="15" t="s">
        <v>22</v>
      </c>
      <c r="N960" s="15" t="s">
        <v>23</v>
      </c>
      <c r="O960" s="15" t="s">
        <v>81</v>
      </c>
      <c r="P960" s="15" t="s">
        <v>25</v>
      </c>
      <c r="Q960" s="27">
        <v>76.08</v>
      </c>
      <c r="R960" s="27">
        <v>12.9336</v>
      </c>
      <c r="S960" s="31">
        <v>63.1464</v>
      </c>
    </row>
    <row r="961" spans="1:19" x14ac:dyDescent="0.25">
      <c r="A961" s="20">
        <v>45710</v>
      </c>
      <c r="B961" s="15" t="s">
        <v>140</v>
      </c>
      <c r="C961" s="15">
        <v>35321</v>
      </c>
      <c r="D961" s="15" t="s">
        <v>46</v>
      </c>
      <c r="E961" s="15">
        <v>21</v>
      </c>
      <c r="F961" s="27">
        <v>91.56</v>
      </c>
      <c r="G961" s="15" t="s">
        <v>36</v>
      </c>
      <c r="H961" s="35">
        <v>0.37</v>
      </c>
      <c r="I961" s="15" t="s">
        <v>734</v>
      </c>
      <c r="J961" s="27">
        <v>19.05</v>
      </c>
      <c r="K961" s="15" t="s">
        <v>44</v>
      </c>
      <c r="L961" s="15" t="s">
        <v>21</v>
      </c>
      <c r="M961" s="15" t="s">
        <v>22</v>
      </c>
      <c r="N961" s="15" t="s">
        <v>32</v>
      </c>
      <c r="O961" s="15" t="s">
        <v>33</v>
      </c>
      <c r="P961" s="15" t="s">
        <v>34</v>
      </c>
      <c r="Q961" s="27">
        <v>1922.76</v>
      </c>
      <c r="R961" s="27">
        <v>711.4212</v>
      </c>
      <c r="S961" s="31">
        <v>1211.3388</v>
      </c>
    </row>
    <row r="962" spans="1:19" x14ac:dyDescent="0.25">
      <c r="A962" s="20">
        <v>45710</v>
      </c>
      <c r="B962" s="15" t="s">
        <v>583</v>
      </c>
      <c r="C962" s="15">
        <v>60637</v>
      </c>
      <c r="D962" s="15" t="s">
        <v>68</v>
      </c>
      <c r="E962" s="15">
        <v>27</v>
      </c>
      <c r="F962" s="27">
        <v>92.38</v>
      </c>
      <c r="G962" s="15" t="s">
        <v>76</v>
      </c>
      <c r="H962" s="35">
        <v>0.08</v>
      </c>
      <c r="I962" s="15" t="s">
        <v>19</v>
      </c>
      <c r="J962" s="27">
        <v>21.68</v>
      </c>
      <c r="K962" s="15" t="s">
        <v>37</v>
      </c>
      <c r="L962" s="15" t="s">
        <v>21</v>
      </c>
      <c r="M962" s="15" t="s">
        <v>22</v>
      </c>
      <c r="N962" s="15" t="s">
        <v>32</v>
      </c>
      <c r="O962" s="15" t="s">
        <v>39</v>
      </c>
      <c r="P962" s="15" t="s">
        <v>40</v>
      </c>
      <c r="Q962" s="27">
        <v>2494.2599999999998</v>
      </c>
      <c r="R962" s="27">
        <v>199.54079999999999</v>
      </c>
      <c r="S962" s="31">
        <v>2294.7191999999995</v>
      </c>
    </row>
    <row r="963" spans="1:19" x14ac:dyDescent="0.25">
      <c r="A963" s="20">
        <v>45710</v>
      </c>
      <c r="B963" s="15" t="s">
        <v>698</v>
      </c>
      <c r="C963" s="15">
        <v>76117</v>
      </c>
      <c r="D963" s="15" t="s">
        <v>27</v>
      </c>
      <c r="E963" s="15">
        <v>1</v>
      </c>
      <c r="F963" s="27">
        <v>47.9</v>
      </c>
      <c r="G963" s="15" t="s">
        <v>58</v>
      </c>
      <c r="H963" s="35">
        <v>0.11</v>
      </c>
      <c r="I963" s="15" t="s">
        <v>19</v>
      </c>
      <c r="J963" s="27">
        <v>11.22</v>
      </c>
      <c r="K963" s="15" t="s">
        <v>30</v>
      </c>
      <c r="L963" s="15" t="s">
        <v>21</v>
      </c>
      <c r="M963" s="15" t="s">
        <v>22</v>
      </c>
      <c r="N963" s="15" t="s">
        <v>38</v>
      </c>
      <c r="O963" s="15" t="s">
        <v>24</v>
      </c>
      <c r="P963" s="15" t="s">
        <v>34</v>
      </c>
      <c r="Q963" s="27">
        <v>47.9</v>
      </c>
      <c r="R963" s="27">
        <v>5.2690000000000001</v>
      </c>
      <c r="S963" s="31">
        <v>42.631</v>
      </c>
    </row>
    <row r="964" spans="1:19" x14ac:dyDescent="0.25">
      <c r="A964" s="20">
        <v>45710</v>
      </c>
      <c r="B964" s="15" t="s">
        <v>539</v>
      </c>
      <c r="C964" s="15">
        <v>22970</v>
      </c>
      <c r="D964" s="15" t="s">
        <v>46</v>
      </c>
      <c r="E964" s="15">
        <v>14</v>
      </c>
      <c r="F964" s="27">
        <v>2.78</v>
      </c>
      <c r="G964" s="15" t="s">
        <v>52</v>
      </c>
      <c r="H964" s="35">
        <v>0.2</v>
      </c>
      <c r="I964" s="15" t="s">
        <v>29</v>
      </c>
      <c r="J964" s="27">
        <v>23.09</v>
      </c>
      <c r="K964" s="15" t="s">
        <v>37</v>
      </c>
      <c r="L964" s="15" t="s">
        <v>31</v>
      </c>
      <c r="M964" s="15" t="s">
        <v>22</v>
      </c>
      <c r="N964" s="15" t="s">
        <v>32</v>
      </c>
      <c r="O964" s="15" t="s">
        <v>33</v>
      </c>
      <c r="P964" s="15" t="s">
        <v>34</v>
      </c>
      <c r="Q964" s="27">
        <v>38.919999999999995</v>
      </c>
      <c r="R964" s="27">
        <v>7.7839999999999989</v>
      </c>
      <c r="S964" s="31">
        <v>31.135999999999996</v>
      </c>
    </row>
    <row r="965" spans="1:19" x14ac:dyDescent="0.25">
      <c r="A965" s="20">
        <v>45710</v>
      </c>
      <c r="B965" s="15" t="s">
        <v>206</v>
      </c>
      <c r="C965" s="15">
        <v>35297</v>
      </c>
      <c r="D965" s="15" t="s">
        <v>66</v>
      </c>
      <c r="E965" s="15">
        <v>49</v>
      </c>
      <c r="F965" s="27">
        <v>38.22</v>
      </c>
      <c r="G965" s="15" t="s">
        <v>58</v>
      </c>
      <c r="H965" s="35">
        <v>0.46</v>
      </c>
      <c r="I965" s="15" t="s">
        <v>19</v>
      </c>
      <c r="J965" s="27">
        <v>9.61</v>
      </c>
      <c r="K965" s="15" t="s">
        <v>50</v>
      </c>
      <c r="L965" s="15" t="s">
        <v>31</v>
      </c>
      <c r="M965" s="15" t="s">
        <v>22</v>
      </c>
      <c r="N965" s="15" t="s">
        <v>32</v>
      </c>
      <c r="O965" s="15" t="s">
        <v>39</v>
      </c>
      <c r="P965" s="15" t="s">
        <v>25</v>
      </c>
      <c r="Q965" s="27">
        <v>1872.78</v>
      </c>
      <c r="R965" s="27">
        <v>861.47879999999998</v>
      </c>
      <c r="S965" s="31">
        <v>1011.3012</v>
      </c>
    </row>
    <row r="966" spans="1:19" x14ac:dyDescent="0.25">
      <c r="A966" s="20">
        <v>45710</v>
      </c>
      <c r="B966" s="15" t="s">
        <v>614</v>
      </c>
      <c r="C966" s="15">
        <v>71135</v>
      </c>
      <c r="D966" s="15" t="s">
        <v>66</v>
      </c>
      <c r="E966" s="15">
        <v>2</v>
      </c>
      <c r="F966" s="27">
        <v>81.39</v>
      </c>
      <c r="G966" s="15" t="s">
        <v>43</v>
      </c>
      <c r="H966" s="35">
        <v>0.06</v>
      </c>
      <c r="I966" s="15" t="s">
        <v>19</v>
      </c>
      <c r="J966" s="27">
        <v>12</v>
      </c>
      <c r="K966" s="15" t="s">
        <v>50</v>
      </c>
      <c r="L966" s="15" t="s">
        <v>21</v>
      </c>
      <c r="M966" s="15" t="s">
        <v>22</v>
      </c>
      <c r="N966" s="15" t="s">
        <v>53</v>
      </c>
      <c r="O966" s="15" t="s">
        <v>24</v>
      </c>
      <c r="P966" s="15" t="s">
        <v>40</v>
      </c>
      <c r="Q966" s="27">
        <v>162.78</v>
      </c>
      <c r="R966" s="27">
        <v>9.7667999999999999</v>
      </c>
      <c r="S966" s="31">
        <v>153.01320000000001</v>
      </c>
    </row>
    <row r="967" spans="1:19" x14ac:dyDescent="0.25">
      <c r="A967" s="20">
        <v>45710</v>
      </c>
      <c r="B967" s="15" t="s">
        <v>699</v>
      </c>
      <c r="C967" s="15">
        <v>42559</v>
      </c>
      <c r="D967" s="15" t="s">
        <v>68</v>
      </c>
      <c r="E967" s="15">
        <v>23</v>
      </c>
      <c r="F967" s="27">
        <v>19.670000000000002</v>
      </c>
      <c r="G967" s="15" t="s">
        <v>47</v>
      </c>
      <c r="H967" s="35">
        <v>0.37</v>
      </c>
      <c r="I967" s="15" t="s">
        <v>29</v>
      </c>
      <c r="J967" s="27">
        <v>12.92</v>
      </c>
      <c r="K967" s="15" t="s">
        <v>37</v>
      </c>
      <c r="L967" s="15" t="s">
        <v>31</v>
      </c>
      <c r="M967" s="15" t="s">
        <v>22</v>
      </c>
      <c r="N967" s="15" t="s">
        <v>53</v>
      </c>
      <c r="O967" s="15" t="s">
        <v>59</v>
      </c>
      <c r="P967" s="15" t="s">
        <v>34</v>
      </c>
      <c r="Q967" s="27">
        <v>452.41</v>
      </c>
      <c r="R967" s="27">
        <v>167.39170000000001</v>
      </c>
      <c r="S967" s="31">
        <v>285.01830000000001</v>
      </c>
    </row>
    <row r="968" spans="1:19" x14ac:dyDescent="0.25">
      <c r="A968" s="20">
        <v>45711</v>
      </c>
      <c r="B968" s="15" t="s">
        <v>599</v>
      </c>
      <c r="C968" s="15">
        <v>26433</v>
      </c>
      <c r="D968" s="15" t="s">
        <v>68</v>
      </c>
      <c r="E968" s="15">
        <v>26</v>
      </c>
      <c r="F968" s="27">
        <v>79.849999999999994</v>
      </c>
      <c r="G968" s="15" t="s">
        <v>76</v>
      </c>
      <c r="H968" s="35">
        <v>0.48</v>
      </c>
      <c r="I968" s="15" t="s">
        <v>734</v>
      </c>
      <c r="J968" s="27">
        <v>9.86</v>
      </c>
      <c r="K968" s="15" t="s">
        <v>30</v>
      </c>
      <c r="L968" s="15" t="s">
        <v>21</v>
      </c>
      <c r="M968" s="15" t="s">
        <v>22</v>
      </c>
      <c r="N968" s="15" t="s">
        <v>38</v>
      </c>
      <c r="O968" s="15" t="s">
        <v>39</v>
      </c>
      <c r="P968" s="15" t="s">
        <v>34</v>
      </c>
      <c r="Q968" s="27">
        <v>2076.1</v>
      </c>
      <c r="R968" s="27">
        <v>996.52799999999991</v>
      </c>
      <c r="S968" s="31">
        <v>1079.5720000000001</v>
      </c>
    </row>
    <row r="969" spans="1:19" x14ac:dyDescent="0.25">
      <c r="A969" s="20">
        <v>45711</v>
      </c>
      <c r="B969" s="15" t="s">
        <v>666</v>
      </c>
      <c r="C969" s="15">
        <v>34067</v>
      </c>
      <c r="D969" s="15" t="s">
        <v>66</v>
      </c>
      <c r="E969" s="15">
        <v>25</v>
      </c>
      <c r="F969" s="27">
        <v>92.61</v>
      </c>
      <c r="G969" s="15" t="s">
        <v>36</v>
      </c>
      <c r="H969" s="35">
        <v>0.03</v>
      </c>
      <c r="I969" s="15" t="s">
        <v>29</v>
      </c>
      <c r="J969" s="27">
        <v>7.46</v>
      </c>
      <c r="K969" s="15" t="s">
        <v>50</v>
      </c>
      <c r="L969" s="15" t="s">
        <v>21</v>
      </c>
      <c r="M969" s="15" t="s">
        <v>22</v>
      </c>
      <c r="N969" s="15" t="s">
        <v>32</v>
      </c>
      <c r="O969" s="15" t="s">
        <v>81</v>
      </c>
      <c r="P969" s="15" t="s">
        <v>40</v>
      </c>
      <c r="Q969" s="27">
        <v>2315.25</v>
      </c>
      <c r="R969" s="27">
        <v>69.457499999999996</v>
      </c>
      <c r="S969" s="31">
        <v>2245.7925</v>
      </c>
    </row>
    <row r="970" spans="1:19" x14ac:dyDescent="0.25">
      <c r="A970" s="20">
        <v>45711</v>
      </c>
      <c r="B970" s="15" t="s">
        <v>700</v>
      </c>
      <c r="C970" s="15">
        <v>47566</v>
      </c>
      <c r="D970" s="15" t="s">
        <v>57</v>
      </c>
      <c r="E970" s="15">
        <v>15</v>
      </c>
      <c r="F970" s="27">
        <v>84.36</v>
      </c>
      <c r="G970" s="15" t="s">
        <v>47</v>
      </c>
      <c r="H970" s="35">
        <v>0.42</v>
      </c>
      <c r="I970" s="15" t="s">
        <v>734</v>
      </c>
      <c r="J970" s="27">
        <v>20.86</v>
      </c>
      <c r="K970" s="15" t="s">
        <v>44</v>
      </c>
      <c r="L970" s="15" t="s">
        <v>21</v>
      </c>
      <c r="M970" s="15" t="s">
        <v>22</v>
      </c>
      <c r="N970" s="15" t="s">
        <v>23</v>
      </c>
      <c r="O970" s="15" t="s">
        <v>59</v>
      </c>
      <c r="P970" s="15" t="s">
        <v>40</v>
      </c>
      <c r="Q970" s="27">
        <v>1265.4000000000001</v>
      </c>
      <c r="R970" s="27">
        <v>531.46800000000007</v>
      </c>
      <c r="S970" s="31">
        <v>733.93200000000002</v>
      </c>
    </row>
    <row r="971" spans="1:19" x14ac:dyDescent="0.25">
      <c r="A971" s="20">
        <v>45711</v>
      </c>
      <c r="B971" s="15" t="s">
        <v>701</v>
      </c>
      <c r="C971" s="15">
        <v>51154</v>
      </c>
      <c r="D971" s="15" t="s">
        <v>17</v>
      </c>
      <c r="E971" s="15">
        <v>29</v>
      </c>
      <c r="F971" s="27">
        <v>3.93</v>
      </c>
      <c r="G971" s="15" t="s">
        <v>84</v>
      </c>
      <c r="H971" s="35">
        <v>0.38</v>
      </c>
      <c r="I971" s="15" t="s">
        <v>19</v>
      </c>
      <c r="J971" s="27">
        <v>22.4</v>
      </c>
      <c r="K971" s="15" t="s">
        <v>50</v>
      </c>
      <c r="L971" s="15" t="s">
        <v>21</v>
      </c>
      <c r="M971" s="15" t="s">
        <v>22</v>
      </c>
      <c r="N971" s="15" t="s">
        <v>53</v>
      </c>
      <c r="O971" s="15" t="s">
        <v>24</v>
      </c>
      <c r="P971" s="15" t="s">
        <v>40</v>
      </c>
      <c r="Q971" s="27">
        <v>113.97</v>
      </c>
      <c r="R971" s="27">
        <v>43.308599999999998</v>
      </c>
      <c r="S971" s="31">
        <v>70.6614</v>
      </c>
    </row>
    <row r="972" spans="1:19" x14ac:dyDescent="0.25">
      <c r="A972" s="20">
        <v>45711</v>
      </c>
      <c r="B972" s="15" t="s">
        <v>452</v>
      </c>
      <c r="C972" s="15">
        <v>28784</v>
      </c>
      <c r="D972" s="15" t="s">
        <v>49</v>
      </c>
      <c r="E972" s="15">
        <v>28</v>
      </c>
      <c r="F972" s="27">
        <v>80.510000000000005</v>
      </c>
      <c r="G972" s="15" t="s">
        <v>47</v>
      </c>
      <c r="H972" s="35">
        <v>0.27</v>
      </c>
      <c r="I972" s="15" t="s">
        <v>19</v>
      </c>
      <c r="J972" s="27">
        <v>8.3800000000000008</v>
      </c>
      <c r="K972" s="15" t="s">
        <v>44</v>
      </c>
      <c r="L972" s="15" t="s">
        <v>31</v>
      </c>
      <c r="M972" s="15" t="s">
        <v>22</v>
      </c>
      <c r="N972" s="15" t="s">
        <v>53</v>
      </c>
      <c r="O972" s="15" t="s">
        <v>59</v>
      </c>
      <c r="P972" s="15" t="s">
        <v>40</v>
      </c>
      <c r="Q972" s="27">
        <v>2254.2800000000002</v>
      </c>
      <c r="R972" s="27">
        <v>608.65560000000005</v>
      </c>
      <c r="S972" s="31">
        <v>1645.6244000000002</v>
      </c>
    </row>
    <row r="973" spans="1:19" x14ac:dyDescent="0.25">
      <c r="A973" s="20">
        <v>45711</v>
      </c>
      <c r="B973" s="15" t="s">
        <v>702</v>
      </c>
      <c r="C973" s="15">
        <v>26297</v>
      </c>
      <c r="D973" s="15" t="s">
        <v>27</v>
      </c>
      <c r="E973" s="15">
        <v>39</v>
      </c>
      <c r="F973" s="27">
        <v>77.77</v>
      </c>
      <c r="G973" s="15" t="s">
        <v>72</v>
      </c>
      <c r="H973" s="35">
        <v>0.31</v>
      </c>
      <c r="I973" s="15" t="s">
        <v>19</v>
      </c>
      <c r="J973" s="27">
        <v>10.98</v>
      </c>
      <c r="K973" s="15" t="s">
        <v>44</v>
      </c>
      <c r="L973" s="15" t="s">
        <v>31</v>
      </c>
      <c r="M973" s="15" t="s">
        <v>22</v>
      </c>
      <c r="N973" s="15" t="s">
        <v>23</v>
      </c>
      <c r="O973" s="15" t="s">
        <v>59</v>
      </c>
      <c r="P973" s="15" t="s">
        <v>34</v>
      </c>
      <c r="Q973" s="27">
        <v>3033.0299999999997</v>
      </c>
      <c r="R973" s="27">
        <v>940.23929999999996</v>
      </c>
      <c r="S973" s="31">
        <v>2092.7906999999996</v>
      </c>
    </row>
    <row r="974" spans="1:19" x14ac:dyDescent="0.25">
      <c r="A974" s="20">
        <v>45711</v>
      </c>
      <c r="B974" s="15" t="s">
        <v>703</v>
      </c>
      <c r="C974" s="15">
        <v>47965</v>
      </c>
      <c r="D974" s="15" t="s">
        <v>46</v>
      </c>
      <c r="E974" s="15">
        <v>48</v>
      </c>
      <c r="F974" s="27">
        <v>24.25</v>
      </c>
      <c r="G974" s="15" t="s">
        <v>18</v>
      </c>
      <c r="H974" s="35">
        <v>0.36</v>
      </c>
      <c r="I974" s="15" t="s">
        <v>19</v>
      </c>
      <c r="J974" s="27">
        <v>18.34</v>
      </c>
      <c r="K974" s="15" t="s">
        <v>37</v>
      </c>
      <c r="L974" s="15" t="s">
        <v>21</v>
      </c>
      <c r="M974" s="15" t="s">
        <v>22</v>
      </c>
      <c r="N974" s="15" t="s">
        <v>23</v>
      </c>
      <c r="O974" s="15" t="s">
        <v>24</v>
      </c>
      <c r="P974" s="15" t="s">
        <v>34</v>
      </c>
      <c r="Q974" s="27">
        <v>1164</v>
      </c>
      <c r="R974" s="27">
        <v>419.03999999999996</v>
      </c>
      <c r="S974" s="31">
        <v>744.96</v>
      </c>
    </row>
    <row r="975" spans="1:19" x14ac:dyDescent="0.25">
      <c r="A975" s="20">
        <v>45711</v>
      </c>
      <c r="B975" s="15" t="s">
        <v>704</v>
      </c>
      <c r="C975" s="15">
        <v>58427</v>
      </c>
      <c r="D975" s="15" t="s">
        <v>57</v>
      </c>
      <c r="E975" s="15">
        <v>4</v>
      </c>
      <c r="F975" s="27">
        <v>56.93</v>
      </c>
      <c r="G975" s="15" t="s">
        <v>52</v>
      </c>
      <c r="H975" s="35">
        <v>0.06</v>
      </c>
      <c r="I975" s="15" t="s">
        <v>19</v>
      </c>
      <c r="J975" s="27">
        <v>15.61</v>
      </c>
      <c r="K975" s="15" t="s">
        <v>30</v>
      </c>
      <c r="L975" s="15" t="s">
        <v>31</v>
      </c>
      <c r="M975" s="15" t="s">
        <v>111</v>
      </c>
      <c r="N975" s="15" t="s">
        <v>32</v>
      </c>
      <c r="O975" s="15" t="s">
        <v>24</v>
      </c>
      <c r="P975" s="15" t="s">
        <v>34</v>
      </c>
      <c r="Q975" s="27">
        <v>227.72</v>
      </c>
      <c r="R975" s="27">
        <v>13.6632</v>
      </c>
      <c r="S975" s="31">
        <v>214.05680000000001</v>
      </c>
    </row>
    <row r="976" spans="1:19" x14ac:dyDescent="0.25">
      <c r="A976" s="20">
        <v>45711</v>
      </c>
      <c r="B976" s="15" t="s">
        <v>233</v>
      </c>
      <c r="C976" s="15">
        <v>69489</v>
      </c>
      <c r="D976" s="15" t="s">
        <v>49</v>
      </c>
      <c r="E976" s="15">
        <v>30</v>
      </c>
      <c r="F976" s="27">
        <v>28.9</v>
      </c>
      <c r="G976" s="15" t="s">
        <v>52</v>
      </c>
      <c r="H976" s="35">
        <v>0.34</v>
      </c>
      <c r="I976" s="15" t="s">
        <v>734</v>
      </c>
      <c r="J976" s="27">
        <v>10.93</v>
      </c>
      <c r="K976" s="15" t="s">
        <v>20</v>
      </c>
      <c r="L976" s="15" t="s">
        <v>31</v>
      </c>
      <c r="M976" s="15" t="s">
        <v>22</v>
      </c>
      <c r="N976" s="15" t="s">
        <v>53</v>
      </c>
      <c r="O976" s="15" t="s">
        <v>81</v>
      </c>
      <c r="P976" s="15" t="s">
        <v>25</v>
      </c>
      <c r="Q976" s="27">
        <v>867</v>
      </c>
      <c r="R976" s="27">
        <v>294.78000000000003</v>
      </c>
      <c r="S976" s="31">
        <v>572.22</v>
      </c>
    </row>
    <row r="977" spans="1:19" x14ac:dyDescent="0.25">
      <c r="A977" s="20">
        <v>45711</v>
      </c>
      <c r="B977" s="15" t="s">
        <v>548</v>
      </c>
      <c r="C977" s="15">
        <v>93645</v>
      </c>
      <c r="D977" s="15" t="s">
        <v>17</v>
      </c>
      <c r="E977" s="15">
        <v>47</v>
      </c>
      <c r="F977" s="27">
        <v>36.57</v>
      </c>
      <c r="G977" s="15" t="s">
        <v>36</v>
      </c>
      <c r="H977" s="35">
        <v>0.16</v>
      </c>
      <c r="I977" s="15" t="s">
        <v>19</v>
      </c>
      <c r="J977" s="27">
        <v>24.07</v>
      </c>
      <c r="K977" s="15" t="s">
        <v>37</v>
      </c>
      <c r="L977" s="15" t="s">
        <v>21</v>
      </c>
      <c r="M977" s="15" t="s">
        <v>22</v>
      </c>
      <c r="N977" s="15" t="s">
        <v>32</v>
      </c>
      <c r="O977" s="15" t="s">
        <v>81</v>
      </c>
      <c r="P977" s="15" t="s">
        <v>40</v>
      </c>
      <c r="Q977" s="27">
        <v>1718.79</v>
      </c>
      <c r="R977" s="27">
        <v>275.00639999999999</v>
      </c>
      <c r="S977" s="31">
        <v>1443.7836</v>
      </c>
    </row>
    <row r="978" spans="1:19" x14ac:dyDescent="0.25">
      <c r="A978" s="20">
        <v>45711</v>
      </c>
      <c r="B978" s="15" t="s">
        <v>78</v>
      </c>
      <c r="C978" s="15">
        <v>82594</v>
      </c>
      <c r="D978" s="15" t="s">
        <v>66</v>
      </c>
      <c r="E978" s="15">
        <v>10</v>
      </c>
      <c r="F978" s="27">
        <v>2.6</v>
      </c>
      <c r="G978" s="15" t="s">
        <v>72</v>
      </c>
      <c r="H978" s="35">
        <v>0.05</v>
      </c>
      <c r="I978" s="15" t="s">
        <v>734</v>
      </c>
      <c r="J978" s="27">
        <v>19.010000000000002</v>
      </c>
      <c r="K978" s="15" t="s">
        <v>44</v>
      </c>
      <c r="L978" s="15" t="s">
        <v>21</v>
      </c>
      <c r="M978" s="15" t="s">
        <v>22</v>
      </c>
      <c r="N978" s="15" t="s">
        <v>23</v>
      </c>
      <c r="O978" s="15" t="s">
        <v>24</v>
      </c>
      <c r="P978" s="15" t="s">
        <v>25</v>
      </c>
      <c r="Q978" s="27">
        <v>26</v>
      </c>
      <c r="R978" s="27">
        <v>1.3</v>
      </c>
      <c r="S978" s="31">
        <v>24.7</v>
      </c>
    </row>
    <row r="979" spans="1:19" x14ac:dyDescent="0.25">
      <c r="A979" s="20">
        <v>45711</v>
      </c>
      <c r="B979" s="15" t="s">
        <v>705</v>
      </c>
      <c r="C979" s="15">
        <v>96209</v>
      </c>
      <c r="D979" s="15" t="s">
        <v>42</v>
      </c>
      <c r="E979" s="15">
        <v>42</v>
      </c>
      <c r="F979" s="27">
        <v>35.18</v>
      </c>
      <c r="G979" s="15" t="s">
        <v>84</v>
      </c>
      <c r="H979" s="35">
        <v>0.2</v>
      </c>
      <c r="I979" s="15" t="s">
        <v>29</v>
      </c>
      <c r="J979" s="27">
        <v>7.96</v>
      </c>
      <c r="K979" s="15" t="s">
        <v>44</v>
      </c>
      <c r="L979" s="15" t="s">
        <v>21</v>
      </c>
      <c r="M979" s="15" t="s">
        <v>22</v>
      </c>
      <c r="N979" s="15" t="s">
        <v>32</v>
      </c>
      <c r="O979" s="15" t="s">
        <v>33</v>
      </c>
      <c r="P979" s="15" t="s">
        <v>25</v>
      </c>
      <c r="Q979" s="27">
        <v>1477.56</v>
      </c>
      <c r="R979" s="27">
        <v>295.512</v>
      </c>
      <c r="S979" s="31">
        <v>1182.048</v>
      </c>
    </row>
    <row r="980" spans="1:19" x14ac:dyDescent="0.25">
      <c r="A980" s="20">
        <v>45711</v>
      </c>
      <c r="B980" s="15" t="s">
        <v>228</v>
      </c>
      <c r="C980" s="15">
        <v>65634</v>
      </c>
      <c r="D980" s="15" t="s">
        <v>68</v>
      </c>
      <c r="E980" s="15">
        <v>10</v>
      </c>
      <c r="F980" s="27">
        <v>13.85</v>
      </c>
      <c r="G980" s="15" t="s">
        <v>47</v>
      </c>
      <c r="H980" s="35">
        <v>0.43</v>
      </c>
      <c r="I980" s="15" t="s">
        <v>19</v>
      </c>
      <c r="J980" s="27">
        <v>12.71</v>
      </c>
      <c r="K980" s="15" t="s">
        <v>37</v>
      </c>
      <c r="L980" s="15" t="s">
        <v>21</v>
      </c>
      <c r="M980" s="15" t="s">
        <v>22</v>
      </c>
      <c r="N980" s="15" t="s">
        <v>23</v>
      </c>
      <c r="O980" s="15" t="s">
        <v>59</v>
      </c>
      <c r="P980" s="15" t="s">
        <v>34</v>
      </c>
      <c r="Q980" s="27">
        <v>138.5</v>
      </c>
      <c r="R980" s="27">
        <v>59.555</v>
      </c>
      <c r="S980" s="31">
        <v>78.944999999999993</v>
      </c>
    </row>
    <row r="981" spans="1:19" x14ac:dyDescent="0.25">
      <c r="A981" s="20">
        <v>45711</v>
      </c>
      <c r="B981" s="15" t="s">
        <v>501</v>
      </c>
      <c r="C981" s="15">
        <v>80463</v>
      </c>
      <c r="D981" s="15" t="s">
        <v>57</v>
      </c>
      <c r="E981" s="15">
        <v>22</v>
      </c>
      <c r="F981" s="27">
        <v>92.26</v>
      </c>
      <c r="G981" s="15" t="s">
        <v>28</v>
      </c>
      <c r="H981" s="35">
        <v>0.47</v>
      </c>
      <c r="I981" s="15" t="s">
        <v>29</v>
      </c>
      <c r="J981" s="27">
        <v>15.86</v>
      </c>
      <c r="K981" s="15" t="s">
        <v>44</v>
      </c>
      <c r="L981" s="15" t="s">
        <v>21</v>
      </c>
      <c r="M981" s="15" t="s">
        <v>22</v>
      </c>
      <c r="N981" s="15" t="s">
        <v>38</v>
      </c>
      <c r="O981" s="15" t="s">
        <v>59</v>
      </c>
      <c r="P981" s="15" t="s">
        <v>40</v>
      </c>
      <c r="Q981" s="27">
        <v>2029.72</v>
      </c>
      <c r="R981" s="27">
        <v>953.96839999999997</v>
      </c>
      <c r="S981" s="31">
        <v>1075.7516000000001</v>
      </c>
    </row>
    <row r="982" spans="1:19" x14ac:dyDescent="0.25">
      <c r="A982" s="20">
        <v>45711</v>
      </c>
      <c r="B982" s="15" t="s">
        <v>551</v>
      </c>
      <c r="C982" s="15">
        <v>77880</v>
      </c>
      <c r="D982" s="15" t="s">
        <v>66</v>
      </c>
      <c r="E982" s="15">
        <v>39</v>
      </c>
      <c r="F982" s="27">
        <v>9.93</v>
      </c>
      <c r="G982" s="15" t="s">
        <v>58</v>
      </c>
      <c r="H982" s="35">
        <v>0.44</v>
      </c>
      <c r="I982" s="15" t="s">
        <v>734</v>
      </c>
      <c r="J982" s="27">
        <v>20.65</v>
      </c>
      <c r="K982" s="15" t="s">
        <v>44</v>
      </c>
      <c r="L982" s="15" t="s">
        <v>31</v>
      </c>
      <c r="M982" s="15" t="s">
        <v>22</v>
      </c>
      <c r="N982" s="15" t="s">
        <v>38</v>
      </c>
      <c r="O982" s="15" t="s">
        <v>81</v>
      </c>
      <c r="P982" s="15" t="s">
        <v>25</v>
      </c>
      <c r="Q982" s="27">
        <v>387.27</v>
      </c>
      <c r="R982" s="27">
        <v>170.39879999999999</v>
      </c>
      <c r="S982" s="31">
        <v>216.87119999999999</v>
      </c>
    </row>
    <row r="983" spans="1:19" x14ac:dyDescent="0.25">
      <c r="A983" s="20">
        <v>45711</v>
      </c>
      <c r="B983" s="15" t="s">
        <v>706</v>
      </c>
      <c r="C983" s="15">
        <v>17092</v>
      </c>
      <c r="D983" s="15" t="s">
        <v>46</v>
      </c>
      <c r="E983" s="15">
        <v>43</v>
      </c>
      <c r="F983" s="27">
        <v>80.650000000000006</v>
      </c>
      <c r="G983" s="15" t="s">
        <v>47</v>
      </c>
      <c r="H983" s="35">
        <v>0.3</v>
      </c>
      <c r="I983" s="15" t="s">
        <v>29</v>
      </c>
      <c r="J983" s="27">
        <v>26.77</v>
      </c>
      <c r="K983" s="15" t="s">
        <v>50</v>
      </c>
      <c r="L983" s="15" t="s">
        <v>31</v>
      </c>
      <c r="M983" s="15" t="s">
        <v>22</v>
      </c>
      <c r="N983" s="15" t="s">
        <v>53</v>
      </c>
      <c r="O983" s="15" t="s">
        <v>39</v>
      </c>
      <c r="P983" s="15" t="s">
        <v>25</v>
      </c>
      <c r="Q983" s="27">
        <v>3467.9500000000003</v>
      </c>
      <c r="R983" s="27">
        <v>1040.385</v>
      </c>
      <c r="S983" s="31">
        <v>2427.5650000000005</v>
      </c>
    </row>
    <row r="984" spans="1:19" x14ac:dyDescent="0.25">
      <c r="A984" s="20">
        <v>45711</v>
      </c>
      <c r="B984" s="15" t="s">
        <v>222</v>
      </c>
      <c r="C984" s="15">
        <v>36242</v>
      </c>
      <c r="D984" s="15" t="s">
        <v>68</v>
      </c>
      <c r="E984" s="15">
        <v>13</v>
      </c>
      <c r="F984" s="27">
        <v>14.29</v>
      </c>
      <c r="G984" s="15" t="s">
        <v>76</v>
      </c>
      <c r="H984" s="35">
        <v>0.04</v>
      </c>
      <c r="I984" s="15" t="s">
        <v>29</v>
      </c>
      <c r="J984" s="27">
        <v>7.12</v>
      </c>
      <c r="K984" s="15" t="s">
        <v>37</v>
      </c>
      <c r="L984" s="15" t="s">
        <v>21</v>
      </c>
      <c r="M984" s="15" t="s">
        <v>22</v>
      </c>
      <c r="N984" s="15" t="s">
        <v>23</v>
      </c>
      <c r="O984" s="15" t="s">
        <v>24</v>
      </c>
      <c r="P984" s="15" t="s">
        <v>34</v>
      </c>
      <c r="Q984" s="27">
        <v>185.76999999999998</v>
      </c>
      <c r="R984" s="27">
        <v>7.4307999999999996</v>
      </c>
      <c r="S984" s="31">
        <v>178.33919999999998</v>
      </c>
    </row>
    <row r="985" spans="1:19" x14ac:dyDescent="0.25">
      <c r="A985" s="20">
        <v>45711</v>
      </c>
      <c r="B985" s="15" t="s">
        <v>707</v>
      </c>
      <c r="C985" s="15">
        <v>51550</v>
      </c>
      <c r="D985" s="15" t="s">
        <v>70</v>
      </c>
      <c r="E985" s="15">
        <v>30</v>
      </c>
      <c r="F985" s="27">
        <v>69.290000000000006</v>
      </c>
      <c r="G985" s="15" t="s">
        <v>55</v>
      </c>
      <c r="H985" s="35">
        <v>0.04</v>
      </c>
      <c r="I985" s="15" t="s">
        <v>734</v>
      </c>
      <c r="J985" s="27">
        <v>29.28</v>
      </c>
      <c r="K985" s="15" t="s">
        <v>20</v>
      </c>
      <c r="L985" s="15" t="s">
        <v>31</v>
      </c>
      <c r="M985" s="15" t="s">
        <v>22</v>
      </c>
      <c r="N985" s="15" t="s">
        <v>38</v>
      </c>
      <c r="O985" s="15" t="s">
        <v>39</v>
      </c>
      <c r="P985" s="15" t="s">
        <v>40</v>
      </c>
      <c r="Q985" s="27">
        <v>2078.7000000000003</v>
      </c>
      <c r="R985" s="27">
        <v>83.14800000000001</v>
      </c>
      <c r="S985" s="31">
        <v>1995.5520000000004</v>
      </c>
    </row>
    <row r="986" spans="1:19" x14ac:dyDescent="0.25">
      <c r="A986" s="20">
        <v>45711</v>
      </c>
      <c r="B986" s="15" t="s">
        <v>596</v>
      </c>
      <c r="C986" s="15">
        <v>77982</v>
      </c>
      <c r="D986" s="15" t="s">
        <v>66</v>
      </c>
      <c r="E986" s="15">
        <v>13</v>
      </c>
      <c r="F986" s="27">
        <v>56.67</v>
      </c>
      <c r="G986" s="15" t="s">
        <v>99</v>
      </c>
      <c r="H986" s="35">
        <v>0.26</v>
      </c>
      <c r="I986" s="15" t="s">
        <v>734</v>
      </c>
      <c r="J986" s="27">
        <v>24.32</v>
      </c>
      <c r="K986" s="15" t="s">
        <v>30</v>
      </c>
      <c r="L986" s="15" t="s">
        <v>21</v>
      </c>
      <c r="M986" s="15" t="s">
        <v>22</v>
      </c>
      <c r="N986" s="15" t="s">
        <v>53</v>
      </c>
      <c r="O986" s="15" t="s">
        <v>81</v>
      </c>
      <c r="P986" s="15" t="s">
        <v>25</v>
      </c>
      <c r="Q986" s="27">
        <v>736.71</v>
      </c>
      <c r="R986" s="27">
        <v>191.5446</v>
      </c>
      <c r="S986" s="31">
        <v>545.16540000000009</v>
      </c>
    </row>
    <row r="987" spans="1:19" x14ac:dyDescent="0.25">
      <c r="A987" s="20">
        <v>45711</v>
      </c>
      <c r="B987" s="15" t="s">
        <v>589</v>
      </c>
      <c r="C987" s="15">
        <v>82937</v>
      </c>
      <c r="D987" s="15" t="s">
        <v>17</v>
      </c>
      <c r="E987" s="15">
        <v>42</v>
      </c>
      <c r="F987" s="27">
        <v>26.16</v>
      </c>
      <c r="G987" s="15" t="s">
        <v>43</v>
      </c>
      <c r="H987" s="35">
        <v>0.01</v>
      </c>
      <c r="I987" s="15" t="s">
        <v>734</v>
      </c>
      <c r="J987" s="27">
        <v>23.84</v>
      </c>
      <c r="K987" s="15" t="s">
        <v>37</v>
      </c>
      <c r="L987" s="15" t="s">
        <v>31</v>
      </c>
      <c r="M987" s="15" t="s">
        <v>22</v>
      </c>
      <c r="N987" s="15" t="s">
        <v>32</v>
      </c>
      <c r="O987" s="15" t="s">
        <v>39</v>
      </c>
      <c r="P987" s="15" t="s">
        <v>34</v>
      </c>
      <c r="Q987" s="27">
        <v>1098.72</v>
      </c>
      <c r="R987" s="27">
        <v>10.9872</v>
      </c>
      <c r="S987" s="31">
        <v>1087.7328</v>
      </c>
    </row>
    <row r="988" spans="1:19" x14ac:dyDescent="0.25">
      <c r="A988" s="20">
        <v>45711</v>
      </c>
      <c r="B988" s="15" t="s">
        <v>708</v>
      </c>
      <c r="C988" s="15">
        <v>85853</v>
      </c>
      <c r="D988" s="15" t="s">
        <v>70</v>
      </c>
      <c r="E988" s="15">
        <v>26</v>
      </c>
      <c r="F988" s="27">
        <v>35.549999999999997</v>
      </c>
      <c r="G988" s="15" t="s">
        <v>58</v>
      </c>
      <c r="H988" s="35">
        <v>0.35</v>
      </c>
      <c r="I988" s="15" t="s">
        <v>29</v>
      </c>
      <c r="J988" s="27">
        <v>29.84</v>
      </c>
      <c r="K988" s="15" t="s">
        <v>37</v>
      </c>
      <c r="L988" s="15" t="s">
        <v>31</v>
      </c>
      <c r="M988" s="15" t="s">
        <v>22</v>
      </c>
      <c r="N988" s="15" t="s">
        <v>53</v>
      </c>
      <c r="O988" s="15" t="s">
        <v>24</v>
      </c>
      <c r="P988" s="15" t="s">
        <v>34</v>
      </c>
      <c r="Q988" s="27">
        <v>924.3</v>
      </c>
      <c r="R988" s="27">
        <v>323.50499999999994</v>
      </c>
      <c r="S988" s="31">
        <v>600.79500000000007</v>
      </c>
    </row>
    <row r="989" spans="1:19" x14ac:dyDescent="0.25">
      <c r="A989" s="20">
        <v>45712</v>
      </c>
      <c r="B989" s="15" t="s">
        <v>409</v>
      </c>
      <c r="C989" s="15">
        <v>68794</v>
      </c>
      <c r="D989" s="15" t="s">
        <v>89</v>
      </c>
      <c r="E989" s="15">
        <v>39</v>
      </c>
      <c r="F989" s="27">
        <v>92.52</v>
      </c>
      <c r="G989" s="15" t="s">
        <v>28</v>
      </c>
      <c r="H989" s="35">
        <v>0.28999999999999998</v>
      </c>
      <c r="I989" s="15" t="s">
        <v>29</v>
      </c>
      <c r="J989" s="27">
        <v>8.43</v>
      </c>
      <c r="K989" s="15" t="s">
        <v>30</v>
      </c>
      <c r="L989" s="15" t="s">
        <v>21</v>
      </c>
      <c r="M989" s="15" t="s">
        <v>22</v>
      </c>
      <c r="N989" s="15" t="s">
        <v>53</v>
      </c>
      <c r="O989" s="15" t="s">
        <v>59</v>
      </c>
      <c r="P989" s="15" t="s">
        <v>40</v>
      </c>
      <c r="Q989" s="27">
        <v>3608.2799999999997</v>
      </c>
      <c r="R989" s="27">
        <v>1046.4011999999998</v>
      </c>
      <c r="S989" s="31">
        <v>2561.8788</v>
      </c>
    </row>
    <row r="990" spans="1:19" x14ac:dyDescent="0.25">
      <c r="A990" s="20">
        <v>45712</v>
      </c>
      <c r="B990" s="15" t="s">
        <v>709</v>
      </c>
      <c r="C990" s="15">
        <v>44362</v>
      </c>
      <c r="D990" s="15" t="s">
        <v>27</v>
      </c>
      <c r="E990" s="15">
        <v>27</v>
      </c>
      <c r="F990" s="27">
        <v>23.37</v>
      </c>
      <c r="G990" s="15" t="s">
        <v>84</v>
      </c>
      <c r="H990" s="35">
        <v>0.11</v>
      </c>
      <c r="I990" s="15" t="s">
        <v>29</v>
      </c>
      <c r="J990" s="27">
        <v>5.76</v>
      </c>
      <c r="K990" s="15" t="s">
        <v>50</v>
      </c>
      <c r="L990" s="15" t="s">
        <v>31</v>
      </c>
      <c r="M990" s="15" t="s">
        <v>22</v>
      </c>
      <c r="N990" s="15" t="s">
        <v>38</v>
      </c>
      <c r="O990" s="15" t="s">
        <v>33</v>
      </c>
      <c r="P990" s="15" t="s">
        <v>40</v>
      </c>
      <c r="Q990" s="27">
        <v>630.99</v>
      </c>
      <c r="R990" s="27">
        <v>69.408900000000003</v>
      </c>
      <c r="S990" s="31">
        <v>561.58109999999999</v>
      </c>
    </row>
    <row r="991" spans="1:19" x14ac:dyDescent="0.25">
      <c r="A991" s="20">
        <v>45712</v>
      </c>
      <c r="B991" s="15" t="s">
        <v>135</v>
      </c>
      <c r="C991" s="15">
        <v>37646</v>
      </c>
      <c r="D991" s="15" t="s">
        <v>17</v>
      </c>
      <c r="E991" s="15">
        <v>4</v>
      </c>
      <c r="F991" s="27">
        <v>9.31</v>
      </c>
      <c r="G991" s="15" t="s">
        <v>72</v>
      </c>
      <c r="H991" s="35">
        <v>0.46</v>
      </c>
      <c r="I991" s="15" t="s">
        <v>19</v>
      </c>
      <c r="J991" s="27">
        <v>17.920000000000002</v>
      </c>
      <c r="K991" s="15" t="s">
        <v>37</v>
      </c>
      <c r="L991" s="15" t="s">
        <v>31</v>
      </c>
      <c r="M991" s="15" t="s">
        <v>22</v>
      </c>
      <c r="N991" s="15" t="s">
        <v>53</v>
      </c>
      <c r="O991" s="15" t="s">
        <v>81</v>
      </c>
      <c r="P991" s="15" t="s">
        <v>25</v>
      </c>
      <c r="Q991" s="27">
        <v>37.24</v>
      </c>
      <c r="R991" s="27">
        <v>17.130400000000002</v>
      </c>
      <c r="S991" s="31">
        <v>20.1096</v>
      </c>
    </row>
    <row r="992" spans="1:19" x14ac:dyDescent="0.25">
      <c r="A992" s="20">
        <v>45712</v>
      </c>
      <c r="B992" s="15" t="s">
        <v>138</v>
      </c>
      <c r="C992" s="15">
        <v>70921</v>
      </c>
      <c r="D992" s="15" t="s">
        <v>57</v>
      </c>
      <c r="E992" s="15">
        <v>48</v>
      </c>
      <c r="F992" s="27">
        <v>14.55</v>
      </c>
      <c r="G992" s="15" t="s">
        <v>18</v>
      </c>
      <c r="H992" s="35">
        <v>0.05</v>
      </c>
      <c r="I992" s="15" t="s">
        <v>29</v>
      </c>
      <c r="J992" s="27">
        <v>22.75</v>
      </c>
      <c r="K992" s="15" t="s">
        <v>20</v>
      </c>
      <c r="L992" s="15" t="s">
        <v>31</v>
      </c>
      <c r="M992" s="15" t="s">
        <v>22</v>
      </c>
      <c r="N992" s="15" t="s">
        <v>32</v>
      </c>
      <c r="O992" s="15" t="s">
        <v>81</v>
      </c>
      <c r="P992" s="15" t="s">
        <v>40</v>
      </c>
      <c r="Q992" s="27">
        <v>698.40000000000009</v>
      </c>
      <c r="R992" s="27">
        <v>34.920000000000009</v>
      </c>
      <c r="S992" s="31">
        <v>663.48000000000013</v>
      </c>
    </row>
    <row r="993" spans="1:19" x14ac:dyDescent="0.25">
      <c r="A993" s="20">
        <v>45712</v>
      </c>
      <c r="B993" s="15" t="s">
        <v>633</v>
      </c>
      <c r="C993" s="15">
        <v>50283</v>
      </c>
      <c r="D993" s="15" t="s">
        <v>42</v>
      </c>
      <c r="E993" s="15">
        <v>12</v>
      </c>
      <c r="F993" s="27">
        <v>37.81</v>
      </c>
      <c r="G993" s="15" t="s">
        <v>36</v>
      </c>
      <c r="H993" s="35">
        <v>0.36</v>
      </c>
      <c r="I993" s="15" t="s">
        <v>734</v>
      </c>
      <c r="J993" s="27">
        <v>11.78</v>
      </c>
      <c r="K993" s="15" t="s">
        <v>20</v>
      </c>
      <c r="L993" s="15" t="s">
        <v>21</v>
      </c>
      <c r="M993" s="15" t="s">
        <v>22</v>
      </c>
      <c r="N993" s="15" t="s">
        <v>38</v>
      </c>
      <c r="O993" s="15" t="s">
        <v>33</v>
      </c>
      <c r="P993" s="15" t="s">
        <v>25</v>
      </c>
      <c r="Q993" s="27">
        <v>453.72</v>
      </c>
      <c r="R993" s="27">
        <v>163.33920000000001</v>
      </c>
      <c r="S993" s="31">
        <v>290.38080000000002</v>
      </c>
    </row>
    <row r="994" spans="1:19" x14ac:dyDescent="0.25">
      <c r="A994" s="20">
        <v>45712</v>
      </c>
      <c r="B994" s="15" t="s">
        <v>710</v>
      </c>
      <c r="C994" s="15">
        <v>56646</v>
      </c>
      <c r="D994" s="15" t="s">
        <v>49</v>
      </c>
      <c r="E994" s="15">
        <v>35</v>
      </c>
      <c r="F994" s="27">
        <v>34.93</v>
      </c>
      <c r="G994" s="15" t="s">
        <v>28</v>
      </c>
      <c r="H994" s="35">
        <v>0.35</v>
      </c>
      <c r="I994" s="15" t="s">
        <v>29</v>
      </c>
      <c r="J994" s="27">
        <v>18</v>
      </c>
      <c r="K994" s="15" t="s">
        <v>30</v>
      </c>
      <c r="L994" s="15" t="s">
        <v>21</v>
      </c>
      <c r="M994" s="15" t="s">
        <v>22</v>
      </c>
      <c r="N994" s="15" t="s">
        <v>53</v>
      </c>
      <c r="O994" s="15" t="s">
        <v>33</v>
      </c>
      <c r="P994" s="15" t="s">
        <v>25</v>
      </c>
      <c r="Q994" s="27">
        <v>1222.55</v>
      </c>
      <c r="R994" s="27">
        <v>427.89249999999998</v>
      </c>
      <c r="S994" s="31">
        <v>794.65750000000003</v>
      </c>
    </row>
    <row r="995" spans="1:19" x14ac:dyDescent="0.25">
      <c r="A995" s="20">
        <v>45712</v>
      </c>
      <c r="B995" s="15" t="s">
        <v>699</v>
      </c>
      <c r="C995" s="15">
        <v>92509</v>
      </c>
      <c r="D995" s="15" t="s">
        <v>27</v>
      </c>
      <c r="E995" s="15">
        <v>39</v>
      </c>
      <c r="F995" s="27">
        <v>1.78</v>
      </c>
      <c r="G995" s="15" t="s">
        <v>43</v>
      </c>
      <c r="H995" s="35">
        <v>0.37</v>
      </c>
      <c r="I995" s="15" t="s">
        <v>29</v>
      </c>
      <c r="J995" s="27">
        <v>15.63</v>
      </c>
      <c r="K995" s="15" t="s">
        <v>50</v>
      </c>
      <c r="L995" s="15" t="s">
        <v>31</v>
      </c>
      <c r="M995" s="15" t="s">
        <v>22</v>
      </c>
      <c r="N995" s="15" t="s">
        <v>23</v>
      </c>
      <c r="O995" s="15" t="s">
        <v>59</v>
      </c>
      <c r="P995" s="15" t="s">
        <v>34</v>
      </c>
      <c r="Q995" s="27">
        <v>69.42</v>
      </c>
      <c r="R995" s="27">
        <v>25.685400000000001</v>
      </c>
      <c r="S995" s="31">
        <v>43.7346</v>
      </c>
    </row>
    <row r="996" spans="1:19" x14ac:dyDescent="0.25">
      <c r="A996" s="20">
        <v>45712</v>
      </c>
      <c r="B996" s="15" t="s">
        <v>711</v>
      </c>
      <c r="C996" s="15">
        <v>37273</v>
      </c>
      <c r="D996" s="15" t="s">
        <v>68</v>
      </c>
      <c r="E996" s="15">
        <v>1</v>
      </c>
      <c r="F996" s="27">
        <v>73.650000000000006</v>
      </c>
      <c r="G996" s="15" t="s">
        <v>99</v>
      </c>
      <c r="H996" s="35">
        <v>0.03</v>
      </c>
      <c r="I996" s="15" t="s">
        <v>734</v>
      </c>
      <c r="J996" s="27">
        <v>26.31</v>
      </c>
      <c r="K996" s="15" t="s">
        <v>30</v>
      </c>
      <c r="L996" s="15" t="s">
        <v>31</v>
      </c>
      <c r="M996" s="15" t="s">
        <v>22</v>
      </c>
      <c r="N996" s="15" t="s">
        <v>38</v>
      </c>
      <c r="O996" s="15" t="s">
        <v>33</v>
      </c>
      <c r="P996" s="15" t="s">
        <v>40</v>
      </c>
      <c r="Q996" s="27">
        <v>73.650000000000006</v>
      </c>
      <c r="R996" s="27">
        <v>2.2095000000000002</v>
      </c>
      <c r="S996" s="31">
        <v>71.4405</v>
      </c>
    </row>
    <row r="997" spans="1:19" x14ac:dyDescent="0.25">
      <c r="A997" s="20">
        <v>45712</v>
      </c>
      <c r="B997" s="15" t="s">
        <v>712</v>
      </c>
      <c r="C997" s="15">
        <v>65501</v>
      </c>
      <c r="D997" s="15" t="s">
        <v>42</v>
      </c>
      <c r="E997" s="15">
        <v>16</v>
      </c>
      <c r="F997" s="27">
        <v>61.94</v>
      </c>
      <c r="G997" s="15" t="s">
        <v>36</v>
      </c>
      <c r="H997" s="35">
        <v>7.0000000000000007E-2</v>
      </c>
      <c r="I997" s="15" t="s">
        <v>19</v>
      </c>
      <c r="J997" s="27">
        <v>26.63</v>
      </c>
      <c r="K997" s="15" t="s">
        <v>44</v>
      </c>
      <c r="L997" s="15" t="s">
        <v>21</v>
      </c>
      <c r="M997" s="15" t="s">
        <v>22</v>
      </c>
      <c r="N997" s="15" t="s">
        <v>53</v>
      </c>
      <c r="O997" s="15" t="s">
        <v>24</v>
      </c>
      <c r="P997" s="15" t="s">
        <v>34</v>
      </c>
      <c r="Q997" s="27">
        <v>991.04</v>
      </c>
      <c r="R997" s="27">
        <v>69.372799999999998</v>
      </c>
      <c r="S997" s="31">
        <v>921.66719999999998</v>
      </c>
    </row>
    <row r="998" spans="1:19" x14ac:dyDescent="0.25">
      <c r="A998" s="20">
        <v>45712</v>
      </c>
      <c r="B998" s="15" t="s">
        <v>713</v>
      </c>
      <c r="C998" s="15">
        <v>56811</v>
      </c>
      <c r="D998" s="15" t="s">
        <v>49</v>
      </c>
      <c r="E998" s="15">
        <v>22</v>
      </c>
      <c r="F998" s="27">
        <v>94.71</v>
      </c>
      <c r="G998" s="15" t="s">
        <v>47</v>
      </c>
      <c r="H998" s="35">
        <v>0.04</v>
      </c>
      <c r="I998" s="15" t="s">
        <v>19</v>
      </c>
      <c r="J998" s="27">
        <v>14.85</v>
      </c>
      <c r="K998" s="15" t="s">
        <v>37</v>
      </c>
      <c r="L998" s="15" t="s">
        <v>21</v>
      </c>
      <c r="M998" s="15" t="s">
        <v>22</v>
      </c>
      <c r="N998" s="15" t="s">
        <v>38</v>
      </c>
      <c r="O998" s="15" t="s">
        <v>39</v>
      </c>
      <c r="P998" s="15" t="s">
        <v>40</v>
      </c>
      <c r="Q998" s="27">
        <v>2083.62</v>
      </c>
      <c r="R998" s="27">
        <v>83.344799999999992</v>
      </c>
      <c r="S998" s="31">
        <v>2000.2751999999998</v>
      </c>
    </row>
    <row r="999" spans="1:19" x14ac:dyDescent="0.25">
      <c r="A999" s="20">
        <v>45712</v>
      </c>
      <c r="B999" s="15" t="s">
        <v>714</v>
      </c>
      <c r="C999" s="15">
        <v>82478</v>
      </c>
      <c r="D999" s="15" t="s">
        <v>68</v>
      </c>
      <c r="E999" s="15">
        <v>45</v>
      </c>
      <c r="F999" s="27">
        <v>4.03</v>
      </c>
      <c r="G999" s="15" t="s">
        <v>99</v>
      </c>
      <c r="H999" s="35">
        <v>0.28000000000000003</v>
      </c>
      <c r="I999" s="15" t="s">
        <v>19</v>
      </c>
      <c r="J999" s="27">
        <v>9.86</v>
      </c>
      <c r="K999" s="15" t="s">
        <v>44</v>
      </c>
      <c r="L999" s="15" t="s">
        <v>31</v>
      </c>
      <c r="M999" s="15" t="s">
        <v>22</v>
      </c>
      <c r="N999" s="15" t="s">
        <v>32</v>
      </c>
      <c r="O999" s="15" t="s">
        <v>39</v>
      </c>
      <c r="P999" s="15" t="s">
        <v>40</v>
      </c>
      <c r="Q999" s="27">
        <v>181.35000000000002</v>
      </c>
      <c r="R999" s="27">
        <v>50.778000000000013</v>
      </c>
      <c r="S999" s="31">
        <v>130.572</v>
      </c>
    </row>
    <row r="1000" spans="1:19" ht="15.75" thickBot="1" x14ac:dyDescent="0.3">
      <c r="A1000" s="21">
        <v>45712</v>
      </c>
      <c r="B1000" s="22" t="s">
        <v>715</v>
      </c>
      <c r="C1000" s="22">
        <v>85541</v>
      </c>
      <c r="D1000" s="22" t="s">
        <v>57</v>
      </c>
      <c r="E1000" s="22">
        <v>36</v>
      </c>
      <c r="F1000" s="28">
        <v>43.93</v>
      </c>
      <c r="G1000" s="22" t="s">
        <v>18</v>
      </c>
      <c r="H1000" s="36">
        <v>0.18</v>
      </c>
      <c r="I1000" s="22" t="s">
        <v>734</v>
      </c>
      <c r="J1000" s="28">
        <v>19.46</v>
      </c>
      <c r="K1000" s="22" t="s">
        <v>20</v>
      </c>
      <c r="L1000" s="22" t="s">
        <v>21</v>
      </c>
      <c r="M1000" s="22" t="s">
        <v>22</v>
      </c>
      <c r="N1000" s="22" t="s">
        <v>38</v>
      </c>
      <c r="O1000" s="22" t="s">
        <v>59</v>
      </c>
      <c r="P1000" s="22" t="s">
        <v>40</v>
      </c>
      <c r="Q1000" s="28">
        <v>1581.48</v>
      </c>
      <c r="R1000" s="28">
        <v>284.66640000000001</v>
      </c>
      <c r="S1000" s="32">
        <v>1296.8136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4" sqref="B4"/>
    </sheetView>
  </sheetViews>
  <sheetFormatPr defaultRowHeight="15" x14ac:dyDescent="0.25"/>
  <cols>
    <col min="1" max="1" width="13.140625" customWidth="1"/>
    <col min="2" max="2" width="16" customWidth="1"/>
    <col min="3" max="3" width="7" customWidth="1"/>
    <col min="4" max="4" width="11.28515625" bestFit="1" customWidth="1"/>
  </cols>
  <sheetData>
    <row r="3" spans="1:2" x14ac:dyDescent="0.25">
      <c r="A3" s="7" t="s">
        <v>737</v>
      </c>
      <c r="B3" t="s">
        <v>739</v>
      </c>
    </row>
    <row r="4" spans="1:2" x14ac:dyDescent="0.25">
      <c r="A4" s="8" t="s">
        <v>39</v>
      </c>
      <c r="B4" s="9">
        <v>179184</v>
      </c>
    </row>
    <row r="5" spans="1:2" x14ac:dyDescent="0.25">
      <c r="A5" s="8" t="s">
        <v>33</v>
      </c>
      <c r="B5" s="9">
        <v>164279</v>
      </c>
    </row>
    <row r="6" spans="1:2" x14ac:dyDescent="0.25">
      <c r="A6" s="8" t="s">
        <v>81</v>
      </c>
      <c r="B6" s="9">
        <v>233063</v>
      </c>
    </row>
    <row r="7" spans="1:2" x14ac:dyDescent="0.25">
      <c r="A7" s="8" t="s">
        <v>24</v>
      </c>
      <c r="B7" s="9">
        <v>201162</v>
      </c>
    </row>
    <row r="8" spans="1:2" x14ac:dyDescent="0.25">
      <c r="A8" s="8" t="s">
        <v>59</v>
      </c>
      <c r="B8" s="9">
        <v>192105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C13" sqref="C13"/>
    </sheetView>
  </sheetViews>
  <sheetFormatPr defaultRowHeight="15" x14ac:dyDescent="0.25"/>
  <cols>
    <col min="1" max="1" width="13.140625" customWidth="1"/>
    <col min="2" max="2" width="16" bestFit="1" customWidth="1"/>
    <col min="3" max="3" width="17.85546875" bestFit="1" customWidth="1"/>
    <col min="4" max="4" width="22.85546875" bestFit="1" customWidth="1"/>
  </cols>
  <sheetData>
    <row r="3" spans="1:4" x14ac:dyDescent="0.25">
      <c r="A3" s="7" t="s">
        <v>737</v>
      </c>
      <c r="B3" t="s">
        <v>739</v>
      </c>
      <c r="C3" t="s">
        <v>738</v>
      </c>
      <c r="D3" t="s">
        <v>740</v>
      </c>
    </row>
    <row r="4" spans="1:4" x14ac:dyDescent="0.25">
      <c r="A4" s="8" t="s">
        <v>20</v>
      </c>
      <c r="B4" s="9">
        <v>8567</v>
      </c>
      <c r="C4" s="9">
        <v>10943</v>
      </c>
      <c r="D4" s="9">
        <v>2376</v>
      </c>
    </row>
    <row r="5" spans="1:4" x14ac:dyDescent="0.25">
      <c r="A5" s="8" t="s">
        <v>30</v>
      </c>
      <c r="B5" s="9">
        <v>11536</v>
      </c>
      <c r="C5" s="9">
        <v>14810</v>
      </c>
      <c r="D5" s="9">
        <v>3274</v>
      </c>
    </row>
    <row r="6" spans="1:4" x14ac:dyDescent="0.25">
      <c r="A6" s="8" t="s">
        <v>50</v>
      </c>
      <c r="B6" s="9">
        <v>2602</v>
      </c>
      <c r="C6" s="9">
        <v>4404</v>
      </c>
      <c r="D6" s="9">
        <v>1802</v>
      </c>
    </row>
    <row r="7" spans="1:4" x14ac:dyDescent="0.25">
      <c r="A7" s="8" t="s">
        <v>44</v>
      </c>
      <c r="B7" s="9">
        <v>7347</v>
      </c>
      <c r="C7" s="9">
        <v>9375</v>
      </c>
      <c r="D7" s="9">
        <v>2028</v>
      </c>
    </row>
    <row r="8" spans="1:4" x14ac:dyDescent="0.25">
      <c r="A8" s="8" t="s">
        <v>37</v>
      </c>
      <c r="B8" s="9">
        <v>5606</v>
      </c>
      <c r="C8" s="9">
        <v>7270</v>
      </c>
      <c r="D8" s="9">
        <v>1664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Missing Values</vt:lpstr>
      <vt:lpstr>Proper Values</vt:lpstr>
      <vt:lpstr>Calculation</vt:lpstr>
      <vt:lpstr>Filtering and sorting</vt:lpstr>
      <vt:lpstr>Cleaned Data</vt:lpstr>
      <vt:lpstr>Sheet9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POMMI</dc:creator>
  <cp:lastModifiedBy>POMMI</cp:lastModifiedBy>
  <dcterms:created xsi:type="dcterms:W3CDTF">2026-01-22T17:16:36Z</dcterms:created>
  <dcterms:modified xsi:type="dcterms:W3CDTF">2026-01-26T17:00:57Z</dcterms:modified>
</cp:coreProperties>
</file>